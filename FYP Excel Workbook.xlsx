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h\Downloads\"/>
    </mc:Choice>
  </mc:AlternateContent>
  <xr:revisionPtr revIDLastSave="0" documentId="13_ncr:1_{9DCF1020-BFBB-42A7-A344-70D80CAEF373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README" sheetId="1" r:id="rId1"/>
    <sheet name="Assumptions" sheetId="2" r:id="rId2"/>
    <sheet name="Raw_Prices" sheetId="3" r:id="rId3"/>
    <sheet name="KSE100_Benchmark" sheetId="4" r:id="rId4"/>
    <sheet name="RiskFree" sheetId="5" r:id="rId5"/>
    <sheet name="Returns" sheetId="6" r:id="rId6"/>
    <sheet name="Momentum_Signal" sheetId="7" r:id="rId7"/>
    <sheet name="Rankings" sheetId="8" r:id="rId8"/>
    <sheet name="S_Top2_Annual" sheetId="9" r:id="rId9"/>
    <sheet name="S_Top2_SemiAnnual" sheetId="10" r:id="rId10"/>
    <sheet name="S_Top2_Quarterly" sheetId="11" r:id="rId11"/>
    <sheet name="S_Top3_Annual" sheetId="12" r:id="rId12"/>
    <sheet name="S_Top3_SemiAnnual" sheetId="13" r:id="rId13"/>
    <sheet name="S_Top3_Quarterly" sheetId="14" r:id="rId14"/>
    <sheet name="S_Top5_Annual" sheetId="15" r:id="rId15"/>
    <sheet name="S_Top5_SemiAnnual" sheetId="16" r:id="rId16"/>
    <sheet name="S_Top5_Quarterly" sheetId="17" r:id="rId17"/>
    <sheet name="Benchmark_RF" sheetId="18" r:id="rId18"/>
    <sheet name="Scenario_Summary" sheetId="19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7" i="18" l="1"/>
  <c r="C117" i="18"/>
  <c r="E117" i="18" s="1"/>
  <c r="B117" i="18"/>
  <c r="D116" i="18"/>
  <c r="C116" i="18"/>
  <c r="E116" i="18" s="1"/>
  <c r="B116" i="18"/>
  <c r="D115" i="18"/>
  <c r="C115" i="18"/>
  <c r="E115" i="18" s="1"/>
  <c r="B115" i="18"/>
  <c r="D114" i="18"/>
  <c r="C114" i="18"/>
  <c r="E114" i="18" s="1"/>
  <c r="B114" i="18"/>
  <c r="D113" i="18"/>
  <c r="C113" i="18"/>
  <c r="E113" i="18" s="1"/>
  <c r="B113" i="18"/>
  <c r="D112" i="18"/>
  <c r="C112" i="18"/>
  <c r="E112" i="18" s="1"/>
  <c r="B112" i="18"/>
  <c r="D111" i="18"/>
  <c r="C111" i="18"/>
  <c r="E111" i="18" s="1"/>
  <c r="B111" i="18"/>
  <c r="D110" i="18"/>
  <c r="C110" i="18"/>
  <c r="E110" i="18" s="1"/>
  <c r="B110" i="18"/>
  <c r="D109" i="18"/>
  <c r="C109" i="18"/>
  <c r="E109" i="18" s="1"/>
  <c r="B109" i="18"/>
  <c r="D108" i="18"/>
  <c r="C108" i="18"/>
  <c r="E108" i="18" s="1"/>
  <c r="B108" i="18"/>
  <c r="D107" i="18"/>
  <c r="C107" i="18"/>
  <c r="E107" i="18" s="1"/>
  <c r="B107" i="18"/>
  <c r="D106" i="18"/>
  <c r="C106" i="18"/>
  <c r="E106" i="18" s="1"/>
  <c r="B106" i="18"/>
  <c r="D105" i="18"/>
  <c r="C105" i="18"/>
  <c r="E105" i="18" s="1"/>
  <c r="B105" i="18"/>
  <c r="D104" i="18"/>
  <c r="C104" i="18"/>
  <c r="E104" i="18" s="1"/>
  <c r="B104" i="18"/>
  <c r="D103" i="18"/>
  <c r="C103" i="18"/>
  <c r="E103" i="18" s="1"/>
  <c r="B103" i="18"/>
  <c r="D102" i="18"/>
  <c r="C102" i="18"/>
  <c r="E102" i="18" s="1"/>
  <c r="B102" i="18"/>
  <c r="D101" i="18"/>
  <c r="C101" i="18"/>
  <c r="E101" i="18" s="1"/>
  <c r="B101" i="18"/>
  <c r="D100" i="18"/>
  <c r="C100" i="18"/>
  <c r="E100" i="18" s="1"/>
  <c r="B100" i="18"/>
  <c r="D99" i="18"/>
  <c r="C99" i="18"/>
  <c r="E99" i="18" s="1"/>
  <c r="B99" i="18"/>
  <c r="D98" i="18"/>
  <c r="C98" i="18"/>
  <c r="E98" i="18" s="1"/>
  <c r="B98" i="18"/>
  <c r="D97" i="18"/>
  <c r="C97" i="18"/>
  <c r="E97" i="18" s="1"/>
  <c r="B97" i="18"/>
  <c r="D96" i="18"/>
  <c r="C96" i="18"/>
  <c r="E96" i="18" s="1"/>
  <c r="B96" i="18"/>
  <c r="D95" i="18"/>
  <c r="C95" i="18"/>
  <c r="E95" i="18" s="1"/>
  <c r="B95" i="18"/>
  <c r="D94" i="18"/>
  <c r="C94" i="18"/>
  <c r="E94" i="18" s="1"/>
  <c r="B94" i="18"/>
  <c r="D93" i="18"/>
  <c r="C93" i="18"/>
  <c r="E93" i="18" s="1"/>
  <c r="B93" i="18"/>
  <c r="D92" i="18"/>
  <c r="C92" i="18"/>
  <c r="E92" i="18" s="1"/>
  <c r="B92" i="18"/>
  <c r="D91" i="18"/>
  <c r="C91" i="18"/>
  <c r="E91" i="18" s="1"/>
  <c r="B91" i="18"/>
  <c r="D90" i="18"/>
  <c r="C90" i="18"/>
  <c r="E90" i="18" s="1"/>
  <c r="B90" i="18"/>
  <c r="D89" i="18"/>
  <c r="C89" i="18"/>
  <c r="E89" i="18" s="1"/>
  <c r="B89" i="18"/>
  <c r="D88" i="18"/>
  <c r="C88" i="18"/>
  <c r="E88" i="18" s="1"/>
  <c r="B88" i="18"/>
  <c r="D87" i="18"/>
  <c r="C87" i="18"/>
  <c r="E87" i="18" s="1"/>
  <c r="B87" i="18"/>
  <c r="D86" i="18"/>
  <c r="C86" i="18"/>
  <c r="E86" i="18" s="1"/>
  <c r="B86" i="18"/>
  <c r="D85" i="18"/>
  <c r="C85" i="18"/>
  <c r="E85" i="18" s="1"/>
  <c r="B85" i="18"/>
  <c r="D84" i="18"/>
  <c r="C84" i="18"/>
  <c r="E84" i="18" s="1"/>
  <c r="B84" i="18"/>
  <c r="D83" i="18"/>
  <c r="C83" i="18"/>
  <c r="E83" i="18" s="1"/>
  <c r="B83" i="18"/>
  <c r="D82" i="18"/>
  <c r="C82" i="18"/>
  <c r="E82" i="18" s="1"/>
  <c r="B82" i="18"/>
  <c r="D81" i="18"/>
  <c r="C81" i="18"/>
  <c r="E81" i="18" s="1"/>
  <c r="B81" i="18"/>
  <c r="D80" i="18"/>
  <c r="C80" i="18"/>
  <c r="E80" i="18" s="1"/>
  <c r="B80" i="18"/>
  <c r="D79" i="18"/>
  <c r="C79" i="18"/>
  <c r="E79" i="18" s="1"/>
  <c r="B79" i="18"/>
  <c r="D78" i="18"/>
  <c r="C78" i="18"/>
  <c r="E78" i="18" s="1"/>
  <c r="B78" i="18"/>
  <c r="D77" i="18"/>
  <c r="C77" i="18"/>
  <c r="E77" i="18" s="1"/>
  <c r="B77" i="18"/>
  <c r="D76" i="18"/>
  <c r="C76" i="18"/>
  <c r="E76" i="18" s="1"/>
  <c r="B76" i="18"/>
  <c r="D75" i="18"/>
  <c r="C75" i="18"/>
  <c r="E75" i="18" s="1"/>
  <c r="B75" i="18"/>
  <c r="D74" i="18"/>
  <c r="C74" i="18"/>
  <c r="E74" i="18" s="1"/>
  <c r="B74" i="18"/>
  <c r="D73" i="18"/>
  <c r="C73" i="18"/>
  <c r="E73" i="18" s="1"/>
  <c r="B73" i="18"/>
  <c r="D72" i="18"/>
  <c r="C72" i="18"/>
  <c r="E72" i="18" s="1"/>
  <c r="B72" i="18"/>
  <c r="D71" i="18"/>
  <c r="C71" i="18"/>
  <c r="E71" i="18" s="1"/>
  <c r="B71" i="18"/>
  <c r="D70" i="18"/>
  <c r="C70" i="18"/>
  <c r="E70" i="18" s="1"/>
  <c r="B70" i="18"/>
  <c r="D69" i="18"/>
  <c r="C69" i="18"/>
  <c r="E69" i="18" s="1"/>
  <c r="B69" i="18"/>
  <c r="D68" i="18"/>
  <c r="C68" i="18"/>
  <c r="E68" i="18" s="1"/>
  <c r="B68" i="18"/>
  <c r="D67" i="18"/>
  <c r="C67" i="18"/>
  <c r="E67" i="18" s="1"/>
  <c r="B67" i="18"/>
  <c r="D66" i="18"/>
  <c r="C66" i="18"/>
  <c r="E66" i="18" s="1"/>
  <c r="B66" i="18"/>
  <c r="D65" i="18"/>
  <c r="C65" i="18"/>
  <c r="E65" i="18" s="1"/>
  <c r="B65" i="18"/>
  <c r="D64" i="18"/>
  <c r="C64" i="18"/>
  <c r="E64" i="18" s="1"/>
  <c r="B64" i="18"/>
  <c r="D63" i="18"/>
  <c r="C63" i="18"/>
  <c r="E63" i="18" s="1"/>
  <c r="B63" i="18"/>
  <c r="D62" i="18"/>
  <c r="C62" i="18"/>
  <c r="E62" i="18" s="1"/>
  <c r="B62" i="18"/>
  <c r="D61" i="18"/>
  <c r="C61" i="18"/>
  <c r="E61" i="18" s="1"/>
  <c r="B61" i="18"/>
  <c r="D60" i="18"/>
  <c r="C60" i="18"/>
  <c r="E60" i="18" s="1"/>
  <c r="B60" i="18"/>
  <c r="D59" i="18"/>
  <c r="C59" i="18"/>
  <c r="E59" i="18" s="1"/>
  <c r="B59" i="18"/>
  <c r="D58" i="18"/>
  <c r="C58" i="18"/>
  <c r="E58" i="18" s="1"/>
  <c r="B58" i="18"/>
  <c r="D57" i="18"/>
  <c r="C57" i="18"/>
  <c r="E57" i="18" s="1"/>
  <c r="B57" i="18"/>
  <c r="D56" i="18"/>
  <c r="C56" i="18"/>
  <c r="E56" i="18" s="1"/>
  <c r="B56" i="18"/>
  <c r="D55" i="18"/>
  <c r="C55" i="18"/>
  <c r="E55" i="18" s="1"/>
  <c r="B55" i="18"/>
  <c r="D54" i="18"/>
  <c r="C54" i="18"/>
  <c r="E54" i="18" s="1"/>
  <c r="B54" i="18"/>
  <c r="D53" i="18"/>
  <c r="C53" i="18"/>
  <c r="E53" i="18" s="1"/>
  <c r="B53" i="18"/>
  <c r="D52" i="18"/>
  <c r="C52" i="18"/>
  <c r="E52" i="18" s="1"/>
  <c r="B52" i="18"/>
  <c r="D51" i="18"/>
  <c r="C51" i="18"/>
  <c r="E51" i="18" s="1"/>
  <c r="B51" i="18"/>
  <c r="D50" i="18"/>
  <c r="C50" i="18"/>
  <c r="E50" i="18" s="1"/>
  <c r="B50" i="18"/>
  <c r="D49" i="18"/>
  <c r="C49" i="18"/>
  <c r="E49" i="18" s="1"/>
  <c r="B49" i="18"/>
  <c r="D48" i="18"/>
  <c r="C48" i="18"/>
  <c r="E48" i="18" s="1"/>
  <c r="B48" i="18"/>
  <c r="D47" i="18"/>
  <c r="C47" i="18"/>
  <c r="E47" i="18" s="1"/>
  <c r="B47" i="18"/>
  <c r="D46" i="18"/>
  <c r="C46" i="18"/>
  <c r="E46" i="18" s="1"/>
  <c r="B46" i="18"/>
  <c r="D45" i="18"/>
  <c r="C45" i="18"/>
  <c r="E45" i="18" s="1"/>
  <c r="B45" i="18"/>
  <c r="D44" i="18"/>
  <c r="C44" i="18"/>
  <c r="E44" i="18" s="1"/>
  <c r="B44" i="18"/>
  <c r="D43" i="18"/>
  <c r="C43" i="18"/>
  <c r="E43" i="18" s="1"/>
  <c r="B43" i="18"/>
  <c r="D42" i="18"/>
  <c r="C42" i="18"/>
  <c r="E42" i="18" s="1"/>
  <c r="B42" i="18"/>
  <c r="D41" i="18"/>
  <c r="C41" i="18"/>
  <c r="E41" i="18" s="1"/>
  <c r="B41" i="18"/>
  <c r="D40" i="18"/>
  <c r="C40" i="18"/>
  <c r="E40" i="18" s="1"/>
  <c r="B40" i="18"/>
  <c r="D39" i="18"/>
  <c r="C39" i="18"/>
  <c r="E39" i="18" s="1"/>
  <c r="B39" i="18"/>
  <c r="D38" i="18"/>
  <c r="C38" i="18"/>
  <c r="E38" i="18" s="1"/>
  <c r="B38" i="18"/>
  <c r="D37" i="18"/>
  <c r="C37" i="18"/>
  <c r="E37" i="18" s="1"/>
  <c r="B37" i="18"/>
  <c r="D36" i="18"/>
  <c r="C36" i="18"/>
  <c r="E36" i="18" s="1"/>
  <c r="B36" i="18"/>
  <c r="D35" i="18"/>
  <c r="C35" i="18"/>
  <c r="E35" i="18" s="1"/>
  <c r="B35" i="18"/>
  <c r="D34" i="18"/>
  <c r="C34" i="18"/>
  <c r="E34" i="18" s="1"/>
  <c r="B34" i="18"/>
  <c r="D33" i="18"/>
  <c r="C33" i="18"/>
  <c r="E33" i="18" s="1"/>
  <c r="B33" i="18"/>
  <c r="D32" i="18"/>
  <c r="C32" i="18"/>
  <c r="E32" i="18" s="1"/>
  <c r="B32" i="18"/>
  <c r="D31" i="18"/>
  <c r="C31" i="18"/>
  <c r="E31" i="18" s="1"/>
  <c r="B31" i="18"/>
  <c r="D30" i="18"/>
  <c r="C30" i="18"/>
  <c r="E30" i="18" s="1"/>
  <c r="B30" i="18"/>
  <c r="D29" i="18"/>
  <c r="C29" i="18"/>
  <c r="E29" i="18" s="1"/>
  <c r="B29" i="18"/>
  <c r="D28" i="18"/>
  <c r="C28" i="18"/>
  <c r="E28" i="18" s="1"/>
  <c r="B28" i="18"/>
  <c r="D27" i="18"/>
  <c r="C27" i="18"/>
  <c r="E27" i="18" s="1"/>
  <c r="B27" i="18"/>
  <c r="D26" i="18"/>
  <c r="C26" i="18"/>
  <c r="E26" i="18" s="1"/>
  <c r="B26" i="18"/>
  <c r="D25" i="18"/>
  <c r="C25" i="18"/>
  <c r="E25" i="18" s="1"/>
  <c r="B25" i="18"/>
  <c r="D24" i="18"/>
  <c r="C24" i="18"/>
  <c r="E24" i="18" s="1"/>
  <c r="B24" i="18"/>
  <c r="D23" i="18"/>
  <c r="C23" i="18"/>
  <c r="E23" i="18" s="1"/>
  <c r="B23" i="18"/>
  <c r="D22" i="18"/>
  <c r="C22" i="18"/>
  <c r="E22" i="18" s="1"/>
  <c r="B22" i="18"/>
  <c r="D21" i="18"/>
  <c r="C21" i="18"/>
  <c r="E21" i="18" s="1"/>
  <c r="B21" i="18"/>
  <c r="D20" i="18"/>
  <c r="C20" i="18"/>
  <c r="E20" i="18" s="1"/>
  <c r="B20" i="18"/>
  <c r="D19" i="18"/>
  <c r="C19" i="18"/>
  <c r="E19" i="18" s="1"/>
  <c r="B19" i="18"/>
  <c r="D18" i="18"/>
  <c r="C18" i="18"/>
  <c r="E18" i="18" s="1"/>
  <c r="B18" i="18"/>
  <c r="D17" i="18"/>
  <c r="C17" i="18"/>
  <c r="E17" i="18" s="1"/>
  <c r="B17" i="18"/>
  <c r="D16" i="18"/>
  <c r="C16" i="18"/>
  <c r="E16" i="18" s="1"/>
  <c r="B16" i="18"/>
  <c r="D15" i="18"/>
  <c r="C15" i="18"/>
  <c r="E15" i="18" s="1"/>
  <c r="B15" i="18"/>
  <c r="D14" i="18"/>
  <c r="C14" i="18"/>
  <c r="E14" i="18" s="1"/>
  <c r="B14" i="18"/>
  <c r="D13" i="18"/>
  <c r="C13" i="18"/>
  <c r="E13" i="18" s="1"/>
  <c r="B13" i="18"/>
  <c r="D12" i="18"/>
  <c r="C12" i="18"/>
  <c r="E12" i="18" s="1"/>
  <c r="B12" i="18"/>
  <c r="D11" i="18"/>
  <c r="C11" i="18"/>
  <c r="E11" i="18" s="1"/>
  <c r="B11" i="18"/>
  <c r="D10" i="18"/>
  <c r="C10" i="18"/>
  <c r="E10" i="18" s="1"/>
  <c r="B10" i="18"/>
  <c r="D9" i="18"/>
  <c r="C9" i="18"/>
  <c r="E9" i="18" s="1"/>
  <c r="B9" i="18"/>
  <c r="D8" i="18"/>
  <c r="C8" i="18"/>
  <c r="E8" i="18" s="1"/>
  <c r="B8" i="18"/>
  <c r="D7" i="18"/>
  <c r="C7" i="18"/>
  <c r="E7" i="18" s="1"/>
  <c r="B7" i="18"/>
  <c r="D6" i="18"/>
  <c r="C6" i="18"/>
  <c r="E6" i="18" s="1"/>
  <c r="B6" i="18"/>
  <c r="D5" i="18"/>
  <c r="C5" i="18"/>
  <c r="B5" i="18"/>
  <c r="B117" i="17"/>
  <c r="M116" i="17"/>
  <c r="B116" i="17"/>
  <c r="B115" i="17"/>
  <c r="B114" i="17"/>
  <c r="M113" i="17"/>
  <c r="B113" i="17"/>
  <c r="B112" i="17"/>
  <c r="B111" i="17"/>
  <c r="M110" i="17"/>
  <c r="B110" i="17"/>
  <c r="B109" i="17"/>
  <c r="B108" i="17"/>
  <c r="M107" i="17"/>
  <c r="B107" i="17"/>
  <c r="B106" i="17"/>
  <c r="B105" i="17"/>
  <c r="M104" i="17"/>
  <c r="B104" i="17"/>
  <c r="B103" i="17"/>
  <c r="B102" i="17"/>
  <c r="M101" i="17"/>
  <c r="B101" i="17"/>
  <c r="B100" i="17"/>
  <c r="B99" i="17"/>
  <c r="M98" i="17"/>
  <c r="B98" i="17"/>
  <c r="B97" i="17"/>
  <c r="B96" i="17"/>
  <c r="M95" i="17"/>
  <c r="B95" i="17"/>
  <c r="B94" i="17"/>
  <c r="B93" i="17"/>
  <c r="M92" i="17"/>
  <c r="B92" i="17"/>
  <c r="B91" i="17"/>
  <c r="B90" i="17"/>
  <c r="M89" i="17"/>
  <c r="B89" i="17"/>
  <c r="B88" i="17"/>
  <c r="B87" i="17"/>
  <c r="M86" i="17"/>
  <c r="B86" i="17"/>
  <c r="B85" i="17"/>
  <c r="B84" i="17"/>
  <c r="M83" i="17"/>
  <c r="B83" i="17"/>
  <c r="B82" i="17"/>
  <c r="B81" i="17"/>
  <c r="M80" i="17"/>
  <c r="B80" i="17"/>
  <c r="B79" i="17"/>
  <c r="B78" i="17"/>
  <c r="M77" i="17"/>
  <c r="B77" i="17"/>
  <c r="B76" i="17"/>
  <c r="B75" i="17"/>
  <c r="M74" i="17"/>
  <c r="B74" i="17"/>
  <c r="B73" i="17"/>
  <c r="B72" i="17"/>
  <c r="M71" i="17"/>
  <c r="B71" i="17"/>
  <c r="B70" i="17"/>
  <c r="B69" i="17"/>
  <c r="M68" i="17"/>
  <c r="B68" i="17"/>
  <c r="B66" i="17"/>
  <c r="M65" i="17"/>
  <c r="B65" i="17"/>
  <c r="B64" i="17"/>
  <c r="B63" i="17"/>
  <c r="M62" i="17"/>
  <c r="B62" i="17"/>
  <c r="B61" i="17"/>
  <c r="B60" i="17"/>
  <c r="M59" i="17"/>
  <c r="B59" i="17"/>
  <c r="B58" i="17"/>
  <c r="B57" i="17"/>
  <c r="M56" i="17"/>
  <c r="B56" i="17"/>
  <c r="B55" i="17"/>
  <c r="B54" i="17"/>
  <c r="M53" i="17"/>
  <c r="B53" i="17"/>
  <c r="B52" i="17"/>
  <c r="B51" i="17"/>
  <c r="M50" i="17"/>
  <c r="B50" i="17"/>
  <c r="B49" i="17"/>
  <c r="B48" i="17"/>
  <c r="M47" i="17"/>
  <c r="B47" i="17"/>
  <c r="B46" i="17"/>
  <c r="B45" i="17"/>
  <c r="M44" i="17"/>
  <c r="B44" i="17"/>
  <c r="B43" i="17"/>
  <c r="B42" i="17"/>
  <c r="M41" i="17"/>
  <c r="B41" i="17"/>
  <c r="B40" i="17"/>
  <c r="B39" i="17"/>
  <c r="M38" i="17"/>
  <c r="B38" i="17"/>
  <c r="B37" i="17"/>
  <c r="B36" i="17"/>
  <c r="M35" i="17"/>
  <c r="B35" i="17"/>
  <c r="B34" i="17"/>
  <c r="B33" i="17"/>
  <c r="M32" i="17"/>
  <c r="B32" i="17"/>
  <c r="B31" i="17"/>
  <c r="B30" i="17"/>
  <c r="M29" i="17"/>
  <c r="B29" i="17"/>
  <c r="B28" i="17"/>
  <c r="B27" i="17"/>
  <c r="M26" i="17"/>
  <c r="B26" i="17"/>
  <c r="B25" i="17"/>
  <c r="B24" i="17"/>
  <c r="M23" i="17"/>
  <c r="B23" i="17"/>
  <c r="B22" i="17"/>
  <c r="B21" i="17"/>
  <c r="M20" i="17"/>
  <c r="B20" i="17"/>
  <c r="B19" i="17"/>
  <c r="B18" i="17"/>
  <c r="M17" i="17"/>
  <c r="B17" i="17"/>
  <c r="B16" i="17"/>
  <c r="B15" i="17"/>
  <c r="M14" i="17"/>
  <c r="B14" i="17"/>
  <c r="B13" i="17"/>
  <c r="B12" i="17"/>
  <c r="M11" i="17"/>
  <c r="B11" i="17"/>
  <c r="B10" i="17"/>
  <c r="B9" i="17"/>
  <c r="M8" i="17"/>
  <c r="B8" i="17"/>
  <c r="B7" i="17"/>
  <c r="B6" i="17"/>
  <c r="M5" i="17"/>
  <c r="B5" i="17"/>
  <c r="B117" i="16"/>
  <c r="B116" i="16"/>
  <c r="B115" i="16"/>
  <c r="B114" i="16"/>
  <c r="M113" i="16"/>
  <c r="B113" i="16"/>
  <c r="B112" i="16"/>
  <c r="B111" i="16"/>
  <c r="B110" i="16"/>
  <c r="B109" i="16"/>
  <c r="B108" i="16"/>
  <c r="M107" i="16"/>
  <c r="B107" i="16"/>
  <c r="B106" i="16"/>
  <c r="B105" i="16"/>
  <c r="B104" i="16"/>
  <c r="B103" i="16"/>
  <c r="B102" i="16"/>
  <c r="M101" i="16"/>
  <c r="B101" i="16"/>
  <c r="B100" i="16"/>
  <c r="B99" i="16"/>
  <c r="B98" i="16"/>
  <c r="B97" i="16"/>
  <c r="B96" i="16"/>
  <c r="M95" i="16"/>
  <c r="B95" i="16"/>
  <c r="B94" i="16"/>
  <c r="B93" i="16"/>
  <c r="B92" i="16"/>
  <c r="B91" i="16"/>
  <c r="B90" i="16"/>
  <c r="M89" i="16"/>
  <c r="B89" i="16"/>
  <c r="B88" i="16"/>
  <c r="B87" i="16"/>
  <c r="B86" i="16"/>
  <c r="B85" i="16"/>
  <c r="B84" i="16"/>
  <c r="M83" i="16"/>
  <c r="B83" i="16"/>
  <c r="B82" i="16"/>
  <c r="B81" i="16"/>
  <c r="B80" i="16"/>
  <c r="B79" i="16"/>
  <c r="B78" i="16"/>
  <c r="M77" i="16"/>
  <c r="B77" i="16"/>
  <c r="B76" i="16"/>
  <c r="B75" i="16"/>
  <c r="B74" i="16"/>
  <c r="B73" i="16"/>
  <c r="B72" i="16"/>
  <c r="M71" i="16"/>
  <c r="B71" i="16"/>
  <c r="B70" i="16"/>
  <c r="B69" i="16"/>
  <c r="B68" i="16"/>
  <c r="B67" i="16"/>
  <c r="B66" i="16"/>
  <c r="M65" i="16"/>
  <c r="B65" i="16"/>
  <c r="B64" i="16"/>
  <c r="B63" i="16"/>
  <c r="B62" i="16"/>
  <c r="B61" i="16"/>
  <c r="B60" i="16"/>
  <c r="M59" i="16"/>
  <c r="B59" i="16"/>
  <c r="B58" i="16"/>
  <c r="B57" i="16"/>
  <c r="B56" i="16"/>
  <c r="B55" i="16"/>
  <c r="B54" i="16"/>
  <c r="M53" i="16"/>
  <c r="B53" i="16"/>
  <c r="B52" i="16"/>
  <c r="B51" i="16"/>
  <c r="B50" i="16"/>
  <c r="B49" i="16"/>
  <c r="B48" i="16"/>
  <c r="M47" i="16"/>
  <c r="B47" i="16"/>
  <c r="B46" i="16"/>
  <c r="B45" i="16"/>
  <c r="B44" i="16"/>
  <c r="B43" i="16"/>
  <c r="B42" i="16"/>
  <c r="M41" i="16"/>
  <c r="B41" i="16"/>
  <c r="B40" i="16"/>
  <c r="B39" i="16"/>
  <c r="B38" i="16"/>
  <c r="B37" i="16"/>
  <c r="B36" i="16"/>
  <c r="M35" i="16"/>
  <c r="B35" i="16"/>
  <c r="B34" i="16"/>
  <c r="B33" i="16"/>
  <c r="B32" i="16"/>
  <c r="B31" i="16"/>
  <c r="B30" i="16"/>
  <c r="M29" i="16"/>
  <c r="B29" i="16"/>
  <c r="B28" i="16"/>
  <c r="B27" i="16"/>
  <c r="B26" i="16"/>
  <c r="B25" i="16"/>
  <c r="B24" i="16"/>
  <c r="M23" i="16"/>
  <c r="B23" i="16"/>
  <c r="B22" i="16"/>
  <c r="B21" i="16"/>
  <c r="B20" i="16"/>
  <c r="B19" i="16"/>
  <c r="B18" i="16"/>
  <c r="M17" i="16"/>
  <c r="B17" i="16"/>
  <c r="B16" i="16"/>
  <c r="B15" i="16"/>
  <c r="B14" i="16"/>
  <c r="B13" i="16"/>
  <c r="B12" i="16"/>
  <c r="M11" i="16"/>
  <c r="B11" i="16"/>
  <c r="B10" i="16"/>
  <c r="B9" i="16"/>
  <c r="B8" i="16"/>
  <c r="B7" i="16"/>
  <c r="B6" i="16"/>
  <c r="M5" i="16"/>
  <c r="B5" i="16"/>
  <c r="B117" i="15"/>
  <c r="B116" i="15"/>
  <c r="B115" i="15"/>
  <c r="B114" i="15"/>
  <c r="M113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M101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M89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M77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M65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M53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M41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M29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M17" i="15"/>
  <c r="B17" i="15"/>
  <c r="B16" i="15"/>
  <c r="B15" i="15"/>
  <c r="B14" i="15"/>
  <c r="B13" i="15"/>
  <c r="B12" i="15"/>
  <c r="B11" i="15"/>
  <c r="B10" i="15"/>
  <c r="B9" i="15"/>
  <c r="B8" i="15"/>
  <c r="B7" i="15"/>
  <c r="B6" i="15"/>
  <c r="M5" i="15"/>
  <c r="B5" i="15"/>
  <c r="B117" i="14"/>
  <c r="M116" i="14"/>
  <c r="B116" i="14"/>
  <c r="B115" i="14"/>
  <c r="B114" i="14"/>
  <c r="M113" i="14"/>
  <c r="B113" i="14"/>
  <c r="B112" i="14"/>
  <c r="B111" i="14"/>
  <c r="M110" i="14"/>
  <c r="B110" i="14"/>
  <c r="B109" i="14"/>
  <c r="B108" i="14"/>
  <c r="M107" i="14"/>
  <c r="B107" i="14"/>
  <c r="B106" i="14"/>
  <c r="B105" i="14"/>
  <c r="M104" i="14"/>
  <c r="B104" i="14"/>
  <c r="B103" i="14"/>
  <c r="B102" i="14"/>
  <c r="M101" i="14"/>
  <c r="B101" i="14"/>
  <c r="B100" i="14"/>
  <c r="B99" i="14"/>
  <c r="M98" i="14"/>
  <c r="B98" i="14"/>
  <c r="B97" i="14"/>
  <c r="B96" i="14"/>
  <c r="M95" i="14"/>
  <c r="B95" i="14"/>
  <c r="B94" i="14"/>
  <c r="B93" i="14"/>
  <c r="M92" i="14"/>
  <c r="B92" i="14"/>
  <c r="B91" i="14"/>
  <c r="B90" i="14"/>
  <c r="M89" i="14"/>
  <c r="B89" i="14"/>
  <c r="B88" i="14"/>
  <c r="B87" i="14"/>
  <c r="M86" i="14"/>
  <c r="B86" i="14"/>
  <c r="B85" i="14"/>
  <c r="B84" i="14"/>
  <c r="M83" i="14"/>
  <c r="B83" i="14"/>
  <c r="B82" i="14"/>
  <c r="B81" i="14"/>
  <c r="M80" i="14"/>
  <c r="B80" i="14"/>
  <c r="B79" i="14"/>
  <c r="B78" i="14"/>
  <c r="M77" i="14"/>
  <c r="B77" i="14"/>
  <c r="B76" i="14"/>
  <c r="B75" i="14"/>
  <c r="M74" i="14"/>
  <c r="B74" i="14"/>
  <c r="B73" i="14"/>
  <c r="B72" i="14"/>
  <c r="M71" i="14"/>
  <c r="B71" i="14"/>
  <c r="B70" i="14"/>
  <c r="B69" i="14"/>
  <c r="M68" i="14"/>
  <c r="B68" i="14"/>
  <c r="B67" i="14"/>
  <c r="B66" i="14"/>
  <c r="M65" i="14"/>
  <c r="B65" i="14"/>
  <c r="B64" i="14"/>
  <c r="B63" i="14"/>
  <c r="M62" i="14"/>
  <c r="B62" i="14"/>
  <c r="B61" i="14"/>
  <c r="B60" i="14"/>
  <c r="M59" i="14"/>
  <c r="B59" i="14"/>
  <c r="B58" i="14"/>
  <c r="B57" i="14"/>
  <c r="M56" i="14"/>
  <c r="B56" i="14"/>
  <c r="B55" i="14"/>
  <c r="B54" i="14"/>
  <c r="M53" i="14"/>
  <c r="B53" i="14"/>
  <c r="B52" i="14"/>
  <c r="B51" i="14"/>
  <c r="M50" i="14"/>
  <c r="B50" i="14"/>
  <c r="B49" i="14"/>
  <c r="B48" i="14"/>
  <c r="M47" i="14"/>
  <c r="B47" i="14"/>
  <c r="B46" i="14"/>
  <c r="B45" i="14"/>
  <c r="M44" i="14"/>
  <c r="B44" i="14"/>
  <c r="B43" i="14"/>
  <c r="B42" i="14"/>
  <c r="M41" i="14"/>
  <c r="B41" i="14"/>
  <c r="B40" i="14"/>
  <c r="B39" i="14"/>
  <c r="M38" i="14"/>
  <c r="B38" i="14"/>
  <c r="B37" i="14"/>
  <c r="B36" i="14"/>
  <c r="M35" i="14"/>
  <c r="B35" i="14"/>
  <c r="B34" i="14"/>
  <c r="B33" i="14"/>
  <c r="M32" i="14"/>
  <c r="B32" i="14"/>
  <c r="B31" i="14"/>
  <c r="B30" i="14"/>
  <c r="M29" i="14"/>
  <c r="B29" i="14"/>
  <c r="B28" i="14"/>
  <c r="B27" i="14"/>
  <c r="M26" i="14"/>
  <c r="B26" i="14"/>
  <c r="B25" i="14"/>
  <c r="B24" i="14"/>
  <c r="M23" i="14"/>
  <c r="B23" i="14"/>
  <c r="B22" i="14"/>
  <c r="B21" i="14"/>
  <c r="M20" i="14"/>
  <c r="B20" i="14"/>
  <c r="B19" i="14"/>
  <c r="B18" i="14"/>
  <c r="M17" i="14"/>
  <c r="B17" i="14"/>
  <c r="B16" i="14"/>
  <c r="B15" i="14"/>
  <c r="M14" i="14"/>
  <c r="B14" i="14"/>
  <c r="B13" i="14"/>
  <c r="B12" i="14"/>
  <c r="M11" i="14"/>
  <c r="B11" i="14"/>
  <c r="B10" i="14"/>
  <c r="B9" i="14"/>
  <c r="M8" i="14"/>
  <c r="B8" i="14"/>
  <c r="B7" i="14"/>
  <c r="B6" i="14"/>
  <c r="M5" i="14"/>
  <c r="B5" i="14"/>
  <c r="B117" i="13"/>
  <c r="B116" i="13"/>
  <c r="B115" i="13"/>
  <c r="B114" i="13"/>
  <c r="M113" i="13"/>
  <c r="B113" i="13"/>
  <c r="B112" i="13"/>
  <c r="B111" i="13"/>
  <c r="B110" i="13"/>
  <c r="B109" i="13"/>
  <c r="B108" i="13"/>
  <c r="M107" i="13"/>
  <c r="B107" i="13"/>
  <c r="B106" i="13"/>
  <c r="B105" i="13"/>
  <c r="B104" i="13"/>
  <c r="B103" i="13"/>
  <c r="B102" i="13"/>
  <c r="M101" i="13"/>
  <c r="B101" i="13"/>
  <c r="B100" i="13"/>
  <c r="B99" i="13"/>
  <c r="B98" i="13"/>
  <c r="B97" i="13"/>
  <c r="B96" i="13"/>
  <c r="M95" i="13"/>
  <c r="B95" i="13"/>
  <c r="B94" i="13"/>
  <c r="B93" i="13"/>
  <c r="B92" i="13"/>
  <c r="B91" i="13"/>
  <c r="B90" i="13"/>
  <c r="M89" i="13"/>
  <c r="B89" i="13"/>
  <c r="B88" i="13"/>
  <c r="B87" i="13"/>
  <c r="B86" i="13"/>
  <c r="B85" i="13"/>
  <c r="B84" i="13"/>
  <c r="M83" i="13"/>
  <c r="B83" i="13"/>
  <c r="B82" i="13"/>
  <c r="B81" i="13"/>
  <c r="B80" i="13"/>
  <c r="B79" i="13"/>
  <c r="B78" i="13"/>
  <c r="M77" i="13"/>
  <c r="B77" i="13"/>
  <c r="B76" i="13"/>
  <c r="B75" i="13"/>
  <c r="B74" i="13"/>
  <c r="B73" i="13"/>
  <c r="B72" i="13"/>
  <c r="M71" i="13"/>
  <c r="B71" i="13"/>
  <c r="B70" i="13"/>
  <c r="B69" i="13"/>
  <c r="B68" i="13"/>
  <c r="B67" i="13"/>
  <c r="B66" i="13"/>
  <c r="M65" i="13"/>
  <c r="B65" i="13"/>
  <c r="B64" i="13"/>
  <c r="B63" i="13"/>
  <c r="B62" i="13"/>
  <c r="B61" i="13"/>
  <c r="B60" i="13"/>
  <c r="M59" i="13"/>
  <c r="B59" i="13"/>
  <c r="B58" i="13"/>
  <c r="B57" i="13"/>
  <c r="B56" i="13"/>
  <c r="B55" i="13"/>
  <c r="B54" i="13"/>
  <c r="M53" i="13"/>
  <c r="B53" i="13"/>
  <c r="B52" i="13"/>
  <c r="B51" i="13"/>
  <c r="B50" i="13"/>
  <c r="B49" i="13"/>
  <c r="B48" i="13"/>
  <c r="M47" i="13"/>
  <c r="B47" i="13"/>
  <c r="B46" i="13"/>
  <c r="B45" i="13"/>
  <c r="B44" i="13"/>
  <c r="B43" i="13"/>
  <c r="B42" i="13"/>
  <c r="M41" i="13"/>
  <c r="B41" i="13"/>
  <c r="B40" i="13"/>
  <c r="B39" i="13"/>
  <c r="B38" i="13"/>
  <c r="B37" i="13"/>
  <c r="B36" i="13"/>
  <c r="M35" i="13"/>
  <c r="B35" i="13"/>
  <c r="B34" i="13"/>
  <c r="B33" i="13"/>
  <c r="B32" i="13"/>
  <c r="B31" i="13"/>
  <c r="B30" i="13"/>
  <c r="M29" i="13"/>
  <c r="B29" i="13"/>
  <c r="B28" i="13"/>
  <c r="B27" i="13"/>
  <c r="B26" i="13"/>
  <c r="B25" i="13"/>
  <c r="B24" i="13"/>
  <c r="M23" i="13"/>
  <c r="B23" i="13"/>
  <c r="B22" i="13"/>
  <c r="B20" i="13"/>
  <c r="B19" i="13"/>
  <c r="B18" i="13"/>
  <c r="M17" i="13"/>
  <c r="B17" i="13"/>
  <c r="B16" i="13"/>
  <c r="B15" i="13"/>
  <c r="B14" i="13"/>
  <c r="B13" i="13"/>
  <c r="B12" i="13"/>
  <c r="M11" i="13"/>
  <c r="B11" i="13"/>
  <c r="B10" i="13"/>
  <c r="B9" i="13"/>
  <c r="B8" i="13"/>
  <c r="B7" i="13"/>
  <c r="B6" i="13"/>
  <c r="M5" i="13"/>
  <c r="B5" i="13"/>
  <c r="B117" i="12"/>
  <c r="B116" i="12"/>
  <c r="B115" i="12"/>
  <c r="B114" i="12"/>
  <c r="M113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M101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M89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M77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M65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M53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M41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M29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M17" i="12"/>
  <c r="B17" i="12"/>
  <c r="B16" i="12"/>
  <c r="B15" i="12"/>
  <c r="B14" i="12"/>
  <c r="B13" i="12"/>
  <c r="B12" i="12"/>
  <c r="B11" i="12"/>
  <c r="B10" i="12"/>
  <c r="B9" i="12"/>
  <c r="B8" i="12"/>
  <c r="B7" i="12"/>
  <c r="B6" i="12"/>
  <c r="M5" i="12"/>
  <c r="B5" i="12"/>
  <c r="B117" i="11"/>
  <c r="M116" i="11"/>
  <c r="B116" i="11"/>
  <c r="B115" i="11"/>
  <c r="B114" i="11"/>
  <c r="M113" i="11"/>
  <c r="B113" i="11"/>
  <c r="B112" i="11"/>
  <c r="B111" i="11"/>
  <c r="M110" i="11"/>
  <c r="B110" i="11"/>
  <c r="B109" i="11"/>
  <c r="B108" i="11"/>
  <c r="M107" i="11"/>
  <c r="B107" i="11"/>
  <c r="B106" i="11"/>
  <c r="B105" i="11"/>
  <c r="M104" i="11"/>
  <c r="B104" i="11"/>
  <c r="B103" i="11"/>
  <c r="B102" i="11"/>
  <c r="M101" i="11"/>
  <c r="B101" i="11"/>
  <c r="B100" i="11"/>
  <c r="B99" i="11"/>
  <c r="M98" i="11"/>
  <c r="B98" i="11"/>
  <c r="B97" i="11"/>
  <c r="B96" i="11"/>
  <c r="M95" i="11"/>
  <c r="B95" i="11"/>
  <c r="B94" i="11"/>
  <c r="B93" i="11"/>
  <c r="M92" i="11"/>
  <c r="B92" i="11"/>
  <c r="B91" i="11"/>
  <c r="B90" i="11"/>
  <c r="M89" i="11"/>
  <c r="B89" i="11"/>
  <c r="B88" i="11"/>
  <c r="B87" i="11"/>
  <c r="M86" i="11"/>
  <c r="B86" i="11"/>
  <c r="B85" i="11"/>
  <c r="B84" i="11"/>
  <c r="M83" i="11"/>
  <c r="B83" i="11"/>
  <c r="B82" i="11"/>
  <c r="B81" i="11"/>
  <c r="M80" i="11"/>
  <c r="B80" i="11"/>
  <c r="B79" i="11"/>
  <c r="B78" i="11"/>
  <c r="M77" i="11"/>
  <c r="B77" i="11"/>
  <c r="B76" i="11"/>
  <c r="B75" i="11"/>
  <c r="M74" i="11"/>
  <c r="B74" i="11"/>
  <c r="B73" i="11"/>
  <c r="B72" i="11"/>
  <c r="M71" i="11"/>
  <c r="B71" i="11"/>
  <c r="B70" i="11"/>
  <c r="B69" i="11"/>
  <c r="M68" i="11"/>
  <c r="B68" i="11"/>
  <c r="B67" i="11"/>
  <c r="B66" i="11"/>
  <c r="M65" i="11"/>
  <c r="B65" i="11"/>
  <c r="B64" i="11"/>
  <c r="B63" i="11"/>
  <c r="M62" i="11"/>
  <c r="B62" i="11"/>
  <c r="B61" i="11"/>
  <c r="B60" i="11"/>
  <c r="M59" i="11"/>
  <c r="B59" i="11"/>
  <c r="B58" i="11"/>
  <c r="B57" i="11"/>
  <c r="M56" i="11"/>
  <c r="B56" i="11"/>
  <c r="B55" i="11"/>
  <c r="B54" i="11"/>
  <c r="M53" i="11"/>
  <c r="B53" i="11"/>
  <c r="B52" i="11"/>
  <c r="B51" i="11"/>
  <c r="M50" i="11"/>
  <c r="B50" i="11"/>
  <c r="B49" i="11"/>
  <c r="B48" i="11"/>
  <c r="M47" i="11"/>
  <c r="B47" i="11"/>
  <c r="B46" i="11"/>
  <c r="B45" i="11"/>
  <c r="M44" i="11"/>
  <c r="B44" i="11"/>
  <c r="B43" i="11"/>
  <c r="B42" i="11"/>
  <c r="M41" i="11"/>
  <c r="B41" i="11"/>
  <c r="B40" i="11"/>
  <c r="B39" i="11"/>
  <c r="M38" i="11"/>
  <c r="B38" i="11"/>
  <c r="B37" i="11"/>
  <c r="B36" i="11"/>
  <c r="M35" i="11"/>
  <c r="B35" i="11"/>
  <c r="B34" i="11"/>
  <c r="B33" i="11"/>
  <c r="M32" i="11"/>
  <c r="B32" i="11"/>
  <c r="B31" i="11"/>
  <c r="B30" i="11"/>
  <c r="M29" i="11"/>
  <c r="B29" i="11"/>
  <c r="B28" i="11"/>
  <c r="B27" i="11"/>
  <c r="M26" i="11"/>
  <c r="B26" i="11"/>
  <c r="B25" i="11"/>
  <c r="B24" i="11"/>
  <c r="M23" i="11"/>
  <c r="B23" i="11"/>
  <c r="B22" i="11"/>
  <c r="B21" i="11"/>
  <c r="M20" i="11"/>
  <c r="B20" i="11"/>
  <c r="B19" i="11"/>
  <c r="B18" i="11"/>
  <c r="M17" i="11"/>
  <c r="B17" i="11"/>
  <c r="B16" i="11"/>
  <c r="B15" i="11"/>
  <c r="M14" i="11"/>
  <c r="B14" i="11"/>
  <c r="B13" i="11"/>
  <c r="B12" i="11"/>
  <c r="M11" i="11"/>
  <c r="B11" i="11"/>
  <c r="B10" i="11"/>
  <c r="B9" i="11"/>
  <c r="M8" i="11"/>
  <c r="B8" i="11"/>
  <c r="B7" i="11"/>
  <c r="B6" i="11"/>
  <c r="M5" i="11"/>
  <c r="B5" i="11"/>
  <c r="B117" i="10"/>
  <c r="B116" i="10"/>
  <c r="B115" i="10"/>
  <c r="B114" i="10"/>
  <c r="M113" i="10"/>
  <c r="B113" i="10"/>
  <c r="B112" i="10"/>
  <c r="B111" i="10"/>
  <c r="B110" i="10"/>
  <c r="B109" i="10"/>
  <c r="B108" i="10"/>
  <c r="M107" i="10"/>
  <c r="B107" i="10"/>
  <c r="B106" i="10"/>
  <c r="B105" i="10"/>
  <c r="B104" i="10"/>
  <c r="B103" i="10"/>
  <c r="B102" i="10"/>
  <c r="M101" i="10"/>
  <c r="B101" i="10"/>
  <c r="B100" i="10"/>
  <c r="B99" i="10"/>
  <c r="B98" i="10"/>
  <c r="B97" i="10"/>
  <c r="B96" i="10"/>
  <c r="M95" i="10"/>
  <c r="B95" i="10"/>
  <c r="B94" i="10"/>
  <c r="B93" i="10"/>
  <c r="B92" i="10"/>
  <c r="B91" i="10"/>
  <c r="B90" i="10"/>
  <c r="M89" i="10"/>
  <c r="B89" i="10"/>
  <c r="B88" i="10"/>
  <c r="B87" i="10"/>
  <c r="B86" i="10"/>
  <c r="B85" i="10"/>
  <c r="B84" i="10"/>
  <c r="M83" i="10"/>
  <c r="B83" i="10"/>
  <c r="B82" i="10"/>
  <c r="B81" i="10"/>
  <c r="B80" i="10"/>
  <c r="B79" i="10"/>
  <c r="B78" i="10"/>
  <c r="M77" i="10"/>
  <c r="B77" i="10"/>
  <c r="B76" i="10"/>
  <c r="B75" i="10"/>
  <c r="B74" i="10"/>
  <c r="B73" i="10"/>
  <c r="B72" i="10"/>
  <c r="M71" i="10"/>
  <c r="B71" i="10"/>
  <c r="B70" i="10"/>
  <c r="B69" i="10"/>
  <c r="B68" i="10"/>
  <c r="B67" i="10"/>
  <c r="B66" i="10"/>
  <c r="M65" i="10"/>
  <c r="B65" i="10"/>
  <c r="B64" i="10"/>
  <c r="B63" i="10"/>
  <c r="B62" i="10"/>
  <c r="B61" i="10"/>
  <c r="B60" i="10"/>
  <c r="M59" i="10"/>
  <c r="B59" i="10"/>
  <c r="B58" i="10"/>
  <c r="B57" i="10"/>
  <c r="B56" i="10"/>
  <c r="B55" i="10"/>
  <c r="B54" i="10"/>
  <c r="M53" i="10"/>
  <c r="B53" i="10"/>
  <c r="B52" i="10"/>
  <c r="B51" i="10"/>
  <c r="B50" i="10"/>
  <c r="B49" i="10"/>
  <c r="B48" i="10"/>
  <c r="M47" i="10"/>
  <c r="B47" i="10"/>
  <c r="B46" i="10"/>
  <c r="B45" i="10"/>
  <c r="B44" i="10"/>
  <c r="B43" i="10"/>
  <c r="B42" i="10"/>
  <c r="M41" i="10"/>
  <c r="B41" i="10"/>
  <c r="B40" i="10"/>
  <c r="B39" i="10"/>
  <c r="B38" i="10"/>
  <c r="B37" i="10"/>
  <c r="B36" i="10"/>
  <c r="M35" i="10"/>
  <c r="B35" i="10"/>
  <c r="B34" i="10"/>
  <c r="B33" i="10"/>
  <c r="B32" i="10"/>
  <c r="B31" i="10"/>
  <c r="B30" i="10"/>
  <c r="M29" i="10"/>
  <c r="B29" i="10"/>
  <c r="B28" i="10"/>
  <c r="B26" i="10"/>
  <c r="B25" i="10"/>
  <c r="B24" i="10"/>
  <c r="M23" i="10"/>
  <c r="B23" i="10"/>
  <c r="B22" i="10"/>
  <c r="B21" i="10"/>
  <c r="B20" i="10"/>
  <c r="B19" i="10"/>
  <c r="B18" i="10"/>
  <c r="M17" i="10"/>
  <c r="B17" i="10"/>
  <c r="B16" i="10"/>
  <c r="B15" i="10"/>
  <c r="B14" i="10"/>
  <c r="B13" i="10"/>
  <c r="B12" i="10"/>
  <c r="M11" i="10"/>
  <c r="B11" i="10"/>
  <c r="B10" i="10"/>
  <c r="B9" i="10"/>
  <c r="B8" i="10"/>
  <c r="B7" i="10"/>
  <c r="B6" i="10"/>
  <c r="M5" i="10"/>
  <c r="B5" i="10"/>
  <c r="B117" i="9"/>
  <c r="B116" i="9"/>
  <c r="B115" i="9"/>
  <c r="B114" i="9"/>
  <c r="M113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M101" i="9"/>
  <c r="B101" i="9"/>
  <c r="B100" i="9"/>
  <c r="B99" i="9"/>
  <c r="B98" i="9"/>
  <c r="B97" i="9"/>
  <c r="B96" i="9"/>
  <c r="B95" i="9"/>
  <c r="B94" i="9"/>
  <c r="B93" i="9"/>
  <c r="B92" i="9"/>
  <c r="B91" i="9"/>
  <c r="B90" i="9"/>
  <c r="M89" i="9"/>
  <c r="B89" i="9"/>
  <c r="B88" i="9"/>
  <c r="B87" i="9"/>
  <c r="B86" i="9"/>
  <c r="B85" i="9"/>
  <c r="B84" i="9"/>
  <c r="B83" i="9"/>
  <c r="B82" i="9"/>
  <c r="B81" i="9"/>
  <c r="B80" i="9"/>
  <c r="B79" i="9"/>
  <c r="B78" i="9"/>
  <c r="M77" i="9"/>
  <c r="B77" i="9"/>
  <c r="B76" i="9"/>
  <c r="B75" i="9"/>
  <c r="B74" i="9"/>
  <c r="B73" i="9"/>
  <c r="B72" i="9"/>
  <c r="B71" i="9"/>
  <c r="B70" i="9"/>
  <c r="B69" i="9"/>
  <c r="B68" i="9"/>
  <c r="B67" i="9"/>
  <c r="B66" i="9"/>
  <c r="M65" i="9"/>
  <c r="B65" i="9"/>
  <c r="B64" i="9"/>
  <c r="B63" i="9"/>
  <c r="B62" i="9"/>
  <c r="B61" i="9"/>
  <c r="B60" i="9"/>
  <c r="B59" i="9"/>
  <c r="B58" i="9"/>
  <c r="B57" i="9"/>
  <c r="B56" i="9"/>
  <c r="B55" i="9"/>
  <c r="B54" i="9"/>
  <c r="M53" i="9"/>
  <c r="B53" i="9"/>
  <c r="B52" i="9"/>
  <c r="B51" i="9"/>
  <c r="B50" i="9"/>
  <c r="B49" i="9"/>
  <c r="B48" i="9"/>
  <c r="B47" i="9"/>
  <c r="B46" i="9"/>
  <c r="B45" i="9"/>
  <c r="B44" i="9"/>
  <c r="B43" i="9"/>
  <c r="B42" i="9"/>
  <c r="M41" i="9"/>
  <c r="B41" i="9"/>
  <c r="B40" i="9"/>
  <c r="B39" i="9"/>
  <c r="B38" i="9"/>
  <c r="B37" i="9"/>
  <c r="B36" i="9"/>
  <c r="B35" i="9"/>
  <c r="B34" i="9"/>
  <c r="B33" i="9"/>
  <c r="B32" i="9"/>
  <c r="B31" i="9"/>
  <c r="B30" i="9"/>
  <c r="M29" i="9"/>
  <c r="B29" i="9"/>
  <c r="B28" i="9"/>
  <c r="B27" i="9"/>
  <c r="B26" i="9"/>
  <c r="B25" i="9"/>
  <c r="B24" i="9"/>
  <c r="B23" i="9"/>
  <c r="B22" i="9"/>
  <c r="B21" i="9"/>
  <c r="B20" i="9"/>
  <c r="B19" i="9"/>
  <c r="B18" i="9"/>
  <c r="M17" i="9"/>
  <c r="B17" i="9"/>
  <c r="B16" i="9"/>
  <c r="B15" i="9"/>
  <c r="B14" i="9"/>
  <c r="B13" i="9"/>
  <c r="B12" i="9"/>
  <c r="B11" i="9"/>
  <c r="B10" i="9"/>
  <c r="B9" i="9"/>
  <c r="B8" i="9"/>
  <c r="B7" i="9"/>
  <c r="B6" i="9"/>
  <c r="M5" i="9"/>
  <c r="B5" i="9"/>
  <c r="J121" i="6"/>
  <c r="I121" i="6"/>
  <c r="H121" i="6"/>
  <c r="G121" i="6"/>
  <c r="F121" i="6"/>
  <c r="E121" i="6"/>
  <c r="D121" i="6"/>
  <c r="C121" i="6"/>
  <c r="B121" i="6"/>
  <c r="A121" i="6"/>
  <c r="B124" i="7" s="1"/>
  <c r="B124" i="8" s="1"/>
  <c r="J120" i="6"/>
  <c r="I120" i="6"/>
  <c r="H120" i="6"/>
  <c r="G120" i="6"/>
  <c r="F120" i="6"/>
  <c r="E120" i="6"/>
  <c r="D120" i="6"/>
  <c r="C120" i="6"/>
  <c r="B120" i="6"/>
  <c r="A120" i="6"/>
  <c r="B123" i="7" s="1"/>
  <c r="B123" i="8" s="1"/>
  <c r="J119" i="6"/>
  <c r="I119" i="6"/>
  <c r="H119" i="6"/>
  <c r="G119" i="6"/>
  <c r="F119" i="6"/>
  <c r="E119" i="6"/>
  <c r="D119" i="6"/>
  <c r="C119" i="6"/>
  <c r="B119" i="6"/>
  <c r="A119" i="6"/>
  <c r="B122" i="7" s="1"/>
  <c r="B122" i="8" s="1"/>
  <c r="J118" i="6"/>
  <c r="I118" i="6"/>
  <c r="H118" i="6"/>
  <c r="G118" i="6"/>
  <c r="F118" i="6"/>
  <c r="E118" i="6"/>
  <c r="D118" i="6"/>
  <c r="C118" i="6"/>
  <c r="B118" i="6"/>
  <c r="A118" i="6"/>
  <c r="B121" i="7" s="1"/>
  <c r="B121" i="8" s="1"/>
  <c r="J117" i="6"/>
  <c r="I117" i="6"/>
  <c r="H117" i="6"/>
  <c r="G117" i="6"/>
  <c r="F117" i="6"/>
  <c r="E117" i="6"/>
  <c r="D117" i="6"/>
  <c r="C117" i="6"/>
  <c r="B117" i="6"/>
  <c r="A117" i="6"/>
  <c r="B120" i="7" s="1"/>
  <c r="B120" i="8" s="1"/>
  <c r="J116" i="6"/>
  <c r="J124" i="7" s="1"/>
  <c r="J124" i="8" s="1"/>
  <c r="I116" i="6"/>
  <c r="I124" i="7" s="1"/>
  <c r="H116" i="6"/>
  <c r="H124" i="7" s="1"/>
  <c r="G116" i="6"/>
  <c r="G124" i="7" s="1"/>
  <c r="F116" i="6"/>
  <c r="F124" i="7" s="1"/>
  <c r="E116" i="6"/>
  <c r="E124" i="7" s="1"/>
  <c r="D116" i="6"/>
  <c r="D124" i="7" s="1"/>
  <c r="C116" i="6"/>
  <c r="C124" i="7" s="1"/>
  <c r="C124" i="8" s="1"/>
  <c r="B116" i="6"/>
  <c r="A116" i="6"/>
  <c r="B119" i="7" s="1"/>
  <c r="B119" i="8" s="1"/>
  <c r="J115" i="6"/>
  <c r="J123" i="7" s="1"/>
  <c r="I115" i="6"/>
  <c r="I123" i="7" s="1"/>
  <c r="H115" i="6"/>
  <c r="H123" i="7" s="1"/>
  <c r="G115" i="6"/>
  <c r="G123" i="7" s="1"/>
  <c r="F115" i="6"/>
  <c r="F123" i="7" s="1"/>
  <c r="E115" i="6"/>
  <c r="E123" i="7" s="1"/>
  <c r="D115" i="6"/>
  <c r="D123" i="7" s="1"/>
  <c r="D123" i="8" s="1"/>
  <c r="C115" i="6"/>
  <c r="C123" i="7" s="1"/>
  <c r="B115" i="6"/>
  <c r="A115" i="6"/>
  <c r="B118" i="7" s="1"/>
  <c r="B118" i="8" s="1"/>
  <c r="J114" i="6"/>
  <c r="J122" i="7" s="1"/>
  <c r="I114" i="6"/>
  <c r="I122" i="7" s="1"/>
  <c r="H114" i="6"/>
  <c r="H122" i="7" s="1"/>
  <c r="G114" i="6"/>
  <c r="G122" i="7" s="1"/>
  <c r="F114" i="6"/>
  <c r="F122" i="7" s="1"/>
  <c r="E114" i="6"/>
  <c r="E122" i="7" s="1"/>
  <c r="D114" i="6"/>
  <c r="D122" i="7" s="1"/>
  <c r="C114" i="6"/>
  <c r="C122" i="7" s="1"/>
  <c r="C122" i="8" s="1"/>
  <c r="B114" i="6"/>
  <c r="A114" i="6"/>
  <c r="B117" i="7" s="1"/>
  <c r="B117" i="8" s="1"/>
  <c r="J113" i="6"/>
  <c r="J121" i="7" s="1"/>
  <c r="I113" i="6"/>
  <c r="I121" i="7" s="1"/>
  <c r="H113" i="6"/>
  <c r="H121" i="7" s="1"/>
  <c r="G113" i="6"/>
  <c r="G121" i="7" s="1"/>
  <c r="F113" i="6"/>
  <c r="F121" i="7" s="1"/>
  <c r="E113" i="6"/>
  <c r="E121" i="7" s="1"/>
  <c r="D113" i="6"/>
  <c r="D121" i="7" s="1"/>
  <c r="C113" i="6"/>
  <c r="C121" i="7" s="1"/>
  <c r="C121" i="8" s="1"/>
  <c r="B113" i="6"/>
  <c r="A113" i="6"/>
  <c r="B116" i="7" s="1"/>
  <c r="B116" i="8" s="1"/>
  <c r="J112" i="6"/>
  <c r="J120" i="7" s="1"/>
  <c r="I112" i="6"/>
  <c r="I120" i="7" s="1"/>
  <c r="H112" i="6"/>
  <c r="H120" i="7" s="1"/>
  <c r="G112" i="6"/>
  <c r="G120" i="7" s="1"/>
  <c r="F112" i="6"/>
  <c r="F120" i="7" s="1"/>
  <c r="E112" i="6"/>
  <c r="E120" i="7" s="1"/>
  <c r="D112" i="6"/>
  <c r="D120" i="7" s="1"/>
  <c r="D120" i="8" s="1"/>
  <c r="C112" i="6"/>
  <c r="C120" i="7" s="1"/>
  <c r="C120" i="8" s="1"/>
  <c r="B112" i="6"/>
  <c r="A112" i="6"/>
  <c r="B115" i="7" s="1"/>
  <c r="B115" i="8" s="1"/>
  <c r="J111" i="6"/>
  <c r="J119" i="7" s="1"/>
  <c r="I111" i="6"/>
  <c r="I119" i="7" s="1"/>
  <c r="H111" i="6"/>
  <c r="H119" i="7" s="1"/>
  <c r="G111" i="6"/>
  <c r="G119" i="7" s="1"/>
  <c r="F111" i="6"/>
  <c r="F119" i="7" s="1"/>
  <c r="E111" i="6"/>
  <c r="E119" i="7" s="1"/>
  <c r="D111" i="6"/>
  <c r="D119" i="7" s="1"/>
  <c r="D119" i="8" s="1"/>
  <c r="C111" i="6"/>
  <c r="C119" i="7" s="1"/>
  <c r="C119" i="8" s="1"/>
  <c r="B111" i="6"/>
  <c r="A111" i="6"/>
  <c r="B114" i="7" s="1"/>
  <c r="B114" i="8" s="1"/>
  <c r="J110" i="6"/>
  <c r="J118" i="7" s="1"/>
  <c r="I110" i="6"/>
  <c r="I118" i="7" s="1"/>
  <c r="H110" i="6"/>
  <c r="H118" i="7" s="1"/>
  <c r="G110" i="6"/>
  <c r="G118" i="7" s="1"/>
  <c r="F110" i="6"/>
  <c r="F118" i="7" s="1"/>
  <c r="E110" i="6"/>
  <c r="E118" i="7" s="1"/>
  <c r="D110" i="6"/>
  <c r="D118" i="7" s="1"/>
  <c r="D118" i="8" s="1"/>
  <c r="C110" i="6"/>
  <c r="C118" i="7" s="1"/>
  <c r="C118" i="8" s="1"/>
  <c r="B110" i="6"/>
  <c r="A110" i="6"/>
  <c r="B113" i="7" s="1"/>
  <c r="B113" i="8" s="1"/>
  <c r="J109" i="6"/>
  <c r="J117" i="7" s="1"/>
  <c r="I109" i="6"/>
  <c r="I117" i="7" s="1"/>
  <c r="H109" i="6"/>
  <c r="H117" i="7" s="1"/>
  <c r="G109" i="6"/>
  <c r="G117" i="7" s="1"/>
  <c r="F109" i="6"/>
  <c r="F117" i="7" s="1"/>
  <c r="E109" i="6"/>
  <c r="E117" i="7" s="1"/>
  <c r="D109" i="6"/>
  <c r="D117" i="7" s="1"/>
  <c r="C109" i="6"/>
  <c r="C117" i="7" s="1"/>
  <c r="C117" i="8" s="1"/>
  <c r="B109" i="6"/>
  <c r="A109" i="6"/>
  <c r="B112" i="7" s="1"/>
  <c r="B112" i="8" s="1"/>
  <c r="J108" i="6"/>
  <c r="J116" i="7" s="1"/>
  <c r="I108" i="6"/>
  <c r="I116" i="7" s="1"/>
  <c r="H108" i="6"/>
  <c r="H116" i="7" s="1"/>
  <c r="G108" i="6"/>
  <c r="G116" i="7" s="1"/>
  <c r="F108" i="6"/>
  <c r="F116" i="7" s="1"/>
  <c r="E108" i="6"/>
  <c r="E116" i="7" s="1"/>
  <c r="D108" i="6"/>
  <c r="D116" i="7" s="1"/>
  <c r="D116" i="8" s="1"/>
  <c r="C108" i="6"/>
  <c r="C116" i="7" s="1"/>
  <c r="C116" i="8" s="1"/>
  <c r="B108" i="6"/>
  <c r="A108" i="6"/>
  <c r="B111" i="7" s="1"/>
  <c r="B111" i="8" s="1"/>
  <c r="J107" i="6"/>
  <c r="J115" i="7" s="1"/>
  <c r="I107" i="6"/>
  <c r="I115" i="7" s="1"/>
  <c r="H107" i="6"/>
  <c r="H115" i="7" s="1"/>
  <c r="G107" i="6"/>
  <c r="G115" i="7" s="1"/>
  <c r="F107" i="6"/>
  <c r="F115" i="7" s="1"/>
  <c r="E107" i="6"/>
  <c r="E115" i="7" s="1"/>
  <c r="D107" i="6"/>
  <c r="D115" i="7" s="1"/>
  <c r="D115" i="8" s="1"/>
  <c r="C107" i="6"/>
  <c r="C115" i="7" s="1"/>
  <c r="C115" i="8" s="1"/>
  <c r="B107" i="6"/>
  <c r="A107" i="6"/>
  <c r="B110" i="7" s="1"/>
  <c r="B110" i="8" s="1"/>
  <c r="J106" i="6"/>
  <c r="J114" i="7" s="1"/>
  <c r="I106" i="6"/>
  <c r="I114" i="7" s="1"/>
  <c r="H106" i="6"/>
  <c r="H114" i="7" s="1"/>
  <c r="G106" i="6"/>
  <c r="G114" i="7" s="1"/>
  <c r="F106" i="6"/>
  <c r="F114" i="7" s="1"/>
  <c r="E106" i="6"/>
  <c r="E114" i="7" s="1"/>
  <c r="D106" i="6"/>
  <c r="D114" i="7" s="1"/>
  <c r="D114" i="8" s="1"/>
  <c r="C106" i="6"/>
  <c r="C114" i="7" s="1"/>
  <c r="C114" i="8" s="1"/>
  <c r="B106" i="6"/>
  <c r="A106" i="6"/>
  <c r="B109" i="7" s="1"/>
  <c r="B109" i="8" s="1"/>
  <c r="J105" i="6"/>
  <c r="J113" i="7" s="1"/>
  <c r="I105" i="6"/>
  <c r="I113" i="7" s="1"/>
  <c r="H105" i="6"/>
  <c r="H113" i="7" s="1"/>
  <c r="G105" i="6"/>
  <c r="G113" i="7" s="1"/>
  <c r="F105" i="6"/>
  <c r="F113" i="7" s="1"/>
  <c r="E105" i="6"/>
  <c r="E113" i="7" s="1"/>
  <c r="D105" i="6"/>
  <c r="D113" i="7" s="1"/>
  <c r="C105" i="6"/>
  <c r="C113" i="7" s="1"/>
  <c r="C113" i="8" s="1"/>
  <c r="B105" i="6"/>
  <c r="A105" i="6"/>
  <c r="B108" i="7" s="1"/>
  <c r="B108" i="8" s="1"/>
  <c r="J104" i="6"/>
  <c r="J112" i="7" s="1"/>
  <c r="I104" i="6"/>
  <c r="I112" i="7" s="1"/>
  <c r="H104" i="6"/>
  <c r="H112" i="7" s="1"/>
  <c r="G104" i="6"/>
  <c r="G112" i="7" s="1"/>
  <c r="F104" i="6"/>
  <c r="F112" i="7" s="1"/>
  <c r="E104" i="6"/>
  <c r="E112" i="7" s="1"/>
  <c r="D104" i="6"/>
  <c r="D112" i="7" s="1"/>
  <c r="C104" i="6"/>
  <c r="C112" i="7" s="1"/>
  <c r="C112" i="8" s="1"/>
  <c r="B104" i="6"/>
  <c r="A104" i="6"/>
  <c r="B107" i="7" s="1"/>
  <c r="B107" i="8" s="1"/>
  <c r="J103" i="6"/>
  <c r="J111" i="7" s="1"/>
  <c r="I103" i="6"/>
  <c r="I111" i="7" s="1"/>
  <c r="H103" i="6"/>
  <c r="H111" i="7" s="1"/>
  <c r="G103" i="6"/>
  <c r="G111" i="7" s="1"/>
  <c r="F103" i="6"/>
  <c r="F111" i="7" s="1"/>
  <c r="E103" i="6"/>
  <c r="E111" i="7" s="1"/>
  <c r="D103" i="6"/>
  <c r="D111" i="7" s="1"/>
  <c r="D111" i="8" s="1"/>
  <c r="C103" i="6"/>
  <c r="C111" i="7" s="1"/>
  <c r="C111" i="8" s="1"/>
  <c r="B103" i="6"/>
  <c r="A103" i="6"/>
  <c r="B106" i="7" s="1"/>
  <c r="B106" i="8" s="1"/>
  <c r="J102" i="6"/>
  <c r="J110" i="7" s="1"/>
  <c r="I102" i="6"/>
  <c r="I110" i="7" s="1"/>
  <c r="H102" i="6"/>
  <c r="H110" i="7" s="1"/>
  <c r="G102" i="6"/>
  <c r="G110" i="7" s="1"/>
  <c r="F102" i="6"/>
  <c r="F110" i="7" s="1"/>
  <c r="E102" i="6"/>
  <c r="E110" i="7" s="1"/>
  <c r="D102" i="6"/>
  <c r="D110" i="7" s="1"/>
  <c r="D110" i="8" s="1"/>
  <c r="C102" i="6"/>
  <c r="C110" i="7" s="1"/>
  <c r="C110" i="8" s="1"/>
  <c r="B102" i="6"/>
  <c r="A102" i="6"/>
  <c r="B105" i="7" s="1"/>
  <c r="B105" i="8" s="1"/>
  <c r="J101" i="6"/>
  <c r="J109" i="7" s="1"/>
  <c r="I101" i="6"/>
  <c r="I109" i="7" s="1"/>
  <c r="H101" i="6"/>
  <c r="H109" i="7" s="1"/>
  <c r="G101" i="6"/>
  <c r="G109" i="7" s="1"/>
  <c r="F101" i="6"/>
  <c r="F109" i="7" s="1"/>
  <c r="E101" i="6"/>
  <c r="E109" i="7" s="1"/>
  <c r="D101" i="6"/>
  <c r="D109" i="7" s="1"/>
  <c r="D109" i="8" s="1"/>
  <c r="C101" i="6"/>
  <c r="C109" i="7" s="1"/>
  <c r="C109" i="8" s="1"/>
  <c r="B101" i="6"/>
  <c r="A101" i="6"/>
  <c r="B104" i="7" s="1"/>
  <c r="B104" i="8" s="1"/>
  <c r="J100" i="6"/>
  <c r="J108" i="7" s="1"/>
  <c r="I100" i="6"/>
  <c r="I108" i="7" s="1"/>
  <c r="H100" i="6"/>
  <c r="H108" i="7" s="1"/>
  <c r="G100" i="6"/>
  <c r="G108" i="7" s="1"/>
  <c r="F100" i="6"/>
  <c r="F108" i="7" s="1"/>
  <c r="E100" i="6"/>
  <c r="E108" i="7" s="1"/>
  <c r="D100" i="6"/>
  <c r="D108" i="7" s="1"/>
  <c r="D108" i="8" s="1"/>
  <c r="C100" i="6"/>
  <c r="C108" i="7" s="1"/>
  <c r="C108" i="8" s="1"/>
  <c r="B100" i="6"/>
  <c r="A100" i="6"/>
  <c r="B103" i="7" s="1"/>
  <c r="B103" i="8" s="1"/>
  <c r="J99" i="6"/>
  <c r="J107" i="7" s="1"/>
  <c r="I99" i="6"/>
  <c r="I107" i="7" s="1"/>
  <c r="H99" i="6"/>
  <c r="H107" i="7" s="1"/>
  <c r="G99" i="6"/>
  <c r="G107" i="7" s="1"/>
  <c r="F99" i="6"/>
  <c r="F107" i="7" s="1"/>
  <c r="E99" i="6"/>
  <c r="E107" i="7" s="1"/>
  <c r="D99" i="6"/>
  <c r="D107" i="7" s="1"/>
  <c r="C99" i="6"/>
  <c r="C107" i="7" s="1"/>
  <c r="C107" i="8" s="1"/>
  <c r="B99" i="6"/>
  <c r="A99" i="6"/>
  <c r="B102" i="7" s="1"/>
  <c r="B102" i="8" s="1"/>
  <c r="J98" i="6"/>
  <c r="J106" i="7" s="1"/>
  <c r="I98" i="6"/>
  <c r="I106" i="7" s="1"/>
  <c r="H98" i="6"/>
  <c r="H106" i="7" s="1"/>
  <c r="G98" i="6"/>
  <c r="G106" i="7" s="1"/>
  <c r="F98" i="6"/>
  <c r="F106" i="7" s="1"/>
  <c r="E98" i="6"/>
  <c r="E106" i="7" s="1"/>
  <c r="D98" i="6"/>
  <c r="D106" i="7" s="1"/>
  <c r="D106" i="8" s="1"/>
  <c r="C98" i="6"/>
  <c r="C106" i="7" s="1"/>
  <c r="C106" i="8" s="1"/>
  <c r="B98" i="6"/>
  <c r="A98" i="6"/>
  <c r="B101" i="7" s="1"/>
  <c r="B101" i="8" s="1"/>
  <c r="J97" i="6"/>
  <c r="J105" i="7" s="1"/>
  <c r="I97" i="6"/>
  <c r="I105" i="7" s="1"/>
  <c r="H97" i="6"/>
  <c r="H105" i="7" s="1"/>
  <c r="G97" i="6"/>
  <c r="G105" i="7" s="1"/>
  <c r="F97" i="6"/>
  <c r="F105" i="7" s="1"/>
  <c r="E97" i="6"/>
  <c r="E105" i="7" s="1"/>
  <c r="D97" i="6"/>
  <c r="D105" i="7" s="1"/>
  <c r="D105" i="8" s="1"/>
  <c r="C97" i="6"/>
  <c r="C105" i="7" s="1"/>
  <c r="C105" i="8" s="1"/>
  <c r="B97" i="6"/>
  <c r="A97" i="6"/>
  <c r="B100" i="7" s="1"/>
  <c r="B100" i="8" s="1"/>
  <c r="J96" i="6"/>
  <c r="J104" i="7" s="1"/>
  <c r="I96" i="6"/>
  <c r="I104" i="7" s="1"/>
  <c r="H96" i="6"/>
  <c r="H104" i="7" s="1"/>
  <c r="G96" i="6"/>
  <c r="G104" i="7" s="1"/>
  <c r="F96" i="6"/>
  <c r="F104" i="7" s="1"/>
  <c r="E96" i="6"/>
  <c r="E104" i="7" s="1"/>
  <c r="D96" i="6"/>
  <c r="D104" i="7" s="1"/>
  <c r="D104" i="8" s="1"/>
  <c r="C96" i="6"/>
  <c r="C104" i="7" s="1"/>
  <c r="C104" i="8" s="1"/>
  <c r="B96" i="6"/>
  <c r="A96" i="6"/>
  <c r="B99" i="7" s="1"/>
  <c r="B99" i="8" s="1"/>
  <c r="J95" i="6"/>
  <c r="J103" i="7" s="1"/>
  <c r="I95" i="6"/>
  <c r="I103" i="7" s="1"/>
  <c r="H95" i="6"/>
  <c r="H103" i="7" s="1"/>
  <c r="G95" i="6"/>
  <c r="G103" i="7" s="1"/>
  <c r="F95" i="6"/>
  <c r="F103" i="7" s="1"/>
  <c r="E95" i="6"/>
  <c r="E103" i="7" s="1"/>
  <c r="D95" i="6"/>
  <c r="D103" i="7" s="1"/>
  <c r="D103" i="8" s="1"/>
  <c r="C95" i="6"/>
  <c r="C103" i="7" s="1"/>
  <c r="C103" i="8" s="1"/>
  <c r="B95" i="6"/>
  <c r="A95" i="6"/>
  <c r="B98" i="7" s="1"/>
  <c r="B98" i="8" s="1"/>
  <c r="J94" i="6"/>
  <c r="J102" i="7" s="1"/>
  <c r="I94" i="6"/>
  <c r="I102" i="7" s="1"/>
  <c r="H94" i="6"/>
  <c r="H102" i="7" s="1"/>
  <c r="G94" i="6"/>
  <c r="G102" i="7" s="1"/>
  <c r="F94" i="6"/>
  <c r="F102" i="7" s="1"/>
  <c r="E94" i="6"/>
  <c r="E102" i="7" s="1"/>
  <c r="D94" i="6"/>
  <c r="D102" i="7" s="1"/>
  <c r="C94" i="6"/>
  <c r="C102" i="7" s="1"/>
  <c r="C102" i="8" s="1"/>
  <c r="B94" i="6"/>
  <c r="A94" i="6"/>
  <c r="B97" i="7" s="1"/>
  <c r="B97" i="8" s="1"/>
  <c r="J93" i="6"/>
  <c r="J101" i="7" s="1"/>
  <c r="I93" i="6"/>
  <c r="I101" i="7" s="1"/>
  <c r="H93" i="6"/>
  <c r="H101" i="7" s="1"/>
  <c r="G93" i="6"/>
  <c r="G101" i="7" s="1"/>
  <c r="F93" i="6"/>
  <c r="F101" i="7" s="1"/>
  <c r="E93" i="6"/>
  <c r="E101" i="7" s="1"/>
  <c r="D93" i="6"/>
  <c r="D101" i="7" s="1"/>
  <c r="D101" i="8" s="1"/>
  <c r="C93" i="6"/>
  <c r="C101" i="7" s="1"/>
  <c r="C101" i="8" s="1"/>
  <c r="B93" i="6"/>
  <c r="A93" i="6"/>
  <c r="B96" i="7" s="1"/>
  <c r="B96" i="8" s="1"/>
  <c r="J92" i="6"/>
  <c r="J100" i="7" s="1"/>
  <c r="J100" i="8" s="1"/>
  <c r="I92" i="6"/>
  <c r="I100" i="7" s="1"/>
  <c r="I100" i="8" s="1"/>
  <c r="H92" i="6"/>
  <c r="H100" i="7" s="1"/>
  <c r="G92" i="6"/>
  <c r="G100" i="7" s="1"/>
  <c r="F92" i="6"/>
  <c r="F100" i="7" s="1"/>
  <c r="E92" i="6"/>
  <c r="E100" i="7" s="1"/>
  <c r="D92" i="6"/>
  <c r="D100" i="7" s="1"/>
  <c r="C92" i="6"/>
  <c r="C100" i="7" s="1"/>
  <c r="B92" i="6"/>
  <c r="A92" i="6"/>
  <c r="B95" i="7" s="1"/>
  <c r="B95" i="8" s="1"/>
  <c r="J91" i="6"/>
  <c r="J99" i="7" s="1"/>
  <c r="I91" i="6"/>
  <c r="I99" i="7" s="1"/>
  <c r="H91" i="6"/>
  <c r="H99" i="7" s="1"/>
  <c r="G91" i="6"/>
  <c r="G99" i="7" s="1"/>
  <c r="F91" i="6"/>
  <c r="F99" i="7" s="1"/>
  <c r="E91" i="6"/>
  <c r="E99" i="7" s="1"/>
  <c r="D91" i="6"/>
  <c r="D99" i="7" s="1"/>
  <c r="C91" i="6"/>
  <c r="C99" i="7" s="1"/>
  <c r="C99" i="8" s="1"/>
  <c r="B91" i="6"/>
  <c r="A91" i="6"/>
  <c r="B94" i="7" s="1"/>
  <c r="B94" i="8" s="1"/>
  <c r="J90" i="6"/>
  <c r="J98" i="7" s="1"/>
  <c r="I90" i="6"/>
  <c r="I98" i="7" s="1"/>
  <c r="H90" i="6"/>
  <c r="H98" i="7" s="1"/>
  <c r="G90" i="6"/>
  <c r="G98" i="7" s="1"/>
  <c r="F90" i="6"/>
  <c r="F98" i="7" s="1"/>
  <c r="E90" i="6"/>
  <c r="E98" i="7" s="1"/>
  <c r="D90" i="6"/>
  <c r="D98" i="7" s="1"/>
  <c r="C90" i="6"/>
  <c r="C98" i="7" s="1"/>
  <c r="C98" i="8" s="1"/>
  <c r="B90" i="6"/>
  <c r="A90" i="6"/>
  <c r="B93" i="7" s="1"/>
  <c r="B93" i="8" s="1"/>
  <c r="J89" i="6"/>
  <c r="J97" i="7" s="1"/>
  <c r="I89" i="6"/>
  <c r="I97" i="7" s="1"/>
  <c r="H89" i="6"/>
  <c r="H97" i="7" s="1"/>
  <c r="G89" i="6"/>
  <c r="G97" i="7" s="1"/>
  <c r="F89" i="6"/>
  <c r="F97" i="7" s="1"/>
  <c r="E89" i="6"/>
  <c r="E97" i="7" s="1"/>
  <c r="D89" i="6"/>
  <c r="D97" i="7" s="1"/>
  <c r="C89" i="6"/>
  <c r="C97" i="7" s="1"/>
  <c r="C97" i="8" s="1"/>
  <c r="B89" i="6"/>
  <c r="A89" i="6"/>
  <c r="B92" i="7" s="1"/>
  <c r="B92" i="8" s="1"/>
  <c r="J88" i="6"/>
  <c r="J96" i="7" s="1"/>
  <c r="I88" i="6"/>
  <c r="I96" i="7" s="1"/>
  <c r="H88" i="6"/>
  <c r="H96" i="7" s="1"/>
  <c r="G88" i="6"/>
  <c r="G96" i="7" s="1"/>
  <c r="F88" i="6"/>
  <c r="F96" i="7" s="1"/>
  <c r="E88" i="6"/>
  <c r="E96" i="7" s="1"/>
  <c r="D88" i="6"/>
  <c r="D96" i="7" s="1"/>
  <c r="C88" i="6"/>
  <c r="C96" i="7" s="1"/>
  <c r="C96" i="8" s="1"/>
  <c r="B88" i="6"/>
  <c r="A88" i="6"/>
  <c r="B91" i="7" s="1"/>
  <c r="B91" i="8" s="1"/>
  <c r="J87" i="6"/>
  <c r="J95" i="7" s="1"/>
  <c r="I87" i="6"/>
  <c r="I95" i="7" s="1"/>
  <c r="H87" i="6"/>
  <c r="H95" i="7" s="1"/>
  <c r="G87" i="6"/>
  <c r="G95" i="7" s="1"/>
  <c r="F87" i="6"/>
  <c r="F95" i="7" s="1"/>
  <c r="E87" i="6"/>
  <c r="E95" i="7" s="1"/>
  <c r="D87" i="6"/>
  <c r="D95" i="7" s="1"/>
  <c r="C87" i="6"/>
  <c r="C95" i="7" s="1"/>
  <c r="C95" i="8" s="1"/>
  <c r="B87" i="6"/>
  <c r="A87" i="6"/>
  <c r="B90" i="7" s="1"/>
  <c r="B90" i="8" s="1"/>
  <c r="J86" i="6"/>
  <c r="J94" i="7" s="1"/>
  <c r="I86" i="6"/>
  <c r="I94" i="7" s="1"/>
  <c r="H86" i="6"/>
  <c r="H94" i="7" s="1"/>
  <c r="G86" i="6"/>
  <c r="G94" i="7" s="1"/>
  <c r="F86" i="6"/>
  <c r="F94" i="7" s="1"/>
  <c r="E86" i="6"/>
  <c r="E94" i="7" s="1"/>
  <c r="D86" i="6"/>
  <c r="D94" i="7" s="1"/>
  <c r="C86" i="6"/>
  <c r="C94" i="7" s="1"/>
  <c r="C94" i="8" s="1"/>
  <c r="B86" i="6"/>
  <c r="A86" i="6"/>
  <c r="B89" i="7" s="1"/>
  <c r="B89" i="8" s="1"/>
  <c r="J85" i="6"/>
  <c r="J93" i="7" s="1"/>
  <c r="I85" i="6"/>
  <c r="I93" i="7" s="1"/>
  <c r="H85" i="6"/>
  <c r="H93" i="7" s="1"/>
  <c r="G85" i="6"/>
  <c r="G93" i="7" s="1"/>
  <c r="F85" i="6"/>
  <c r="F93" i="7" s="1"/>
  <c r="E85" i="6"/>
  <c r="E93" i="7" s="1"/>
  <c r="D85" i="6"/>
  <c r="D93" i="7" s="1"/>
  <c r="C85" i="6"/>
  <c r="C93" i="7" s="1"/>
  <c r="C93" i="8" s="1"/>
  <c r="B85" i="6"/>
  <c r="A85" i="6"/>
  <c r="B88" i="7" s="1"/>
  <c r="B88" i="8" s="1"/>
  <c r="J84" i="6"/>
  <c r="J92" i="7" s="1"/>
  <c r="I84" i="6"/>
  <c r="I92" i="7" s="1"/>
  <c r="H84" i="6"/>
  <c r="H92" i="7" s="1"/>
  <c r="G84" i="6"/>
  <c r="G92" i="7" s="1"/>
  <c r="F84" i="6"/>
  <c r="F92" i="7" s="1"/>
  <c r="E84" i="6"/>
  <c r="E92" i="7" s="1"/>
  <c r="D84" i="6"/>
  <c r="D92" i="7" s="1"/>
  <c r="C84" i="6"/>
  <c r="C92" i="7" s="1"/>
  <c r="C92" i="8" s="1"/>
  <c r="B84" i="6"/>
  <c r="A84" i="6"/>
  <c r="B87" i="7" s="1"/>
  <c r="B87" i="8" s="1"/>
  <c r="J83" i="6"/>
  <c r="J91" i="7" s="1"/>
  <c r="I83" i="6"/>
  <c r="I91" i="7" s="1"/>
  <c r="H83" i="6"/>
  <c r="H91" i="7" s="1"/>
  <c r="G83" i="6"/>
  <c r="G91" i="7" s="1"/>
  <c r="F83" i="6"/>
  <c r="F91" i="7" s="1"/>
  <c r="E83" i="6"/>
  <c r="E91" i="7" s="1"/>
  <c r="D83" i="6"/>
  <c r="D91" i="7" s="1"/>
  <c r="D91" i="8" s="1"/>
  <c r="C83" i="6"/>
  <c r="C91" i="7" s="1"/>
  <c r="C91" i="8" s="1"/>
  <c r="B83" i="6"/>
  <c r="A83" i="6"/>
  <c r="B86" i="7" s="1"/>
  <c r="B86" i="8" s="1"/>
  <c r="J82" i="6"/>
  <c r="J90" i="7" s="1"/>
  <c r="I82" i="6"/>
  <c r="I90" i="7" s="1"/>
  <c r="H82" i="6"/>
  <c r="H90" i="7" s="1"/>
  <c r="G82" i="6"/>
  <c r="G90" i="7" s="1"/>
  <c r="F82" i="6"/>
  <c r="F90" i="7" s="1"/>
  <c r="E82" i="6"/>
  <c r="E90" i="7" s="1"/>
  <c r="D82" i="6"/>
  <c r="D90" i="7" s="1"/>
  <c r="C82" i="6"/>
  <c r="C90" i="7" s="1"/>
  <c r="C90" i="8" s="1"/>
  <c r="B82" i="6"/>
  <c r="A82" i="6"/>
  <c r="B85" i="7" s="1"/>
  <c r="B85" i="8" s="1"/>
  <c r="J81" i="6"/>
  <c r="J89" i="7" s="1"/>
  <c r="I81" i="6"/>
  <c r="I89" i="7" s="1"/>
  <c r="H81" i="6"/>
  <c r="H89" i="7" s="1"/>
  <c r="G81" i="6"/>
  <c r="G89" i="7" s="1"/>
  <c r="F81" i="6"/>
  <c r="F89" i="7" s="1"/>
  <c r="E81" i="6"/>
  <c r="E89" i="7" s="1"/>
  <c r="D81" i="6"/>
  <c r="D89" i="7" s="1"/>
  <c r="D89" i="8" s="1"/>
  <c r="C81" i="6"/>
  <c r="C89" i="7" s="1"/>
  <c r="C89" i="8" s="1"/>
  <c r="B81" i="6"/>
  <c r="A81" i="6"/>
  <c r="B84" i="7" s="1"/>
  <c r="B84" i="8" s="1"/>
  <c r="J80" i="6"/>
  <c r="J88" i="7" s="1"/>
  <c r="I80" i="6"/>
  <c r="I88" i="7" s="1"/>
  <c r="H80" i="6"/>
  <c r="H88" i="7" s="1"/>
  <c r="G80" i="6"/>
  <c r="G88" i="7" s="1"/>
  <c r="F80" i="6"/>
  <c r="F88" i="7" s="1"/>
  <c r="E80" i="6"/>
  <c r="E88" i="7" s="1"/>
  <c r="E88" i="8" s="1"/>
  <c r="D80" i="6"/>
  <c r="D88" i="7" s="1"/>
  <c r="D88" i="8" s="1"/>
  <c r="C80" i="6"/>
  <c r="C88" i="7" s="1"/>
  <c r="C88" i="8" s="1"/>
  <c r="B80" i="6"/>
  <c r="A80" i="6"/>
  <c r="B83" i="7" s="1"/>
  <c r="B83" i="8" s="1"/>
  <c r="J79" i="6"/>
  <c r="J87" i="7" s="1"/>
  <c r="I79" i="6"/>
  <c r="I87" i="7" s="1"/>
  <c r="H79" i="6"/>
  <c r="H87" i="7" s="1"/>
  <c r="G79" i="6"/>
  <c r="G87" i="7" s="1"/>
  <c r="F79" i="6"/>
  <c r="F87" i="7" s="1"/>
  <c r="E79" i="6"/>
  <c r="E87" i="7" s="1"/>
  <c r="E87" i="8" s="1"/>
  <c r="D79" i="6"/>
  <c r="D87" i="7" s="1"/>
  <c r="D87" i="8" s="1"/>
  <c r="C79" i="6"/>
  <c r="C87" i="7" s="1"/>
  <c r="C87" i="8" s="1"/>
  <c r="B79" i="6"/>
  <c r="A79" i="6"/>
  <c r="B82" i="7" s="1"/>
  <c r="B82" i="8" s="1"/>
  <c r="J78" i="6"/>
  <c r="J86" i="7" s="1"/>
  <c r="I78" i="6"/>
  <c r="I86" i="7" s="1"/>
  <c r="H78" i="6"/>
  <c r="H86" i="7" s="1"/>
  <c r="G78" i="6"/>
  <c r="G86" i="7" s="1"/>
  <c r="F78" i="6"/>
  <c r="F86" i="7" s="1"/>
  <c r="E78" i="6"/>
  <c r="E86" i="7" s="1"/>
  <c r="E86" i="8" s="1"/>
  <c r="D78" i="6"/>
  <c r="D86" i="7" s="1"/>
  <c r="D86" i="8" s="1"/>
  <c r="C78" i="6"/>
  <c r="C86" i="7" s="1"/>
  <c r="C86" i="8" s="1"/>
  <c r="B78" i="6"/>
  <c r="A78" i="6"/>
  <c r="B81" i="7" s="1"/>
  <c r="B81" i="8" s="1"/>
  <c r="J77" i="6"/>
  <c r="J85" i="7" s="1"/>
  <c r="I77" i="6"/>
  <c r="I85" i="7" s="1"/>
  <c r="H77" i="6"/>
  <c r="H85" i="7" s="1"/>
  <c r="G77" i="6"/>
  <c r="G85" i="7" s="1"/>
  <c r="F77" i="6"/>
  <c r="F85" i="7" s="1"/>
  <c r="F85" i="8" s="1"/>
  <c r="E77" i="6"/>
  <c r="E85" i="7" s="1"/>
  <c r="D77" i="6"/>
  <c r="D85" i="7" s="1"/>
  <c r="D85" i="8" s="1"/>
  <c r="C77" i="6"/>
  <c r="C85" i="7" s="1"/>
  <c r="C85" i="8" s="1"/>
  <c r="B77" i="6"/>
  <c r="A77" i="6"/>
  <c r="B80" i="7" s="1"/>
  <c r="B80" i="8" s="1"/>
  <c r="J76" i="6"/>
  <c r="J84" i="7" s="1"/>
  <c r="I76" i="6"/>
  <c r="I84" i="7" s="1"/>
  <c r="H76" i="6"/>
  <c r="H84" i="7" s="1"/>
  <c r="G76" i="6"/>
  <c r="G84" i="7" s="1"/>
  <c r="F76" i="6"/>
  <c r="F84" i="7" s="1"/>
  <c r="F84" i="8" s="1"/>
  <c r="E76" i="6"/>
  <c r="E84" i="7" s="1"/>
  <c r="E84" i="8" s="1"/>
  <c r="D76" i="6"/>
  <c r="D84" i="7" s="1"/>
  <c r="D84" i="8" s="1"/>
  <c r="C76" i="6"/>
  <c r="C84" i="7" s="1"/>
  <c r="C84" i="8" s="1"/>
  <c r="B76" i="6"/>
  <c r="A76" i="6"/>
  <c r="B79" i="7" s="1"/>
  <c r="B79" i="8" s="1"/>
  <c r="J75" i="6"/>
  <c r="J83" i="7" s="1"/>
  <c r="I75" i="6"/>
  <c r="I83" i="7" s="1"/>
  <c r="H75" i="6"/>
  <c r="H83" i="7" s="1"/>
  <c r="G75" i="6"/>
  <c r="G83" i="7" s="1"/>
  <c r="F75" i="6"/>
  <c r="F83" i="7" s="1"/>
  <c r="E75" i="6"/>
  <c r="E83" i="7" s="1"/>
  <c r="D75" i="6"/>
  <c r="D83" i="7" s="1"/>
  <c r="D83" i="8" s="1"/>
  <c r="C75" i="6"/>
  <c r="C83" i="7" s="1"/>
  <c r="C83" i="8" s="1"/>
  <c r="B75" i="6"/>
  <c r="A75" i="6"/>
  <c r="B78" i="7" s="1"/>
  <c r="B78" i="8" s="1"/>
  <c r="J74" i="6"/>
  <c r="J82" i="7" s="1"/>
  <c r="I74" i="6"/>
  <c r="I82" i="7" s="1"/>
  <c r="H74" i="6"/>
  <c r="H82" i="7" s="1"/>
  <c r="G74" i="6"/>
  <c r="G82" i="7" s="1"/>
  <c r="F74" i="6"/>
  <c r="F82" i="7" s="1"/>
  <c r="E74" i="6"/>
  <c r="E82" i="7" s="1"/>
  <c r="D74" i="6"/>
  <c r="D82" i="7" s="1"/>
  <c r="D82" i="8" s="1"/>
  <c r="C74" i="6"/>
  <c r="C82" i="7" s="1"/>
  <c r="C82" i="8" s="1"/>
  <c r="B74" i="6"/>
  <c r="A74" i="6"/>
  <c r="B77" i="7" s="1"/>
  <c r="B77" i="8" s="1"/>
  <c r="J73" i="6"/>
  <c r="J81" i="7" s="1"/>
  <c r="I73" i="6"/>
  <c r="I81" i="7" s="1"/>
  <c r="H73" i="6"/>
  <c r="H81" i="7" s="1"/>
  <c r="G73" i="6"/>
  <c r="G81" i="7" s="1"/>
  <c r="F73" i="6"/>
  <c r="F81" i="7" s="1"/>
  <c r="E73" i="6"/>
  <c r="E81" i="7" s="1"/>
  <c r="D73" i="6"/>
  <c r="D81" i="7" s="1"/>
  <c r="C73" i="6"/>
  <c r="C81" i="7" s="1"/>
  <c r="C81" i="8" s="1"/>
  <c r="B73" i="6"/>
  <c r="A73" i="6"/>
  <c r="B76" i="7" s="1"/>
  <c r="B76" i="8" s="1"/>
  <c r="J72" i="6"/>
  <c r="J80" i="7" s="1"/>
  <c r="I72" i="6"/>
  <c r="I80" i="7" s="1"/>
  <c r="H72" i="6"/>
  <c r="H80" i="7" s="1"/>
  <c r="G72" i="6"/>
  <c r="G80" i="7" s="1"/>
  <c r="F72" i="6"/>
  <c r="F80" i="7" s="1"/>
  <c r="E72" i="6"/>
  <c r="E80" i="7" s="1"/>
  <c r="D72" i="6"/>
  <c r="D80" i="7" s="1"/>
  <c r="D80" i="8" s="1"/>
  <c r="C72" i="6"/>
  <c r="C80" i="7" s="1"/>
  <c r="C80" i="8" s="1"/>
  <c r="B72" i="6"/>
  <c r="A72" i="6"/>
  <c r="B75" i="7" s="1"/>
  <c r="B75" i="8" s="1"/>
  <c r="J71" i="6"/>
  <c r="J79" i="7" s="1"/>
  <c r="I71" i="6"/>
  <c r="I79" i="7" s="1"/>
  <c r="H71" i="6"/>
  <c r="H79" i="7" s="1"/>
  <c r="G71" i="6"/>
  <c r="G79" i="7" s="1"/>
  <c r="F71" i="6"/>
  <c r="F79" i="7" s="1"/>
  <c r="E71" i="6"/>
  <c r="E79" i="7" s="1"/>
  <c r="D71" i="6"/>
  <c r="D79" i="7" s="1"/>
  <c r="D79" i="8" s="1"/>
  <c r="C71" i="6"/>
  <c r="C79" i="7" s="1"/>
  <c r="C79" i="8" s="1"/>
  <c r="B71" i="6"/>
  <c r="A71" i="6"/>
  <c r="J70" i="6"/>
  <c r="J78" i="7" s="1"/>
  <c r="I70" i="6"/>
  <c r="I78" i="7" s="1"/>
  <c r="H70" i="6"/>
  <c r="H78" i="7" s="1"/>
  <c r="G70" i="6"/>
  <c r="G78" i="7" s="1"/>
  <c r="F70" i="6"/>
  <c r="F78" i="7" s="1"/>
  <c r="E70" i="6"/>
  <c r="E78" i="7" s="1"/>
  <c r="E78" i="8" s="1"/>
  <c r="D70" i="6"/>
  <c r="D78" i="7" s="1"/>
  <c r="C70" i="6"/>
  <c r="C78" i="7" s="1"/>
  <c r="B70" i="6"/>
  <c r="A70" i="6"/>
  <c r="B73" i="7" s="1"/>
  <c r="B73" i="8" s="1"/>
  <c r="J69" i="6"/>
  <c r="J77" i="7" s="1"/>
  <c r="I69" i="6"/>
  <c r="I77" i="7" s="1"/>
  <c r="H69" i="6"/>
  <c r="H77" i="7" s="1"/>
  <c r="G69" i="6"/>
  <c r="G77" i="7" s="1"/>
  <c r="F69" i="6"/>
  <c r="F77" i="7" s="1"/>
  <c r="E69" i="6"/>
  <c r="E77" i="7" s="1"/>
  <c r="D69" i="6"/>
  <c r="D77" i="7" s="1"/>
  <c r="C69" i="6"/>
  <c r="C77" i="7" s="1"/>
  <c r="C77" i="8" s="1"/>
  <c r="B69" i="6"/>
  <c r="A69" i="6"/>
  <c r="B72" i="7" s="1"/>
  <c r="B72" i="8" s="1"/>
  <c r="J68" i="6"/>
  <c r="J76" i="7" s="1"/>
  <c r="I68" i="6"/>
  <c r="I76" i="7" s="1"/>
  <c r="H68" i="6"/>
  <c r="H76" i="7" s="1"/>
  <c r="G68" i="6"/>
  <c r="G76" i="7" s="1"/>
  <c r="F68" i="6"/>
  <c r="F76" i="7" s="1"/>
  <c r="E68" i="6"/>
  <c r="E76" i="7" s="1"/>
  <c r="D68" i="6"/>
  <c r="D76" i="7" s="1"/>
  <c r="D76" i="8" s="1"/>
  <c r="C68" i="6"/>
  <c r="C76" i="7" s="1"/>
  <c r="C76" i="8" s="1"/>
  <c r="B68" i="6"/>
  <c r="A68" i="6"/>
  <c r="B71" i="7" s="1"/>
  <c r="B71" i="8" s="1"/>
  <c r="J67" i="6"/>
  <c r="J75" i="7" s="1"/>
  <c r="I67" i="6"/>
  <c r="I75" i="7" s="1"/>
  <c r="H67" i="6"/>
  <c r="H75" i="7" s="1"/>
  <c r="G67" i="6"/>
  <c r="G75" i="7" s="1"/>
  <c r="F67" i="6"/>
  <c r="F75" i="7" s="1"/>
  <c r="E67" i="6"/>
  <c r="E75" i="7" s="1"/>
  <c r="E75" i="8" s="1"/>
  <c r="D67" i="6"/>
  <c r="D75" i="7" s="1"/>
  <c r="D75" i="8" s="1"/>
  <c r="C67" i="6"/>
  <c r="C75" i="7" s="1"/>
  <c r="C75" i="8" s="1"/>
  <c r="B67" i="6"/>
  <c r="A67" i="6"/>
  <c r="B70" i="7" s="1"/>
  <c r="B70" i="8" s="1"/>
  <c r="J66" i="6"/>
  <c r="J74" i="7" s="1"/>
  <c r="I66" i="6"/>
  <c r="I74" i="7" s="1"/>
  <c r="H66" i="6"/>
  <c r="H74" i="7" s="1"/>
  <c r="G66" i="6"/>
  <c r="G74" i="7" s="1"/>
  <c r="F66" i="6"/>
  <c r="F74" i="7" s="1"/>
  <c r="F74" i="8" s="1"/>
  <c r="E66" i="6"/>
  <c r="E74" i="7" s="1"/>
  <c r="E74" i="8" s="1"/>
  <c r="D66" i="6"/>
  <c r="D74" i="7" s="1"/>
  <c r="D74" i="8" s="1"/>
  <c r="C66" i="6"/>
  <c r="C74" i="7" s="1"/>
  <c r="C74" i="8" s="1"/>
  <c r="B66" i="6"/>
  <c r="A66" i="6"/>
  <c r="B69" i="7" s="1"/>
  <c r="B69" i="8" s="1"/>
  <c r="J65" i="6"/>
  <c r="J73" i="7" s="1"/>
  <c r="I65" i="6"/>
  <c r="I73" i="7" s="1"/>
  <c r="H65" i="6"/>
  <c r="H73" i="7" s="1"/>
  <c r="G65" i="6"/>
  <c r="G73" i="7" s="1"/>
  <c r="F65" i="6"/>
  <c r="F73" i="7" s="1"/>
  <c r="F73" i="8" s="1"/>
  <c r="E65" i="6"/>
  <c r="E73" i="7" s="1"/>
  <c r="E73" i="8" s="1"/>
  <c r="D65" i="6"/>
  <c r="D73" i="7" s="1"/>
  <c r="D73" i="8" s="1"/>
  <c r="C65" i="6"/>
  <c r="C73" i="7" s="1"/>
  <c r="C73" i="8" s="1"/>
  <c r="B65" i="6"/>
  <c r="A65" i="6"/>
  <c r="B68" i="7" s="1"/>
  <c r="B68" i="8" s="1"/>
  <c r="J64" i="6"/>
  <c r="J72" i="7" s="1"/>
  <c r="I64" i="6"/>
  <c r="I72" i="7" s="1"/>
  <c r="H64" i="6"/>
  <c r="H72" i="7" s="1"/>
  <c r="G64" i="6"/>
  <c r="G72" i="7" s="1"/>
  <c r="F64" i="6"/>
  <c r="F72" i="7" s="1"/>
  <c r="F72" i="8" s="1"/>
  <c r="E64" i="6"/>
  <c r="E72" i="7" s="1"/>
  <c r="E72" i="8" s="1"/>
  <c r="D64" i="6"/>
  <c r="D72" i="7" s="1"/>
  <c r="D72" i="8" s="1"/>
  <c r="C64" i="6"/>
  <c r="C72" i="7" s="1"/>
  <c r="C72" i="8" s="1"/>
  <c r="B64" i="6"/>
  <c r="A64" i="6"/>
  <c r="B67" i="7" s="1"/>
  <c r="B67" i="8" s="1"/>
  <c r="J63" i="6"/>
  <c r="J71" i="7" s="1"/>
  <c r="I63" i="6"/>
  <c r="I71" i="7" s="1"/>
  <c r="H63" i="6"/>
  <c r="H71" i="7" s="1"/>
  <c r="G63" i="6"/>
  <c r="G71" i="7" s="1"/>
  <c r="F63" i="6"/>
  <c r="F71" i="7" s="1"/>
  <c r="F71" i="8" s="1"/>
  <c r="E63" i="6"/>
  <c r="E71" i="7" s="1"/>
  <c r="E71" i="8" s="1"/>
  <c r="D63" i="6"/>
  <c r="D71" i="7" s="1"/>
  <c r="D71" i="8" s="1"/>
  <c r="C63" i="6"/>
  <c r="C71" i="7" s="1"/>
  <c r="C71" i="8" s="1"/>
  <c r="B63" i="6"/>
  <c r="A63" i="6"/>
  <c r="B66" i="7" s="1"/>
  <c r="B66" i="8" s="1"/>
  <c r="J62" i="6"/>
  <c r="J70" i="7" s="1"/>
  <c r="I62" i="6"/>
  <c r="I70" i="7" s="1"/>
  <c r="H62" i="6"/>
  <c r="H70" i="7" s="1"/>
  <c r="G62" i="6"/>
  <c r="G70" i="7" s="1"/>
  <c r="F62" i="6"/>
  <c r="F70" i="7" s="1"/>
  <c r="E62" i="6"/>
  <c r="E70" i="7" s="1"/>
  <c r="E70" i="8" s="1"/>
  <c r="D62" i="6"/>
  <c r="D70" i="7" s="1"/>
  <c r="D70" i="8" s="1"/>
  <c r="C62" i="6"/>
  <c r="C70" i="7" s="1"/>
  <c r="C70" i="8" s="1"/>
  <c r="B62" i="6"/>
  <c r="A62" i="6"/>
  <c r="B65" i="7" s="1"/>
  <c r="B65" i="8" s="1"/>
  <c r="J61" i="6"/>
  <c r="J69" i="7" s="1"/>
  <c r="I61" i="6"/>
  <c r="I69" i="7" s="1"/>
  <c r="H61" i="6"/>
  <c r="H69" i="7" s="1"/>
  <c r="G61" i="6"/>
  <c r="G69" i="7" s="1"/>
  <c r="F61" i="6"/>
  <c r="F69" i="7" s="1"/>
  <c r="F69" i="8" s="1"/>
  <c r="E61" i="6"/>
  <c r="E69" i="7" s="1"/>
  <c r="E69" i="8" s="1"/>
  <c r="D61" i="6"/>
  <c r="D69" i="7" s="1"/>
  <c r="D69" i="8" s="1"/>
  <c r="C61" i="6"/>
  <c r="C69" i="7" s="1"/>
  <c r="C69" i="8" s="1"/>
  <c r="B61" i="6"/>
  <c r="A61" i="6"/>
  <c r="B64" i="7" s="1"/>
  <c r="B64" i="8" s="1"/>
  <c r="J60" i="6"/>
  <c r="J68" i="7" s="1"/>
  <c r="I60" i="6"/>
  <c r="I68" i="7" s="1"/>
  <c r="H60" i="6"/>
  <c r="H68" i="7" s="1"/>
  <c r="G60" i="6"/>
  <c r="G68" i="7" s="1"/>
  <c r="F60" i="6"/>
  <c r="F68" i="7" s="1"/>
  <c r="E60" i="6"/>
  <c r="E68" i="7" s="1"/>
  <c r="E68" i="8" s="1"/>
  <c r="D60" i="6"/>
  <c r="D68" i="7" s="1"/>
  <c r="D68" i="8" s="1"/>
  <c r="C60" i="6"/>
  <c r="C68" i="7" s="1"/>
  <c r="C68" i="8" s="1"/>
  <c r="B60" i="6"/>
  <c r="A60" i="6"/>
  <c r="B63" i="7" s="1"/>
  <c r="B63" i="8" s="1"/>
  <c r="J59" i="6"/>
  <c r="J67" i="7" s="1"/>
  <c r="I59" i="6"/>
  <c r="I67" i="7" s="1"/>
  <c r="H59" i="6"/>
  <c r="H67" i="7" s="1"/>
  <c r="G59" i="6"/>
  <c r="G67" i="7" s="1"/>
  <c r="F59" i="6"/>
  <c r="F67" i="7" s="1"/>
  <c r="F67" i="8" s="1"/>
  <c r="E59" i="6"/>
  <c r="E67" i="7" s="1"/>
  <c r="E67" i="8" s="1"/>
  <c r="D59" i="6"/>
  <c r="D67" i="7" s="1"/>
  <c r="D67" i="8" s="1"/>
  <c r="C59" i="6"/>
  <c r="C67" i="7" s="1"/>
  <c r="C67" i="8" s="1"/>
  <c r="B59" i="6"/>
  <c r="A59" i="6"/>
  <c r="B62" i="7" s="1"/>
  <c r="B62" i="8" s="1"/>
  <c r="J58" i="6"/>
  <c r="J66" i="7" s="1"/>
  <c r="I58" i="6"/>
  <c r="I66" i="7" s="1"/>
  <c r="H58" i="6"/>
  <c r="H66" i="7" s="1"/>
  <c r="G58" i="6"/>
  <c r="G66" i="7" s="1"/>
  <c r="F58" i="6"/>
  <c r="F66" i="7" s="1"/>
  <c r="E58" i="6"/>
  <c r="E66" i="7" s="1"/>
  <c r="E66" i="8" s="1"/>
  <c r="D58" i="6"/>
  <c r="D66" i="7" s="1"/>
  <c r="D66" i="8" s="1"/>
  <c r="C58" i="6"/>
  <c r="C66" i="7" s="1"/>
  <c r="C66" i="8" s="1"/>
  <c r="B58" i="6"/>
  <c r="A58" i="6"/>
  <c r="B61" i="7" s="1"/>
  <c r="B61" i="8" s="1"/>
  <c r="J57" i="6"/>
  <c r="J65" i="7" s="1"/>
  <c r="I57" i="6"/>
  <c r="I65" i="7" s="1"/>
  <c r="H57" i="6"/>
  <c r="H65" i="7" s="1"/>
  <c r="G57" i="6"/>
  <c r="G65" i="7" s="1"/>
  <c r="F57" i="6"/>
  <c r="F65" i="7" s="1"/>
  <c r="E57" i="6"/>
  <c r="E65" i="7" s="1"/>
  <c r="E65" i="8" s="1"/>
  <c r="D57" i="6"/>
  <c r="D65" i="7" s="1"/>
  <c r="D65" i="8" s="1"/>
  <c r="C57" i="6"/>
  <c r="C65" i="7" s="1"/>
  <c r="C65" i="8" s="1"/>
  <c r="B57" i="6"/>
  <c r="A57" i="6"/>
  <c r="B60" i="7" s="1"/>
  <c r="B60" i="8" s="1"/>
  <c r="J56" i="6"/>
  <c r="J64" i="7" s="1"/>
  <c r="I56" i="6"/>
  <c r="I64" i="7" s="1"/>
  <c r="H56" i="6"/>
  <c r="H64" i="7" s="1"/>
  <c r="G56" i="6"/>
  <c r="G64" i="7" s="1"/>
  <c r="F56" i="6"/>
  <c r="F64" i="7" s="1"/>
  <c r="F64" i="8" s="1"/>
  <c r="E56" i="6"/>
  <c r="E64" i="7" s="1"/>
  <c r="E64" i="8" s="1"/>
  <c r="D56" i="6"/>
  <c r="D64" i="7" s="1"/>
  <c r="D64" i="8" s="1"/>
  <c r="C56" i="6"/>
  <c r="C64" i="7" s="1"/>
  <c r="C64" i="8" s="1"/>
  <c r="B56" i="6"/>
  <c r="A56" i="6"/>
  <c r="B59" i="7" s="1"/>
  <c r="B59" i="8" s="1"/>
  <c r="J55" i="6"/>
  <c r="J63" i="7" s="1"/>
  <c r="I55" i="6"/>
  <c r="I63" i="7" s="1"/>
  <c r="H55" i="6"/>
  <c r="H63" i="7" s="1"/>
  <c r="G55" i="6"/>
  <c r="G63" i="7" s="1"/>
  <c r="F55" i="6"/>
  <c r="F63" i="7" s="1"/>
  <c r="E55" i="6"/>
  <c r="E63" i="7" s="1"/>
  <c r="D55" i="6"/>
  <c r="D63" i="7" s="1"/>
  <c r="D63" i="8" s="1"/>
  <c r="C55" i="6"/>
  <c r="C63" i="7" s="1"/>
  <c r="C63" i="8" s="1"/>
  <c r="B55" i="6"/>
  <c r="A55" i="6"/>
  <c r="B58" i="7" s="1"/>
  <c r="B58" i="8" s="1"/>
  <c r="J54" i="6"/>
  <c r="J62" i="7" s="1"/>
  <c r="I54" i="6"/>
  <c r="I62" i="7" s="1"/>
  <c r="H54" i="6"/>
  <c r="H62" i="7" s="1"/>
  <c r="G54" i="6"/>
  <c r="G62" i="7" s="1"/>
  <c r="F54" i="6"/>
  <c r="F62" i="7" s="1"/>
  <c r="E54" i="6"/>
  <c r="E62" i="7" s="1"/>
  <c r="E62" i="8" s="1"/>
  <c r="D54" i="6"/>
  <c r="D62" i="7" s="1"/>
  <c r="D62" i="8" s="1"/>
  <c r="C54" i="6"/>
  <c r="C62" i="7" s="1"/>
  <c r="C62" i="8" s="1"/>
  <c r="B54" i="6"/>
  <c r="A54" i="6"/>
  <c r="B57" i="7" s="1"/>
  <c r="B57" i="8" s="1"/>
  <c r="J53" i="6"/>
  <c r="J61" i="7" s="1"/>
  <c r="I53" i="6"/>
  <c r="I61" i="7" s="1"/>
  <c r="H53" i="6"/>
  <c r="H61" i="7" s="1"/>
  <c r="G53" i="6"/>
  <c r="G61" i="7" s="1"/>
  <c r="F53" i="6"/>
  <c r="F61" i="7" s="1"/>
  <c r="F61" i="8" s="1"/>
  <c r="E53" i="6"/>
  <c r="E61" i="7" s="1"/>
  <c r="E61" i="8" s="1"/>
  <c r="D53" i="6"/>
  <c r="D61" i="7" s="1"/>
  <c r="D61" i="8" s="1"/>
  <c r="C53" i="6"/>
  <c r="C61" i="7" s="1"/>
  <c r="C61" i="8" s="1"/>
  <c r="B53" i="6"/>
  <c r="A53" i="6"/>
  <c r="B56" i="7" s="1"/>
  <c r="B56" i="8" s="1"/>
  <c r="J52" i="6"/>
  <c r="J60" i="7" s="1"/>
  <c r="I52" i="6"/>
  <c r="I60" i="7" s="1"/>
  <c r="H52" i="6"/>
  <c r="H60" i="7" s="1"/>
  <c r="G52" i="6"/>
  <c r="G60" i="7" s="1"/>
  <c r="F52" i="6"/>
  <c r="F60" i="7" s="1"/>
  <c r="F60" i="8" s="1"/>
  <c r="E52" i="6"/>
  <c r="E60" i="7" s="1"/>
  <c r="E60" i="8" s="1"/>
  <c r="D52" i="6"/>
  <c r="D60" i="7" s="1"/>
  <c r="D60" i="8" s="1"/>
  <c r="C52" i="6"/>
  <c r="C60" i="7" s="1"/>
  <c r="C60" i="8" s="1"/>
  <c r="B52" i="6"/>
  <c r="A52" i="6"/>
  <c r="B55" i="7" s="1"/>
  <c r="B55" i="8" s="1"/>
  <c r="J51" i="6"/>
  <c r="J59" i="7" s="1"/>
  <c r="I51" i="6"/>
  <c r="I59" i="7" s="1"/>
  <c r="H51" i="6"/>
  <c r="H59" i="7" s="1"/>
  <c r="G51" i="6"/>
  <c r="G59" i="7" s="1"/>
  <c r="F51" i="6"/>
  <c r="F59" i="7" s="1"/>
  <c r="F59" i="8" s="1"/>
  <c r="E51" i="6"/>
  <c r="E59" i="7" s="1"/>
  <c r="E59" i="8" s="1"/>
  <c r="D51" i="6"/>
  <c r="D59" i="7" s="1"/>
  <c r="D59" i="8" s="1"/>
  <c r="C51" i="6"/>
  <c r="C59" i="7" s="1"/>
  <c r="C59" i="8" s="1"/>
  <c r="B51" i="6"/>
  <c r="A51" i="6"/>
  <c r="B54" i="7" s="1"/>
  <c r="B54" i="8" s="1"/>
  <c r="J50" i="6"/>
  <c r="J58" i="7" s="1"/>
  <c r="I50" i="6"/>
  <c r="I58" i="7" s="1"/>
  <c r="H50" i="6"/>
  <c r="H58" i="7" s="1"/>
  <c r="G50" i="6"/>
  <c r="G58" i="7" s="1"/>
  <c r="F50" i="6"/>
  <c r="F58" i="7" s="1"/>
  <c r="F58" i="8" s="1"/>
  <c r="E50" i="6"/>
  <c r="E58" i="7" s="1"/>
  <c r="E58" i="8" s="1"/>
  <c r="D50" i="6"/>
  <c r="D58" i="7" s="1"/>
  <c r="D58" i="8" s="1"/>
  <c r="C50" i="6"/>
  <c r="C58" i="7" s="1"/>
  <c r="C58" i="8" s="1"/>
  <c r="B50" i="6"/>
  <c r="A50" i="6"/>
  <c r="B53" i="7" s="1"/>
  <c r="B53" i="8" s="1"/>
  <c r="J49" i="6"/>
  <c r="J57" i="7" s="1"/>
  <c r="I49" i="6"/>
  <c r="I57" i="7" s="1"/>
  <c r="H49" i="6"/>
  <c r="H57" i="7" s="1"/>
  <c r="G49" i="6"/>
  <c r="G57" i="7" s="1"/>
  <c r="F49" i="6"/>
  <c r="F57" i="7" s="1"/>
  <c r="F57" i="8" s="1"/>
  <c r="E49" i="6"/>
  <c r="E57" i="7" s="1"/>
  <c r="E57" i="8" s="1"/>
  <c r="D49" i="6"/>
  <c r="D57" i="7" s="1"/>
  <c r="D57" i="8" s="1"/>
  <c r="C49" i="6"/>
  <c r="C57" i="7" s="1"/>
  <c r="C57" i="8" s="1"/>
  <c r="B49" i="6"/>
  <c r="A49" i="6"/>
  <c r="B52" i="7" s="1"/>
  <c r="B52" i="8" s="1"/>
  <c r="J48" i="6"/>
  <c r="J56" i="7" s="1"/>
  <c r="I48" i="6"/>
  <c r="I56" i="7" s="1"/>
  <c r="H48" i="6"/>
  <c r="H56" i="7" s="1"/>
  <c r="G48" i="6"/>
  <c r="G56" i="7" s="1"/>
  <c r="F48" i="6"/>
  <c r="F56" i="7" s="1"/>
  <c r="F56" i="8" s="1"/>
  <c r="E48" i="6"/>
  <c r="E56" i="7" s="1"/>
  <c r="E56" i="8" s="1"/>
  <c r="D48" i="6"/>
  <c r="D56" i="7" s="1"/>
  <c r="D56" i="8" s="1"/>
  <c r="C48" i="6"/>
  <c r="C56" i="7" s="1"/>
  <c r="C56" i="8" s="1"/>
  <c r="B48" i="6"/>
  <c r="A48" i="6"/>
  <c r="B51" i="7" s="1"/>
  <c r="B51" i="8" s="1"/>
  <c r="J47" i="6"/>
  <c r="J55" i="7" s="1"/>
  <c r="J55" i="8" s="1"/>
  <c r="I47" i="6"/>
  <c r="I55" i="7" s="1"/>
  <c r="H47" i="6"/>
  <c r="H55" i="7" s="1"/>
  <c r="G47" i="6"/>
  <c r="G55" i="7" s="1"/>
  <c r="F47" i="6"/>
  <c r="F55" i="7" s="1"/>
  <c r="E47" i="6"/>
  <c r="E55" i="7" s="1"/>
  <c r="D47" i="6"/>
  <c r="D55" i="7" s="1"/>
  <c r="C47" i="6"/>
  <c r="C55" i="7" s="1"/>
  <c r="B47" i="6"/>
  <c r="A47" i="6"/>
  <c r="B50" i="7" s="1"/>
  <c r="B50" i="8" s="1"/>
  <c r="J46" i="6"/>
  <c r="J54" i="7" s="1"/>
  <c r="I46" i="6"/>
  <c r="I54" i="7" s="1"/>
  <c r="H46" i="6"/>
  <c r="H54" i="7" s="1"/>
  <c r="G46" i="6"/>
  <c r="G54" i="7" s="1"/>
  <c r="F46" i="6"/>
  <c r="F54" i="7" s="1"/>
  <c r="E46" i="6"/>
  <c r="E54" i="7" s="1"/>
  <c r="D46" i="6"/>
  <c r="D54" i="7" s="1"/>
  <c r="C46" i="6"/>
  <c r="C54" i="7" s="1"/>
  <c r="C54" i="8" s="1"/>
  <c r="B46" i="6"/>
  <c r="A46" i="6"/>
  <c r="B49" i="7" s="1"/>
  <c r="B49" i="8" s="1"/>
  <c r="J45" i="6"/>
  <c r="J53" i="7" s="1"/>
  <c r="I45" i="6"/>
  <c r="I53" i="7" s="1"/>
  <c r="H45" i="6"/>
  <c r="H53" i="7" s="1"/>
  <c r="G45" i="6"/>
  <c r="G53" i="7" s="1"/>
  <c r="F45" i="6"/>
  <c r="F53" i="7" s="1"/>
  <c r="E45" i="6"/>
  <c r="E53" i="7" s="1"/>
  <c r="D45" i="6"/>
  <c r="D53" i="7" s="1"/>
  <c r="C45" i="6"/>
  <c r="C53" i="7" s="1"/>
  <c r="C53" i="8" s="1"/>
  <c r="B45" i="6"/>
  <c r="A45" i="6"/>
  <c r="B48" i="7" s="1"/>
  <c r="B48" i="8" s="1"/>
  <c r="J44" i="6"/>
  <c r="J52" i="7" s="1"/>
  <c r="I44" i="6"/>
  <c r="I52" i="7" s="1"/>
  <c r="H44" i="6"/>
  <c r="H52" i="7" s="1"/>
  <c r="G44" i="6"/>
  <c r="G52" i="7" s="1"/>
  <c r="F44" i="6"/>
  <c r="F52" i="7" s="1"/>
  <c r="E44" i="6"/>
  <c r="E52" i="7" s="1"/>
  <c r="D44" i="6"/>
  <c r="D52" i="7" s="1"/>
  <c r="C44" i="6"/>
  <c r="C52" i="7" s="1"/>
  <c r="C52" i="8" s="1"/>
  <c r="B44" i="6"/>
  <c r="A44" i="6"/>
  <c r="B47" i="7" s="1"/>
  <c r="B47" i="8" s="1"/>
  <c r="J43" i="6"/>
  <c r="J51" i="7" s="1"/>
  <c r="I43" i="6"/>
  <c r="I51" i="7" s="1"/>
  <c r="H43" i="6"/>
  <c r="H51" i="7" s="1"/>
  <c r="G43" i="6"/>
  <c r="G51" i="7" s="1"/>
  <c r="F43" i="6"/>
  <c r="F51" i="7" s="1"/>
  <c r="E43" i="6"/>
  <c r="E51" i="7" s="1"/>
  <c r="D43" i="6"/>
  <c r="D51" i="7" s="1"/>
  <c r="C43" i="6"/>
  <c r="C51" i="7" s="1"/>
  <c r="C51" i="8" s="1"/>
  <c r="B43" i="6"/>
  <c r="A43" i="6"/>
  <c r="B46" i="7" s="1"/>
  <c r="B46" i="8" s="1"/>
  <c r="J42" i="6"/>
  <c r="J50" i="7" s="1"/>
  <c r="I42" i="6"/>
  <c r="I50" i="7" s="1"/>
  <c r="H42" i="6"/>
  <c r="H50" i="7" s="1"/>
  <c r="G42" i="6"/>
  <c r="G50" i="7" s="1"/>
  <c r="F42" i="6"/>
  <c r="F50" i="7" s="1"/>
  <c r="E42" i="6"/>
  <c r="E50" i="7" s="1"/>
  <c r="D42" i="6"/>
  <c r="D50" i="7" s="1"/>
  <c r="C42" i="6"/>
  <c r="C50" i="7" s="1"/>
  <c r="C50" i="8" s="1"/>
  <c r="B42" i="6"/>
  <c r="A42" i="6"/>
  <c r="B45" i="7" s="1"/>
  <c r="B45" i="8" s="1"/>
  <c r="J41" i="6"/>
  <c r="J49" i="7" s="1"/>
  <c r="I41" i="6"/>
  <c r="I49" i="7" s="1"/>
  <c r="H41" i="6"/>
  <c r="H49" i="7" s="1"/>
  <c r="G41" i="6"/>
  <c r="G49" i="7" s="1"/>
  <c r="F41" i="6"/>
  <c r="F49" i="7" s="1"/>
  <c r="E41" i="6"/>
  <c r="E49" i="7" s="1"/>
  <c r="D41" i="6"/>
  <c r="D49" i="7" s="1"/>
  <c r="C41" i="6"/>
  <c r="C49" i="7" s="1"/>
  <c r="C49" i="8" s="1"/>
  <c r="B41" i="6"/>
  <c r="A41" i="6"/>
  <c r="B44" i="7" s="1"/>
  <c r="B44" i="8" s="1"/>
  <c r="J40" i="6"/>
  <c r="J48" i="7" s="1"/>
  <c r="I40" i="6"/>
  <c r="I48" i="7" s="1"/>
  <c r="H40" i="6"/>
  <c r="H48" i="7" s="1"/>
  <c r="G40" i="6"/>
  <c r="G48" i="7" s="1"/>
  <c r="F40" i="6"/>
  <c r="F48" i="7" s="1"/>
  <c r="E40" i="6"/>
  <c r="E48" i="7" s="1"/>
  <c r="D40" i="6"/>
  <c r="D48" i="7" s="1"/>
  <c r="C40" i="6"/>
  <c r="C48" i="7" s="1"/>
  <c r="C48" i="8" s="1"/>
  <c r="B40" i="6"/>
  <c r="A40" i="6"/>
  <c r="B43" i="7" s="1"/>
  <c r="B43" i="8" s="1"/>
  <c r="J39" i="6"/>
  <c r="J47" i="7" s="1"/>
  <c r="I39" i="6"/>
  <c r="I47" i="7" s="1"/>
  <c r="H39" i="6"/>
  <c r="H47" i="7" s="1"/>
  <c r="G39" i="6"/>
  <c r="G47" i="7" s="1"/>
  <c r="F39" i="6"/>
  <c r="F47" i="7" s="1"/>
  <c r="E39" i="6"/>
  <c r="E47" i="7" s="1"/>
  <c r="D39" i="6"/>
  <c r="D47" i="7" s="1"/>
  <c r="C39" i="6"/>
  <c r="C47" i="7" s="1"/>
  <c r="C47" i="8" s="1"/>
  <c r="B39" i="6"/>
  <c r="A39" i="6"/>
  <c r="B42" i="7" s="1"/>
  <c r="B42" i="8" s="1"/>
  <c r="J38" i="6"/>
  <c r="J46" i="7" s="1"/>
  <c r="I38" i="6"/>
  <c r="I46" i="7" s="1"/>
  <c r="H38" i="6"/>
  <c r="H46" i="7" s="1"/>
  <c r="G38" i="6"/>
  <c r="G46" i="7" s="1"/>
  <c r="F38" i="6"/>
  <c r="F46" i="7" s="1"/>
  <c r="E38" i="6"/>
  <c r="E46" i="7" s="1"/>
  <c r="D38" i="6"/>
  <c r="D46" i="7" s="1"/>
  <c r="C38" i="6"/>
  <c r="C46" i="7" s="1"/>
  <c r="C46" i="8" s="1"/>
  <c r="B38" i="6"/>
  <c r="A38" i="6"/>
  <c r="B41" i="7" s="1"/>
  <c r="B41" i="8" s="1"/>
  <c r="J37" i="6"/>
  <c r="J45" i="7" s="1"/>
  <c r="I37" i="6"/>
  <c r="I45" i="7" s="1"/>
  <c r="H37" i="6"/>
  <c r="H45" i="7" s="1"/>
  <c r="G37" i="6"/>
  <c r="G45" i="7" s="1"/>
  <c r="F37" i="6"/>
  <c r="F45" i="7" s="1"/>
  <c r="E37" i="6"/>
  <c r="E45" i="7" s="1"/>
  <c r="D37" i="6"/>
  <c r="D45" i="7" s="1"/>
  <c r="C37" i="6"/>
  <c r="C45" i="7" s="1"/>
  <c r="C45" i="8" s="1"/>
  <c r="B37" i="6"/>
  <c r="A37" i="6"/>
  <c r="B40" i="7" s="1"/>
  <c r="B40" i="8" s="1"/>
  <c r="J36" i="6"/>
  <c r="J44" i="7" s="1"/>
  <c r="I36" i="6"/>
  <c r="I44" i="7" s="1"/>
  <c r="H36" i="6"/>
  <c r="H44" i="7" s="1"/>
  <c r="G36" i="6"/>
  <c r="G44" i="7" s="1"/>
  <c r="F36" i="6"/>
  <c r="F44" i="7" s="1"/>
  <c r="E36" i="6"/>
  <c r="E44" i="7" s="1"/>
  <c r="D36" i="6"/>
  <c r="D44" i="7" s="1"/>
  <c r="C36" i="6"/>
  <c r="C44" i="7" s="1"/>
  <c r="C44" i="8" s="1"/>
  <c r="B36" i="6"/>
  <c r="A36" i="6"/>
  <c r="B39" i="7" s="1"/>
  <c r="B39" i="8" s="1"/>
  <c r="J35" i="6"/>
  <c r="J43" i="7" s="1"/>
  <c r="I35" i="6"/>
  <c r="I43" i="7" s="1"/>
  <c r="H35" i="6"/>
  <c r="H43" i="7" s="1"/>
  <c r="G35" i="6"/>
  <c r="G43" i="7" s="1"/>
  <c r="F35" i="6"/>
  <c r="F43" i="7" s="1"/>
  <c r="E35" i="6"/>
  <c r="E43" i="7" s="1"/>
  <c r="D35" i="6"/>
  <c r="D43" i="7" s="1"/>
  <c r="C35" i="6"/>
  <c r="C43" i="7" s="1"/>
  <c r="C43" i="8" s="1"/>
  <c r="B35" i="6"/>
  <c r="A35" i="6"/>
  <c r="B38" i="7" s="1"/>
  <c r="B38" i="8" s="1"/>
  <c r="J34" i="6"/>
  <c r="J42" i="7" s="1"/>
  <c r="I34" i="6"/>
  <c r="I42" i="7" s="1"/>
  <c r="H34" i="6"/>
  <c r="H42" i="7" s="1"/>
  <c r="G34" i="6"/>
  <c r="G42" i="7" s="1"/>
  <c r="F34" i="6"/>
  <c r="F42" i="7" s="1"/>
  <c r="E34" i="6"/>
  <c r="E42" i="7" s="1"/>
  <c r="D34" i="6"/>
  <c r="D42" i="7" s="1"/>
  <c r="C34" i="6"/>
  <c r="C42" i="7" s="1"/>
  <c r="C42" i="8" s="1"/>
  <c r="B34" i="6"/>
  <c r="A34" i="6"/>
  <c r="B37" i="7" s="1"/>
  <c r="B37" i="8" s="1"/>
  <c r="J33" i="6"/>
  <c r="J41" i="7" s="1"/>
  <c r="I33" i="6"/>
  <c r="I41" i="7" s="1"/>
  <c r="H33" i="6"/>
  <c r="H41" i="7" s="1"/>
  <c r="G33" i="6"/>
  <c r="G41" i="7" s="1"/>
  <c r="F33" i="6"/>
  <c r="F41" i="7" s="1"/>
  <c r="E33" i="6"/>
  <c r="E41" i="7" s="1"/>
  <c r="D33" i="6"/>
  <c r="D41" i="7" s="1"/>
  <c r="C33" i="6"/>
  <c r="C41" i="7" s="1"/>
  <c r="C41" i="8" s="1"/>
  <c r="B33" i="6"/>
  <c r="A33" i="6"/>
  <c r="B36" i="7" s="1"/>
  <c r="B36" i="8" s="1"/>
  <c r="J32" i="6"/>
  <c r="J40" i="7" s="1"/>
  <c r="I32" i="6"/>
  <c r="I40" i="7" s="1"/>
  <c r="H32" i="6"/>
  <c r="H40" i="7" s="1"/>
  <c r="G32" i="6"/>
  <c r="G40" i="7" s="1"/>
  <c r="F32" i="6"/>
  <c r="F40" i="7" s="1"/>
  <c r="E32" i="6"/>
  <c r="E40" i="7" s="1"/>
  <c r="D32" i="6"/>
  <c r="D40" i="7" s="1"/>
  <c r="C32" i="6"/>
  <c r="C40" i="7" s="1"/>
  <c r="C40" i="8" s="1"/>
  <c r="B32" i="6"/>
  <c r="A32" i="6"/>
  <c r="B35" i="7" s="1"/>
  <c r="B35" i="8" s="1"/>
  <c r="J31" i="6"/>
  <c r="J39" i="7" s="1"/>
  <c r="I31" i="6"/>
  <c r="I39" i="7" s="1"/>
  <c r="H31" i="6"/>
  <c r="H39" i="7" s="1"/>
  <c r="G31" i="6"/>
  <c r="G39" i="7" s="1"/>
  <c r="F31" i="6"/>
  <c r="F39" i="7" s="1"/>
  <c r="E31" i="6"/>
  <c r="E39" i="7" s="1"/>
  <c r="D31" i="6"/>
  <c r="D39" i="7" s="1"/>
  <c r="C31" i="6"/>
  <c r="C39" i="7" s="1"/>
  <c r="C39" i="8" s="1"/>
  <c r="B31" i="6"/>
  <c r="A31" i="6"/>
  <c r="J30" i="6"/>
  <c r="J38" i="7" s="1"/>
  <c r="I30" i="6"/>
  <c r="I38" i="7" s="1"/>
  <c r="H30" i="6"/>
  <c r="H38" i="7" s="1"/>
  <c r="G30" i="6"/>
  <c r="G38" i="7" s="1"/>
  <c r="F30" i="6"/>
  <c r="F38" i="7" s="1"/>
  <c r="E30" i="6"/>
  <c r="E38" i="7" s="1"/>
  <c r="D30" i="6"/>
  <c r="D38" i="7" s="1"/>
  <c r="C30" i="6"/>
  <c r="C38" i="7" s="1"/>
  <c r="C38" i="8" s="1"/>
  <c r="B30" i="6"/>
  <c r="A30" i="6"/>
  <c r="B33" i="7" s="1"/>
  <c r="B33" i="8" s="1"/>
  <c r="J29" i="6"/>
  <c r="J37" i="7" s="1"/>
  <c r="I29" i="6"/>
  <c r="I37" i="7" s="1"/>
  <c r="H29" i="6"/>
  <c r="H37" i="7" s="1"/>
  <c r="G29" i="6"/>
  <c r="G37" i="7" s="1"/>
  <c r="F29" i="6"/>
  <c r="F37" i="7" s="1"/>
  <c r="E29" i="6"/>
  <c r="E37" i="7" s="1"/>
  <c r="D29" i="6"/>
  <c r="D37" i="7" s="1"/>
  <c r="C29" i="6"/>
  <c r="C37" i="7" s="1"/>
  <c r="C37" i="8" s="1"/>
  <c r="B29" i="6"/>
  <c r="A29" i="6"/>
  <c r="B32" i="7" s="1"/>
  <c r="B32" i="8" s="1"/>
  <c r="J28" i="6"/>
  <c r="J36" i="7" s="1"/>
  <c r="I28" i="6"/>
  <c r="I36" i="7" s="1"/>
  <c r="H28" i="6"/>
  <c r="H36" i="7" s="1"/>
  <c r="G28" i="6"/>
  <c r="G36" i="7" s="1"/>
  <c r="F28" i="6"/>
  <c r="F36" i="7" s="1"/>
  <c r="E28" i="6"/>
  <c r="E36" i="7" s="1"/>
  <c r="D28" i="6"/>
  <c r="D36" i="7" s="1"/>
  <c r="C28" i="6"/>
  <c r="C36" i="7" s="1"/>
  <c r="C36" i="8" s="1"/>
  <c r="B28" i="6"/>
  <c r="A28" i="6"/>
  <c r="B31" i="7" s="1"/>
  <c r="B31" i="8" s="1"/>
  <c r="J27" i="6"/>
  <c r="J35" i="7" s="1"/>
  <c r="I27" i="6"/>
  <c r="I35" i="7" s="1"/>
  <c r="H27" i="6"/>
  <c r="H35" i="7" s="1"/>
  <c r="G27" i="6"/>
  <c r="G35" i="7" s="1"/>
  <c r="F27" i="6"/>
  <c r="F35" i="7" s="1"/>
  <c r="E27" i="6"/>
  <c r="E35" i="7" s="1"/>
  <c r="D27" i="6"/>
  <c r="D35" i="7" s="1"/>
  <c r="C27" i="6"/>
  <c r="C35" i="7" s="1"/>
  <c r="C35" i="8" s="1"/>
  <c r="B27" i="6"/>
  <c r="A27" i="6"/>
  <c r="B30" i="7" s="1"/>
  <c r="B30" i="8" s="1"/>
  <c r="J26" i="6"/>
  <c r="J34" i="7" s="1"/>
  <c r="I26" i="6"/>
  <c r="I34" i="7" s="1"/>
  <c r="H26" i="6"/>
  <c r="H34" i="7" s="1"/>
  <c r="G26" i="6"/>
  <c r="G34" i="7" s="1"/>
  <c r="F26" i="6"/>
  <c r="F34" i="7" s="1"/>
  <c r="E26" i="6"/>
  <c r="E34" i="7" s="1"/>
  <c r="E34" i="8" s="1"/>
  <c r="D26" i="6"/>
  <c r="D34" i="7" s="1"/>
  <c r="D34" i="8" s="1"/>
  <c r="C26" i="6"/>
  <c r="C34" i="7" s="1"/>
  <c r="C34" i="8" s="1"/>
  <c r="B26" i="6"/>
  <c r="A26" i="6"/>
  <c r="B29" i="7" s="1"/>
  <c r="B29" i="8" s="1"/>
  <c r="J25" i="6"/>
  <c r="J33" i="7" s="1"/>
  <c r="I25" i="6"/>
  <c r="I33" i="7" s="1"/>
  <c r="H25" i="6"/>
  <c r="H33" i="7" s="1"/>
  <c r="G25" i="6"/>
  <c r="G33" i="7" s="1"/>
  <c r="F25" i="6"/>
  <c r="F33" i="7" s="1"/>
  <c r="E25" i="6"/>
  <c r="E33" i="7" s="1"/>
  <c r="E33" i="8" s="1"/>
  <c r="D25" i="6"/>
  <c r="D33" i="7" s="1"/>
  <c r="C25" i="6"/>
  <c r="C33" i="7" s="1"/>
  <c r="B25" i="6"/>
  <c r="A25" i="6"/>
  <c r="J24" i="6"/>
  <c r="J32" i="7" s="1"/>
  <c r="I24" i="6"/>
  <c r="I32" i="7" s="1"/>
  <c r="H24" i="6"/>
  <c r="H32" i="7" s="1"/>
  <c r="G24" i="6"/>
  <c r="G32" i="7" s="1"/>
  <c r="F24" i="6"/>
  <c r="F32" i="7" s="1"/>
  <c r="E24" i="6"/>
  <c r="E32" i="7" s="1"/>
  <c r="D24" i="6"/>
  <c r="D32" i="7" s="1"/>
  <c r="C24" i="6"/>
  <c r="C32" i="7" s="1"/>
  <c r="C32" i="8" s="1"/>
  <c r="B24" i="6"/>
  <c r="A24" i="6"/>
  <c r="B27" i="7" s="1"/>
  <c r="B27" i="8" s="1"/>
  <c r="J23" i="6"/>
  <c r="J31" i="7" s="1"/>
  <c r="I23" i="6"/>
  <c r="I31" i="7" s="1"/>
  <c r="H23" i="6"/>
  <c r="H31" i="7" s="1"/>
  <c r="G23" i="6"/>
  <c r="G31" i="7" s="1"/>
  <c r="F23" i="6"/>
  <c r="F31" i="7" s="1"/>
  <c r="E23" i="6"/>
  <c r="E31" i="7" s="1"/>
  <c r="D23" i="6"/>
  <c r="D31" i="7" s="1"/>
  <c r="C23" i="6"/>
  <c r="C31" i="7" s="1"/>
  <c r="C31" i="8" s="1"/>
  <c r="B23" i="6"/>
  <c r="A23" i="6"/>
  <c r="B26" i="7" s="1"/>
  <c r="B26" i="8" s="1"/>
  <c r="J22" i="6"/>
  <c r="J30" i="7" s="1"/>
  <c r="I22" i="6"/>
  <c r="I30" i="7" s="1"/>
  <c r="H22" i="6"/>
  <c r="H30" i="7" s="1"/>
  <c r="G22" i="6"/>
  <c r="G30" i="7" s="1"/>
  <c r="F22" i="6"/>
  <c r="F30" i="7" s="1"/>
  <c r="E22" i="6"/>
  <c r="E30" i="7" s="1"/>
  <c r="D22" i="6"/>
  <c r="D30" i="7" s="1"/>
  <c r="C22" i="6"/>
  <c r="C30" i="7" s="1"/>
  <c r="C30" i="8" s="1"/>
  <c r="B22" i="6"/>
  <c r="A22" i="6"/>
  <c r="B25" i="7" s="1"/>
  <c r="B25" i="8" s="1"/>
  <c r="J21" i="6"/>
  <c r="J29" i="7" s="1"/>
  <c r="I21" i="6"/>
  <c r="I29" i="7" s="1"/>
  <c r="H21" i="6"/>
  <c r="H29" i="7" s="1"/>
  <c r="G21" i="6"/>
  <c r="G29" i="7" s="1"/>
  <c r="F21" i="6"/>
  <c r="F29" i="7" s="1"/>
  <c r="E21" i="6"/>
  <c r="E29" i="7" s="1"/>
  <c r="D21" i="6"/>
  <c r="D29" i="7" s="1"/>
  <c r="C21" i="6"/>
  <c r="C29" i="7" s="1"/>
  <c r="C29" i="8" s="1"/>
  <c r="B21" i="6"/>
  <c r="A21" i="6"/>
  <c r="B24" i="7" s="1"/>
  <c r="B24" i="8" s="1"/>
  <c r="J20" i="6"/>
  <c r="J28" i="7" s="1"/>
  <c r="I20" i="6"/>
  <c r="I28" i="7" s="1"/>
  <c r="H20" i="6"/>
  <c r="H28" i="7" s="1"/>
  <c r="G20" i="6"/>
  <c r="G28" i="7" s="1"/>
  <c r="F20" i="6"/>
  <c r="F28" i="7" s="1"/>
  <c r="E20" i="6"/>
  <c r="E28" i="7" s="1"/>
  <c r="D20" i="6"/>
  <c r="D28" i="7" s="1"/>
  <c r="C20" i="6"/>
  <c r="C28" i="7" s="1"/>
  <c r="C28" i="8" s="1"/>
  <c r="B20" i="6"/>
  <c r="A20" i="6"/>
  <c r="B23" i="7" s="1"/>
  <c r="B23" i="8" s="1"/>
  <c r="J19" i="6"/>
  <c r="J27" i="7" s="1"/>
  <c r="I19" i="6"/>
  <c r="I27" i="7" s="1"/>
  <c r="H19" i="6"/>
  <c r="H27" i="7" s="1"/>
  <c r="G19" i="6"/>
  <c r="G27" i="7" s="1"/>
  <c r="F19" i="6"/>
  <c r="F27" i="7" s="1"/>
  <c r="E19" i="6"/>
  <c r="E27" i="7" s="1"/>
  <c r="D19" i="6"/>
  <c r="D27" i="7" s="1"/>
  <c r="C19" i="6"/>
  <c r="C27" i="7" s="1"/>
  <c r="C27" i="8" s="1"/>
  <c r="B19" i="6"/>
  <c r="A19" i="6"/>
  <c r="B22" i="7" s="1"/>
  <c r="B22" i="8" s="1"/>
  <c r="J18" i="6"/>
  <c r="J26" i="7" s="1"/>
  <c r="I18" i="6"/>
  <c r="I26" i="7" s="1"/>
  <c r="H18" i="6"/>
  <c r="H26" i="7" s="1"/>
  <c r="G18" i="6"/>
  <c r="G26" i="7" s="1"/>
  <c r="F18" i="6"/>
  <c r="F26" i="7" s="1"/>
  <c r="E18" i="6"/>
  <c r="E26" i="7" s="1"/>
  <c r="D18" i="6"/>
  <c r="D26" i="7" s="1"/>
  <c r="C18" i="6"/>
  <c r="C26" i="7" s="1"/>
  <c r="C26" i="8" s="1"/>
  <c r="B18" i="6"/>
  <c r="A18" i="6"/>
  <c r="B21" i="7" s="1"/>
  <c r="B21" i="8" s="1"/>
  <c r="J17" i="6"/>
  <c r="J25" i="7" s="1"/>
  <c r="I17" i="6"/>
  <c r="I25" i="7" s="1"/>
  <c r="H17" i="6"/>
  <c r="H25" i="7" s="1"/>
  <c r="G17" i="6"/>
  <c r="G25" i="7" s="1"/>
  <c r="F17" i="6"/>
  <c r="F25" i="7" s="1"/>
  <c r="E17" i="6"/>
  <c r="E25" i="7" s="1"/>
  <c r="D17" i="6"/>
  <c r="D25" i="7" s="1"/>
  <c r="C17" i="6"/>
  <c r="C25" i="7" s="1"/>
  <c r="C25" i="8" s="1"/>
  <c r="B17" i="6"/>
  <c r="A17" i="6"/>
  <c r="B20" i="7" s="1"/>
  <c r="B20" i="8" s="1"/>
  <c r="J16" i="6"/>
  <c r="J24" i="7" s="1"/>
  <c r="I16" i="6"/>
  <c r="I24" i="7" s="1"/>
  <c r="H16" i="6"/>
  <c r="H24" i="7" s="1"/>
  <c r="G16" i="6"/>
  <c r="G24" i="7" s="1"/>
  <c r="F16" i="6"/>
  <c r="F24" i="7" s="1"/>
  <c r="E16" i="6"/>
  <c r="E24" i="7" s="1"/>
  <c r="D16" i="6"/>
  <c r="D24" i="7" s="1"/>
  <c r="C16" i="6"/>
  <c r="C24" i="7" s="1"/>
  <c r="C24" i="8" s="1"/>
  <c r="B16" i="6"/>
  <c r="A16" i="6"/>
  <c r="B19" i="7" s="1"/>
  <c r="B19" i="8" s="1"/>
  <c r="J15" i="6"/>
  <c r="J23" i="7" s="1"/>
  <c r="I15" i="6"/>
  <c r="I23" i="7" s="1"/>
  <c r="H15" i="6"/>
  <c r="H23" i="7" s="1"/>
  <c r="G15" i="6"/>
  <c r="G23" i="7" s="1"/>
  <c r="F15" i="6"/>
  <c r="F23" i="7" s="1"/>
  <c r="E15" i="6"/>
  <c r="E23" i="7" s="1"/>
  <c r="D15" i="6"/>
  <c r="D23" i="7" s="1"/>
  <c r="C15" i="6"/>
  <c r="C23" i="7" s="1"/>
  <c r="C23" i="8" s="1"/>
  <c r="B15" i="6"/>
  <c r="A15" i="6"/>
  <c r="B18" i="7" s="1"/>
  <c r="B18" i="8" s="1"/>
  <c r="J14" i="6"/>
  <c r="J22" i="7" s="1"/>
  <c r="I14" i="6"/>
  <c r="I22" i="7" s="1"/>
  <c r="H14" i="6"/>
  <c r="H22" i="7" s="1"/>
  <c r="G14" i="6"/>
  <c r="G22" i="7" s="1"/>
  <c r="F14" i="6"/>
  <c r="F22" i="7" s="1"/>
  <c r="E14" i="6"/>
  <c r="E22" i="7" s="1"/>
  <c r="D14" i="6"/>
  <c r="D22" i="7" s="1"/>
  <c r="C14" i="6"/>
  <c r="C22" i="7" s="1"/>
  <c r="C22" i="8" s="1"/>
  <c r="B14" i="6"/>
  <c r="A14" i="6"/>
  <c r="B17" i="7" s="1"/>
  <c r="B17" i="8" s="1"/>
  <c r="J13" i="6"/>
  <c r="J21" i="7" s="1"/>
  <c r="I13" i="6"/>
  <c r="I21" i="7" s="1"/>
  <c r="H13" i="6"/>
  <c r="H21" i="7" s="1"/>
  <c r="G13" i="6"/>
  <c r="G21" i="7" s="1"/>
  <c r="F13" i="6"/>
  <c r="F21" i="7" s="1"/>
  <c r="E13" i="6"/>
  <c r="E21" i="7" s="1"/>
  <c r="D13" i="6"/>
  <c r="D21" i="7" s="1"/>
  <c r="C13" i="6"/>
  <c r="C21" i="7" s="1"/>
  <c r="C21" i="8" s="1"/>
  <c r="B13" i="6"/>
  <c r="A13" i="6"/>
  <c r="B16" i="7" s="1"/>
  <c r="B16" i="8" s="1"/>
  <c r="J12" i="6"/>
  <c r="J20" i="7" s="1"/>
  <c r="I12" i="6"/>
  <c r="I20" i="7" s="1"/>
  <c r="H12" i="6"/>
  <c r="H20" i="7" s="1"/>
  <c r="G12" i="6"/>
  <c r="G20" i="7" s="1"/>
  <c r="F12" i="6"/>
  <c r="F20" i="7" s="1"/>
  <c r="E12" i="6"/>
  <c r="E20" i="7" s="1"/>
  <c r="D12" i="6"/>
  <c r="D20" i="7" s="1"/>
  <c r="C12" i="6"/>
  <c r="C20" i="7" s="1"/>
  <c r="C20" i="8" s="1"/>
  <c r="B12" i="6"/>
  <c r="A12" i="6"/>
  <c r="B15" i="7" s="1"/>
  <c r="B15" i="8" s="1"/>
  <c r="J11" i="6"/>
  <c r="J19" i="7" s="1"/>
  <c r="I11" i="6"/>
  <c r="I19" i="7" s="1"/>
  <c r="H11" i="6"/>
  <c r="H19" i="7" s="1"/>
  <c r="G11" i="6"/>
  <c r="G19" i="7" s="1"/>
  <c r="F11" i="6"/>
  <c r="F19" i="7" s="1"/>
  <c r="E11" i="6"/>
  <c r="E19" i="7" s="1"/>
  <c r="D11" i="6"/>
  <c r="D19" i="7" s="1"/>
  <c r="C11" i="6"/>
  <c r="C19" i="7" s="1"/>
  <c r="C19" i="8" s="1"/>
  <c r="B11" i="6"/>
  <c r="A11" i="6"/>
  <c r="B14" i="7" s="1"/>
  <c r="B14" i="8" s="1"/>
  <c r="J10" i="6"/>
  <c r="J18" i="7" s="1"/>
  <c r="I10" i="6"/>
  <c r="I18" i="7" s="1"/>
  <c r="H10" i="6"/>
  <c r="H18" i="7" s="1"/>
  <c r="G10" i="6"/>
  <c r="G18" i="7" s="1"/>
  <c r="F10" i="6"/>
  <c r="F18" i="7" s="1"/>
  <c r="E10" i="6"/>
  <c r="E18" i="7" s="1"/>
  <c r="D10" i="6"/>
  <c r="D18" i="7" s="1"/>
  <c r="C10" i="6"/>
  <c r="C18" i="7" s="1"/>
  <c r="C18" i="8" s="1"/>
  <c r="B10" i="6"/>
  <c r="A10" i="6"/>
  <c r="B13" i="7" s="1"/>
  <c r="B13" i="8" s="1"/>
  <c r="J9" i="6"/>
  <c r="J17" i="7" s="1"/>
  <c r="I9" i="6"/>
  <c r="I17" i="7" s="1"/>
  <c r="H9" i="6"/>
  <c r="H17" i="7" s="1"/>
  <c r="G9" i="6"/>
  <c r="G17" i="7" s="1"/>
  <c r="F9" i="6"/>
  <c r="F17" i="7" s="1"/>
  <c r="E9" i="6"/>
  <c r="E17" i="7" s="1"/>
  <c r="D9" i="6"/>
  <c r="D17" i="7" s="1"/>
  <c r="C9" i="6"/>
  <c r="C17" i="7" s="1"/>
  <c r="C17" i="8" s="1"/>
  <c r="B9" i="6"/>
  <c r="A9" i="6"/>
  <c r="B12" i="7" s="1"/>
  <c r="B12" i="8" s="1"/>
  <c r="J8" i="6"/>
  <c r="J16" i="7" s="1"/>
  <c r="I8" i="6"/>
  <c r="I16" i="7" s="1"/>
  <c r="H8" i="6"/>
  <c r="H16" i="7" s="1"/>
  <c r="G8" i="6"/>
  <c r="G16" i="7" s="1"/>
  <c r="F8" i="6"/>
  <c r="F16" i="7" s="1"/>
  <c r="E8" i="6"/>
  <c r="E16" i="7" s="1"/>
  <c r="D8" i="6"/>
  <c r="D16" i="7" s="1"/>
  <c r="C8" i="6"/>
  <c r="C16" i="7" s="1"/>
  <c r="C16" i="8" s="1"/>
  <c r="B8" i="6"/>
  <c r="A8" i="6"/>
  <c r="B11" i="7" s="1"/>
  <c r="B11" i="8" s="1"/>
  <c r="J7" i="6"/>
  <c r="J15" i="7" s="1"/>
  <c r="I7" i="6"/>
  <c r="I15" i="7" s="1"/>
  <c r="H7" i="6"/>
  <c r="H15" i="7" s="1"/>
  <c r="G7" i="6"/>
  <c r="G15" i="7" s="1"/>
  <c r="F7" i="6"/>
  <c r="F15" i="7" s="1"/>
  <c r="E7" i="6"/>
  <c r="E15" i="7" s="1"/>
  <c r="E15" i="8" s="1"/>
  <c r="D7" i="6"/>
  <c r="D15" i="7" s="1"/>
  <c r="D15" i="8" s="1"/>
  <c r="C7" i="6"/>
  <c r="C15" i="7" s="1"/>
  <c r="C15" i="8" s="1"/>
  <c r="B7" i="6"/>
  <c r="A7" i="6"/>
  <c r="B10" i="7" s="1"/>
  <c r="B10" i="8" s="1"/>
  <c r="J6" i="6"/>
  <c r="J14" i="7" s="1"/>
  <c r="I6" i="6"/>
  <c r="I14" i="7" s="1"/>
  <c r="H6" i="6"/>
  <c r="H14" i="7" s="1"/>
  <c r="G6" i="6"/>
  <c r="G14" i="7" s="1"/>
  <c r="F6" i="6"/>
  <c r="F14" i="7" s="1"/>
  <c r="E6" i="6"/>
  <c r="E14" i="7" s="1"/>
  <c r="D6" i="6"/>
  <c r="D14" i="7" s="1"/>
  <c r="D14" i="8" s="1"/>
  <c r="C6" i="6"/>
  <c r="C14" i="7" s="1"/>
  <c r="C14" i="8" s="1"/>
  <c r="B6" i="6"/>
  <c r="A6" i="6"/>
  <c r="B9" i="7" s="1"/>
  <c r="B9" i="8" s="1"/>
  <c r="J5" i="6"/>
  <c r="J13" i="7" s="1"/>
  <c r="I5" i="6"/>
  <c r="I13" i="7" s="1"/>
  <c r="H5" i="6"/>
  <c r="H13" i="7" s="1"/>
  <c r="G5" i="6"/>
  <c r="G13" i="7" s="1"/>
  <c r="F5" i="6"/>
  <c r="F13" i="7" s="1"/>
  <c r="E5" i="6"/>
  <c r="E13" i="7" s="1"/>
  <c r="D5" i="6"/>
  <c r="D13" i="7" s="1"/>
  <c r="D13" i="8" s="1"/>
  <c r="C5" i="6"/>
  <c r="C13" i="7" s="1"/>
  <c r="C13" i="8" s="1"/>
  <c r="B5" i="6"/>
  <c r="A5" i="6"/>
  <c r="B8" i="7" s="1"/>
  <c r="B8" i="8" s="1"/>
  <c r="J4" i="6"/>
  <c r="J12" i="7" s="1"/>
  <c r="I4" i="6"/>
  <c r="I12" i="7" s="1"/>
  <c r="H4" i="6"/>
  <c r="H12" i="7" s="1"/>
  <c r="G4" i="6"/>
  <c r="G12" i="7" s="1"/>
  <c r="F4" i="6"/>
  <c r="F12" i="7" s="1"/>
  <c r="F12" i="8" s="1"/>
  <c r="E4" i="6"/>
  <c r="E12" i="7" s="1"/>
  <c r="E12" i="8" s="1"/>
  <c r="D4" i="6"/>
  <c r="D12" i="7" s="1"/>
  <c r="D12" i="8" s="1"/>
  <c r="C4" i="6"/>
  <c r="C12" i="7" s="1"/>
  <c r="C12" i="8" s="1"/>
  <c r="B4" i="6"/>
  <c r="A4" i="6"/>
  <c r="B7" i="7" s="1"/>
  <c r="B7" i="8" s="1"/>
  <c r="J3" i="6"/>
  <c r="J11" i="7" s="1"/>
  <c r="I3" i="6"/>
  <c r="I11" i="7" s="1"/>
  <c r="H3" i="6"/>
  <c r="H11" i="7" s="1"/>
  <c r="G3" i="6"/>
  <c r="G11" i="7" s="1"/>
  <c r="F3" i="6"/>
  <c r="F11" i="7" s="1"/>
  <c r="E3" i="6"/>
  <c r="E11" i="7" s="1"/>
  <c r="D3" i="6"/>
  <c r="D11" i="7" s="1"/>
  <c r="D11" i="8" s="1"/>
  <c r="C3" i="6"/>
  <c r="C11" i="7" s="1"/>
  <c r="C11" i="8" s="1"/>
  <c r="B3" i="6"/>
  <c r="A3" i="6"/>
  <c r="B6" i="7" s="1"/>
  <c r="B6" i="8" s="1"/>
  <c r="A2" i="6"/>
  <c r="B5" i="7" s="1"/>
  <c r="B5" i="8" s="1"/>
  <c r="B28" i="2"/>
  <c r="B13" i="2"/>
  <c r="F5" i="18" l="1"/>
  <c r="F14" i="19"/>
  <c r="E5" i="18"/>
  <c r="E14" i="19"/>
  <c r="C116" i="11"/>
  <c r="C117" i="11"/>
  <c r="C116" i="14"/>
  <c r="C117" i="14"/>
  <c r="C116" i="17"/>
  <c r="C117" i="17"/>
  <c r="D113" i="9"/>
  <c r="D114" i="9"/>
  <c r="D115" i="9"/>
  <c r="D116" i="9"/>
  <c r="D117" i="9"/>
  <c r="D113" i="11"/>
  <c r="D114" i="11"/>
  <c r="D113" i="10"/>
  <c r="D114" i="10"/>
  <c r="D115" i="10"/>
  <c r="D116" i="10"/>
  <c r="D117" i="10"/>
  <c r="D115" i="11"/>
  <c r="D113" i="12"/>
  <c r="D114" i="12"/>
  <c r="D115" i="12"/>
  <c r="D116" i="12"/>
  <c r="D117" i="12"/>
  <c r="D113" i="13"/>
  <c r="D114" i="13"/>
  <c r="D115" i="13"/>
  <c r="D116" i="13"/>
  <c r="D117" i="13"/>
  <c r="D113" i="14"/>
  <c r="D114" i="14"/>
  <c r="D115" i="14"/>
  <c r="D113" i="15"/>
  <c r="D114" i="15"/>
  <c r="D115" i="15"/>
  <c r="D116" i="15"/>
  <c r="D117" i="15"/>
  <c r="D113" i="16"/>
  <c r="D114" i="16"/>
  <c r="D115" i="16"/>
  <c r="D116" i="16"/>
  <c r="D117" i="16"/>
  <c r="D113" i="17"/>
  <c r="D114" i="17"/>
  <c r="D115" i="17"/>
  <c r="C113" i="9"/>
  <c r="C114" i="9"/>
  <c r="C115" i="9"/>
  <c r="C116" i="9"/>
  <c r="C117" i="9"/>
  <c r="C113" i="10"/>
  <c r="C114" i="10"/>
  <c r="C115" i="10"/>
  <c r="C116" i="10"/>
  <c r="C117" i="10"/>
  <c r="C113" i="11"/>
  <c r="C113" i="12"/>
  <c r="C114" i="12"/>
  <c r="C115" i="12"/>
  <c r="C116" i="12"/>
  <c r="C117" i="12"/>
  <c r="C114" i="11"/>
  <c r="C113" i="13"/>
  <c r="C114" i="13"/>
  <c r="C115" i="13"/>
  <c r="C116" i="13"/>
  <c r="C117" i="13"/>
  <c r="C113" i="14"/>
  <c r="C114" i="14"/>
  <c r="C115" i="14"/>
  <c r="C113" i="15"/>
  <c r="C114" i="15"/>
  <c r="C115" i="15"/>
  <c r="C116" i="15"/>
  <c r="C117" i="15"/>
  <c r="C113" i="16"/>
  <c r="C114" i="16"/>
  <c r="C115" i="16"/>
  <c r="C116" i="16"/>
  <c r="C117" i="16"/>
  <c r="C113" i="17"/>
  <c r="C114" i="17"/>
  <c r="C115" i="17"/>
  <c r="C115" i="11"/>
  <c r="D110" i="11"/>
  <c r="D110" i="14"/>
  <c r="D111" i="14"/>
  <c r="D112" i="14"/>
  <c r="D112" i="11"/>
  <c r="D110" i="17"/>
  <c r="D111" i="17"/>
  <c r="D112" i="17"/>
  <c r="D111" i="11"/>
  <c r="C111" i="11"/>
  <c r="C110" i="14"/>
  <c r="C111" i="14"/>
  <c r="C112" i="14"/>
  <c r="C112" i="11"/>
  <c r="C110" i="11"/>
  <c r="C110" i="17"/>
  <c r="C111" i="17"/>
  <c r="C112" i="17"/>
  <c r="C107" i="11"/>
  <c r="C107" i="10"/>
  <c r="C108" i="10"/>
  <c r="C109" i="10"/>
  <c r="C110" i="10"/>
  <c r="C111" i="10"/>
  <c r="C112" i="10"/>
  <c r="C107" i="13"/>
  <c r="C108" i="13"/>
  <c r="C109" i="13"/>
  <c r="C110" i="13"/>
  <c r="C111" i="13"/>
  <c r="C112" i="13"/>
  <c r="C107" i="14"/>
  <c r="C108" i="14"/>
  <c r="C109" i="14"/>
  <c r="C109" i="11"/>
  <c r="C107" i="16"/>
  <c r="C108" i="16"/>
  <c r="C109" i="16"/>
  <c r="C110" i="16"/>
  <c r="C111" i="16"/>
  <c r="C112" i="16"/>
  <c r="C107" i="17"/>
  <c r="C108" i="17"/>
  <c r="C109" i="17"/>
  <c r="C108" i="11"/>
  <c r="D104" i="11"/>
  <c r="D104" i="14"/>
  <c r="D105" i="14"/>
  <c r="D106" i="14"/>
  <c r="D104" i="17"/>
  <c r="D105" i="17"/>
  <c r="D106" i="17"/>
  <c r="D105" i="11"/>
  <c r="D106" i="11"/>
  <c r="C105" i="11"/>
  <c r="C104" i="11"/>
  <c r="C106" i="11"/>
  <c r="C104" i="14"/>
  <c r="C105" i="14"/>
  <c r="C106" i="14"/>
  <c r="C104" i="17"/>
  <c r="C105" i="17"/>
  <c r="C106" i="17"/>
  <c r="C101" i="9"/>
  <c r="C102" i="9"/>
  <c r="C103" i="9"/>
  <c r="C104" i="9"/>
  <c r="C105" i="9"/>
  <c r="C106" i="9"/>
  <c r="C107" i="9"/>
  <c r="C108" i="9"/>
  <c r="C109" i="9"/>
  <c r="C110" i="9"/>
  <c r="C111" i="9"/>
  <c r="C112" i="9"/>
  <c r="C101" i="10"/>
  <c r="C102" i="10"/>
  <c r="C103" i="10"/>
  <c r="C104" i="10"/>
  <c r="C105" i="10"/>
  <c r="C106" i="10"/>
  <c r="C102" i="11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03" i="11"/>
  <c r="C101" i="13"/>
  <c r="C102" i="13"/>
  <c r="C103" i="13"/>
  <c r="C104" i="13"/>
  <c r="C105" i="13"/>
  <c r="C106" i="13"/>
  <c r="C101" i="14"/>
  <c r="C102" i="14"/>
  <c r="C103" i="14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01" i="16"/>
  <c r="C102" i="16"/>
  <c r="C103" i="16"/>
  <c r="C104" i="16"/>
  <c r="C105" i="16"/>
  <c r="C106" i="16"/>
  <c r="C101" i="11"/>
  <c r="C101" i="17"/>
  <c r="C102" i="17"/>
  <c r="C103" i="17"/>
  <c r="D100" i="11"/>
  <c r="D98" i="11"/>
  <c r="D98" i="14"/>
  <c r="D99" i="14"/>
  <c r="D100" i="14"/>
  <c r="D99" i="11"/>
  <c r="D98" i="17"/>
  <c r="D99" i="17"/>
  <c r="D100" i="17"/>
  <c r="C99" i="11"/>
  <c r="C100" i="11"/>
  <c r="C98" i="14"/>
  <c r="C99" i="14"/>
  <c r="C100" i="14"/>
  <c r="C98" i="17"/>
  <c r="C99" i="17"/>
  <c r="C100" i="17"/>
  <c r="C98" i="11"/>
  <c r="D95" i="10"/>
  <c r="D96" i="10"/>
  <c r="D97" i="10"/>
  <c r="D98" i="10"/>
  <c r="D99" i="10"/>
  <c r="D100" i="10"/>
  <c r="D95" i="13"/>
  <c r="D96" i="13"/>
  <c r="D97" i="13"/>
  <c r="D98" i="13"/>
  <c r="D99" i="13"/>
  <c r="D100" i="13"/>
  <c r="D97" i="11"/>
  <c r="D95" i="14"/>
  <c r="D96" i="14"/>
  <c r="D97" i="14"/>
  <c r="D95" i="11"/>
  <c r="D95" i="16"/>
  <c r="D96" i="16"/>
  <c r="D97" i="16"/>
  <c r="D98" i="16"/>
  <c r="D99" i="16"/>
  <c r="D100" i="16"/>
  <c r="D96" i="11"/>
  <c r="D95" i="17"/>
  <c r="D96" i="17"/>
  <c r="D97" i="17"/>
  <c r="C95" i="10"/>
  <c r="C96" i="10"/>
  <c r="C97" i="10"/>
  <c r="C98" i="10"/>
  <c r="C99" i="10"/>
  <c r="C100" i="10"/>
  <c r="C95" i="11"/>
  <c r="C97" i="11"/>
  <c r="C96" i="11"/>
  <c r="C95" i="13"/>
  <c r="C96" i="13"/>
  <c r="C97" i="13"/>
  <c r="C98" i="13"/>
  <c r="C99" i="13"/>
  <c r="C100" i="13"/>
  <c r="C95" i="14"/>
  <c r="C96" i="14"/>
  <c r="C97" i="14"/>
  <c r="C95" i="16"/>
  <c r="C96" i="16"/>
  <c r="C97" i="16"/>
  <c r="C98" i="16"/>
  <c r="C99" i="16"/>
  <c r="C100" i="16"/>
  <c r="C95" i="17"/>
  <c r="C96" i="17"/>
  <c r="C97" i="17"/>
  <c r="C93" i="11"/>
  <c r="C92" i="11"/>
  <c r="C92" i="14"/>
  <c r="C93" i="14"/>
  <c r="C94" i="14"/>
  <c r="C94" i="11"/>
  <c r="C92" i="17"/>
  <c r="C93" i="17"/>
  <c r="C94" i="17"/>
  <c r="C89" i="9"/>
  <c r="C90" i="9"/>
  <c r="C91" i="9"/>
  <c r="C92" i="9"/>
  <c r="C93" i="9"/>
  <c r="C94" i="9"/>
  <c r="C95" i="9"/>
  <c r="C96" i="9"/>
  <c r="C97" i="9"/>
  <c r="C98" i="9"/>
  <c r="C99" i="9"/>
  <c r="C100" i="9"/>
  <c r="C89" i="11"/>
  <c r="C89" i="10"/>
  <c r="C90" i="10"/>
  <c r="C91" i="10"/>
  <c r="C92" i="10"/>
  <c r="C93" i="10"/>
  <c r="C94" i="10"/>
  <c r="C91" i="11"/>
  <c r="C89" i="12"/>
  <c r="C90" i="12"/>
  <c r="C91" i="12"/>
  <c r="C92" i="12"/>
  <c r="C93" i="12"/>
  <c r="C94" i="12"/>
  <c r="C95" i="12"/>
  <c r="C96" i="12"/>
  <c r="C97" i="12"/>
  <c r="C98" i="12"/>
  <c r="C99" i="12"/>
  <c r="C100" i="12"/>
  <c r="C90" i="11"/>
  <c r="C89" i="13"/>
  <c r="C90" i="13"/>
  <c r="C91" i="13"/>
  <c r="C92" i="13"/>
  <c r="C93" i="13"/>
  <c r="C94" i="13"/>
  <c r="C89" i="14"/>
  <c r="C90" i="14"/>
  <c r="C91" i="14"/>
  <c r="C89" i="15"/>
  <c r="C90" i="15"/>
  <c r="C91" i="15"/>
  <c r="C92" i="15"/>
  <c r="C93" i="15"/>
  <c r="C94" i="15"/>
  <c r="C95" i="15"/>
  <c r="C96" i="15"/>
  <c r="C97" i="15"/>
  <c r="C98" i="15"/>
  <c r="C99" i="15"/>
  <c r="C100" i="15"/>
  <c r="C89" i="16"/>
  <c r="C90" i="16"/>
  <c r="C91" i="16"/>
  <c r="C92" i="16"/>
  <c r="C93" i="16"/>
  <c r="C94" i="16"/>
  <c r="C89" i="17"/>
  <c r="C90" i="17"/>
  <c r="C91" i="17"/>
  <c r="C87" i="11"/>
  <c r="C86" i="11"/>
  <c r="C86" i="14"/>
  <c r="C87" i="14"/>
  <c r="C88" i="14"/>
  <c r="C86" i="17"/>
  <c r="C87" i="17"/>
  <c r="C88" i="17"/>
  <c r="C88" i="11"/>
  <c r="D83" i="10"/>
  <c r="D84" i="10"/>
  <c r="D85" i="10"/>
  <c r="D86" i="10"/>
  <c r="D87" i="10"/>
  <c r="D88" i="10"/>
  <c r="D83" i="11"/>
  <c r="D84" i="11"/>
  <c r="D83" i="13"/>
  <c r="D84" i="13"/>
  <c r="D85" i="13"/>
  <c r="D86" i="13"/>
  <c r="D87" i="13"/>
  <c r="D88" i="13"/>
  <c r="D85" i="11"/>
  <c r="D83" i="14"/>
  <c r="D84" i="14"/>
  <c r="D85" i="14"/>
  <c r="D83" i="16"/>
  <c r="D84" i="16"/>
  <c r="D85" i="16"/>
  <c r="D86" i="16"/>
  <c r="D87" i="16"/>
  <c r="D88" i="16"/>
  <c r="D83" i="17"/>
  <c r="D84" i="17"/>
  <c r="D85" i="17"/>
  <c r="C83" i="10"/>
  <c r="C84" i="10"/>
  <c r="C85" i="10"/>
  <c r="C86" i="10"/>
  <c r="C87" i="10"/>
  <c r="C88" i="10"/>
  <c r="C83" i="13"/>
  <c r="C84" i="13"/>
  <c r="C85" i="13"/>
  <c r="C86" i="13"/>
  <c r="C87" i="13"/>
  <c r="C88" i="13"/>
  <c r="C83" i="14"/>
  <c r="C84" i="14"/>
  <c r="C85" i="14"/>
  <c r="C85" i="11"/>
  <c r="C83" i="16"/>
  <c r="C84" i="16"/>
  <c r="C85" i="16"/>
  <c r="C86" i="16"/>
  <c r="C87" i="16"/>
  <c r="C88" i="16"/>
  <c r="C83" i="11"/>
  <c r="C83" i="17"/>
  <c r="C84" i="17"/>
  <c r="C85" i="17"/>
  <c r="C84" i="11"/>
  <c r="E81" i="11"/>
  <c r="E82" i="11"/>
  <c r="E80" i="14"/>
  <c r="E81" i="14"/>
  <c r="E82" i="14"/>
  <c r="E80" i="11"/>
  <c r="E80" i="17"/>
  <c r="E81" i="17"/>
  <c r="E82" i="17"/>
  <c r="D80" i="11"/>
  <c r="D82" i="11"/>
  <c r="D80" i="14"/>
  <c r="D81" i="14"/>
  <c r="D82" i="14"/>
  <c r="D81" i="11"/>
  <c r="D80" i="17"/>
  <c r="D81" i="17"/>
  <c r="D82" i="17"/>
  <c r="C80" i="11"/>
  <c r="C81" i="11"/>
  <c r="C82" i="11"/>
  <c r="C80" i="14"/>
  <c r="C81" i="14"/>
  <c r="C82" i="14"/>
  <c r="C80" i="17"/>
  <c r="C81" i="17"/>
  <c r="C82" i="17"/>
  <c r="D77" i="9"/>
  <c r="D78" i="9"/>
  <c r="D79" i="9"/>
  <c r="D80" i="9"/>
  <c r="D81" i="9"/>
  <c r="D82" i="9"/>
  <c r="D83" i="9"/>
  <c r="D84" i="9"/>
  <c r="D85" i="9"/>
  <c r="D86" i="9"/>
  <c r="D87" i="9"/>
  <c r="D88" i="9"/>
  <c r="D77" i="10"/>
  <c r="D78" i="10"/>
  <c r="D79" i="10"/>
  <c r="D80" i="10"/>
  <c r="D81" i="10"/>
  <c r="D82" i="10"/>
  <c r="D77" i="11"/>
  <c r="D78" i="11"/>
  <c r="D79" i="11"/>
  <c r="D77" i="12"/>
  <c r="D78" i="12"/>
  <c r="D79" i="12"/>
  <c r="D80" i="12"/>
  <c r="D81" i="12"/>
  <c r="D82" i="12"/>
  <c r="D83" i="12"/>
  <c r="D84" i="12"/>
  <c r="D85" i="12"/>
  <c r="D86" i="12"/>
  <c r="D87" i="12"/>
  <c r="D88" i="12"/>
  <c r="D77" i="13"/>
  <c r="D78" i="13"/>
  <c r="D79" i="13"/>
  <c r="D80" i="13"/>
  <c r="D81" i="13"/>
  <c r="D82" i="13"/>
  <c r="D78" i="14"/>
  <c r="D79" i="14"/>
  <c r="D77" i="15"/>
  <c r="D78" i="15"/>
  <c r="D79" i="15"/>
  <c r="D80" i="15"/>
  <c r="D81" i="15"/>
  <c r="D82" i="15"/>
  <c r="D83" i="15"/>
  <c r="D84" i="15"/>
  <c r="D85" i="15"/>
  <c r="D86" i="15"/>
  <c r="D87" i="15"/>
  <c r="D88" i="15"/>
  <c r="D77" i="16"/>
  <c r="D78" i="16"/>
  <c r="D79" i="16"/>
  <c r="D80" i="16"/>
  <c r="D81" i="16"/>
  <c r="D82" i="16"/>
  <c r="D77" i="14"/>
  <c r="D77" i="17"/>
  <c r="D78" i="17"/>
  <c r="D79" i="17"/>
  <c r="C77" i="9"/>
  <c r="C78" i="9"/>
  <c r="C79" i="9"/>
  <c r="C80" i="9"/>
  <c r="C81" i="9"/>
  <c r="C82" i="9"/>
  <c r="C83" i="9"/>
  <c r="C84" i="9"/>
  <c r="C85" i="9"/>
  <c r="C86" i="9"/>
  <c r="C87" i="9"/>
  <c r="C88" i="9"/>
  <c r="C77" i="10"/>
  <c r="C78" i="10"/>
  <c r="C79" i="10"/>
  <c r="C80" i="10"/>
  <c r="C81" i="10"/>
  <c r="C82" i="10"/>
  <c r="C77" i="11"/>
  <c r="C78" i="11"/>
  <c r="C79" i="11"/>
  <c r="C77" i="12"/>
  <c r="C78" i="12"/>
  <c r="C79" i="12"/>
  <c r="C80" i="12"/>
  <c r="C81" i="12"/>
  <c r="C82" i="12"/>
  <c r="C83" i="12"/>
  <c r="C84" i="12"/>
  <c r="C85" i="12"/>
  <c r="C86" i="12"/>
  <c r="C87" i="12"/>
  <c r="C88" i="12"/>
  <c r="C77" i="13"/>
  <c r="C78" i="13"/>
  <c r="C79" i="13"/>
  <c r="C80" i="13"/>
  <c r="C81" i="13"/>
  <c r="C82" i="13"/>
  <c r="C79" i="14"/>
  <c r="C77" i="15"/>
  <c r="C78" i="15"/>
  <c r="C79" i="15"/>
  <c r="C80" i="15"/>
  <c r="C81" i="15"/>
  <c r="C82" i="15"/>
  <c r="C83" i="15"/>
  <c r="C84" i="15"/>
  <c r="C85" i="15"/>
  <c r="C86" i="15"/>
  <c r="C87" i="15"/>
  <c r="C88" i="15"/>
  <c r="C77" i="14"/>
  <c r="C77" i="16"/>
  <c r="C78" i="16"/>
  <c r="C79" i="16"/>
  <c r="C80" i="16"/>
  <c r="C81" i="16"/>
  <c r="C82" i="16"/>
  <c r="C78" i="14"/>
  <c r="C77" i="17"/>
  <c r="C78" i="17"/>
  <c r="C79" i="17"/>
  <c r="D74" i="11"/>
  <c r="D75" i="11"/>
  <c r="D76" i="11"/>
  <c r="D74" i="14"/>
  <c r="D75" i="14"/>
  <c r="D76" i="14"/>
  <c r="D74" i="17"/>
  <c r="D75" i="17"/>
  <c r="D76" i="17"/>
  <c r="C74" i="11"/>
  <c r="C75" i="11"/>
  <c r="C76" i="11"/>
  <c r="C75" i="14"/>
  <c r="C76" i="14"/>
  <c r="C74" i="14"/>
  <c r="C74" i="17"/>
  <c r="C75" i="17"/>
  <c r="C76" i="17"/>
  <c r="B67" i="17"/>
  <c r="B74" i="7"/>
  <c r="B74" i="8" s="1"/>
  <c r="C71" i="10"/>
  <c r="C72" i="10"/>
  <c r="C73" i="10"/>
  <c r="C74" i="10"/>
  <c r="C75" i="10"/>
  <c r="C76" i="10"/>
  <c r="C71" i="11"/>
  <c r="C72" i="11"/>
  <c r="C73" i="11"/>
  <c r="C71" i="13"/>
  <c r="C72" i="13"/>
  <c r="C73" i="13"/>
  <c r="C74" i="13"/>
  <c r="C75" i="13"/>
  <c r="C76" i="13"/>
  <c r="C71" i="14"/>
  <c r="C72" i="14"/>
  <c r="C73" i="14"/>
  <c r="C71" i="16"/>
  <c r="C72" i="16"/>
  <c r="C73" i="16"/>
  <c r="C74" i="16"/>
  <c r="C75" i="16"/>
  <c r="C76" i="16"/>
  <c r="C71" i="17"/>
  <c r="C72" i="17"/>
  <c r="C73" i="17"/>
  <c r="F68" i="11"/>
  <c r="F69" i="11"/>
  <c r="F70" i="11"/>
  <c r="F68" i="14"/>
  <c r="F69" i="14"/>
  <c r="F70" i="14"/>
  <c r="F68" i="17"/>
  <c r="F69" i="17"/>
  <c r="F70" i="17"/>
  <c r="E68" i="11"/>
  <c r="E69" i="11"/>
  <c r="E70" i="11"/>
  <c r="E68" i="14"/>
  <c r="E69" i="14"/>
  <c r="E70" i="14"/>
  <c r="E68" i="17"/>
  <c r="E69" i="17"/>
  <c r="E70" i="17"/>
  <c r="D68" i="11"/>
  <c r="D69" i="11"/>
  <c r="D70" i="11"/>
  <c r="D68" i="14"/>
  <c r="D69" i="14"/>
  <c r="D70" i="14"/>
  <c r="D68" i="17"/>
  <c r="D69" i="17"/>
  <c r="D70" i="17"/>
  <c r="C68" i="11"/>
  <c r="C69" i="11"/>
  <c r="C70" i="11"/>
  <c r="C68" i="14"/>
  <c r="C69" i="14"/>
  <c r="C70" i="14"/>
  <c r="C68" i="17"/>
  <c r="C69" i="17"/>
  <c r="C70" i="17"/>
  <c r="F65" i="9"/>
  <c r="F66" i="9"/>
  <c r="F67" i="9"/>
  <c r="F68" i="9"/>
  <c r="F69" i="9"/>
  <c r="F70" i="9"/>
  <c r="F71" i="9"/>
  <c r="F72" i="9"/>
  <c r="F73" i="9"/>
  <c r="F74" i="9"/>
  <c r="F75" i="9"/>
  <c r="F76" i="9"/>
  <c r="F65" i="10"/>
  <c r="F66" i="10"/>
  <c r="F67" i="10"/>
  <c r="F68" i="10"/>
  <c r="F69" i="10"/>
  <c r="F70" i="10"/>
  <c r="F65" i="11"/>
  <c r="F66" i="11"/>
  <c r="F67" i="11"/>
  <c r="F65" i="12"/>
  <c r="F66" i="12"/>
  <c r="F67" i="12"/>
  <c r="F68" i="12"/>
  <c r="F69" i="12"/>
  <c r="F70" i="12"/>
  <c r="F71" i="12"/>
  <c r="F72" i="12"/>
  <c r="F73" i="12"/>
  <c r="F74" i="12"/>
  <c r="F75" i="12"/>
  <c r="F76" i="12"/>
  <c r="F65" i="13"/>
  <c r="F66" i="13"/>
  <c r="F67" i="13"/>
  <c r="F68" i="13"/>
  <c r="F69" i="13"/>
  <c r="F70" i="13"/>
  <c r="F65" i="14"/>
  <c r="F66" i="14"/>
  <c r="F67" i="14"/>
  <c r="F65" i="15"/>
  <c r="F66" i="15"/>
  <c r="F67" i="15"/>
  <c r="F68" i="15"/>
  <c r="F69" i="15"/>
  <c r="F70" i="15"/>
  <c r="F71" i="15"/>
  <c r="F72" i="15"/>
  <c r="F73" i="15"/>
  <c r="F74" i="15"/>
  <c r="F75" i="15"/>
  <c r="F76" i="15"/>
  <c r="F66" i="16"/>
  <c r="F67" i="16"/>
  <c r="F68" i="16"/>
  <c r="F69" i="16"/>
  <c r="F70" i="16"/>
  <c r="F65" i="17"/>
  <c r="F66" i="17"/>
  <c r="F67" i="17"/>
  <c r="F65" i="16"/>
  <c r="E65" i="9"/>
  <c r="E66" i="9"/>
  <c r="E67" i="9"/>
  <c r="E68" i="9"/>
  <c r="E69" i="9"/>
  <c r="E70" i="9"/>
  <c r="E71" i="9"/>
  <c r="E72" i="9"/>
  <c r="E73" i="9"/>
  <c r="E74" i="9"/>
  <c r="E75" i="9"/>
  <c r="E76" i="9"/>
  <c r="E65" i="10"/>
  <c r="E66" i="10"/>
  <c r="E67" i="10"/>
  <c r="E68" i="10"/>
  <c r="E69" i="10"/>
  <c r="E70" i="10"/>
  <c r="E65" i="11"/>
  <c r="E66" i="11"/>
  <c r="E67" i="11"/>
  <c r="E65" i="12"/>
  <c r="E66" i="12"/>
  <c r="E67" i="12"/>
  <c r="E68" i="12"/>
  <c r="E69" i="12"/>
  <c r="E70" i="12"/>
  <c r="E71" i="12"/>
  <c r="E72" i="12"/>
  <c r="E73" i="12"/>
  <c r="E74" i="12"/>
  <c r="E75" i="12"/>
  <c r="E76" i="12"/>
  <c r="E65" i="13"/>
  <c r="E66" i="13"/>
  <c r="E67" i="13"/>
  <c r="E68" i="13"/>
  <c r="E69" i="13"/>
  <c r="E70" i="13"/>
  <c r="E65" i="14"/>
  <c r="E66" i="14"/>
  <c r="E67" i="14"/>
  <c r="E65" i="15"/>
  <c r="E66" i="15"/>
  <c r="E67" i="15"/>
  <c r="E68" i="15"/>
  <c r="E69" i="15"/>
  <c r="E70" i="15"/>
  <c r="E71" i="15"/>
  <c r="E72" i="15"/>
  <c r="E73" i="15"/>
  <c r="E74" i="15"/>
  <c r="E75" i="15"/>
  <c r="E76" i="15"/>
  <c r="E65" i="16"/>
  <c r="E67" i="16"/>
  <c r="E68" i="16"/>
  <c r="E69" i="16"/>
  <c r="E70" i="16"/>
  <c r="E65" i="17"/>
  <c r="E66" i="17"/>
  <c r="E67" i="17"/>
  <c r="E66" i="16"/>
  <c r="D65" i="9"/>
  <c r="D66" i="9"/>
  <c r="D67" i="9"/>
  <c r="D68" i="9"/>
  <c r="D69" i="9"/>
  <c r="D70" i="9"/>
  <c r="D71" i="9"/>
  <c r="D72" i="9"/>
  <c r="D73" i="9"/>
  <c r="D74" i="9"/>
  <c r="D75" i="9"/>
  <c r="D76" i="9"/>
  <c r="D65" i="10"/>
  <c r="D66" i="10"/>
  <c r="D67" i="10"/>
  <c r="D68" i="10"/>
  <c r="D69" i="10"/>
  <c r="D70" i="10"/>
  <c r="D65" i="11"/>
  <c r="D66" i="11"/>
  <c r="D67" i="11"/>
  <c r="D65" i="12"/>
  <c r="D66" i="12"/>
  <c r="D67" i="12"/>
  <c r="D68" i="12"/>
  <c r="D69" i="12"/>
  <c r="D70" i="12"/>
  <c r="D71" i="12"/>
  <c r="D72" i="12"/>
  <c r="D73" i="12"/>
  <c r="D74" i="12"/>
  <c r="D75" i="12"/>
  <c r="D76" i="12"/>
  <c r="D65" i="13"/>
  <c r="D66" i="13"/>
  <c r="D67" i="13"/>
  <c r="D68" i="13"/>
  <c r="D69" i="13"/>
  <c r="D70" i="13"/>
  <c r="D65" i="14"/>
  <c r="D66" i="14"/>
  <c r="D67" i="14"/>
  <c r="D65" i="15"/>
  <c r="D66" i="15"/>
  <c r="D67" i="15"/>
  <c r="D68" i="15"/>
  <c r="D69" i="15"/>
  <c r="D70" i="15"/>
  <c r="D71" i="15"/>
  <c r="D72" i="15"/>
  <c r="D73" i="15"/>
  <c r="D74" i="15"/>
  <c r="D75" i="15"/>
  <c r="D76" i="15"/>
  <c r="D66" i="16"/>
  <c r="D68" i="16"/>
  <c r="D69" i="16"/>
  <c r="D70" i="16"/>
  <c r="D65" i="17"/>
  <c r="D66" i="17"/>
  <c r="D67" i="17"/>
  <c r="D65" i="16"/>
  <c r="D67" i="16"/>
  <c r="C65" i="9"/>
  <c r="C66" i="9"/>
  <c r="C67" i="9"/>
  <c r="C68" i="9"/>
  <c r="C69" i="9"/>
  <c r="C70" i="9"/>
  <c r="C71" i="9"/>
  <c r="C72" i="9"/>
  <c r="C73" i="9"/>
  <c r="C74" i="9"/>
  <c r="C75" i="9"/>
  <c r="C76" i="9"/>
  <c r="C65" i="10"/>
  <c r="C66" i="10"/>
  <c r="C67" i="10"/>
  <c r="C68" i="10"/>
  <c r="C69" i="10"/>
  <c r="C70" i="10"/>
  <c r="C65" i="11"/>
  <c r="C66" i="11"/>
  <c r="C67" i="11"/>
  <c r="C65" i="12"/>
  <c r="C66" i="12"/>
  <c r="C67" i="12"/>
  <c r="C68" i="12"/>
  <c r="C69" i="12"/>
  <c r="C70" i="12"/>
  <c r="C71" i="12"/>
  <c r="C72" i="12"/>
  <c r="C73" i="12"/>
  <c r="C74" i="12"/>
  <c r="C75" i="12"/>
  <c r="C76" i="12"/>
  <c r="C65" i="13"/>
  <c r="C66" i="13"/>
  <c r="C67" i="13"/>
  <c r="C68" i="13"/>
  <c r="C69" i="13"/>
  <c r="C70" i="13"/>
  <c r="C65" i="14"/>
  <c r="C66" i="14"/>
  <c r="C67" i="14"/>
  <c r="C65" i="15"/>
  <c r="C66" i="15"/>
  <c r="C67" i="15"/>
  <c r="C68" i="15"/>
  <c r="C69" i="15"/>
  <c r="C70" i="15"/>
  <c r="C71" i="15"/>
  <c r="C72" i="15"/>
  <c r="C73" i="15"/>
  <c r="C74" i="15"/>
  <c r="C75" i="15"/>
  <c r="C76" i="15"/>
  <c r="C67" i="16"/>
  <c r="C68" i="16"/>
  <c r="C69" i="16"/>
  <c r="C70" i="16"/>
  <c r="C65" i="17"/>
  <c r="C66" i="17"/>
  <c r="C67" i="17"/>
  <c r="C65" i="16"/>
  <c r="C66" i="16"/>
  <c r="E62" i="11"/>
  <c r="E63" i="11"/>
  <c r="E64" i="11"/>
  <c r="E62" i="14"/>
  <c r="E63" i="14"/>
  <c r="E64" i="14"/>
  <c r="E62" i="17"/>
  <c r="E63" i="17"/>
  <c r="E64" i="17"/>
  <c r="D62" i="11"/>
  <c r="D63" i="11"/>
  <c r="D64" i="11"/>
  <c r="D62" i="14"/>
  <c r="D63" i="14"/>
  <c r="D64" i="14"/>
  <c r="D62" i="17"/>
  <c r="D63" i="17"/>
  <c r="D64" i="17"/>
  <c r="C62" i="11"/>
  <c r="C63" i="11"/>
  <c r="C64" i="11"/>
  <c r="C62" i="14"/>
  <c r="C63" i="14"/>
  <c r="C64" i="14"/>
  <c r="C62" i="17"/>
  <c r="C63" i="17"/>
  <c r="C64" i="17"/>
  <c r="E59" i="10"/>
  <c r="E60" i="10"/>
  <c r="E61" i="10"/>
  <c r="E62" i="10"/>
  <c r="E63" i="10"/>
  <c r="E64" i="10"/>
  <c r="E59" i="11"/>
  <c r="E60" i="11"/>
  <c r="E61" i="11"/>
  <c r="E59" i="13"/>
  <c r="E60" i="13"/>
  <c r="E61" i="13"/>
  <c r="E62" i="13"/>
  <c r="E63" i="13"/>
  <c r="E64" i="13"/>
  <c r="E59" i="14"/>
  <c r="E60" i="14"/>
  <c r="E61" i="14"/>
  <c r="E61" i="16"/>
  <c r="E63" i="16"/>
  <c r="E59" i="17"/>
  <c r="E60" i="17"/>
  <c r="E61" i="17"/>
  <c r="E59" i="16"/>
  <c r="E60" i="16"/>
  <c r="E62" i="16"/>
  <c r="E64" i="16"/>
  <c r="D59" i="10"/>
  <c r="D60" i="10"/>
  <c r="D61" i="10"/>
  <c r="D62" i="10"/>
  <c r="D63" i="10"/>
  <c r="D64" i="10"/>
  <c r="D59" i="11"/>
  <c r="D60" i="11"/>
  <c r="D61" i="11"/>
  <c r="D59" i="13"/>
  <c r="D60" i="13"/>
  <c r="D61" i="13"/>
  <c r="D62" i="13"/>
  <c r="D63" i="13"/>
  <c r="D64" i="13"/>
  <c r="D59" i="14"/>
  <c r="D60" i="14"/>
  <c r="D61" i="14"/>
  <c r="D59" i="16"/>
  <c r="D60" i="16"/>
  <c r="D62" i="16"/>
  <c r="D64" i="16"/>
  <c r="D59" i="17"/>
  <c r="D60" i="17"/>
  <c r="D61" i="17"/>
  <c r="D61" i="16"/>
  <c r="D63" i="16"/>
  <c r="C59" i="10"/>
  <c r="C60" i="10"/>
  <c r="C61" i="10"/>
  <c r="C62" i="10"/>
  <c r="C63" i="10"/>
  <c r="C64" i="10"/>
  <c r="C59" i="11"/>
  <c r="C60" i="11"/>
  <c r="C61" i="11"/>
  <c r="C59" i="13"/>
  <c r="C60" i="13"/>
  <c r="C61" i="13"/>
  <c r="C62" i="13"/>
  <c r="C63" i="13"/>
  <c r="C64" i="13"/>
  <c r="C59" i="14"/>
  <c r="C60" i="14"/>
  <c r="C61" i="14"/>
  <c r="C61" i="16"/>
  <c r="C63" i="16"/>
  <c r="C59" i="17"/>
  <c r="C60" i="17"/>
  <c r="C61" i="17"/>
  <c r="C59" i="16"/>
  <c r="C60" i="16"/>
  <c r="C62" i="16"/>
  <c r="C64" i="16"/>
  <c r="E56" i="11"/>
  <c r="E57" i="11"/>
  <c r="E58" i="11"/>
  <c r="E56" i="14"/>
  <c r="E57" i="14"/>
  <c r="E58" i="14"/>
  <c r="E56" i="17"/>
  <c r="E57" i="17"/>
  <c r="E58" i="17"/>
  <c r="D56" i="11"/>
  <c r="D57" i="11"/>
  <c r="D58" i="11"/>
  <c r="D56" i="14"/>
  <c r="D57" i="14"/>
  <c r="D58" i="14"/>
  <c r="D56" i="17"/>
  <c r="D57" i="17"/>
  <c r="D58" i="17"/>
  <c r="C56" i="11"/>
  <c r="C57" i="11"/>
  <c r="C58" i="11"/>
  <c r="C56" i="14"/>
  <c r="C57" i="14"/>
  <c r="C58" i="14"/>
  <c r="C56" i="17"/>
  <c r="C57" i="17"/>
  <c r="C58" i="17"/>
  <c r="F53" i="9"/>
  <c r="F54" i="9"/>
  <c r="F55" i="9"/>
  <c r="F56" i="9"/>
  <c r="F57" i="9"/>
  <c r="F58" i="9"/>
  <c r="F59" i="9"/>
  <c r="F60" i="9"/>
  <c r="F61" i="9"/>
  <c r="F62" i="9"/>
  <c r="F63" i="9"/>
  <c r="F64" i="9"/>
  <c r="F53" i="10"/>
  <c r="F54" i="10"/>
  <c r="F55" i="10"/>
  <c r="F56" i="10"/>
  <c r="F57" i="10"/>
  <c r="F58" i="10"/>
  <c r="F53" i="11"/>
  <c r="F54" i="11"/>
  <c r="F55" i="11"/>
  <c r="F53" i="12"/>
  <c r="F54" i="12"/>
  <c r="F55" i="12"/>
  <c r="F56" i="12"/>
  <c r="F57" i="12"/>
  <c r="F58" i="12"/>
  <c r="F59" i="12"/>
  <c r="F60" i="12"/>
  <c r="F61" i="12"/>
  <c r="F62" i="12"/>
  <c r="F63" i="12"/>
  <c r="F64" i="12"/>
  <c r="F53" i="13"/>
  <c r="F54" i="13"/>
  <c r="F55" i="13"/>
  <c r="F56" i="13"/>
  <c r="F57" i="13"/>
  <c r="F58" i="13"/>
  <c r="F53" i="14"/>
  <c r="F54" i="14"/>
  <c r="F55" i="14"/>
  <c r="F53" i="15"/>
  <c r="F54" i="15"/>
  <c r="F55" i="15"/>
  <c r="F56" i="15"/>
  <c r="F57" i="15"/>
  <c r="F58" i="15"/>
  <c r="F59" i="15"/>
  <c r="F60" i="15"/>
  <c r="F61" i="15"/>
  <c r="F62" i="15"/>
  <c r="F63" i="15"/>
  <c r="F64" i="15"/>
  <c r="F53" i="16"/>
  <c r="F55" i="16"/>
  <c r="F56" i="16"/>
  <c r="F57" i="16"/>
  <c r="F53" i="17"/>
  <c r="F54" i="17"/>
  <c r="F55" i="17"/>
  <c r="F54" i="16"/>
  <c r="F58" i="16"/>
  <c r="E53" i="9"/>
  <c r="E54" i="9"/>
  <c r="E55" i="9"/>
  <c r="E56" i="9"/>
  <c r="E57" i="9"/>
  <c r="E58" i="9"/>
  <c r="E59" i="9"/>
  <c r="E60" i="9"/>
  <c r="E61" i="9"/>
  <c r="E62" i="9"/>
  <c r="E63" i="9"/>
  <c r="E64" i="9"/>
  <c r="E53" i="10"/>
  <c r="E54" i="10"/>
  <c r="E55" i="10"/>
  <c r="E56" i="10"/>
  <c r="E57" i="10"/>
  <c r="E58" i="10"/>
  <c r="E53" i="11"/>
  <c r="E54" i="11"/>
  <c r="E55" i="11"/>
  <c r="E53" i="12"/>
  <c r="E54" i="12"/>
  <c r="E55" i="12"/>
  <c r="E56" i="12"/>
  <c r="E57" i="12"/>
  <c r="E58" i="12"/>
  <c r="E59" i="12"/>
  <c r="E60" i="12"/>
  <c r="E61" i="12"/>
  <c r="E62" i="12"/>
  <c r="E63" i="12"/>
  <c r="E64" i="12"/>
  <c r="E53" i="13"/>
  <c r="E54" i="13"/>
  <c r="E55" i="13"/>
  <c r="E56" i="13"/>
  <c r="E57" i="13"/>
  <c r="E58" i="13"/>
  <c r="E53" i="14"/>
  <c r="E54" i="14"/>
  <c r="E55" i="14"/>
  <c r="E53" i="15"/>
  <c r="E54" i="15"/>
  <c r="E55" i="15"/>
  <c r="E56" i="15"/>
  <c r="E57" i="15"/>
  <c r="E58" i="15"/>
  <c r="E59" i="15"/>
  <c r="E60" i="15"/>
  <c r="E61" i="15"/>
  <c r="E62" i="15"/>
  <c r="E63" i="15"/>
  <c r="E64" i="15"/>
  <c r="E54" i="16"/>
  <c r="E58" i="16"/>
  <c r="E53" i="17"/>
  <c r="E54" i="17"/>
  <c r="E55" i="17"/>
  <c r="E53" i="16"/>
  <c r="E55" i="16"/>
  <c r="E56" i="16"/>
  <c r="E57" i="16"/>
  <c r="D53" i="9"/>
  <c r="D54" i="9"/>
  <c r="D55" i="9"/>
  <c r="D56" i="9"/>
  <c r="D57" i="9"/>
  <c r="D58" i="9"/>
  <c r="D59" i="9"/>
  <c r="D60" i="9"/>
  <c r="D61" i="9"/>
  <c r="D62" i="9"/>
  <c r="D63" i="9"/>
  <c r="D64" i="9"/>
  <c r="D53" i="10"/>
  <c r="D54" i="10"/>
  <c r="D55" i="10"/>
  <c r="D56" i="10"/>
  <c r="D57" i="10"/>
  <c r="D58" i="10"/>
  <c r="D53" i="11"/>
  <c r="D54" i="11"/>
  <c r="D55" i="11"/>
  <c r="D53" i="12"/>
  <c r="D54" i="12"/>
  <c r="D55" i="12"/>
  <c r="D56" i="12"/>
  <c r="D57" i="12"/>
  <c r="D58" i="12"/>
  <c r="D59" i="12"/>
  <c r="D60" i="12"/>
  <c r="D61" i="12"/>
  <c r="D62" i="12"/>
  <c r="D63" i="12"/>
  <c r="D64" i="12"/>
  <c r="D53" i="13"/>
  <c r="D54" i="13"/>
  <c r="D55" i="13"/>
  <c r="D56" i="13"/>
  <c r="D57" i="13"/>
  <c r="D58" i="13"/>
  <c r="D53" i="14"/>
  <c r="D54" i="14"/>
  <c r="D55" i="14"/>
  <c r="D53" i="15"/>
  <c r="D54" i="15"/>
  <c r="D55" i="15"/>
  <c r="D56" i="15"/>
  <c r="D57" i="15"/>
  <c r="D58" i="15"/>
  <c r="D59" i="15"/>
  <c r="D60" i="15"/>
  <c r="D61" i="15"/>
  <c r="D62" i="15"/>
  <c r="D63" i="15"/>
  <c r="D64" i="15"/>
  <c r="D53" i="16"/>
  <c r="D55" i="16"/>
  <c r="D56" i="16"/>
  <c r="D57" i="16"/>
  <c r="D53" i="17"/>
  <c r="D54" i="17"/>
  <c r="D55" i="17"/>
  <c r="D54" i="16"/>
  <c r="D58" i="16"/>
  <c r="C53" i="9"/>
  <c r="C54" i="9"/>
  <c r="C55" i="9"/>
  <c r="C56" i="9"/>
  <c r="C57" i="9"/>
  <c r="C58" i="9"/>
  <c r="C59" i="9"/>
  <c r="C60" i="9"/>
  <c r="C61" i="9"/>
  <c r="C62" i="9"/>
  <c r="C63" i="9"/>
  <c r="C64" i="9"/>
  <c r="C53" i="10"/>
  <c r="C54" i="10"/>
  <c r="C55" i="10"/>
  <c r="C56" i="10"/>
  <c r="C57" i="10"/>
  <c r="C58" i="10"/>
  <c r="C53" i="11"/>
  <c r="C54" i="11"/>
  <c r="C55" i="11"/>
  <c r="C53" i="12"/>
  <c r="C54" i="12"/>
  <c r="C55" i="12"/>
  <c r="C56" i="12"/>
  <c r="C57" i="12"/>
  <c r="C58" i="12"/>
  <c r="C59" i="12"/>
  <c r="C60" i="12"/>
  <c r="C61" i="12"/>
  <c r="C62" i="12"/>
  <c r="C63" i="12"/>
  <c r="C64" i="12"/>
  <c r="C53" i="13"/>
  <c r="C54" i="13"/>
  <c r="C55" i="13"/>
  <c r="C56" i="13"/>
  <c r="C57" i="13"/>
  <c r="C58" i="13"/>
  <c r="C53" i="14"/>
  <c r="C54" i="14"/>
  <c r="C55" i="14"/>
  <c r="C53" i="15"/>
  <c r="C54" i="15"/>
  <c r="C55" i="15"/>
  <c r="C56" i="15"/>
  <c r="C57" i="15"/>
  <c r="C58" i="15"/>
  <c r="C59" i="15"/>
  <c r="C60" i="15"/>
  <c r="C61" i="15"/>
  <c r="C62" i="15"/>
  <c r="C63" i="15"/>
  <c r="C64" i="15"/>
  <c r="C54" i="16"/>
  <c r="C58" i="16"/>
  <c r="C53" i="17"/>
  <c r="C54" i="17"/>
  <c r="C55" i="17"/>
  <c r="C53" i="16"/>
  <c r="C55" i="16"/>
  <c r="C56" i="16"/>
  <c r="C57" i="16"/>
  <c r="F50" i="11"/>
  <c r="F51" i="11"/>
  <c r="F52" i="11"/>
  <c r="F50" i="14"/>
  <c r="F51" i="14"/>
  <c r="F52" i="14"/>
  <c r="F50" i="17"/>
  <c r="F51" i="17"/>
  <c r="F52" i="17"/>
  <c r="E50" i="11"/>
  <c r="E51" i="11"/>
  <c r="E52" i="11"/>
  <c r="E50" i="14"/>
  <c r="E51" i="14"/>
  <c r="E52" i="14"/>
  <c r="E50" i="17"/>
  <c r="E51" i="17"/>
  <c r="E52" i="17"/>
  <c r="D50" i="11"/>
  <c r="D51" i="11"/>
  <c r="D52" i="11"/>
  <c r="D50" i="14"/>
  <c r="D51" i="14"/>
  <c r="D52" i="14"/>
  <c r="D50" i="17"/>
  <c r="D51" i="17"/>
  <c r="D52" i="17"/>
  <c r="C50" i="11"/>
  <c r="C51" i="11"/>
  <c r="C52" i="11"/>
  <c r="C50" i="14"/>
  <c r="C51" i="14"/>
  <c r="C52" i="14"/>
  <c r="C50" i="17"/>
  <c r="C51" i="17"/>
  <c r="C52" i="17"/>
  <c r="C47" i="10"/>
  <c r="C48" i="10"/>
  <c r="C49" i="10"/>
  <c r="C50" i="10"/>
  <c r="C51" i="10"/>
  <c r="C52" i="10"/>
  <c r="C47" i="11"/>
  <c r="C48" i="11"/>
  <c r="C49" i="11"/>
  <c r="C47" i="13"/>
  <c r="C48" i="13"/>
  <c r="C49" i="13"/>
  <c r="C50" i="13"/>
  <c r="C51" i="13"/>
  <c r="C52" i="13"/>
  <c r="C47" i="14"/>
  <c r="C48" i="14"/>
  <c r="C49" i="14"/>
  <c r="C47" i="16"/>
  <c r="C48" i="16"/>
  <c r="C49" i="16"/>
  <c r="C50" i="16"/>
  <c r="C47" i="17"/>
  <c r="C48" i="17"/>
  <c r="C49" i="17"/>
  <c r="C51" i="16"/>
  <c r="C52" i="16"/>
  <c r="C44" i="11"/>
  <c r="C45" i="11"/>
  <c r="C46" i="11"/>
  <c r="C44" i="14"/>
  <c r="C45" i="14"/>
  <c r="C46" i="14"/>
  <c r="C44" i="17"/>
  <c r="C45" i="17"/>
  <c r="C46" i="17"/>
  <c r="C41" i="9"/>
  <c r="C42" i="9"/>
  <c r="C43" i="9"/>
  <c r="C44" i="9"/>
  <c r="C45" i="9"/>
  <c r="C46" i="9"/>
  <c r="C47" i="9"/>
  <c r="C48" i="9"/>
  <c r="C49" i="9"/>
  <c r="C50" i="9"/>
  <c r="C51" i="9"/>
  <c r="C52" i="9"/>
  <c r="C41" i="10"/>
  <c r="C42" i="10"/>
  <c r="C43" i="10"/>
  <c r="C44" i="10"/>
  <c r="C45" i="10"/>
  <c r="C46" i="10"/>
  <c r="C41" i="11"/>
  <c r="C42" i="11"/>
  <c r="C43" i="11"/>
  <c r="C41" i="12"/>
  <c r="C42" i="12"/>
  <c r="C43" i="12"/>
  <c r="C44" i="12"/>
  <c r="C45" i="12"/>
  <c r="C46" i="12"/>
  <c r="C47" i="12"/>
  <c r="C48" i="12"/>
  <c r="C49" i="12"/>
  <c r="C50" i="12"/>
  <c r="C51" i="12"/>
  <c r="C52" i="12"/>
  <c r="C41" i="13"/>
  <c r="C42" i="13"/>
  <c r="C43" i="13"/>
  <c r="C44" i="13"/>
  <c r="C45" i="13"/>
  <c r="C46" i="13"/>
  <c r="C41" i="14"/>
  <c r="C42" i="14"/>
  <c r="C43" i="14"/>
  <c r="C41" i="15"/>
  <c r="C42" i="15"/>
  <c r="C43" i="15"/>
  <c r="C44" i="15"/>
  <c r="C45" i="15"/>
  <c r="C46" i="15"/>
  <c r="C47" i="15"/>
  <c r="C48" i="15"/>
  <c r="C49" i="15"/>
  <c r="C50" i="15"/>
  <c r="C51" i="15"/>
  <c r="C52" i="15"/>
  <c r="C41" i="16"/>
  <c r="C42" i="16"/>
  <c r="C43" i="16"/>
  <c r="C44" i="16"/>
  <c r="C45" i="16"/>
  <c r="C46" i="16"/>
  <c r="C41" i="17"/>
  <c r="C42" i="17"/>
  <c r="C43" i="17"/>
  <c r="C38" i="11"/>
  <c r="C39" i="11"/>
  <c r="C40" i="11"/>
  <c r="C38" i="14"/>
  <c r="C39" i="14"/>
  <c r="C40" i="14"/>
  <c r="C38" i="17"/>
  <c r="C39" i="17"/>
  <c r="C40" i="17"/>
  <c r="C35" i="10"/>
  <c r="C36" i="10"/>
  <c r="C37" i="10"/>
  <c r="C38" i="10"/>
  <c r="C39" i="10"/>
  <c r="C40" i="10"/>
  <c r="C35" i="11"/>
  <c r="C36" i="11"/>
  <c r="C37" i="11"/>
  <c r="C35" i="13"/>
  <c r="C36" i="13"/>
  <c r="C37" i="13"/>
  <c r="C38" i="13"/>
  <c r="C39" i="13"/>
  <c r="C40" i="13"/>
  <c r="C35" i="14"/>
  <c r="C36" i="14"/>
  <c r="C37" i="14"/>
  <c r="C36" i="16"/>
  <c r="C37" i="16"/>
  <c r="C40" i="16"/>
  <c r="C35" i="17"/>
  <c r="C36" i="17"/>
  <c r="C37" i="17"/>
  <c r="C35" i="16"/>
  <c r="C38" i="16"/>
  <c r="C39" i="16"/>
  <c r="B27" i="10"/>
  <c r="B34" i="7"/>
  <c r="B34" i="8" s="1"/>
  <c r="C32" i="11"/>
  <c r="C33" i="11"/>
  <c r="C34" i="11"/>
  <c r="C32" i="14"/>
  <c r="C33" i="14"/>
  <c r="C34" i="14"/>
  <c r="C32" i="17"/>
  <c r="C33" i="17"/>
  <c r="C34" i="17"/>
  <c r="C35" i="12"/>
  <c r="C29" i="9"/>
  <c r="C30" i="9"/>
  <c r="C31" i="9"/>
  <c r="C32" i="9"/>
  <c r="C33" i="9"/>
  <c r="C34" i="9"/>
  <c r="C35" i="9"/>
  <c r="C36" i="9"/>
  <c r="C37" i="9"/>
  <c r="C38" i="9"/>
  <c r="C39" i="9"/>
  <c r="C40" i="9"/>
  <c r="C29" i="10"/>
  <c r="C30" i="10"/>
  <c r="C31" i="10"/>
  <c r="C32" i="10"/>
  <c r="C33" i="10"/>
  <c r="C34" i="10"/>
  <c r="C29" i="11"/>
  <c r="C30" i="11"/>
  <c r="C31" i="11"/>
  <c r="C30" i="12"/>
  <c r="C36" i="12"/>
  <c r="C38" i="12"/>
  <c r="C40" i="12"/>
  <c r="C37" i="12"/>
  <c r="C29" i="13"/>
  <c r="C30" i="13"/>
  <c r="C31" i="13"/>
  <c r="C32" i="13"/>
  <c r="C33" i="13"/>
  <c r="C34" i="13"/>
  <c r="C29" i="14"/>
  <c r="C30" i="14"/>
  <c r="C31" i="14"/>
  <c r="C31" i="12"/>
  <c r="C32" i="12"/>
  <c r="C29" i="15"/>
  <c r="C30" i="15"/>
  <c r="C31" i="15"/>
  <c r="C32" i="15"/>
  <c r="C33" i="15"/>
  <c r="C34" i="15"/>
  <c r="C35" i="15"/>
  <c r="C36" i="15"/>
  <c r="C37" i="15"/>
  <c r="C38" i="15"/>
  <c r="C39" i="15"/>
  <c r="C40" i="15"/>
  <c r="C29" i="12"/>
  <c r="C39" i="12"/>
  <c r="C30" i="16"/>
  <c r="C32" i="16"/>
  <c r="C33" i="16"/>
  <c r="C34" i="16"/>
  <c r="C29" i="17"/>
  <c r="C30" i="17"/>
  <c r="C31" i="17"/>
  <c r="C33" i="12"/>
  <c r="C34" i="12"/>
  <c r="C29" i="16"/>
  <c r="C31" i="16"/>
  <c r="B28" i="7"/>
  <c r="B28" i="8" s="1"/>
  <c r="B21" i="13"/>
  <c r="C26" i="11"/>
  <c r="C27" i="11"/>
  <c r="C28" i="11"/>
  <c r="C26" i="14"/>
  <c r="C27" i="14"/>
  <c r="C28" i="14"/>
  <c r="C26" i="17"/>
  <c r="C27" i="17"/>
  <c r="C28" i="17"/>
  <c r="C23" i="10"/>
  <c r="C24" i="10"/>
  <c r="C25" i="10"/>
  <c r="C26" i="10"/>
  <c r="C27" i="10"/>
  <c r="C28" i="10"/>
  <c r="C23" i="11"/>
  <c r="C24" i="11"/>
  <c r="C25" i="11"/>
  <c r="C23" i="13"/>
  <c r="C24" i="13"/>
  <c r="C27" i="13"/>
  <c r="C28" i="13"/>
  <c r="C23" i="14"/>
  <c r="C24" i="14"/>
  <c r="C25" i="14"/>
  <c r="C25" i="13"/>
  <c r="C23" i="16"/>
  <c r="C24" i="16"/>
  <c r="C26" i="16"/>
  <c r="C23" i="17"/>
  <c r="C24" i="17"/>
  <c r="C25" i="17"/>
  <c r="C26" i="13"/>
  <c r="C25" i="16"/>
  <c r="C27" i="16"/>
  <c r="C28" i="16"/>
  <c r="C20" i="11"/>
  <c r="C21" i="11"/>
  <c r="C22" i="11"/>
  <c r="C20" i="14"/>
  <c r="C21" i="14"/>
  <c r="C22" i="14"/>
  <c r="C20" i="17"/>
  <c r="C21" i="17"/>
  <c r="C22" i="17"/>
  <c r="C27" i="12"/>
  <c r="C17" i="9"/>
  <c r="C18" i="9"/>
  <c r="C19" i="9"/>
  <c r="C20" i="9"/>
  <c r="C21" i="9"/>
  <c r="C22" i="9"/>
  <c r="C23" i="9"/>
  <c r="C24" i="9"/>
  <c r="C25" i="9"/>
  <c r="C26" i="9"/>
  <c r="C27" i="9"/>
  <c r="C28" i="9"/>
  <c r="C17" i="10"/>
  <c r="C18" i="10"/>
  <c r="C19" i="10"/>
  <c r="C20" i="10"/>
  <c r="C21" i="10"/>
  <c r="C22" i="10"/>
  <c r="C17" i="12"/>
  <c r="C19" i="12"/>
  <c r="C23" i="12"/>
  <c r="C17" i="11"/>
  <c r="C18" i="11"/>
  <c r="C19" i="11"/>
  <c r="C21" i="12"/>
  <c r="C24" i="12"/>
  <c r="C17" i="13"/>
  <c r="C18" i="13"/>
  <c r="C19" i="13"/>
  <c r="C20" i="13"/>
  <c r="C21" i="13"/>
  <c r="C22" i="12"/>
  <c r="C17" i="14"/>
  <c r="C18" i="14"/>
  <c r="C19" i="14"/>
  <c r="C18" i="12"/>
  <c r="C20" i="12"/>
  <c r="C28" i="12"/>
  <c r="C22" i="13"/>
  <c r="C17" i="15"/>
  <c r="C18" i="15"/>
  <c r="C19" i="15"/>
  <c r="C20" i="15"/>
  <c r="C21" i="15"/>
  <c r="C22" i="15"/>
  <c r="C23" i="15"/>
  <c r="C24" i="15"/>
  <c r="C25" i="15"/>
  <c r="C26" i="15"/>
  <c r="C27" i="15"/>
  <c r="C28" i="15"/>
  <c r="C25" i="12"/>
  <c r="C17" i="16"/>
  <c r="C19" i="16"/>
  <c r="C20" i="16"/>
  <c r="C21" i="16"/>
  <c r="C17" i="17"/>
  <c r="C18" i="17"/>
  <c r="C19" i="17"/>
  <c r="C26" i="12"/>
  <c r="C18" i="16"/>
  <c r="C22" i="16"/>
  <c r="C14" i="11"/>
  <c r="C15" i="11"/>
  <c r="C16" i="11"/>
  <c r="C14" i="14"/>
  <c r="C15" i="14"/>
  <c r="C16" i="14"/>
  <c r="C14" i="17"/>
  <c r="C15" i="17"/>
  <c r="C16" i="17"/>
  <c r="C11" i="10"/>
  <c r="C12" i="10"/>
  <c r="C13" i="10"/>
  <c r="C14" i="10"/>
  <c r="C15" i="10"/>
  <c r="C16" i="10"/>
  <c r="C11" i="11"/>
  <c r="C12" i="11"/>
  <c r="C13" i="11"/>
  <c r="C11" i="13"/>
  <c r="C12" i="13"/>
  <c r="C13" i="13"/>
  <c r="C14" i="13"/>
  <c r="C15" i="13"/>
  <c r="C16" i="13"/>
  <c r="C11" i="14"/>
  <c r="C12" i="14"/>
  <c r="C13" i="14"/>
  <c r="C11" i="16"/>
  <c r="C12" i="16"/>
  <c r="C13" i="16"/>
  <c r="C14" i="16"/>
  <c r="C16" i="16"/>
  <c r="C11" i="17"/>
  <c r="C12" i="17"/>
  <c r="C13" i="17"/>
  <c r="C15" i="16"/>
  <c r="D8" i="11"/>
  <c r="D9" i="11"/>
  <c r="D10" i="11"/>
  <c r="D8" i="14"/>
  <c r="D9" i="14"/>
  <c r="D10" i="14"/>
  <c r="D8" i="17"/>
  <c r="D9" i="17"/>
  <c r="D10" i="17"/>
  <c r="C8" i="11"/>
  <c r="C9" i="11"/>
  <c r="C10" i="11"/>
  <c r="C8" i="14"/>
  <c r="C9" i="14"/>
  <c r="C10" i="14"/>
  <c r="C8" i="17"/>
  <c r="C9" i="17"/>
  <c r="C10" i="17"/>
  <c r="D8" i="12"/>
  <c r="D5" i="9"/>
  <c r="D6" i="9"/>
  <c r="D7" i="9"/>
  <c r="D8" i="9"/>
  <c r="D9" i="9"/>
  <c r="D10" i="9"/>
  <c r="D11" i="9"/>
  <c r="D12" i="9"/>
  <c r="D13" i="9"/>
  <c r="D14" i="9"/>
  <c r="D15" i="9"/>
  <c r="D16" i="9"/>
  <c r="D5" i="10"/>
  <c r="D6" i="10"/>
  <c r="D7" i="10"/>
  <c r="D8" i="10"/>
  <c r="D9" i="10"/>
  <c r="D10" i="10"/>
  <c r="D6" i="12"/>
  <c r="D10" i="12"/>
  <c r="D12" i="12"/>
  <c r="D5" i="11"/>
  <c r="D6" i="11"/>
  <c r="D7" i="11"/>
  <c r="D7" i="12"/>
  <c r="D16" i="12"/>
  <c r="D5" i="13"/>
  <c r="D6" i="13"/>
  <c r="D7" i="13"/>
  <c r="D8" i="13"/>
  <c r="D9" i="13"/>
  <c r="D10" i="13"/>
  <c r="D11" i="12"/>
  <c r="D5" i="14"/>
  <c r="D6" i="14"/>
  <c r="D7" i="14"/>
  <c r="D9" i="12"/>
  <c r="D5" i="15"/>
  <c r="D6" i="15"/>
  <c r="D7" i="15"/>
  <c r="D8" i="15"/>
  <c r="D9" i="15"/>
  <c r="D10" i="15"/>
  <c r="D11" i="15"/>
  <c r="D12" i="15"/>
  <c r="D13" i="15"/>
  <c r="D14" i="15"/>
  <c r="D15" i="15"/>
  <c r="D16" i="15"/>
  <c r="D5" i="16"/>
  <c r="D6" i="16"/>
  <c r="D7" i="16"/>
  <c r="D8" i="16"/>
  <c r="D9" i="16"/>
  <c r="D10" i="16"/>
  <c r="D13" i="12"/>
  <c r="D15" i="12"/>
  <c r="D5" i="17"/>
  <c r="D6" i="17"/>
  <c r="D7" i="17"/>
  <c r="D5" i="12"/>
  <c r="D14" i="12"/>
  <c r="C13" i="12"/>
  <c r="C5" i="9"/>
  <c r="C6" i="9"/>
  <c r="C7" i="9"/>
  <c r="C8" i="9"/>
  <c r="C9" i="9"/>
  <c r="C10" i="9"/>
  <c r="C11" i="9"/>
  <c r="C12" i="9"/>
  <c r="C13" i="9"/>
  <c r="C14" i="9"/>
  <c r="C15" i="9"/>
  <c r="C16" i="9"/>
  <c r="C5" i="10"/>
  <c r="C6" i="10"/>
  <c r="C7" i="10"/>
  <c r="C8" i="10"/>
  <c r="C9" i="10"/>
  <c r="C10" i="10"/>
  <c r="C5" i="11"/>
  <c r="C6" i="11"/>
  <c r="C7" i="11"/>
  <c r="C5" i="12"/>
  <c r="C10" i="12"/>
  <c r="C5" i="13"/>
  <c r="C6" i="13"/>
  <c r="C7" i="13"/>
  <c r="C8" i="13"/>
  <c r="C9" i="13"/>
  <c r="C10" i="13"/>
  <c r="C6" i="12"/>
  <c r="C8" i="12"/>
  <c r="C14" i="12"/>
  <c r="C16" i="12"/>
  <c r="C5" i="14"/>
  <c r="C6" i="14"/>
  <c r="C7" i="14"/>
  <c r="C7" i="12"/>
  <c r="C15" i="12"/>
  <c r="C5" i="15"/>
  <c r="C6" i="15"/>
  <c r="C7" i="15"/>
  <c r="C8" i="15"/>
  <c r="C9" i="15"/>
  <c r="C10" i="15"/>
  <c r="C11" i="15"/>
  <c r="C12" i="15"/>
  <c r="C13" i="15"/>
  <c r="C14" i="15"/>
  <c r="C15" i="15"/>
  <c r="C16" i="15"/>
  <c r="C5" i="16"/>
  <c r="C6" i="16"/>
  <c r="C7" i="16"/>
  <c r="C8" i="16"/>
  <c r="C9" i="16"/>
  <c r="C10" i="16"/>
  <c r="C9" i="12"/>
  <c r="C12" i="12"/>
  <c r="C5" i="17"/>
  <c r="C6" i="17"/>
  <c r="C7" i="17"/>
  <c r="C11" i="12"/>
  <c r="H124" i="8"/>
  <c r="F124" i="8"/>
  <c r="E124" i="8"/>
  <c r="J121" i="8"/>
  <c r="I121" i="8"/>
  <c r="H121" i="8"/>
  <c r="G121" i="8"/>
  <c r="F121" i="8"/>
  <c r="E121" i="8"/>
  <c r="D121" i="8"/>
  <c r="J120" i="8"/>
  <c r="I120" i="8"/>
  <c r="G120" i="8"/>
  <c r="E120" i="8"/>
  <c r="J119" i="8"/>
  <c r="G119" i="8"/>
  <c r="H118" i="8"/>
  <c r="E118" i="8"/>
  <c r="J117" i="8"/>
  <c r="G117" i="8"/>
  <c r="D117" i="8"/>
  <c r="I116" i="8"/>
  <c r="F116" i="8"/>
  <c r="I115" i="8"/>
  <c r="F115" i="8"/>
  <c r="H114" i="8"/>
  <c r="E114" i="8"/>
  <c r="J113" i="8"/>
  <c r="G113" i="8"/>
  <c r="D113" i="8"/>
  <c r="J112" i="8"/>
  <c r="G112" i="8"/>
  <c r="D112" i="8"/>
  <c r="I111" i="8"/>
  <c r="F111" i="8"/>
  <c r="J110" i="8"/>
  <c r="G110" i="8"/>
  <c r="H109" i="8"/>
  <c r="E109" i="8"/>
  <c r="I108" i="8"/>
  <c r="E108" i="8"/>
  <c r="J107" i="8"/>
  <c r="G107" i="8"/>
  <c r="D107" i="8"/>
  <c r="I106" i="8"/>
  <c r="F106" i="8"/>
  <c r="H105" i="8"/>
  <c r="E105" i="8"/>
  <c r="J104" i="8"/>
  <c r="G104" i="8"/>
  <c r="I103" i="8"/>
  <c r="F103" i="8"/>
  <c r="I102" i="8"/>
  <c r="F102" i="8"/>
  <c r="H101" i="8"/>
  <c r="E101" i="8"/>
  <c r="E91" i="8"/>
  <c r="I90" i="8"/>
  <c r="D90" i="8"/>
  <c r="J89" i="8"/>
  <c r="F89" i="8"/>
  <c r="I88" i="8"/>
  <c r="G87" i="8"/>
  <c r="I86" i="8"/>
  <c r="I85" i="8"/>
  <c r="H84" i="8"/>
  <c r="J83" i="8"/>
  <c r="E83" i="8"/>
  <c r="J82" i="8"/>
  <c r="F82" i="8"/>
  <c r="I81" i="8"/>
  <c r="E81" i="8"/>
  <c r="J80" i="8"/>
  <c r="E80" i="8"/>
  <c r="J79" i="8"/>
  <c r="F79" i="8"/>
  <c r="J78" i="8"/>
  <c r="F78" i="8"/>
  <c r="I76" i="8"/>
  <c r="E76" i="8"/>
  <c r="J75" i="8"/>
  <c r="F75" i="8"/>
  <c r="I74" i="8"/>
  <c r="G73" i="8"/>
  <c r="H72" i="8"/>
  <c r="J71" i="8"/>
  <c r="I70" i="8"/>
  <c r="J69" i="8"/>
  <c r="J68" i="8"/>
  <c r="F68" i="8"/>
  <c r="I67" i="8"/>
  <c r="J66" i="8"/>
  <c r="F66" i="8"/>
  <c r="H65" i="8"/>
  <c r="I64" i="8"/>
  <c r="G63" i="8"/>
  <c r="G62" i="8"/>
  <c r="G61" i="8"/>
  <c r="H60" i="8"/>
  <c r="I59" i="8"/>
  <c r="J58" i="8"/>
  <c r="G57" i="8"/>
  <c r="H56" i="8"/>
  <c r="F35" i="8"/>
  <c r="G34" i="8"/>
  <c r="F33" i="8"/>
  <c r="I14" i="8"/>
  <c r="E13" i="8"/>
  <c r="G12" i="8"/>
  <c r="J11" i="8"/>
  <c r="F120" i="8"/>
  <c r="I119" i="8"/>
  <c r="F119" i="8"/>
  <c r="J118" i="8"/>
  <c r="G118" i="8"/>
  <c r="I117" i="8"/>
  <c r="F117" i="8"/>
  <c r="H116" i="8"/>
  <c r="E116" i="8"/>
  <c r="H115" i="8"/>
  <c r="E115" i="8"/>
  <c r="J114" i="8"/>
  <c r="G114" i="8"/>
  <c r="H113" i="8"/>
  <c r="E113" i="8"/>
  <c r="I112" i="8"/>
  <c r="F112" i="8"/>
  <c r="H111" i="8"/>
  <c r="E111" i="8"/>
  <c r="H110" i="8"/>
  <c r="E110" i="8"/>
  <c r="J109" i="8"/>
  <c r="G109" i="8"/>
  <c r="J108" i="8"/>
  <c r="G108" i="8"/>
  <c r="I107" i="8"/>
  <c r="F107" i="8"/>
  <c r="H106" i="8"/>
  <c r="E106" i="8"/>
  <c r="I105" i="8"/>
  <c r="F105" i="8"/>
  <c r="H104" i="8"/>
  <c r="E104" i="8"/>
  <c r="J103" i="8"/>
  <c r="G103" i="8"/>
  <c r="H102" i="8"/>
  <c r="E102" i="8"/>
  <c r="I101" i="8"/>
  <c r="F101" i="8"/>
  <c r="G91" i="8"/>
  <c r="G90" i="8"/>
  <c r="H89" i="8"/>
  <c r="H88" i="8"/>
  <c r="I87" i="8"/>
  <c r="J86" i="8"/>
  <c r="F86" i="8"/>
  <c r="J85" i="8"/>
  <c r="J84" i="8"/>
  <c r="H83" i="8"/>
  <c r="F83" i="8"/>
  <c r="G82" i="8"/>
  <c r="G81" i="8"/>
  <c r="H80" i="8"/>
  <c r="H79" i="8"/>
  <c r="H78" i="8"/>
  <c r="H76" i="8"/>
  <c r="H75" i="8"/>
  <c r="G74" i="8"/>
  <c r="H73" i="8"/>
  <c r="I72" i="8"/>
  <c r="H71" i="8"/>
  <c r="J70" i="8"/>
  <c r="F70" i="8"/>
  <c r="H69" i="8"/>
  <c r="I68" i="8"/>
  <c r="H67" i="8"/>
  <c r="H66" i="8"/>
  <c r="I65" i="8"/>
  <c r="J64" i="8"/>
  <c r="H63" i="8"/>
  <c r="E63" i="8"/>
  <c r="J62" i="8"/>
  <c r="F62" i="8"/>
  <c r="H61" i="8"/>
  <c r="I60" i="8"/>
  <c r="J59" i="8"/>
  <c r="G58" i="8"/>
  <c r="H57" i="8"/>
  <c r="J56" i="8"/>
  <c r="D35" i="8"/>
  <c r="H34" i="8"/>
  <c r="J33" i="8"/>
  <c r="H14" i="8"/>
  <c r="J13" i="8"/>
  <c r="H11" i="8"/>
  <c r="I124" i="8"/>
  <c r="G124" i="8"/>
  <c r="D124" i="8"/>
  <c r="J123" i="8"/>
  <c r="I123" i="8"/>
  <c r="H123" i="8"/>
  <c r="G123" i="8"/>
  <c r="F123" i="8"/>
  <c r="E123" i="8"/>
  <c r="H120" i="8"/>
  <c r="H119" i="8"/>
  <c r="E119" i="8"/>
  <c r="I118" i="8"/>
  <c r="F118" i="8"/>
  <c r="H117" i="8"/>
  <c r="E117" i="8"/>
  <c r="J116" i="8"/>
  <c r="G116" i="8"/>
  <c r="J115" i="8"/>
  <c r="G115" i="8"/>
  <c r="I114" i="8"/>
  <c r="F114" i="8"/>
  <c r="I113" i="8"/>
  <c r="F113" i="8"/>
  <c r="H112" i="8"/>
  <c r="E112" i="8"/>
  <c r="J111" i="8"/>
  <c r="G111" i="8"/>
  <c r="I110" i="8"/>
  <c r="F110" i="8"/>
  <c r="I109" i="8"/>
  <c r="F109" i="8"/>
  <c r="H108" i="8"/>
  <c r="F108" i="8"/>
  <c r="H107" i="8"/>
  <c r="E107" i="8"/>
  <c r="J106" i="8"/>
  <c r="G106" i="8"/>
  <c r="J105" i="8"/>
  <c r="G105" i="8"/>
  <c r="I104" i="8"/>
  <c r="F104" i="8"/>
  <c r="H103" i="8"/>
  <c r="E103" i="8"/>
  <c r="J102" i="8"/>
  <c r="G102" i="8"/>
  <c r="D102" i="8"/>
  <c r="J101" i="8"/>
  <c r="G101" i="8"/>
  <c r="H90" i="8"/>
  <c r="E90" i="8"/>
  <c r="I89" i="8"/>
  <c r="E89" i="8"/>
  <c r="J88" i="8"/>
  <c r="F88" i="8"/>
  <c r="J87" i="8"/>
  <c r="F87" i="8"/>
  <c r="G86" i="8"/>
  <c r="H85" i="8"/>
  <c r="E85" i="8"/>
  <c r="I84" i="8"/>
  <c r="G83" i="8"/>
  <c r="H82" i="8"/>
  <c r="H81" i="8"/>
  <c r="D81" i="8"/>
  <c r="I80" i="8"/>
  <c r="F80" i="8"/>
  <c r="I79" i="8"/>
  <c r="E79" i="8"/>
  <c r="I78" i="8"/>
  <c r="G76" i="8"/>
  <c r="G75" i="8"/>
  <c r="J74" i="8"/>
  <c r="J73" i="8"/>
  <c r="G72" i="8"/>
  <c r="I71" i="8"/>
  <c r="G70" i="8"/>
  <c r="I69" i="8"/>
  <c r="G68" i="8"/>
  <c r="G67" i="8"/>
  <c r="I66" i="8"/>
  <c r="J65" i="8"/>
  <c r="F65" i="8"/>
  <c r="H64" i="8"/>
  <c r="J63" i="8"/>
  <c r="F63" i="8"/>
  <c r="H62" i="8"/>
  <c r="I61" i="8"/>
  <c r="G60" i="8"/>
  <c r="H59" i="8"/>
  <c r="I58" i="8"/>
  <c r="J57" i="8"/>
  <c r="G56" i="8"/>
  <c r="E35" i="8"/>
  <c r="J34" i="8"/>
  <c r="H33" i="8"/>
  <c r="G14" i="8"/>
  <c r="I13" i="8"/>
  <c r="F11" i="8"/>
  <c r="C123" i="8"/>
  <c r="J122" i="8"/>
  <c r="I122" i="8"/>
  <c r="H122" i="8"/>
  <c r="G122" i="8"/>
  <c r="F122" i="8"/>
  <c r="E122" i="8"/>
  <c r="D122" i="8"/>
  <c r="H100" i="8"/>
  <c r="G100" i="8"/>
  <c r="F100" i="8"/>
  <c r="E100" i="8"/>
  <c r="D100" i="8"/>
  <c r="C100" i="8"/>
  <c r="J99" i="8"/>
  <c r="I99" i="8"/>
  <c r="H99" i="8"/>
  <c r="G99" i="8"/>
  <c r="F99" i="8"/>
  <c r="E99" i="8"/>
  <c r="D99" i="8"/>
  <c r="J98" i="8"/>
  <c r="I98" i="8"/>
  <c r="H98" i="8"/>
  <c r="G98" i="8"/>
  <c r="F98" i="8"/>
  <c r="E98" i="8"/>
  <c r="D98" i="8"/>
  <c r="J97" i="8"/>
  <c r="I97" i="8"/>
  <c r="H97" i="8"/>
  <c r="G97" i="8"/>
  <c r="F97" i="8"/>
  <c r="E97" i="8"/>
  <c r="D97" i="8"/>
  <c r="J96" i="8"/>
  <c r="I96" i="8"/>
  <c r="H96" i="8"/>
  <c r="G96" i="8"/>
  <c r="F96" i="8"/>
  <c r="E96" i="8"/>
  <c r="D96" i="8"/>
  <c r="J95" i="8"/>
  <c r="I95" i="8"/>
  <c r="H95" i="8"/>
  <c r="G95" i="8"/>
  <c r="F95" i="8"/>
  <c r="E95" i="8"/>
  <c r="D95" i="8"/>
  <c r="J94" i="8"/>
  <c r="I94" i="8"/>
  <c r="H94" i="8"/>
  <c r="G94" i="8"/>
  <c r="F94" i="8"/>
  <c r="E94" i="8"/>
  <c r="D94" i="8"/>
  <c r="J93" i="8"/>
  <c r="I93" i="8"/>
  <c r="H93" i="8"/>
  <c r="G93" i="8"/>
  <c r="F93" i="8"/>
  <c r="E93" i="8"/>
  <c r="D93" i="8"/>
  <c r="J92" i="8"/>
  <c r="I92" i="8"/>
  <c r="H92" i="8"/>
  <c r="G92" i="8"/>
  <c r="F92" i="8"/>
  <c r="E92" i="8"/>
  <c r="D92" i="8"/>
  <c r="J91" i="8"/>
  <c r="I91" i="8"/>
  <c r="H91" i="8"/>
  <c r="F91" i="8"/>
  <c r="J90" i="8"/>
  <c r="F90" i="8"/>
  <c r="G89" i="8"/>
  <c r="G88" i="8"/>
  <c r="H87" i="8"/>
  <c r="H86" i="8"/>
  <c r="G85" i="8"/>
  <c r="G84" i="8"/>
  <c r="I83" i="8"/>
  <c r="I82" i="8"/>
  <c r="E82" i="8"/>
  <c r="J81" i="8"/>
  <c r="F81" i="8"/>
  <c r="G80" i="8"/>
  <c r="G79" i="8"/>
  <c r="G78" i="8"/>
  <c r="J76" i="8"/>
  <c r="F76" i="8"/>
  <c r="I75" i="8"/>
  <c r="H74" i="8"/>
  <c r="I73" i="8"/>
  <c r="J72" i="8"/>
  <c r="G71" i="8"/>
  <c r="H70" i="8"/>
  <c r="G69" i="8"/>
  <c r="H68" i="8"/>
  <c r="J67" i="8"/>
  <c r="G66" i="8"/>
  <c r="G65" i="8"/>
  <c r="G64" i="8"/>
  <c r="I63" i="8"/>
  <c r="I62" i="8"/>
  <c r="J61" i="8"/>
  <c r="J60" i="8"/>
  <c r="G59" i="8"/>
  <c r="H58" i="8"/>
  <c r="I57" i="8"/>
  <c r="I56" i="8"/>
  <c r="I34" i="8"/>
  <c r="G33" i="8"/>
  <c r="J14" i="8"/>
  <c r="F13" i="8"/>
  <c r="I12" i="8"/>
  <c r="I11" i="8"/>
  <c r="D78" i="8"/>
  <c r="C78" i="8"/>
  <c r="J77" i="8"/>
  <c r="I77" i="8"/>
  <c r="H77" i="8"/>
  <c r="G77" i="8"/>
  <c r="F77" i="8"/>
  <c r="E77" i="8"/>
  <c r="D77" i="8"/>
  <c r="I55" i="8"/>
  <c r="H55" i="8"/>
  <c r="G55" i="8"/>
  <c r="F55" i="8"/>
  <c r="E55" i="8"/>
  <c r="D55" i="8"/>
  <c r="C55" i="8"/>
  <c r="J54" i="8"/>
  <c r="I54" i="8"/>
  <c r="H54" i="8"/>
  <c r="G54" i="8"/>
  <c r="F54" i="8"/>
  <c r="E54" i="8"/>
  <c r="D54" i="8"/>
  <c r="J53" i="8"/>
  <c r="I53" i="8"/>
  <c r="H53" i="8"/>
  <c r="G53" i="8"/>
  <c r="F53" i="8"/>
  <c r="E53" i="8"/>
  <c r="D53" i="8"/>
  <c r="J52" i="8"/>
  <c r="I52" i="8"/>
  <c r="H52" i="8"/>
  <c r="G52" i="8"/>
  <c r="F52" i="8"/>
  <c r="E52" i="8"/>
  <c r="D52" i="8"/>
  <c r="J51" i="8"/>
  <c r="I51" i="8"/>
  <c r="H51" i="8"/>
  <c r="G51" i="8"/>
  <c r="F51" i="8"/>
  <c r="E51" i="8"/>
  <c r="D51" i="8"/>
  <c r="J50" i="8"/>
  <c r="I50" i="8"/>
  <c r="H50" i="8"/>
  <c r="G50" i="8"/>
  <c r="F50" i="8"/>
  <c r="E50" i="8"/>
  <c r="D50" i="8"/>
  <c r="J49" i="8"/>
  <c r="I49" i="8"/>
  <c r="H49" i="8"/>
  <c r="G49" i="8"/>
  <c r="F49" i="8"/>
  <c r="E49" i="8"/>
  <c r="D49" i="8"/>
  <c r="J48" i="8"/>
  <c r="I48" i="8"/>
  <c r="H48" i="8"/>
  <c r="G48" i="8"/>
  <c r="F48" i="8"/>
  <c r="E48" i="8"/>
  <c r="D48" i="8"/>
  <c r="J47" i="8"/>
  <c r="I47" i="8"/>
  <c r="H47" i="8"/>
  <c r="G47" i="8"/>
  <c r="F47" i="8"/>
  <c r="E47" i="8"/>
  <c r="D47" i="8"/>
  <c r="J46" i="8"/>
  <c r="I46" i="8"/>
  <c r="H46" i="8"/>
  <c r="G46" i="8"/>
  <c r="F46" i="8"/>
  <c r="E46" i="8"/>
  <c r="D46" i="8"/>
  <c r="J45" i="8"/>
  <c r="I45" i="8"/>
  <c r="H45" i="8"/>
  <c r="G45" i="8"/>
  <c r="F45" i="8"/>
  <c r="E45" i="8"/>
  <c r="D45" i="8"/>
  <c r="J44" i="8"/>
  <c r="I44" i="8"/>
  <c r="H44" i="8"/>
  <c r="G44" i="8"/>
  <c r="F44" i="8"/>
  <c r="E44" i="8"/>
  <c r="D44" i="8"/>
  <c r="J43" i="8"/>
  <c r="I43" i="8"/>
  <c r="H43" i="8"/>
  <c r="G43" i="8"/>
  <c r="F43" i="8"/>
  <c r="E43" i="8"/>
  <c r="D43" i="8"/>
  <c r="J42" i="8"/>
  <c r="I42" i="8"/>
  <c r="H42" i="8"/>
  <c r="G42" i="8"/>
  <c r="F42" i="8"/>
  <c r="E42" i="8"/>
  <c r="D42" i="8"/>
  <c r="J41" i="8"/>
  <c r="I41" i="8"/>
  <c r="H41" i="8"/>
  <c r="G41" i="8"/>
  <c r="F41" i="8"/>
  <c r="E41" i="8"/>
  <c r="D41" i="8"/>
  <c r="J40" i="8"/>
  <c r="I40" i="8"/>
  <c r="H40" i="8"/>
  <c r="G40" i="8"/>
  <c r="F40" i="8"/>
  <c r="E40" i="8"/>
  <c r="D40" i="8"/>
  <c r="J39" i="8"/>
  <c r="I39" i="8"/>
  <c r="H39" i="8"/>
  <c r="G39" i="8"/>
  <c r="F39" i="8"/>
  <c r="E39" i="8"/>
  <c r="D39" i="8"/>
  <c r="J38" i="8"/>
  <c r="I38" i="8"/>
  <c r="H38" i="8"/>
  <c r="G38" i="8"/>
  <c r="F38" i="8"/>
  <c r="E38" i="8"/>
  <c r="D38" i="8"/>
  <c r="J37" i="8"/>
  <c r="I37" i="8"/>
  <c r="H37" i="8"/>
  <c r="G37" i="8"/>
  <c r="F37" i="8"/>
  <c r="E37" i="8"/>
  <c r="D37" i="8"/>
  <c r="J36" i="8"/>
  <c r="I36" i="8"/>
  <c r="H36" i="8"/>
  <c r="G36" i="8"/>
  <c r="F36" i="8"/>
  <c r="E36" i="8"/>
  <c r="D36" i="8"/>
  <c r="J35" i="8"/>
  <c r="I35" i="8"/>
  <c r="H35" i="8"/>
  <c r="G35" i="8"/>
  <c r="F34" i="8"/>
  <c r="I33" i="8"/>
  <c r="E14" i="8"/>
  <c r="H13" i="8"/>
  <c r="H12" i="8"/>
  <c r="G11" i="8"/>
  <c r="D33" i="8"/>
  <c r="C33" i="8"/>
  <c r="J32" i="8"/>
  <c r="I32" i="8"/>
  <c r="H32" i="8"/>
  <c r="G32" i="8"/>
  <c r="F32" i="8"/>
  <c r="E32" i="8"/>
  <c r="D32" i="8"/>
  <c r="J31" i="8"/>
  <c r="I31" i="8"/>
  <c r="H31" i="8"/>
  <c r="G31" i="8"/>
  <c r="F31" i="8"/>
  <c r="E31" i="8"/>
  <c r="D31" i="8"/>
  <c r="J30" i="8"/>
  <c r="I30" i="8"/>
  <c r="H30" i="8"/>
  <c r="G30" i="8"/>
  <c r="F30" i="8"/>
  <c r="E30" i="8"/>
  <c r="D30" i="8"/>
  <c r="J29" i="8"/>
  <c r="I29" i="8"/>
  <c r="H29" i="8"/>
  <c r="G29" i="8"/>
  <c r="F29" i="8"/>
  <c r="E29" i="8"/>
  <c r="D29" i="8"/>
  <c r="J28" i="8"/>
  <c r="I28" i="8"/>
  <c r="H28" i="8"/>
  <c r="G28" i="8"/>
  <c r="F28" i="8"/>
  <c r="E28" i="8"/>
  <c r="D28" i="8"/>
  <c r="J27" i="8"/>
  <c r="I27" i="8"/>
  <c r="H27" i="8"/>
  <c r="G27" i="8"/>
  <c r="F27" i="8"/>
  <c r="E27" i="8"/>
  <c r="D27" i="8"/>
  <c r="J26" i="8"/>
  <c r="I26" i="8"/>
  <c r="H26" i="8"/>
  <c r="G26" i="8"/>
  <c r="F26" i="8"/>
  <c r="E26" i="8"/>
  <c r="D26" i="8"/>
  <c r="J25" i="8"/>
  <c r="I25" i="8"/>
  <c r="H25" i="8"/>
  <c r="G25" i="8"/>
  <c r="F25" i="8"/>
  <c r="E25" i="8"/>
  <c r="D25" i="8"/>
  <c r="J24" i="8"/>
  <c r="I24" i="8"/>
  <c r="H24" i="8"/>
  <c r="G24" i="8"/>
  <c r="F24" i="8"/>
  <c r="E24" i="8"/>
  <c r="D24" i="8"/>
  <c r="J23" i="8"/>
  <c r="I23" i="8"/>
  <c r="H23" i="8"/>
  <c r="G23" i="8"/>
  <c r="F23" i="8"/>
  <c r="E23" i="8"/>
  <c r="D23" i="8"/>
  <c r="J22" i="8"/>
  <c r="I22" i="8"/>
  <c r="H22" i="8"/>
  <c r="G22" i="8"/>
  <c r="F22" i="8"/>
  <c r="E22" i="8"/>
  <c r="D22" i="8"/>
  <c r="J21" i="8"/>
  <c r="I21" i="8"/>
  <c r="H21" i="8"/>
  <c r="G21" i="8"/>
  <c r="F21" i="8"/>
  <c r="E21" i="8"/>
  <c r="D21" i="8"/>
  <c r="J20" i="8"/>
  <c r="I20" i="8"/>
  <c r="H20" i="8"/>
  <c r="G20" i="8"/>
  <c r="F20" i="8"/>
  <c r="E20" i="8"/>
  <c r="D20" i="8"/>
  <c r="J19" i="8"/>
  <c r="I19" i="8"/>
  <c r="H19" i="8"/>
  <c r="G19" i="8"/>
  <c r="F19" i="8"/>
  <c r="E19" i="8"/>
  <c r="D19" i="8"/>
  <c r="J18" i="8"/>
  <c r="I18" i="8"/>
  <c r="H18" i="8"/>
  <c r="G18" i="8"/>
  <c r="F18" i="8"/>
  <c r="E18" i="8"/>
  <c r="D18" i="8"/>
  <c r="J17" i="8"/>
  <c r="I17" i="8"/>
  <c r="H17" i="8"/>
  <c r="G17" i="8"/>
  <c r="F17" i="8"/>
  <c r="E17" i="8"/>
  <c r="D17" i="8"/>
  <c r="J16" i="8"/>
  <c r="I16" i="8"/>
  <c r="H16" i="8"/>
  <c r="G16" i="8"/>
  <c r="F16" i="8"/>
  <c r="E16" i="8"/>
  <c r="D16" i="8"/>
  <c r="J15" i="8"/>
  <c r="I15" i="8"/>
  <c r="H15" i="8"/>
  <c r="G15" i="8"/>
  <c r="F15" i="8"/>
  <c r="F14" i="8"/>
  <c r="G13" i="8"/>
  <c r="J12" i="8"/>
  <c r="E11" i="8"/>
  <c r="F6" i="18" l="1"/>
  <c r="K93" i="11"/>
  <c r="L93" i="11" s="1"/>
  <c r="O93" i="11" s="1"/>
  <c r="S93" i="11" s="1"/>
  <c r="K92" i="11"/>
  <c r="L92" i="11"/>
  <c r="K92" i="14"/>
  <c r="L92" i="14"/>
  <c r="K93" i="14"/>
  <c r="L93" i="14"/>
  <c r="O93" i="14" s="1"/>
  <c r="S93" i="14" s="1"/>
  <c r="K94" i="14"/>
  <c r="L94" i="14"/>
  <c r="O94" i="14" s="1"/>
  <c r="S94" i="14" s="1"/>
  <c r="K94" i="11"/>
  <c r="L94" i="11"/>
  <c r="O94" i="11" s="1"/>
  <c r="S94" i="11" s="1"/>
  <c r="K92" i="17"/>
  <c r="L92" i="17"/>
  <c r="K93" i="17"/>
  <c r="L93" i="17"/>
  <c r="O93" i="17" s="1"/>
  <c r="S93" i="17" s="1"/>
  <c r="K94" i="17"/>
  <c r="L94" i="17"/>
  <c r="O94" i="17" s="1"/>
  <c r="S94" i="17" s="1"/>
  <c r="K89" i="9"/>
  <c r="L89" i="9"/>
  <c r="K90" i="9"/>
  <c r="L90" i="9"/>
  <c r="O90" i="9" s="1"/>
  <c r="S90" i="9" s="1"/>
  <c r="K91" i="9"/>
  <c r="L91" i="9"/>
  <c r="O91" i="9" s="1"/>
  <c r="S91" i="9" s="1"/>
  <c r="K92" i="9"/>
  <c r="L92" i="9"/>
  <c r="O92" i="9" s="1"/>
  <c r="S92" i="9" s="1"/>
  <c r="K93" i="9"/>
  <c r="L93" i="9"/>
  <c r="O93" i="9" s="1"/>
  <c r="S93" i="9" s="1"/>
  <c r="K94" i="9"/>
  <c r="L94" i="9"/>
  <c r="O94" i="9" s="1"/>
  <c r="S94" i="9" s="1"/>
  <c r="K95" i="9"/>
  <c r="L95" i="9"/>
  <c r="O95" i="9" s="1"/>
  <c r="S95" i="9" s="1"/>
  <c r="K96" i="9"/>
  <c r="L96" i="9"/>
  <c r="O96" i="9" s="1"/>
  <c r="S96" i="9" s="1"/>
  <c r="K97" i="9"/>
  <c r="L97" i="9"/>
  <c r="O97" i="9" s="1"/>
  <c r="S97" i="9" s="1"/>
  <c r="K98" i="9"/>
  <c r="L98" i="9"/>
  <c r="O98" i="9" s="1"/>
  <c r="S98" i="9" s="1"/>
  <c r="K99" i="9"/>
  <c r="L99" i="9"/>
  <c r="O99" i="9" s="1"/>
  <c r="S99" i="9" s="1"/>
  <c r="K100" i="9"/>
  <c r="L100" i="9"/>
  <c r="O100" i="9" s="1"/>
  <c r="S100" i="9" s="1"/>
  <c r="K89" i="11"/>
  <c r="L89" i="11" s="1"/>
  <c r="K89" i="10"/>
  <c r="L89" i="10"/>
  <c r="K90" i="10"/>
  <c r="L90" i="10"/>
  <c r="O90" i="10" s="1"/>
  <c r="S90" i="10" s="1"/>
  <c r="K91" i="10"/>
  <c r="L91" i="10"/>
  <c r="O91" i="10" s="1"/>
  <c r="S91" i="10" s="1"/>
  <c r="K92" i="10"/>
  <c r="L92" i="10"/>
  <c r="O92" i="10" s="1"/>
  <c r="S92" i="10" s="1"/>
  <c r="K93" i="10"/>
  <c r="L93" i="10"/>
  <c r="O93" i="10" s="1"/>
  <c r="S93" i="10" s="1"/>
  <c r="K94" i="10"/>
  <c r="L94" i="10"/>
  <c r="O94" i="10" s="1"/>
  <c r="S94" i="10" s="1"/>
  <c r="K91" i="11"/>
  <c r="L91" i="11"/>
  <c r="O91" i="11" s="1"/>
  <c r="S91" i="11" s="1"/>
  <c r="K89" i="12"/>
  <c r="L89" i="12"/>
  <c r="K90" i="12"/>
  <c r="L90" i="12"/>
  <c r="O90" i="12" s="1"/>
  <c r="S90" i="12" s="1"/>
  <c r="K91" i="12"/>
  <c r="L91" i="12"/>
  <c r="O91" i="12" s="1"/>
  <c r="S91" i="12" s="1"/>
  <c r="K92" i="12"/>
  <c r="L92" i="12"/>
  <c r="O92" i="12" s="1"/>
  <c r="S92" i="12" s="1"/>
  <c r="K93" i="12"/>
  <c r="L93" i="12"/>
  <c r="O93" i="12" s="1"/>
  <c r="S93" i="12" s="1"/>
  <c r="K94" i="12"/>
  <c r="L94" i="12"/>
  <c r="O94" i="12" s="1"/>
  <c r="S94" i="12" s="1"/>
  <c r="K95" i="12"/>
  <c r="L95" i="12"/>
  <c r="O95" i="12" s="1"/>
  <c r="S95" i="12" s="1"/>
  <c r="K96" i="12"/>
  <c r="L96" i="12"/>
  <c r="O96" i="12" s="1"/>
  <c r="S96" i="12" s="1"/>
  <c r="K97" i="12"/>
  <c r="L97" i="12"/>
  <c r="O97" i="12" s="1"/>
  <c r="S97" i="12" s="1"/>
  <c r="K98" i="12"/>
  <c r="L98" i="12"/>
  <c r="O98" i="12" s="1"/>
  <c r="S98" i="12" s="1"/>
  <c r="K99" i="12"/>
  <c r="L99" i="12"/>
  <c r="O99" i="12" s="1"/>
  <c r="S99" i="12" s="1"/>
  <c r="K100" i="12"/>
  <c r="L100" i="12"/>
  <c r="O100" i="12" s="1"/>
  <c r="S100" i="12" s="1"/>
  <c r="K90" i="11"/>
  <c r="L90" i="11" s="1"/>
  <c r="O90" i="11" s="1"/>
  <c r="S90" i="11" s="1"/>
  <c r="K89" i="13"/>
  <c r="L89" i="13"/>
  <c r="K90" i="13"/>
  <c r="L90" i="13"/>
  <c r="O90" i="13" s="1"/>
  <c r="S90" i="13" s="1"/>
  <c r="K91" i="13"/>
  <c r="L91" i="13"/>
  <c r="O91" i="13" s="1"/>
  <c r="S91" i="13" s="1"/>
  <c r="K92" i="13"/>
  <c r="L92" i="13"/>
  <c r="O92" i="13" s="1"/>
  <c r="S92" i="13" s="1"/>
  <c r="K93" i="13"/>
  <c r="L93" i="13"/>
  <c r="O93" i="13" s="1"/>
  <c r="S93" i="13" s="1"/>
  <c r="K94" i="13"/>
  <c r="L94" i="13"/>
  <c r="O94" i="13" s="1"/>
  <c r="S94" i="13" s="1"/>
  <c r="K89" i="14"/>
  <c r="L89" i="14"/>
  <c r="K90" i="14"/>
  <c r="L90" i="14"/>
  <c r="O90" i="14" s="1"/>
  <c r="S90" i="14" s="1"/>
  <c r="K91" i="14"/>
  <c r="L91" i="14"/>
  <c r="O91" i="14" s="1"/>
  <c r="S91" i="14" s="1"/>
  <c r="K89" i="15"/>
  <c r="L89" i="15"/>
  <c r="K90" i="15"/>
  <c r="L90" i="15"/>
  <c r="O90" i="15" s="1"/>
  <c r="S90" i="15" s="1"/>
  <c r="K91" i="15"/>
  <c r="L91" i="15"/>
  <c r="O91" i="15" s="1"/>
  <c r="S91" i="15" s="1"/>
  <c r="K92" i="15"/>
  <c r="L92" i="15"/>
  <c r="O92" i="15" s="1"/>
  <c r="S92" i="15" s="1"/>
  <c r="K93" i="15"/>
  <c r="L93" i="15"/>
  <c r="O93" i="15" s="1"/>
  <c r="S93" i="15" s="1"/>
  <c r="K94" i="15"/>
  <c r="L94" i="15"/>
  <c r="O94" i="15" s="1"/>
  <c r="S94" i="15" s="1"/>
  <c r="K95" i="15"/>
  <c r="L95" i="15"/>
  <c r="O95" i="15" s="1"/>
  <c r="S95" i="15" s="1"/>
  <c r="K96" i="15"/>
  <c r="L96" i="15"/>
  <c r="O96" i="15" s="1"/>
  <c r="S96" i="15" s="1"/>
  <c r="K97" i="15"/>
  <c r="L97" i="15"/>
  <c r="O97" i="15" s="1"/>
  <c r="S97" i="15" s="1"/>
  <c r="K98" i="15"/>
  <c r="L98" i="15"/>
  <c r="O98" i="15" s="1"/>
  <c r="S98" i="15" s="1"/>
  <c r="K99" i="15"/>
  <c r="L99" i="15"/>
  <c r="O99" i="15" s="1"/>
  <c r="S99" i="15" s="1"/>
  <c r="K100" i="15"/>
  <c r="L100" i="15"/>
  <c r="O100" i="15" s="1"/>
  <c r="S100" i="15" s="1"/>
  <c r="K89" i="16"/>
  <c r="L89" i="16"/>
  <c r="K90" i="16"/>
  <c r="L90" i="16"/>
  <c r="O90" i="16" s="1"/>
  <c r="S90" i="16" s="1"/>
  <c r="K91" i="16"/>
  <c r="L91" i="16"/>
  <c r="O91" i="16" s="1"/>
  <c r="S91" i="16" s="1"/>
  <c r="K92" i="16"/>
  <c r="L92" i="16"/>
  <c r="O92" i="16" s="1"/>
  <c r="S92" i="16" s="1"/>
  <c r="K93" i="16"/>
  <c r="L93" i="16"/>
  <c r="O93" i="16" s="1"/>
  <c r="S93" i="16" s="1"/>
  <c r="K94" i="16"/>
  <c r="L94" i="16"/>
  <c r="O94" i="16" s="1"/>
  <c r="S94" i="16" s="1"/>
  <c r="K89" i="17"/>
  <c r="L89" i="17"/>
  <c r="K90" i="17"/>
  <c r="L90" i="17"/>
  <c r="O90" i="17" s="1"/>
  <c r="S90" i="17" s="1"/>
  <c r="K91" i="17"/>
  <c r="L91" i="17"/>
  <c r="O91" i="17" s="1"/>
  <c r="S91" i="17" s="1"/>
  <c r="K87" i="11"/>
  <c r="L87" i="11"/>
  <c r="O87" i="11" s="1"/>
  <c r="S87" i="11" s="1"/>
  <c r="K86" i="11"/>
  <c r="L86" i="11" s="1"/>
  <c r="K86" i="14"/>
  <c r="L86" i="14"/>
  <c r="K87" i="14"/>
  <c r="L87" i="14"/>
  <c r="O87" i="14" s="1"/>
  <c r="S87" i="14" s="1"/>
  <c r="K88" i="14"/>
  <c r="L88" i="14"/>
  <c r="O88" i="14" s="1"/>
  <c r="S88" i="14" s="1"/>
  <c r="K86" i="17"/>
  <c r="L86" i="17"/>
  <c r="K87" i="17"/>
  <c r="L87" i="17"/>
  <c r="O87" i="17" s="1"/>
  <c r="S87" i="17" s="1"/>
  <c r="K88" i="17"/>
  <c r="L88" i="17"/>
  <c r="O88" i="17" s="1"/>
  <c r="S88" i="17" s="1"/>
  <c r="K88" i="11"/>
  <c r="L88" i="11" s="1"/>
  <c r="O88" i="11" s="1"/>
  <c r="S88" i="11" s="1"/>
  <c r="K47" i="10"/>
  <c r="L47" i="10"/>
  <c r="K48" i="10"/>
  <c r="L48" i="10"/>
  <c r="O48" i="10" s="1"/>
  <c r="S48" i="10" s="1"/>
  <c r="K49" i="10"/>
  <c r="L49" i="10"/>
  <c r="O49" i="10" s="1"/>
  <c r="S49" i="10" s="1"/>
  <c r="K50" i="10"/>
  <c r="L50" i="10"/>
  <c r="O50" i="10" s="1"/>
  <c r="S50" i="10" s="1"/>
  <c r="K51" i="10"/>
  <c r="L51" i="10"/>
  <c r="O51" i="10" s="1"/>
  <c r="S51" i="10" s="1"/>
  <c r="K52" i="10"/>
  <c r="L52" i="10"/>
  <c r="O52" i="10" s="1"/>
  <c r="S52" i="10" s="1"/>
  <c r="K47" i="11"/>
  <c r="L47" i="11"/>
  <c r="K48" i="11"/>
  <c r="L48" i="11"/>
  <c r="O48" i="11" s="1"/>
  <c r="S48" i="11" s="1"/>
  <c r="K49" i="11"/>
  <c r="L49" i="11"/>
  <c r="O49" i="11" s="1"/>
  <c r="S49" i="11" s="1"/>
  <c r="K47" i="13"/>
  <c r="L47" i="13"/>
  <c r="K48" i="13"/>
  <c r="L48" i="13"/>
  <c r="O48" i="13" s="1"/>
  <c r="S48" i="13" s="1"/>
  <c r="K49" i="13"/>
  <c r="L49" i="13"/>
  <c r="O49" i="13" s="1"/>
  <c r="S49" i="13" s="1"/>
  <c r="K50" i="13"/>
  <c r="L50" i="13"/>
  <c r="O50" i="13" s="1"/>
  <c r="S50" i="13" s="1"/>
  <c r="K51" i="13"/>
  <c r="L51" i="13"/>
  <c r="O51" i="13" s="1"/>
  <c r="S51" i="13" s="1"/>
  <c r="K52" i="13"/>
  <c r="L52" i="13"/>
  <c r="O52" i="13" s="1"/>
  <c r="S52" i="13" s="1"/>
  <c r="K47" i="14"/>
  <c r="L47" i="14"/>
  <c r="K48" i="14"/>
  <c r="L48" i="14"/>
  <c r="O48" i="14" s="1"/>
  <c r="S48" i="14" s="1"/>
  <c r="K49" i="14"/>
  <c r="L49" i="14"/>
  <c r="O49" i="14" s="1"/>
  <c r="S49" i="14" s="1"/>
  <c r="K47" i="16"/>
  <c r="L47" i="16"/>
  <c r="K48" i="16"/>
  <c r="L48" i="16"/>
  <c r="O48" i="16" s="1"/>
  <c r="S48" i="16" s="1"/>
  <c r="K49" i="16"/>
  <c r="L49" i="16"/>
  <c r="O49" i="16" s="1"/>
  <c r="S49" i="16" s="1"/>
  <c r="K50" i="16"/>
  <c r="L50" i="16" s="1"/>
  <c r="O50" i="16" s="1"/>
  <c r="S50" i="16" s="1"/>
  <c r="K47" i="17"/>
  <c r="L47" i="17"/>
  <c r="K48" i="17"/>
  <c r="L48" i="17"/>
  <c r="O48" i="17" s="1"/>
  <c r="S48" i="17" s="1"/>
  <c r="K49" i="17"/>
  <c r="L49" i="17"/>
  <c r="O49" i="17" s="1"/>
  <c r="S49" i="17" s="1"/>
  <c r="K51" i="16"/>
  <c r="L51" i="16"/>
  <c r="O51" i="16" s="1"/>
  <c r="S51" i="16" s="1"/>
  <c r="K52" i="16"/>
  <c r="L52" i="16" s="1"/>
  <c r="O52" i="16" s="1"/>
  <c r="S52" i="16" s="1"/>
  <c r="K44" i="11"/>
  <c r="L44" i="11"/>
  <c r="K45" i="11"/>
  <c r="L45" i="11"/>
  <c r="O45" i="11" s="1"/>
  <c r="S45" i="11" s="1"/>
  <c r="K46" i="11"/>
  <c r="L46" i="11"/>
  <c r="O46" i="11" s="1"/>
  <c r="S46" i="11" s="1"/>
  <c r="K44" i="14"/>
  <c r="L44" i="14"/>
  <c r="K45" i="14"/>
  <c r="L45" i="14"/>
  <c r="O45" i="14" s="1"/>
  <c r="S45" i="14" s="1"/>
  <c r="K46" i="14"/>
  <c r="L46" i="14"/>
  <c r="O46" i="14" s="1"/>
  <c r="S46" i="14" s="1"/>
  <c r="K44" i="17"/>
  <c r="L44" i="17"/>
  <c r="K45" i="17"/>
  <c r="L45" i="17"/>
  <c r="O45" i="17" s="1"/>
  <c r="S45" i="17" s="1"/>
  <c r="K46" i="17"/>
  <c r="L46" i="17"/>
  <c r="O46" i="17" s="1"/>
  <c r="S46" i="17" s="1"/>
  <c r="K41" i="9"/>
  <c r="L41" i="9"/>
  <c r="K42" i="9"/>
  <c r="L42" i="9"/>
  <c r="O42" i="9" s="1"/>
  <c r="S42" i="9" s="1"/>
  <c r="K43" i="9"/>
  <c r="L43" i="9"/>
  <c r="O43" i="9" s="1"/>
  <c r="S43" i="9" s="1"/>
  <c r="K44" i="9"/>
  <c r="L44" i="9"/>
  <c r="O44" i="9" s="1"/>
  <c r="S44" i="9" s="1"/>
  <c r="K45" i="9"/>
  <c r="L45" i="9"/>
  <c r="O45" i="9" s="1"/>
  <c r="S45" i="9" s="1"/>
  <c r="K46" i="9"/>
  <c r="L46" i="9"/>
  <c r="O46" i="9" s="1"/>
  <c r="S46" i="9" s="1"/>
  <c r="K47" i="9"/>
  <c r="L47" i="9"/>
  <c r="O47" i="9" s="1"/>
  <c r="S47" i="9" s="1"/>
  <c r="K48" i="9"/>
  <c r="L48" i="9"/>
  <c r="O48" i="9" s="1"/>
  <c r="S48" i="9" s="1"/>
  <c r="K49" i="9"/>
  <c r="L49" i="9"/>
  <c r="O49" i="9" s="1"/>
  <c r="S49" i="9" s="1"/>
  <c r="K50" i="9"/>
  <c r="L50" i="9"/>
  <c r="O50" i="9" s="1"/>
  <c r="S50" i="9" s="1"/>
  <c r="K51" i="9"/>
  <c r="L51" i="9"/>
  <c r="O51" i="9" s="1"/>
  <c r="S51" i="9" s="1"/>
  <c r="K52" i="9"/>
  <c r="L52" i="9"/>
  <c r="O52" i="9" s="1"/>
  <c r="S52" i="9" s="1"/>
  <c r="K41" i="10"/>
  <c r="L41" i="10"/>
  <c r="K42" i="10"/>
  <c r="L42" i="10"/>
  <c r="O42" i="10" s="1"/>
  <c r="S42" i="10" s="1"/>
  <c r="K43" i="10"/>
  <c r="L43" i="10"/>
  <c r="O43" i="10" s="1"/>
  <c r="S43" i="10" s="1"/>
  <c r="K44" i="10"/>
  <c r="L44" i="10"/>
  <c r="O44" i="10" s="1"/>
  <c r="S44" i="10" s="1"/>
  <c r="K45" i="10"/>
  <c r="L45" i="10"/>
  <c r="O45" i="10" s="1"/>
  <c r="S45" i="10" s="1"/>
  <c r="K46" i="10"/>
  <c r="L46" i="10"/>
  <c r="O46" i="10" s="1"/>
  <c r="S46" i="10" s="1"/>
  <c r="K41" i="11"/>
  <c r="L41" i="11"/>
  <c r="K42" i="11"/>
  <c r="L42" i="11"/>
  <c r="O42" i="11" s="1"/>
  <c r="S42" i="11" s="1"/>
  <c r="K43" i="11"/>
  <c r="L43" i="11"/>
  <c r="O43" i="11" s="1"/>
  <c r="S43" i="11" s="1"/>
  <c r="K41" i="12"/>
  <c r="L41" i="12"/>
  <c r="K42" i="12"/>
  <c r="L42" i="12"/>
  <c r="O42" i="12" s="1"/>
  <c r="S42" i="12" s="1"/>
  <c r="K43" i="12"/>
  <c r="L43" i="12"/>
  <c r="O43" i="12" s="1"/>
  <c r="S43" i="12" s="1"/>
  <c r="K44" i="12"/>
  <c r="L44" i="12"/>
  <c r="O44" i="12" s="1"/>
  <c r="S44" i="12" s="1"/>
  <c r="K45" i="12"/>
  <c r="L45" i="12"/>
  <c r="O45" i="12" s="1"/>
  <c r="S45" i="12" s="1"/>
  <c r="K46" i="12"/>
  <c r="L46" i="12"/>
  <c r="O46" i="12" s="1"/>
  <c r="S46" i="12" s="1"/>
  <c r="K47" i="12"/>
  <c r="L47" i="12"/>
  <c r="O47" i="12" s="1"/>
  <c r="S47" i="12" s="1"/>
  <c r="K48" i="12"/>
  <c r="L48" i="12"/>
  <c r="O48" i="12" s="1"/>
  <c r="S48" i="12" s="1"/>
  <c r="K49" i="12"/>
  <c r="L49" i="12"/>
  <c r="O49" i="12" s="1"/>
  <c r="S49" i="12" s="1"/>
  <c r="K50" i="12"/>
  <c r="L50" i="12"/>
  <c r="O50" i="12" s="1"/>
  <c r="S50" i="12" s="1"/>
  <c r="K51" i="12"/>
  <c r="L51" i="12"/>
  <c r="O51" i="12" s="1"/>
  <c r="S51" i="12" s="1"/>
  <c r="K52" i="12"/>
  <c r="L52" i="12"/>
  <c r="O52" i="12" s="1"/>
  <c r="S52" i="12" s="1"/>
  <c r="K41" i="13"/>
  <c r="L41" i="13"/>
  <c r="K42" i="13"/>
  <c r="L42" i="13"/>
  <c r="O42" i="13" s="1"/>
  <c r="S42" i="13" s="1"/>
  <c r="K43" i="13"/>
  <c r="L43" i="13"/>
  <c r="O43" i="13" s="1"/>
  <c r="S43" i="13" s="1"/>
  <c r="K44" i="13"/>
  <c r="L44" i="13"/>
  <c r="O44" i="13" s="1"/>
  <c r="S44" i="13" s="1"/>
  <c r="K45" i="13"/>
  <c r="L45" i="13"/>
  <c r="O45" i="13" s="1"/>
  <c r="S45" i="13" s="1"/>
  <c r="K46" i="13"/>
  <c r="L46" i="13"/>
  <c r="O46" i="13" s="1"/>
  <c r="S46" i="13" s="1"/>
  <c r="K41" i="14"/>
  <c r="L41" i="14"/>
  <c r="K42" i="14"/>
  <c r="L42" i="14"/>
  <c r="O42" i="14" s="1"/>
  <c r="S42" i="14" s="1"/>
  <c r="K43" i="14"/>
  <c r="L43" i="14"/>
  <c r="O43" i="14" s="1"/>
  <c r="S43" i="14" s="1"/>
  <c r="K41" i="15"/>
  <c r="L41" i="15"/>
  <c r="K42" i="15"/>
  <c r="L42" i="15"/>
  <c r="O42" i="15" s="1"/>
  <c r="S42" i="15" s="1"/>
  <c r="K43" i="15"/>
  <c r="L43" i="15"/>
  <c r="O43" i="15" s="1"/>
  <c r="S43" i="15" s="1"/>
  <c r="K44" i="15"/>
  <c r="L44" i="15"/>
  <c r="O44" i="15" s="1"/>
  <c r="S44" i="15" s="1"/>
  <c r="K45" i="15"/>
  <c r="L45" i="15"/>
  <c r="O45" i="15" s="1"/>
  <c r="S45" i="15" s="1"/>
  <c r="K46" i="15"/>
  <c r="L46" i="15"/>
  <c r="O46" i="15" s="1"/>
  <c r="S46" i="15" s="1"/>
  <c r="K47" i="15"/>
  <c r="L47" i="15"/>
  <c r="O47" i="15" s="1"/>
  <c r="S47" i="15" s="1"/>
  <c r="K48" i="15"/>
  <c r="L48" i="15"/>
  <c r="O48" i="15" s="1"/>
  <c r="S48" i="15" s="1"/>
  <c r="K49" i="15"/>
  <c r="L49" i="15"/>
  <c r="O49" i="15" s="1"/>
  <c r="S49" i="15" s="1"/>
  <c r="K50" i="15"/>
  <c r="L50" i="15"/>
  <c r="O50" i="15" s="1"/>
  <c r="S50" i="15" s="1"/>
  <c r="K51" i="15"/>
  <c r="L51" i="15"/>
  <c r="O51" i="15" s="1"/>
  <c r="S51" i="15" s="1"/>
  <c r="K52" i="15"/>
  <c r="L52" i="15"/>
  <c r="O52" i="15" s="1"/>
  <c r="S52" i="15" s="1"/>
  <c r="K41" i="16"/>
  <c r="L41" i="16"/>
  <c r="K42" i="16"/>
  <c r="L42" i="16"/>
  <c r="O42" i="16" s="1"/>
  <c r="S42" i="16" s="1"/>
  <c r="K43" i="16"/>
  <c r="L43" i="16"/>
  <c r="O43" i="16" s="1"/>
  <c r="S43" i="16" s="1"/>
  <c r="K44" i="16"/>
  <c r="L44" i="16"/>
  <c r="O44" i="16" s="1"/>
  <c r="S44" i="16" s="1"/>
  <c r="K45" i="16"/>
  <c r="L45" i="16"/>
  <c r="O45" i="16" s="1"/>
  <c r="S45" i="16" s="1"/>
  <c r="K46" i="16"/>
  <c r="L46" i="16"/>
  <c r="O46" i="16" s="1"/>
  <c r="S46" i="16" s="1"/>
  <c r="K41" i="17"/>
  <c r="L41" i="17"/>
  <c r="K42" i="17"/>
  <c r="L42" i="17"/>
  <c r="O42" i="17" s="1"/>
  <c r="S42" i="17" s="1"/>
  <c r="K43" i="17"/>
  <c r="L43" i="17"/>
  <c r="O43" i="17" s="1"/>
  <c r="S43" i="17" s="1"/>
  <c r="K38" i="11"/>
  <c r="L38" i="11"/>
  <c r="K39" i="11"/>
  <c r="L39" i="11"/>
  <c r="O39" i="11" s="1"/>
  <c r="S39" i="11" s="1"/>
  <c r="K40" i="11"/>
  <c r="L40" i="11"/>
  <c r="O40" i="11" s="1"/>
  <c r="S40" i="11" s="1"/>
  <c r="K38" i="14"/>
  <c r="L38" i="14"/>
  <c r="K39" i="14"/>
  <c r="L39" i="14"/>
  <c r="O39" i="14" s="1"/>
  <c r="S39" i="14" s="1"/>
  <c r="K40" i="14"/>
  <c r="L40" i="14"/>
  <c r="O40" i="14" s="1"/>
  <c r="S40" i="14" s="1"/>
  <c r="K38" i="17"/>
  <c r="L38" i="17"/>
  <c r="K39" i="17"/>
  <c r="L39" i="17"/>
  <c r="O39" i="17" s="1"/>
  <c r="S39" i="17" s="1"/>
  <c r="K40" i="17"/>
  <c r="L40" i="17"/>
  <c r="O40" i="17" s="1"/>
  <c r="S40" i="17" s="1"/>
  <c r="K35" i="10"/>
  <c r="L35" i="10"/>
  <c r="K36" i="10"/>
  <c r="L36" i="10"/>
  <c r="O36" i="10" s="1"/>
  <c r="S36" i="10" s="1"/>
  <c r="K37" i="10"/>
  <c r="L37" i="10"/>
  <c r="O37" i="10" s="1"/>
  <c r="S37" i="10" s="1"/>
  <c r="K38" i="10"/>
  <c r="L38" i="10"/>
  <c r="O38" i="10" s="1"/>
  <c r="S38" i="10" s="1"/>
  <c r="K39" i="10"/>
  <c r="L39" i="10"/>
  <c r="O39" i="10" s="1"/>
  <c r="S39" i="10" s="1"/>
  <c r="K40" i="10"/>
  <c r="L40" i="10"/>
  <c r="O40" i="10" s="1"/>
  <c r="S40" i="10" s="1"/>
  <c r="K35" i="11"/>
  <c r="L35" i="11"/>
  <c r="K36" i="11"/>
  <c r="L36" i="11"/>
  <c r="O36" i="11" s="1"/>
  <c r="S36" i="11" s="1"/>
  <c r="K37" i="11"/>
  <c r="L37" i="11"/>
  <c r="O37" i="11" s="1"/>
  <c r="S37" i="11" s="1"/>
  <c r="K35" i="13"/>
  <c r="L35" i="13"/>
  <c r="K36" i="13"/>
  <c r="L36" i="13"/>
  <c r="O36" i="13" s="1"/>
  <c r="S36" i="13" s="1"/>
  <c r="K37" i="13"/>
  <c r="L37" i="13"/>
  <c r="O37" i="13" s="1"/>
  <c r="S37" i="13" s="1"/>
  <c r="K38" i="13"/>
  <c r="L38" i="13"/>
  <c r="O38" i="13" s="1"/>
  <c r="S38" i="13" s="1"/>
  <c r="K39" i="13"/>
  <c r="L39" i="13"/>
  <c r="O39" i="13" s="1"/>
  <c r="S39" i="13" s="1"/>
  <c r="K40" i="13"/>
  <c r="L40" i="13"/>
  <c r="O40" i="13" s="1"/>
  <c r="S40" i="13" s="1"/>
  <c r="K35" i="14"/>
  <c r="L35" i="14"/>
  <c r="K36" i="14"/>
  <c r="L36" i="14"/>
  <c r="O36" i="14" s="1"/>
  <c r="S36" i="14" s="1"/>
  <c r="K37" i="14"/>
  <c r="L37" i="14"/>
  <c r="O37" i="14" s="1"/>
  <c r="S37" i="14" s="1"/>
  <c r="K36" i="16"/>
  <c r="L36" i="16"/>
  <c r="O36" i="16" s="1"/>
  <c r="S36" i="16" s="1"/>
  <c r="K37" i="16"/>
  <c r="L37" i="16"/>
  <c r="O37" i="16" s="1"/>
  <c r="S37" i="16" s="1"/>
  <c r="K40" i="16"/>
  <c r="L40" i="16"/>
  <c r="O40" i="16" s="1"/>
  <c r="S40" i="16" s="1"/>
  <c r="K35" i="17"/>
  <c r="L35" i="17"/>
  <c r="K36" i="17"/>
  <c r="L36" i="17"/>
  <c r="O36" i="17" s="1"/>
  <c r="S36" i="17" s="1"/>
  <c r="K37" i="17"/>
  <c r="L37" i="17"/>
  <c r="O37" i="17" s="1"/>
  <c r="S37" i="17" s="1"/>
  <c r="K35" i="16"/>
  <c r="L35" i="16"/>
  <c r="K38" i="16"/>
  <c r="L38" i="16"/>
  <c r="O38" i="16" s="1"/>
  <c r="S38" i="16" s="1"/>
  <c r="K39" i="16"/>
  <c r="L39" i="16"/>
  <c r="O39" i="16" s="1"/>
  <c r="S39" i="16" s="1"/>
  <c r="K32" i="11"/>
  <c r="L32" i="11"/>
  <c r="K33" i="11"/>
  <c r="L33" i="11"/>
  <c r="O33" i="11" s="1"/>
  <c r="S33" i="11" s="1"/>
  <c r="K34" i="11"/>
  <c r="L34" i="11"/>
  <c r="O34" i="11" s="1"/>
  <c r="S34" i="11" s="1"/>
  <c r="K32" i="14"/>
  <c r="L32" i="14"/>
  <c r="K33" i="14"/>
  <c r="L33" i="14"/>
  <c r="O33" i="14" s="1"/>
  <c r="S33" i="14" s="1"/>
  <c r="K34" i="14"/>
  <c r="L34" i="14"/>
  <c r="O34" i="14" s="1"/>
  <c r="S34" i="14" s="1"/>
  <c r="K32" i="17"/>
  <c r="L32" i="17"/>
  <c r="K33" i="17"/>
  <c r="L33" i="17"/>
  <c r="O33" i="17" s="1"/>
  <c r="S33" i="17" s="1"/>
  <c r="K34" i="17"/>
  <c r="L34" i="17"/>
  <c r="O34" i="17" s="1"/>
  <c r="S34" i="17" s="1"/>
  <c r="K26" i="11"/>
  <c r="L26" i="11"/>
  <c r="K27" i="11"/>
  <c r="L27" i="11"/>
  <c r="O27" i="11" s="1"/>
  <c r="S27" i="11" s="1"/>
  <c r="K28" i="11"/>
  <c r="L28" i="11"/>
  <c r="O28" i="11" s="1"/>
  <c r="S28" i="11" s="1"/>
  <c r="K26" i="14"/>
  <c r="L26" i="14"/>
  <c r="K27" i="14"/>
  <c r="L27" i="14"/>
  <c r="O27" i="14" s="1"/>
  <c r="S27" i="14" s="1"/>
  <c r="K28" i="14"/>
  <c r="L28" i="14"/>
  <c r="O28" i="14" s="1"/>
  <c r="S28" i="14" s="1"/>
  <c r="K26" i="17"/>
  <c r="L26" i="17"/>
  <c r="K27" i="17"/>
  <c r="L27" i="17"/>
  <c r="O27" i="17" s="1"/>
  <c r="S27" i="17" s="1"/>
  <c r="K28" i="17"/>
  <c r="L28" i="17"/>
  <c r="O28" i="17" s="1"/>
  <c r="S28" i="17" s="1"/>
  <c r="K23" i="10"/>
  <c r="L23" i="10"/>
  <c r="K24" i="10"/>
  <c r="L24" i="10"/>
  <c r="O24" i="10" s="1"/>
  <c r="S24" i="10" s="1"/>
  <c r="K25" i="10"/>
  <c r="L25" i="10"/>
  <c r="O25" i="10" s="1"/>
  <c r="S25" i="10" s="1"/>
  <c r="K26" i="10"/>
  <c r="L26" i="10"/>
  <c r="O26" i="10" s="1"/>
  <c r="S26" i="10" s="1"/>
  <c r="K27" i="10"/>
  <c r="L27" i="10"/>
  <c r="O27" i="10" s="1"/>
  <c r="S27" i="10" s="1"/>
  <c r="K28" i="10"/>
  <c r="L28" i="10"/>
  <c r="O28" i="10" s="1"/>
  <c r="S28" i="10" s="1"/>
  <c r="K23" i="11"/>
  <c r="L23" i="11"/>
  <c r="K24" i="11"/>
  <c r="L24" i="11"/>
  <c r="O24" i="11" s="1"/>
  <c r="S24" i="11" s="1"/>
  <c r="K25" i="11"/>
  <c r="L25" i="11"/>
  <c r="O25" i="11" s="1"/>
  <c r="S25" i="11" s="1"/>
  <c r="L23" i="13"/>
  <c r="K23" i="13"/>
  <c r="K24" i="13"/>
  <c r="L24" i="13"/>
  <c r="O24" i="13" s="1"/>
  <c r="S24" i="13" s="1"/>
  <c r="K27" i="13"/>
  <c r="L27" i="13"/>
  <c r="O27" i="13" s="1"/>
  <c r="S27" i="13" s="1"/>
  <c r="K28" i="13"/>
  <c r="L28" i="13"/>
  <c r="O28" i="13" s="1"/>
  <c r="S28" i="13" s="1"/>
  <c r="K23" i="14"/>
  <c r="L23" i="14"/>
  <c r="K24" i="14"/>
  <c r="L24" i="14"/>
  <c r="O24" i="14" s="1"/>
  <c r="S24" i="14" s="1"/>
  <c r="K25" i="14"/>
  <c r="L25" i="14"/>
  <c r="O25" i="14" s="1"/>
  <c r="S25" i="14" s="1"/>
  <c r="L25" i="13"/>
  <c r="O25" i="13" s="1"/>
  <c r="S25" i="13" s="1"/>
  <c r="K25" i="13"/>
  <c r="L23" i="16"/>
  <c r="K23" i="16"/>
  <c r="K24" i="16"/>
  <c r="L24" i="16"/>
  <c r="O24" i="16" s="1"/>
  <c r="S24" i="16" s="1"/>
  <c r="K26" i="16"/>
  <c r="L26" i="16"/>
  <c r="O26" i="16" s="1"/>
  <c r="S26" i="16" s="1"/>
  <c r="K23" i="17"/>
  <c r="L23" i="17"/>
  <c r="K24" i="17"/>
  <c r="L24" i="17"/>
  <c r="O24" i="17" s="1"/>
  <c r="S24" i="17" s="1"/>
  <c r="K25" i="17"/>
  <c r="L25" i="17"/>
  <c r="O25" i="17" s="1"/>
  <c r="S25" i="17" s="1"/>
  <c r="L26" i="13"/>
  <c r="O26" i="13" s="1"/>
  <c r="S26" i="13" s="1"/>
  <c r="K26" i="13"/>
  <c r="K25" i="16"/>
  <c r="L25" i="16"/>
  <c r="O25" i="16" s="1"/>
  <c r="S25" i="16" s="1"/>
  <c r="K27" i="16"/>
  <c r="L27" i="16"/>
  <c r="O27" i="16" s="1"/>
  <c r="S27" i="16" s="1"/>
  <c r="L28" i="16"/>
  <c r="O28" i="16" s="1"/>
  <c r="S28" i="16" s="1"/>
  <c r="K28" i="16"/>
  <c r="K20" i="11"/>
  <c r="L20" i="11"/>
  <c r="K21" i="11"/>
  <c r="L21" i="11"/>
  <c r="O21" i="11" s="1"/>
  <c r="S21" i="11" s="1"/>
  <c r="K22" i="11"/>
  <c r="L22" i="11"/>
  <c r="O22" i="11" s="1"/>
  <c r="S22" i="11" s="1"/>
  <c r="K20" i="14"/>
  <c r="L20" i="14"/>
  <c r="K21" i="14"/>
  <c r="L21" i="14"/>
  <c r="O21" i="14" s="1"/>
  <c r="S21" i="14" s="1"/>
  <c r="K22" i="14"/>
  <c r="L22" i="14"/>
  <c r="O22" i="14" s="1"/>
  <c r="S22" i="14" s="1"/>
  <c r="K20" i="17"/>
  <c r="L20" i="17"/>
  <c r="K21" i="17"/>
  <c r="L21" i="17"/>
  <c r="O21" i="17" s="1"/>
  <c r="S21" i="17" s="1"/>
  <c r="K22" i="17"/>
  <c r="L22" i="17"/>
  <c r="O22" i="17" s="1"/>
  <c r="S22" i="17" s="1"/>
  <c r="K27" i="12"/>
  <c r="L27" i="12"/>
  <c r="O27" i="12" s="1"/>
  <c r="S27" i="12" s="1"/>
  <c r="K17" i="9"/>
  <c r="L17" i="9"/>
  <c r="K18" i="9"/>
  <c r="L18" i="9"/>
  <c r="O18" i="9" s="1"/>
  <c r="S18" i="9" s="1"/>
  <c r="K19" i="9"/>
  <c r="L19" i="9"/>
  <c r="O19" i="9" s="1"/>
  <c r="S19" i="9" s="1"/>
  <c r="K20" i="9"/>
  <c r="L20" i="9"/>
  <c r="O20" i="9" s="1"/>
  <c r="S20" i="9" s="1"/>
  <c r="K21" i="9"/>
  <c r="L21" i="9"/>
  <c r="O21" i="9" s="1"/>
  <c r="S21" i="9" s="1"/>
  <c r="K22" i="9"/>
  <c r="L22" i="9"/>
  <c r="O22" i="9" s="1"/>
  <c r="S22" i="9" s="1"/>
  <c r="K23" i="9"/>
  <c r="L23" i="9"/>
  <c r="O23" i="9" s="1"/>
  <c r="S23" i="9" s="1"/>
  <c r="K24" i="9"/>
  <c r="L24" i="9"/>
  <c r="O24" i="9" s="1"/>
  <c r="S24" i="9" s="1"/>
  <c r="K25" i="9"/>
  <c r="L25" i="9"/>
  <c r="O25" i="9" s="1"/>
  <c r="S25" i="9" s="1"/>
  <c r="K26" i="9"/>
  <c r="L26" i="9"/>
  <c r="O26" i="9" s="1"/>
  <c r="S26" i="9" s="1"/>
  <c r="K27" i="9"/>
  <c r="L27" i="9"/>
  <c r="O27" i="9" s="1"/>
  <c r="S27" i="9" s="1"/>
  <c r="K28" i="9"/>
  <c r="L28" i="9"/>
  <c r="O28" i="9" s="1"/>
  <c r="S28" i="9" s="1"/>
  <c r="K17" i="10"/>
  <c r="L17" i="10"/>
  <c r="K18" i="10"/>
  <c r="L18" i="10"/>
  <c r="O18" i="10" s="1"/>
  <c r="S18" i="10" s="1"/>
  <c r="K19" i="10"/>
  <c r="L19" i="10"/>
  <c r="O19" i="10" s="1"/>
  <c r="S19" i="10" s="1"/>
  <c r="K20" i="10"/>
  <c r="L20" i="10"/>
  <c r="O20" i="10" s="1"/>
  <c r="S20" i="10" s="1"/>
  <c r="K21" i="10"/>
  <c r="L21" i="10"/>
  <c r="O21" i="10" s="1"/>
  <c r="S21" i="10" s="1"/>
  <c r="K22" i="10"/>
  <c r="L22" i="10"/>
  <c r="O22" i="10" s="1"/>
  <c r="S22" i="10" s="1"/>
  <c r="L17" i="12"/>
  <c r="K17" i="12"/>
  <c r="K19" i="12"/>
  <c r="L19" i="12"/>
  <c r="O19" i="12" s="1"/>
  <c r="S19" i="12" s="1"/>
  <c r="L23" i="12"/>
  <c r="O23" i="12" s="1"/>
  <c r="S23" i="12" s="1"/>
  <c r="K23" i="12"/>
  <c r="K17" i="11"/>
  <c r="L17" i="11"/>
  <c r="K18" i="11"/>
  <c r="L18" i="11"/>
  <c r="O18" i="11" s="1"/>
  <c r="S18" i="11" s="1"/>
  <c r="K19" i="11"/>
  <c r="L19" i="11"/>
  <c r="O19" i="11" s="1"/>
  <c r="S19" i="11" s="1"/>
  <c r="K21" i="12"/>
  <c r="L21" i="12"/>
  <c r="O21" i="12" s="1"/>
  <c r="S21" i="12" s="1"/>
  <c r="L24" i="12"/>
  <c r="O24" i="12" s="1"/>
  <c r="S24" i="12" s="1"/>
  <c r="K24" i="12"/>
  <c r="K17" i="13"/>
  <c r="L17" i="13"/>
  <c r="K18" i="13"/>
  <c r="L18" i="13"/>
  <c r="O18" i="13" s="1"/>
  <c r="S18" i="13" s="1"/>
  <c r="K19" i="13"/>
  <c r="L19" i="13"/>
  <c r="O19" i="13" s="1"/>
  <c r="S19" i="13" s="1"/>
  <c r="K20" i="13"/>
  <c r="L20" i="13"/>
  <c r="O20" i="13" s="1"/>
  <c r="S20" i="13" s="1"/>
  <c r="K21" i="13"/>
  <c r="L21" i="13"/>
  <c r="O21" i="13" s="1"/>
  <c r="S21" i="13" s="1"/>
  <c r="L22" i="12"/>
  <c r="O22" i="12" s="1"/>
  <c r="S22" i="12" s="1"/>
  <c r="K22" i="12"/>
  <c r="K17" i="14"/>
  <c r="L17" i="14"/>
  <c r="K18" i="14"/>
  <c r="L18" i="14"/>
  <c r="O18" i="14" s="1"/>
  <c r="S18" i="14" s="1"/>
  <c r="K19" i="14"/>
  <c r="L19" i="14"/>
  <c r="O19" i="14" s="1"/>
  <c r="S19" i="14" s="1"/>
  <c r="L18" i="12"/>
  <c r="O18" i="12" s="1"/>
  <c r="S18" i="12" s="1"/>
  <c r="K18" i="12"/>
  <c r="K20" i="12"/>
  <c r="L20" i="12"/>
  <c r="O20" i="12" s="1"/>
  <c r="S20" i="12" s="1"/>
  <c r="K28" i="12"/>
  <c r="L28" i="12"/>
  <c r="O28" i="12" s="1"/>
  <c r="S28" i="12" s="1"/>
  <c r="K22" i="13"/>
  <c r="L22" i="13"/>
  <c r="O22" i="13" s="1"/>
  <c r="S22" i="13" s="1"/>
  <c r="K17" i="15"/>
  <c r="L17" i="15"/>
  <c r="K18" i="15"/>
  <c r="L18" i="15"/>
  <c r="O18" i="15" s="1"/>
  <c r="S18" i="15" s="1"/>
  <c r="K19" i="15"/>
  <c r="L19" i="15"/>
  <c r="O19" i="15" s="1"/>
  <c r="S19" i="15" s="1"/>
  <c r="K20" i="15"/>
  <c r="L20" i="15"/>
  <c r="O20" i="15" s="1"/>
  <c r="S20" i="15" s="1"/>
  <c r="K21" i="15"/>
  <c r="L21" i="15"/>
  <c r="O21" i="15" s="1"/>
  <c r="S21" i="15" s="1"/>
  <c r="K22" i="15"/>
  <c r="L22" i="15"/>
  <c r="O22" i="15" s="1"/>
  <c r="S22" i="15" s="1"/>
  <c r="K23" i="15"/>
  <c r="L23" i="15"/>
  <c r="O23" i="15" s="1"/>
  <c r="S23" i="15" s="1"/>
  <c r="K24" i="15"/>
  <c r="L24" i="15"/>
  <c r="O24" i="15" s="1"/>
  <c r="S24" i="15" s="1"/>
  <c r="K25" i="15"/>
  <c r="L25" i="15"/>
  <c r="O25" i="15" s="1"/>
  <c r="S25" i="15" s="1"/>
  <c r="K26" i="15"/>
  <c r="L26" i="15"/>
  <c r="O26" i="15" s="1"/>
  <c r="S26" i="15" s="1"/>
  <c r="K27" i="15"/>
  <c r="L27" i="15"/>
  <c r="O27" i="15" s="1"/>
  <c r="S27" i="15" s="1"/>
  <c r="K28" i="15"/>
  <c r="L28" i="15"/>
  <c r="O28" i="15" s="1"/>
  <c r="S28" i="15" s="1"/>
  <c r="K25" i="12"/>
  <c r="L25" i="12"/>
  <c r="O25" i="12" s="1"/>
  <c r="S25" i="12" s="1"/>
  <c r="K17" i="16"/>
  <c r="L17" i="16"/>
  <c r="L19" i="16"/>
  <c r="O19" i="16" s="1"/>
  <c r="S19" i="16" s="1"/>
  <c r="K19" i="16"/>
  <c r="K20" i="16"/>
  <c r="L20" i="16"/>
  <c r="O20" i="16" s="1"/>
  <c r="S20" i="16" s="1"/>
  <c r="L21" i="16"/>
  <c r="O21" i="16" s="1"/>
  <c r="S21" i="16" s="1"/>
  <c r="K21" i="16"/>
  <c r="K17" i="17"/>
  <c r="L17" i="17"/>
  <c r="K18" i="17"/>
  <c r="L18" i="17"/>
  <c r="O18" i="17" s="1"/>
  <c r="S18" i="17" s="1"/>
  <c r="K19" i="17"/>
  <c r="L19" i="17"/>
  <c r="O19" i="17" s="1"/>
  <c r="S19" i="17" s="1"/>
  <c r="K26" i="12"/>
  <c r="L26" i="12"/>
  <c r="O26" i="12" s="1"/>
  <c r="S26" i="12" s="1"/>
  <c r="K18" i="16"/>
  <c r="L18" i="16"/>
  <c r="O18" i="16" s="1"/>
  <c r="S18" i="16" s="1"/>
  <c r="K22" i="16"/>
  <c r="L22" i="16"/>
  <c r="O22" i="16" s="1"/>
  <c r="S22" i="16" s="1"/>
  <c r="K14" i="11"/>
  <c r="L14" i="11"/>
  <c r="K15" i="11"/>
  <c r="L15" i="11"/>
  <c r="O15" i="11" s="1"/>
  <c r="S15" i="11" s="1"/>
  <c r="K16" i="11"/>
  <c r="L16" i="11"/>
  <c r="O16" i="11" s="1"/>
  <c r="S16" i="11" s="1"/>
  <c r="K14" i="14"/>
  <c r="L14" i="14"/>
  <c r="K15" i="14"/>
  <c r="L15" i="14"/>
  <c r="O15" i="14" s="1"/>
  <c r="S15" i="14" s="1"/>
  <c r="K16" i="14"/>
  <c r="L16" i="14"/>
  <c r="O16" i="14" s="1"/>
  <c r="S16" i="14" s="1"/>
  <c r="K14" i="17"/>
  <c r="L14" i="17"/>
  <c r="K15" i="17"/>
  <c r="L15" i="17"/>
  <c r="O15" i="17" s="1"/>
  <c r="S15" i="17" s="1"/>
  <c r="K16" i="17"/>
  <c r="L16" i="17"/>
  <c r="O16" i="17" s="1"/>
  <c r="S16" i="17" s="1"/>
  <c r="K11" i="10"/>
  <c r="L11" i="10"/>
  <c r="K12" i="10"/>
  <c r="L12" i="10"/>
  <c r="O12" i="10" s="1"/>
  <c r="S12" i="10" s="1"/>
  <c r="K13" i="10"/>
  <c r="L13" i="10"/>
  <c r="O13" i="10" s="1"/>
  <c r="S13" i="10" s="1"/>
  <c r="K14" i="10"/>
  <c r="L14" i="10"/>
  <c r="O14" i="10" s="1"/>
  <c r="S14" i="10" s="1"/>
  <c r="K15" i="10"/>
  <c r="L15" i="10"/>
  <c r="O15" i="10" s="1"/>
  <c r="S15" i="10" s="1"/>
  <c r="K16" i="10"/>
  <c r="L16" i="10"/>
  <c r="O16" i="10" s="1"/>
  <c r="S16" i="10" s="1"/>
  <c r="K11" i="11"/>
  <c r="L11" i="11"/>
  <c r="K12" i="11"/>
  <c r="L12" i="11"/>
  <c r="O12" i="11" s="1"/>
  <c r="S12" i="11" s="1"/>
  <c r="K13" i="11"/>
  <c r="L13" i="11"/>
  <c r="O13" i="11" s="1"/>
  <c r="S13" i="11" s="1"/>
  <c r="K11" i="13"/>
  <c r="L11" i="13"/>
  <c r="K12" i="13"/>
  <c r="L12" i="13"/>
  <c r="O12" i="13" s="1"/>
  <c r="S12" i="13" s="1"/>
  <c r="K13" i="13"/>
  <c r="L13" i="13"/>
  <c r="O13" i="13" s="1"/>
  <c r="S13" i="13" s="1"/>
  <c r="K14" i="13"/>
  <c r="L14" i="13"/>
  <c r="O14" i="13" s="1"/>
  <c r="S14" i="13" s="1"/>
  <c r="K15" i="13"/>
  <c r="L15" i="13"/>
  <c r="O15" i="13" s="1"/>
  <c r="S15" i="13" s="1"/>
  <c r="K16" i="13"/>
  <c r="L16" i="13"/>
  <c r="O16" i="13" s="1"/>
  <c r="S16" i="13" s="1"/>
  <c r="K11" i="14"/>
  <c r="L11" i="14"/>
  <c r="K12" i="14"/>
  <c r="L12" i="14"/>
  <c r="O12" i="14" s="1"/>
  <c r="S12" i="14" s="1"/>
  <c r="K13" i="14"/>
  <c r="L13" i="14"/>
  <c r="O13" i="14" s="1"/>
  <c r="S13" i="14" s="1"/>
  <c r="K11" i="16"/>
  <c r="L11" i="16"/>
  <c r="K12" i="16"/>
  <c r="L12" i="16"/>
  <c r="O12" i="16" s="1"/>
  <c r="S12" i="16" s="1"/>
  <c r="K13" i="16"/>
  <c r="L13" i="16"/>
  <c r="O13" i="16" s="1"/>
  <c r="S13" i="16" s="1"/>
  <c r="K14" i="16"/>
  <c r="L14" i="16"/>
  <c r="O14" i="16" s="1"/>
  <c r="S14" i="16" s="1"/>
  <c r="L16" i="16"/>
  <c r="O16" i="16" s="1"/>
  <c r="S16" i="16" s="1"/>
  <c r="K16" i="16"/>
  <c r="K11" i="17"/>
  <c r="L11" i="17"/>
  <c r="K12" i="17"/>
  <c r="L12" i="17"/>
  <c r="O12" i="17" s="1"/>
  <c r="S12" i="17" s="1"/>
  <c r="K13" i="17"/>
  <c r="L13" i="17"/>
  <c r="O13" i="17" s="1"/>
  <c r="S13" i="17" s="1"/>
  <c r="K15" i="16"/>
  <c r="L15" i="16"/>
  <c r="O15" i="16" s="1"/>
  <c r="S15" i="16" s="1"/>
  <c r="J115" i="17"/>
  <c r="J114" i="17"/>
  <c r="J113" i="17"/>
  <c r="J115" i="11"/>
  <c r="J117" i="16"/>
  <c r="J116" i="16"/>
  <c r="J115" i="16"/>
  <c r="J114" i="16"/>
  <c r="J113" i="16"/>
  <c r="J117" i="15"/>
  <c r="J116" i="15"/>
  <c r="J115" i="15"/>
  <c r="J114" i="15"/>
  <c r="J113" i="15"/>
  <c r="J115" i="14"/>
  <c r="J114" i="14"/>
  <c r="J113" i="14"/>
  <c r="J117" i="13"/>
  <c r="J116" i="13"/>
  <c r="J115" i="13"/>
  <c r="J114" i="13"/>
  <c r="J113" i="13"/>
  <c r="J113" i="11"/>
  <c r="J117" i="12"/>
  <c r="J116" i="12"/>
  <c r="J115" i="12"/>
  <c r="J114" i="12"/>
  <c r="J113" i="12"/>
  <c r="J114" i="11"/>
  <c r="J117" i="10"/>
  <c r="J116" i="10"/>
  <c r="J115" i="10"/>
  <c r="J114" i="10"/>
  <c r="J113" i="10"/>
  <c r="J117" i="9"/>
  <c r="J116" i="9"/>
  <c r="J115" i="9"/>
  <c r="J114" i="9"/>
  <c r="J113" i="9"/>
  <c r="G115" i="17"/>
  <c r="G114" i="17"/>
  <c r="G113" i="17"/>
  <c r="G117" i="16"/>
  <c r="G116" i="16"/>
  <c r="G115" i="16"/>
  <c r="G114" i="16"/>
  <c r="G113" i="16"/>
  <c r="G117" i="15"/>
  <c r="G116" i="15"/>
  <c r="G115" i="15"/>
  <c r="G114" i="15"/>
  <c r="G113" i="15"/>
  <c r="G115" i="14"/>
  <c r="G114" i="14"/>
  <c r="G113" i="14"/>
  <c r="G115" i="11"/>
  <c r="G114" i="11"/>
  <c r="G113" i="11"/>
  <c r="G117" i="13"/>
  <c r="G116" i="13"/>
  <c r="G115" i="13"/>
  <c r="G114" i="13"/>
  <c r="G113" i="13"/>
  <c r="G117" i="12"/>
  <c r="G116" i="12"/>
  <c r="G115" i="12"/>
  <c r="G114" i="12"/>
  <c r="G113" i="12"/>
  <c r="G117" i="10"/>
  <c r="G116" i="10"/>
  <c r="G115" i="10"/>
  <c r="G114" i="10"/>
  <c r="G113" i="10"/>
  <c r="G117" i="9"/>
  <c r="G116" i="9"/>
  <c r="G115" i="9"/>
  <c r="G114" i="9"/>
  <c r="G113" i="9"/>
  <c r="I112" i="17"/>
  <c r="I111" i="17"/>
  <c r="I110" i="17"/>
  <c r="I112" i="14"/>
  <c r="I111" i="14"/>
  <c r="I110" i="14"/>
  <c r="I111" i="11"/>
  <c r="I110" i="11"/>
  <c r="I112" i="11"/>
  <c r="F112" i="17"/>
  <c r="F111" i="17"/>
  <c r="F110" i="17"/>
  <c r="F111" i="11"/>
  <c r="F112" i="14"/>
  <c r="F111" i="14"/>
  <c r="F110" i="14"/>
  <c r="F112" i="11"/>
  <c r="F110" i="11"/>
  <c r="J108" i="11"/>
  <c r="J107" i="11"/>
  <c r="J109" i="17"/>
  <c r="J108" i="17"/>
  <c r="J107" i="17"/>
  <c r="J112" i="16"/>
  <c r="J111" i="16"/>
  <c r="J110" i="16"/>
  <c r="J109" i="16"/>
  <c r="J108" i="16"/>
  <c r="J107" i="16"/>
  <c r="J109" i="14"/>
  <c r="J108" i="14"/>
  <c r="J107" i="14"/>
  <c r="J112" i="13"/>
  <c r="J111" i="13"/>
  <c r="J110" i="13"/>
  <c r="J109" i="13"/>
  <c r="J108" i="13"/>
  <c r="J107" i="13"/>
  <c r="J109" i="11"/>
  <c r="J112" i="10"/>
  <c r="J111" i="10"/>
  <c r="J110" i="10"/>
  <c r="J109" i="10"/>
  <c r="J108" i="10"/>
  <c r="J107" i="10"/>
  <c r="G107" i="11"/>
  <c r="G109" i="17"/>
  <c r="G108" i="17"/>
  <c r="G107" i="17"/>
  <c r="G112" i="16"/>
  <c r="G111" i="16"/>
  <c r="G110" i="16"/>
  <c r="G109" i="16"/>
  <c r="G108" i="16"/>
  <c r="G107" i="16"/>
  <c r="G109" i="11"/>
  <c r="G109" i="14"/>
  <c r="G108" i="14"/>
  <c r="G107" i="14"/>
  <c r="G112" i="13"/>
  <c r="G111" i="13"/>
  <c r="G110" i="13"/>
  <c r="G109" i="13"/>
  <c r="G108" i="13"/>
  <c r="G107" i="13"/>
  <c r="G112" i="10"/>
  <c r="G111" i="10"/>
  <c r="G110" i="10"/>
  <c r="G109" i="10"/>
  <c r="G108" i="10"/>
  <c r="G107" i="10"/>
  <c r="G108" i="11"/>
  <c r="D109" i="17"/>
  <c r="D108" i="17"/>
  <c r="D107" i="17"/>
  <c r="D112" i="16"/>
  <c r="D111" i="16"/>
  <c r="D110" i="16"/>
  <c r="D109" i="16"/>
  <c r="D108" i="16"/>
  <c r="D107" i="16"/>
  <c r="D108" i="11"/>
  <c r="D109" i="14"/>
  <c r="D108" i="14"/>
  <c r="D107" i="14"/>
  <c r="D112" i="13"/>
  <c r="D111" i="13"/>
  <c r="D110" i="13"/>
  <c r="D109" i="13"/>
  <c r="D108" i="13"/>
  <c r="D107" i="13"/>
  <c r="D107" i="11"/>
  <c r="L107" i="11" s="1"/>
  <c r="D109" i="11"/>
  <c r="D112" i="10"/>
  <c r="D111" i="10"/>
  <c r="D110" i="10"/>
  <c r="D109" i="10"/>
  <c r="D108" i="10"/>
  <c r="D107" i="10"/>
  <c r="J106" i="17"/>
  <c r="J105" i="17"/>
  <c r="J104" i="17"/>
  <c r="J105" i="11"/>
  <c r="J106" i="14"/>
  <c r="J105" i="14"/>
  <c r="J104" i="14"/>
  <c r="J106" i="11"/>
  <c r="J104" i="11"/>
  <c r="G106" i="17"/>
  <c r="G105" i="17"/>
  <c r="G104" i="17"/>
  <c r="G106" i="14"/>
  <c r="G105" i="14"/>
  <c r="G104" i="14"/>
  <c r="G106" i="11"/>
  <c r="G104" i="11"/>
  <c r="G105" i="11"/>
  <c r="J102" i="11"/>
  <c r="J101" i="11"/>
  <c r="J103" i="17"/>
  <c r="J102" i="17"/>
  <c r="J101" i="17"/>
  <c r="J106" i="16"/>
  <c r="J105" i="16"/>
  <c r="J104" i="16"/>
  <c r="J103" i="16"/>
  <c r="J102" i="16"/>
  <c r="J101" i="16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3" i="14"/>
  <c r="J102" i="14"/>
  <c r="J101" i="14"/>
  <c r="J106" i="13"/>
  <c r="J105" i="13"/>
  <c r="J104" i="13"/>
  <c r="J103" i="13"/>
  <c r="J102" i="13"/>
  <c r="J101" i="13"/>
  <c r="J103" i="11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6" i="10"/>
  <c r="J105" i="10"/>
  <c r="J104" i="10"/>
  <c r="J103" i="10"/>
  <c r="J102" i="10"/>
  <c r="J101" i="10"/>
  <c r="J112" i="9"/>
  <c r="J111" i="9"/>
  <c r="J110" i="9"/>
  <c r="J109" i="9"/>
  <c r="J108" i="9"/>
  <c r="J107" i="9"/>
  <c r="J106" i="9"/>
  <c r="J105" i="9"/>
  <c r="J104" i="9"/>
  <c r="J103" i="9"/>
  <c r="J102" i="9"/>
  <c r="J101" i="9"/>
  <c r="G101" i="11"/>
  <c r="G103" i="17"/>
  <c r="G102" i="17"/>
  <c r="G101" i="17"/>
  <c r="G106" i="16"/>
  <c r="G105" i="16"/>
  <c r="G104" i="16"/>
  <c r="G103" i="16"/>
  <c r="G102" i="16"/>
  <c r="G101" i="16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3" i="14"/>
  <c r="G102" i="14"/>
  <c r="G101" i="14"/>
  <c r="G103" i="11"/>
  <c r="G106" i="13"/>
  <c r="G105" i="13"/>
  <c r="G104" i="13"/>
  <c r="G103" i="13"/>
  <c r="G102" i="13"/>
  <c r="G101" i="13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6" i="10"/>
  <c r="G105" i="10"/>
  <c r="G104" i="10"/>
  <c r="G103" i="10"/>
  <c r="G102" i="10"/>
  <c r="G101" i="10"/>
  <c r="G102" i="11"/>
  <c r="G112" i="9"/>
  <c r="G111" i="9"/>
  <c r="G110" i="9"/>
  <c r="G109" i="9"/>
  <c r="G108" i="9"/>
  <c r="G107" i="9"/>
  <c r="G106" i="9"/>
  <c r="G105" i="9"/>
  <c r="G104" i="9"/>
  <c r="G103" i="9"/>
  <c r="G102" i="9"/>
  <c r="G101" i="9"/>
  <c r="D103" i="17"/>
  <c r="D102" i="17"/>
  <c r="D101" i="17"/>
  <c r="D106" i="16"/>
  <c r="D105" i="16"/>
  <c r="D104" i="16"/>
  <c r="D103" i="16"/>
  <c r="D102" i="16"/>
  <c r="D101" i="16"/>
  <c r="D103" i="11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3" i="14"/>
  <c r="D102" i="14"/>
  <c r="D101" i="14"/>
  <c r="D102" i="11"/>
  <c r="D101" i="11"/>
  <c r="D106" i="13"/>
  <c r="D105" i="13"/>
  <c r="D104" i="13"/>
  <c r="D103" i="13"/>
  <c r="D102" i="13"/>
  <c r="D101" i="13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6" i="10"/>
  <c r="D105" i="10"/>
  <c r="D104" i="10"/>
  <c r="D103" i="10"/>
  <c r="D102" i="10"/>
  <c r="D101" i="10"/>
  <c r="D112" i="9"/>
  <c r="D111" i="9"/>
  <c r="D110" i="9"/>
  <c r="D109" i="9"/>
  <c r="D108" i="9"/>
  <c r="D107" i="9"/>
  <c r="D106" i="9"/>
  <c r="D105" i="9"/>
  <c r="D104" i="9"/>
  <c r="D103" i="9"/>
  <c r="D102" i="9"/>
  <c r="D101" i="9"/>
  <c r="J100" i="17"/>
  <c r="J99" i="17"/>
  <c r="J98" i="17"/>
  <c r="J98" i="11"/>
  <c r="J100" i="11"/>
  <c r="J99" i="11"/>
  <c r="J100" i="14"/>
  <c r="J99" i="14"/>
  <c r="J98" i="14"/>
  <c r="G100" i="17"/>
  <c r="G99" i="17"/>
  <c r="G98" i="17"/>
  <c r="G98" i="11"/>
  <c r="G100" i="14"/>
  <c r="G99" i="14"/>
  <c r="G98" i="14"/>
  <c r="G100" i="11"/>
  <c r="G99" i="11"/>
  <c r="H97" i="11"/>
  <c r="H97" i="17"/>
  <c r="H96" i="17"/>
  <c r="H95" i="17"/>
  <c r="H100" i="16"/>
  <c r="H99" i="16"/>
  <c r="H98" i="16"/>
  <c r="H97" i="16"/>
  <c r="H96" i="16"/>
  <c r="H95" i="16"/>
  <c r="H97" i="14"/>
  <c r="H96" i="14"/>
  <c r="H95" i="14"/>
  <c r="H100" i="13"/>
  <c r="H99" i="13"/>
  <c r="H98" i="13"/>
  <c r="H97" i="13"/>
  <c r="H96" i="13"/>
  <c r="H95" i="13"/>
  <c r="H96" i="11"/>
  <c r="H95" i="11"/>
  <c r="H100" i="10"/>
  <c r="H99" i="10"/>
  <c r="H98" i="10"/>
  <c r="H97" i="10"/>
  <c r="H96" i="10"/>
  <c r="H95" i="10"/>
  <c r="E97" i="17"/>
  <c r="E96" i="17"/>
  <c r="E95" i="17"/>
  <c r="E100" i="16"/>
  <c r="E99" i="16"/>
  <c r="E98" i="16"/>
  <c r="E97" i="16"/>
  <c r="E96" i="16"/>
  <c r="E95" i="16"/>
  <c r="E97" i="14"/>
  <c r="E96" i="14"/>
  <c r="E95" i="14"/>
  <c r="E100" i="13"/>
  <c r="E99" i="13"/>
  <c r="E98" i="13"/>
  <c r="E97" i="13"/>
  <c r="E96" i="13"/>
  <c r="E95" i="13"/>
  <c r="E97" i="11"/>
  <c r="E100" i="10"/>
  <c r="E99" i="10"/>
  <c r="E98" i="10"/>
  <c r="E97" i="10"/>
  <c r="E96" i="10"/>
  <c r="E95" i="10"/>
  <c r="E96" i="11"/>
  <c r="E95" i="11"/>
  <c r="J85" i="17"/>
  <c r="J84" i="17"/>
  <c r="J83" i="17"/>
  <c r="J84" i="11"/>
  <c r="J88" i="16"/>
  <c r="J87" i="16"/>
  <c r="J86" i="16"/>
  <c r="J85" i="16"/>
  <c r="J84" i="16"/>
  <c r="J83" i="16"/>
  <c r="J85" i="14"/>
  <c r="J84" i="14"/>
  <c r="J83" i="14"/>
  <c r="J88" i="13"/>
  <c r="J87" i="13"/>
  <c r="J86" i="13"/>
  <c r="J85" i="13"/>
  <c r="J84" i="13"/>
  <c r="J83" i="13"/>
  <c r="J83" i="11"/>
  <c r="J88" i="10"/>
  <c r="J87" i="10"/>
  <c r="J86" i="10"/>
  <c r="J85" i="10"/>
  <c r="J84" i="10"/>
  <c r="J83" i="10"/>
  <c r="J85" i="11"/>
  <c r="F83" i="11"/>
  <c r="F85" i="17"/>
  <c r="F84" i="17"/>
  <c r="F83" i="17"/>
  <c r="F88" i="16"/>
  <c r="F87" i="16"/>
  <c r="F86" i="16"/>
  <c r="F85" i="16"/>
  <c r="F84" i="16"/>
  <c r="F83" i="16"/>
  <c r="F84" i="11"/>
  <c r="F85" i="14"/>
  <c r="F84" i="14"/>
  <c r="F83" i="14"/>
  <c r="F88" i="13"/>
  <c r="F87" i="13"/>
  <c r="F86" i="13"/>
  <c r="F85" i="13"/>
  <c r="F84" i="13"/>
  <c r="F83" i="13"/>
  <c r="F88" i="10"/>
  <c r="F87" i="10"/>
  <c r="F86" i="10"/>
  <c r="F85" i="10"/>
  <c r="F84" i="10"/>
  <c r="F83" i="10"/>
  <c r="F85" i="11"/>
  <c r="I82" i="17"/>
  <c r="I81" i="17"/>
  <c r="I80" i="17"/>
  <c r="I81" i="11"/>
  <c r="I82" i="14"/>
  <c r="I81" i="14"/>
  <c r="I80" i="14"/>
  <c r="I82" i="11"/>
  <c r="I80" i="11"/>
  <c r="J79" i="17"/>
  <c r="J78" i="17"/>
  <c r="J77" i="17"/>
  <c r="J77" i="14"/>
  <c r="J82" i="16"/>
  <c r="J81" i="16"/>
  <c r="J80" i="16"/>
  <c r="J79" i="16"/>
  <c r="J78" i="16"/>
  <c r="J77" i="16"/>
  <c r="J78" i="14"/>
  <c r="J88" i="15"/>
  <c r="J87" i="15"/>
  <c r="J86" i="15"/>
  <c r="J85" i="15"/>
  <c r="J84" i="15"/>
  <c r="J83" i="15"/>
  <c r="J82" i="15"/>
  <c r="J81" i="15"/>
  <c r="J80" i="15"/>
  <c r="J79" i="15"/>
  <c r="J78" i="15"/>
  <c r="J77" i="15"/>
  <c r="J79" i="14"/>
  <c r="J82" i="13"/>
  <c r="J81" i="13"/>
  <c r="J80" i="13"/>
  <c r="J79" i="13"/>
  <c r="J78" i="13"/>
  <c r="J77" i="13"/>
  <c r="J88" i="12"/>
  <c r="J87" i="12"/>
  <c r="J86" i="12"/>
  <c r="J85" i="12"/>
  <c r="J84" i="12"/>
  <c r="J83" i="12"/>
  <c r="J82" i="12"/>
  <c r="J81" i="12"/>
  <c r="J80" i="12"/>
  <c r="J79" i="12"/>
  <c r="J78" i="12"/>
  <c r="J77" i="12"/>
  <c r="J79" i="11"/>
  <c r="J78" i="11"/>
  <c r="J77" i="11"/>
  <c r="J82" i="10"/>
  <c r="J81" i="10"/>
  <c r="J80" i="10"/>
  <c r="J79" i="10"/>
  <c r="J78" i="10"/>
  <c r="J77" i="10"/>
  <c r="J88" i="9"/>
  <c r="J87" i="9"/>
  <c r="J86" i="9"/>
  <c r="J85" i="9"/>
  <c r="J84" i="9"/>
  <c r="J83" i="9"/>
  <c r="J82" i="9"/>
  <c r="J81" i="9"/>
  <c r="J80" i="9"/>
  <c r="J79" i="9"/>
  <c r="J78" i="9"/>
  <c r="J77" i="9"/>
  <c r="E79" i="17"/>
  <c r="E78" i="17"/>
  <c r="E77" i="17"/>
  <c r="E78" i="14"/>
  <c r="E82" i="16"/>
  <c r="E81" i="16"/>
  <c r="E80" i="16"/>
  <c r="E79" i="16"/>
  <c r="E78" i="16"/>
  <c r="E77" i="16"/>
  <c r="E88" i="15"/>
  <c r="E87" i="15"/>
  <c r="E86" i="15"/>
  <c r="E85" i="15"/>
  <c r="E84" i="15"/>
  <c r="E83" i="15"/>
  <c r="E82" i="15"/>
  <c r="E81" i="15"/>
  <c r="E80" i="15"/>
  <c r="E79" i="15"/>
  <c r="E78" i="15"/>
  <c r="E77" i="15"/>
  <c r="E79" i="14"/>
  <c r="E77" i="14"/>
  <c r="E82" i="13"/>
  <c r="E81" i="13"/>
  <c r="E80" i="13"/>
  <c r="E79" i="13"/>
  <c r="E78" i="13"/>
  <c r="E77" i="13"/>
  <c r="E88" i="12"/>
  <c r="E87" i="12"/>
  <c r="E86" i="12"/>
  <c r="E85" i="12"/>
  <c r="E84" i="12"/>
  <c r="E83" i="12"/>
  <c r="E82" i="12"/>
  <c r="E81" i="12"/>
  <c r="E80" i="12"/>
  <c r="E79" i="12"/>
  <c r="E78" i="12"/>
  <c r="E77" i="12"/>
  <c r="E79" i="11"/>
  <c r="E78" i="11"/>
  <c r="E77" i="11"/>
  <c r="E82" i="10"/>
  <c r="E81" i="10"/>
  <c r="E80" i="10"/>
  <c r="E79" i="10"/>
  <c r="E78" i="10"/>
  <c r="E77" i="10"/>
  <c r="E88" i="9"/>
  <c r="E87" i="9"/>
  <c r="E86" i="9"/>
  <c r="E85" i="9"/>
  <c r="E84" i="9"/>
  <c r="E83" i="9"/>
  <c r="E82" i="9"/>
  <c r="E81" i="9"/>
  <c r="E80" i="9"/>
  <c r="E79" i="9"/>
  <c r="E78" i="9"/>
  <c r="E77" i="9"/>
  <c r="J76" i="17"/>
  <c r="J75" i="17"/>
  <c r="J74" i="17"/>
  <c r="J76" i="14"/>
  <c r="J75" i="14"/>
  <c r="J74" i="14"/>
  <c r="J76" i="11"/>
  <c r="J75" i="11"/>
  <c r="J74" i="11"/>
  <c r="E76" i="17"/>
  <c r="E75" i="17"/>
  <c r="E74" i="17"/>
  <c r="E76" i="14"/>
  <c r="E74" i="14"/>
  <c r="E75" i="14"/>
  <c r="E76" i="11"/>
  <c r="E75" i="11"/>
  <c r="E74" i="11"/>
  <c r="I70" i="17"/>
  <c r="I69" i="17"/>
  <c r="I68" i="17"/>
  <c r="I70" i="14"/>
  <c r="I69" i="14"/>
  <c r="I68" i="14"/>
  <c r="I70" i="11"/>
  <c r="I69" i="11"/>
  <c r="I68" i="11"/>
  <c r="J65" i="16"/>
  <c r="J67" i="17"/>
  <c r="J66" i="17"/>
  <c r="J65" i="17"/>
  <c r="J70" i="16"/>
  <c r="J69" i="16"/>
  <c r="J68" i="16"/>
  <c r="J67" i="16"/>
  <c r="J66" i="16"/>
  <c r="J76" i="15"/>
  <c r="J75" i="15"/>
  <c r="J74" i="15"/>
  <c r="J73" i="15"/>
  <c r="J72" i="15"/>
  <c r="J71" i="15"/>
  <c r="J70" i="15"/>
  <c r="J69" i="15"/>
  <c r="J68" i="15"/>
  <c r="J67" i="15"/>
  <c r="J66" i="15"/>
  <c r="J65" i="15"/>
  <c r="J67" i="14"/>
  <c r="J66" i="14"/>
  <c r="J65" i="14"/>
  <c r="J70" i="13"/>
  <c r="J69" i="13"/>
  <c r="J68" i="13"/>
  <c r="J67" i="13"/>
  <c r="J66" i="13"/>
  <c r="J65" i="13"/>
  <c r="J76" i="12"/>
  <c r="J75" i="12"/>
  <c r="J74" i="12"/>
  <c r="J73" i="12"/>
  <c r="J72" i="12"/>
  <c r="J71" i="12"/>
  <c r="J70" i="12"/>
  <c r="J69" i="12"/>
  <c r="J68" i="12"/>
  <c r="J67" i="12"/>
  <c r="J66" i="12"/>
  <c r="J65" i="12"/>
  <c r="J67" i="11"/>
  <c r="J66" i="11"/>
  <c r="J65" i="11"/>
  <c r="J70" i="10"/>
  <c r="J69" i="10"/>
  <c r="J68" i="10"/>
  <c r="J67" i="10"/>
  <c r="J66" i="10"/>
  <c r="J65" i="10"/>
  <c r="J76" i="9"/>
  <c r="J75" i="9"/>
  <c r="J74" i="9"/>
  <c r="J73" i="9"/>
  <c r="J72" i="9"/>
  <c r="J71" i="9"/>
  <c r="J70" i="9"/>
  <c r="J69" i="9"/>
  <c r="J68" i="9"/>
  <c r="J67" i="9"/>
  <c r="J66" i="9"/>
  <c r="J65" i="9"/>
  <c r="J64" i="17"/>
  <c r="J63" i="17"/>
  <c r="J62" i="17"/>
  <c r="J64" i="14"/>
  <c r="J63" i="14"/>
  <c r="J62" i="14"/>
  <c r="J64" i="11"/>
  <c r="J63" i="11"/>
  <c r="J62" i="11"/>
  <c r="F64" i="17"/>
  <c r="F63" i="17"/>
  <c r="F62" i="17"/>
  <c r="F64" i="14"/>
  <c r="F63" i="14"/>
  <c r="F62" i="14"/>
  <c r="F64" i="11"/>
  <c r="F63" i="11"/>
  <c r="F62" i="11"/>
  <c r="H63" i="16"/>
  <c r="H61" i="16"/>
  <c r="H61" i="17"/>
  <c r="H60" i="17"/>
  <c r="H59" i="17"/>
  <c r="H64" i="16"/>
  <c r="H62" i="16"/>
  <c r="H60" i="16"/>
  <c r="H59" i="16"/>
  <c r="H61" i="14"/>
  <c r="H60" i="14"/>
  <c r="H59" i="14"/>
  <c r="H64" i="13"/>
  <c r="H63" i="13"/>
  <c r="H62" i="13"/>
  <c r="H61" i="13"/>
  <c r="H60" i="13"/>
  <c r="H59" i="13"/>
  <c r="H61" i="11"/>
  <c r="H60" i="11"/>
  <c r="H59" i="11"/>
  <c r="H64" i="10"/>
  <c r="H63" i="10"/>
  <c r="H62" i="10"/>
  <c r="H61" i="10"/>
  <c r="H60" i="10"/>
  <c r="H59" i="10"/>
  <c r="G58" i="17"/>
  <c r="G57" i="17"/>
  <c r="G56" i="17"/>
  <c r="G58" i="14"/>
  <c r="G57" i="14"/>
  <c r="G56" i="14"/>
  <c r="G58" i="11"/>
  <c r="G57" i="11"/>
  <c r="G56" i="11"/>
  <c r="I56" i="16"/>
  <c r="I55" i="16"/>
  <c r="I54" i="16"/>
  <c r="I53" i="16"/>
  <c r="I55" i="17"/>
  <c r="I54" i="17"/>
  <c r="I53" i="17"/>
  <c r="I58" i="16"/>
  <c r="I57" i="16"/>
  <c r="I64" i="15"/>
  <c r="I63" i="15"/>
  <c r="I62" i="15"/>
  <c r="I61" i="15"/>
  <c r="I60" i="15"/>
  <c r="I59" i="15"/>
  <c r="I58" i="15"/>
  <c r="I57" i="15"/>
  <c r="I56" i="15"/>
  <c r="I55" i="15"/>
  <c r="I54" i="15"/>
  <c r="I53" i="15"/>
  <c r="I55" i="14"/>
  <c r="I54" i="14"/>
  <c r="I53" i="14"/>
  <c r="I58" i="13"/>
  <c r="I57" i="13"/>
  <c r="I56" i="13"/>
  <c r="I55" i="13"/>
  <c r="I54" i="13"/>
  <c r="I53" i="13"/>
  <c r="I64" i="12"/>
  <c r="I63" i="12"/>
  <c r="I62" i="12"/>
  <c r="I61" i="12"/>
  <c r="I60" i="12"/>
  <c r="I59" i="12"/>
  <c r="I58" i="12"/>
  <c r="I57" i="12"/>
  <c r="I56" i="12"/>
  <c r="I55" i="12"/>
  <c r="I54" i="12"/>
  <c r="I53" i="12"/>
  <c r="I55" i="11"/>
  <c r="I54" i="11"/>
  <c r="I53" i="11"/>
  <c r="I58" i="10"/>
  <c r="I57" i="10"/>
  <c r="I56" i="10"/>
  <c r="I55" i="10"/>
  <c r="I54" i="10"/>
  <c r="I53" i="10"/>
  <c r="I64" i="9"/>
  <c r="I63" i="9"/>
  <c r="I62" i="9"/>
  <c r="I61" i="9"/>
  <c r="I60" i="9"/>
  <c r="I59" i="9"/>
  <c r="I58" i="9"/>
  <c r="I57" i="9"/>
  <c r="I56" i="9"/>
  <c r="I55" i="9"/>
  <c r="I54" i="9"/>
  <c r="I53" i="9"/>
  <c r="H52" i="17"/>
  <c r="H51" i="17"/>
  <c r="H50" i="17"/>
  <c r="H52" i="14"/>
  <c r="H51" i="14"/>
  <c r="H50" i="14"/>
  <c r="H52" i="11"/>
  <c r="H51" i="11"/>
  <c r="H50" i="11"/>
  <c r="F32" i="16"/>
  <c r="F31" i="16"/>
  <c r="F29" i="16"/>
  <c r="F32" i="12"/>
  <c r="F29" i="12"/>
  <c r="F31" i="17"/>
  <c r="F30" i="17"/>
  <c r="F29" i="17"/>
  <c r="F34" i="16"/>
  <c r="F33" i="16"/>
  <c r="F30" i="16"/>
  <c r="F37" i="12"/>
  <c r="F36" i="12"/>
  <c r="F34" i="12"/>
  <c r="F40" i="15"/>
  <c r="F39" i="15"/>
  <c r="F38" i="15"/>
  <c r="F37" i="15"/>
  <c r="F36" i="15"/>
  <c r="F35" i="15"/>
  <c r="F34" i="15"/>
  <c r="F33" i="15"/>
  <c r="F32" i="15"/>
  <c r="F31" i="15"/>
  <c r="F30" i="15"/>
  <c r="F29" i="15"/>
  <c r="F39" i="12"/>
  <c r="F30" i="12"/>
  <c r="F31" i="14"/>
  <c r="F30" i="14"/>
  <c r="F29" i="14"/>
  <c r="F34" i="13"/>
  <c r="F33" i="13"/>
  <c r="F32" i="13"/>
  <c r="F31" i="13"/>
  <c r="F30" i="13"/>
  <c r="F29" i="13"/>
  <c r="F38" i="12"/>
  <c r="F40" i="12"/>
  <c r="F35" i="12"/>
  <c r="F33" i="12"/>
  <c r="F31" i="12"/>
  <c r="F31" i="11"/>
  <c r="F30" i="11"/>
  <c r="F29" i="11"/>
  <c r="F34" i="10"/>
  <c r="F33" i="10"/>
  <c r="F32" i="10"/>
  <c r="F31" i="10"/>
  <c r="F30" i="10"/>
  <c r="F29" i="10"/>
  <c r="F40" i="9"/>
  <c r="F39" i="9"/>
  <c r="F38" i="9"/>
  <c r="F37" i="9"/>
  <c r="F36" i="9"/>
  <c r="F35" i="9"/>
  <c r="F34" i="9"/>
  <c r="F33" i="9"/>
  <c r="F32" i="9"/>
  <c r="F31" i="9"/>
  <c r="F30" i="9"/>
  <c r="F29" i="9"/>
  <c r="I10" i="17"/>
  <c r="I9" i="17"/>
  <c r="I8" i="17"/>
  <c r="I10" i="14"/>
  <c r="I9" i="14"/>
  <c r="I8" i="14"/>
  <c r="I10" i="11"/>
  <c r="I9" i="11"/>
  <c r="I8" i="11"/>
  <c r="J14" i="12"/>
  <c r="J7" i="17"/>
  <c r="J6" i="17"/>
  <c r="J5" i="17"/>
  <c r="J5" i="12"/>
  <c r="J10" i="16"/>
  <c r="J9" i="16"/>
  <c r="J8" i="16"/>
  <c r="J7" i="16"/>
  <c r="J6" i="16"/>
  <c r="J5" i="16"/>
  <c r="J16" i="15"/>
  <c r="J15" i="15"/>
  <c r="J14" i="15"/>
  <c r="J13" i="15"/>
  <c r="J12" i="15"/>
  <c r="J11" i="15"/>
  <c r="J10" i="15"/>
  <c r="J9" i="15"/>
  <c r="J8" i="15"/>
  <c r="J7" i="15"/>
  <c r="J6" i="15"/>
  <c r="J5" i="15"/>
  <c r="J16" i="12"/>
  <c r="J7" i="14"/>
  <c r="J6" i="14"/>
  <c r="J5" i="14"/>
  <c r="J15" i="12"/>
  <c r="J10" i="12"/>
  <c r="J9" i="12"/>
  <c r="J10" i="13"/>
  <c r="J9" i="13"/>
  <c r="J8" i="13"/>
  <c r="J7" i="13"/>
  <c r="J6" i="13"/>
  <c r="J5" i="13"/>
  <c r="J13" i="12"/>
  <c r="J12" i="12"/>
  <c r="J7" i="11"/>
  <c r="J6" i="11"/>
  <c r="J5" i="11"/>
  <c r="J11" i="12"/>
  <c r="J8" i="12"/>
  <c r="J10" i="10"/>
  <c r="J9" i="10"/>
  <c r="J8" i="10"/>
  <c r="J7" i="10"/>
  <c r="J6" i="10"/>
  <c r="J5" i="10"/>
  <c r="J16" i="9"/>
  <c r="J15" i="9"/>
  <c r="J14" i="9"/>
  <c r="J13" i="9"/>
  <c r="J12" i="9"/>
  <c r="J11" i="9"/>
  <c r="J10" i="9"/>
  <c r="J9" i="9"/>
  <c r="J8" i="9"/>
  <c r="J7" i="9"/>
  <c r="J6" i="9"/>
  <c r="J5" i="9"/>
  <c r="J7" i="12"/>
  <c r="J6" i="12"/>
  <c r="I115" i="11"/>
  <c r="I115" i="17"/>
  <c r="I114" i="17"/>
  <c r="I113" i="17"/>
  <c r="I117" i="16"/>
  <c r="I116" i="16"/>
  <c r="I115" i="16"/>
  <c r="I114" i="16"/>
  <c r="I113" i="16"/>
  <c r="I113" i="11"/>
  <c r="I117" i="15"/>
  <c r="I116" i="15"/>
  <c r="I115" i="15"/>
  <c r="I114" i="15"/>
  <c r="I113" i="15"/>
  <c r="I115" i="14"/>
  <c r="I114" i="14"/>
  <c r="I113" i="14"/>
  <c r="I117" i="13"/>
  <c r="I116" i="13"/>
  <c r="I115" i="13"/>
  <c r="I114" i="13"/>
  <c r="I113" i="13"/>
  <c r="I114" i="11"/>
  <c r="I117" i="12"/>
  <c r="I116" i="12"/>
  <c r="I115" i="12"/>
  <c r="I114" i="12"/>
  <c r="I113" i="12"/>
  <c r="I117" i="10"/>
  <c r="I116" i="10"/>
  <c r="I115" i="10"/>
  <c r="I114" i="10"/>
  <c r="I113" i="10"/>
  <c r="I117" i="9"/>
  <c r="I116" i="9"/>
  <c r="I115" i="9"/>
  <c r="I114" i="9"/>
  <c r="I113" i="9"/>
  <c r="F115" i="17"/>
  <c r="F114" i="17"/>
  <c r="F113" i="17"/>
  <c r="F115" i="11"/>
  <c r="F117" i="16"/>
  <c r="F116" i="16"/>
  <c r="F115" i="16"/>
  <c r="F114" i="16"/>
  <c r="F113" i="16"/>
  <c r="F117" i="15"/>
  <c r="F116" i="15"/>
  <c r="F115" i="15"/>
  <c r="F114" i="15"/>
  <c r="F113" i="15"/>
  <c r="F115" i="14"/>
  <c r="F114" i="14"/>
  <c r="F113" i="14"/>
  <c r="F117" i="13"/>
  <c r="F116" i="13"/>
  <c r="F115" i="13"/>
  <c r="F114" i="13"/>
  <c r="F113" i="13"/>
  <c r="F113" i="11"/>
  <c r="F117" i="12"/>
  <c r="F116" i="12"/>
  <c r="F115" i="12"/>
  <c r="F114" i="12"/>
  <c r="F113" i="12"/>
  <c r="F114" i="11"/>
  <c r="F117" i="10"/>
  <c r="F116" i="10"/>
  <c r="F115" i="10"/>
  <c r="F114" i="10"/>
  <c r="F113" i="10"/>
  <c r="F117" i="9"/>
  <c r="F116" i="9"/>
  <c r="F115" i="9"/>
  <c r="F114" i="9"/>
  <c r="F113" i="9"/>
  <c r="H110" i="11"/>
  <c r="H112" i="17"/>
  <c r="H111" i="17"/>
  <c r="H110" i="17"/>
  <c r="H112" i="11"/>
  <c r="H112" i="14"/>
  <c r="H111" i="14"/>
  <c r="H110" i="14"/>
  <c r="H111" i="11"/>
  <c r="E112" i="17"/>
  <c r="E111" i="17"/>
  <c r="E110" i="17"/>
  <c r="E112" i="14"/>
  <c r="E111" i="14"/>
  <c r="E110" i="14"/>
  <c r="E111" i="11"/>
  <c r="E110" i="11"/>
  <c r="E112" i="11"/>
  <c r="H109" i="17"/>
  <c r="H108" i="17"/>
  <c r="H107" i="17"/>
  <c r="H112" i="16"/>
  <c r="H111" i="16"/>
  <c r="H110" i="16"/>
  <c r="H109" i="16"/>
  <c r="H108" i="16"/>
  <c r="H107" i="16"/>
  <c r="H109" i="14"/>
  <c r="H108" i="14"/>
  <c r="H107" i="14"/>
  <c r="H112" i="13"/>
  <c r="H111" i="13"/>
  <c r="H110" i="13"/>
  <c r="H109" i="13"/>
  <c r="H108" i="13"/>
  <c r="H107" i="13"/>
  <c r="H109" i="11"/>
  <c r="H107" i="11"/>
  <c r="H112" i="10"/>
  <c r="H111" i="10"/>
  <c r="H110" i="10"/>
  <c r="H109" i="10"/>
  <c r="H108" i="10"/>
  <c r="H107" i="10"/>
  <c r="H108" i="11"/>
  <c r="E109" i="17"/>
  <c r="E108" i="17"/>
  <c r="E107" i="17"/>
  <c r="E112" i="16"/>
  <c r="E111" i="16"/>
  <c r="E110" i="16"/>
  <c r="E109" i="16"/>
  <c r="E108" i="16"/>
  <c r="E107" i="16"/>
  <c r="E109" i="14"/>
  <c r="E108" i="14"/>
  <c r="E107" i="14"/>
  <c r="E109" i="11"/>
  <c r="E108" i="11"/>
  <c r="E107" i="11"/>
  <c r="K107" i="11" s="1"/>
  <c r="E112" i="13"/>
  <c r="E111" i="13"/>
  <c r="E110" i="13"/>
  <c r="E109" i="13"/>
  <c r="E108" i="13"/>
  <c r="E107" i="13"/>
  <c r="E112" i="10"/>
  <c r="E111" i="10"/>
  <c r="E110" i="10"/>
  <c r="E109" i="10"/>
  <c r="E108" i="10"/>
  <c r="E107" i="10"/>
  <c r="H106" i="17"/>
  <c r="H105" i="17"/>
  <c r="H104" i="17"/>
  <c r="H105" i="11"/>
  <c r="H106" i="11"/>
  <c r="H106" i="14"/>
  <c r="H105" i="14"/>
  <c r="H104" i="14"/>
  <c r="H104" i="11"/>
  <c r="E106" i="17"/>
  <c r="E105" i="17"/>
  <c r="E104" i="17"/>
  <c r="E104" i="11"/>
  <c r="E105" i="11"/>
  <c r="E106" i="14"/>
  <c r="E105" i="14"/>
  <c r="E104" i="14"/>
  <c r="E106" i="11"/>
  <c r="I103" i="17"/>
  <c r="I102" i="17"/>
  <c r="I101" i="17"/>
  <c r="I102" i="11"/>
  <c r="I106" i="16"/>
  <c r="I105" i="16"/>
  <c r="I104" i="16"/>
  <c r="I103" i="16"/>
  <c r="I102" i="16"/>
  <c r="I101" i="16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3" i="14"/>
  <c r="I102" i="14"/>
  <c r="I101" i="14"/>
  <c r="I106" i="13"/>
  <c r="I105" i="13"/>
  <c r="I104" i="13"/>
  <c r="I103" i="13"/>
  <c r="I102" i="13"/>
  <c r="I101" i="13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3" i="11"/>
  <c r="I106" i="10"/>
  <c r="I105" i="10"/>
  <c r="I104" i="10"/>
  <c r="I103" i="10"/>
  <c r="I102" i="10"/>
  <c r="I101" i="10"/>
  <c r="I101" i="11"/>
  <c r="I112" i="9"/>
  <c r="I111" i="9"/>
  <c r="I110" i="9"/>
  <c r="I109" i="9"/>
  <c r="I108" i="9"/>
  <c r="I107" i="9"/>
  <c r="I106" i="9"/>
  <c r="I105" i="9"/>
  <c r="I104" i="9"/>
  <c r="I103" i="9"/>
  <c r="I102" i="9"/>
  <c r="I101" i="9"/>
  <c r="F103" i="11"/>
  <c r="F102" i="11"/>
  <c r="F103" i="17"/>
  <c r="F102" i="17"/>
  <c r="F101" i="17"/>
  <c r="F106" i="16"/>
  <c r="F105" i="16"/>
  <c r="F104" i="16"/>
  <c r="F103" i="16"/>
  <c r="F102" i="16"/>
  <c r="F101" i="16"/>
  <c r="F101" i="11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3" i="14"/>
  <c r="F102" i="14"/>
  <c r="F101" i="14"/>
  <c r="F106" i="13"/>
  <c r="F105" i="13"/>
  <c r="F104" i="13"/>
  <c r="F103" i="13"/>
  <c r="F102" i="13"/>
  <c r="F101" i="13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6" i="10"/>
  <c r="F105" i="10"/>
  <c r="F104" i="10"/>
  <c r="F103" i="10"/>
  <c r="F102" i="10"/>
  <c r="F101" i="10"/>
  <c r="F112" i="9"/>
  <c r="F111" i="9"/>
  <c r="F110" i="9"/>
  <c r="F109" i="9"/>
  <c r="F108" i="9"/>
  <c r="F107" i="9"/>
  <c r="F106" i="9"/>
  <c r="F105" i="9"/>
  <c r="F104" i="9"/>
  <c r="F103" i="9"/>
  <c r="F102" i="9"/>
  <c r="F101" i="9"/>
  <c r="H100" i="11"/>
  <c r="H100" i="17"/>
  <c r="H99" i="17"/>
  <c r="H98" i="17"/>
  <c r="H99" i="11"/>
  <c r="H100" i="14"/>
  <c r="H99" i="14"/>
  <c r="H98" i="14"/>
  <c r="H98" i="11"/>
  <c r="E100" i="17"/>
  <c r="E99" i="17"/>
  <c r="E98" i="17"/>
  <c r="E100" i="11"/>
  <c r="E100" i="14"/>
  <c r="E99" i="14"/>
  <c r="E98" i="14"/>
  <c r="E99" i="11"/>
  <c r="E98" i="11"/>
  <c r="I97" i="17"/>
  <c r="I96" i="17"/>
  <c r="I95" i="17"/>
  <c r="I100" i="16"/>
  <c r="I99" i="16"/>
  <c r="I98" i="16"/>
  <c r="I97" i="16"/>
  <c r="I96" i="16"/>
  <c r="I95" i="16"/>
  <c r="I95" i="11"/>
  <c r="I97" i="14"/>
  <c r="I96" i="14"/>
  <c r="I95" i="14"/>
  <c r="I100" i="13"/>
  <c r="I99" i="13"/>
  <c r="I98" i="13"/>
  <c r="I97" i="13"/>
  <c r="I96" i="13"/>
  <c r="I95" i="13"/>
  <c r="I100" i="10"/>
  <c r="I99" i="10"/>
  <c r="I98" i="10"/>
  <c r="I97" i="10"/>
  <c r="I96" i="10"/>
  <c r="I95" i="10"/>
  <c r="I97" i="11"/>
  <c r="I96" i="11"/>
  <c r="F97" i="17"/>
  <c r="F96" i="17"/>
  <c r="F95" i="17"/>
  <c r="F100" i="16"/>
  <c r="F99" i="16"/>
  <c r="F98" i="16"/>
  <c r="F97" i="16"/>
  <c r="F96" i="16"/>
  <c r="F95" i="16"/>
  <c r="F97" i="11"/>
  <c r="F97" i="14"/>
  <c r="F96" i="14"/>
  <c r="F95" i="14"/>
  <c r="F95" i="11"/>
  <c r="F100" i="13"/>
  <c r="F99" i="13"/>
  <c r="F98" i="13"/>
  <c r="F97" i="13"/>
  <c r="F96" i="13"/>
  <c r="F95" i="13"/>
  <c r="F96" i="11"/>
  <c r="F100" i="10"/>
  <c r="F99" i="10"/>
  <c r="F98" i="10"/>
  <c r="F97" i="10"/>
  <c r="F96" i="10"/>
  <c r="F95" i="10"/>
  <c r="H84" i="11"/>
  <c r="H85" i="17"/>
  <c r="H84" i="17"/>
  <c r="H83" i="17"/>
  <c r="H88" i="16"/>
  <c r="H87" i="16"/>
  <c r="H86" i="16"/>
  <c r="H85" i="16"/>
  <c r="H84" i="16"/>
  <c r="H83" i="16"/>
  <c r="H85" i="14"/>
  <c r="H84" i="14"/>
  <c r="H83" i="14"/>
  <c r="H88" i="13"/>
  <c r="H87" i="13"/>
  <c r="H86" i="13"/>
  <c r="H85" i="13"/>
  <c r="H84" i="13"/>
  <c r="H83" i="13"/>
  <c r="H83" i="11"/>
  <c r="H85" i="11"/>
  <c r="H88" i="10"/>
  <c r="H87" i="10"/>
  <c r="H86" i="10"/>
  <c r="H85" i="10"/>
  <c r="H84" i="10"/>
  <c r="H83" i="10"/>
  <c r="J82" i="17"/>
  <c r="J81" i="17"/>
  <c r="J80" i="17"/>
  <c r="J80" i="11"/>
  <c r="J82" i="14"/>
  <c r="J81" i="14"/>
  <c r="J80" i="14"/>
  <c r="J82" i="11"/>
  <c r="J81" i="11"/>
  <c r="F81" i="11"/>
  <c r="F82" i="17"/>
  <c r="F81" i="17"/>
  <c r="F80" i="17"/>
  <c r="F82" i="11"/>
  <c r="F82" i="14"/>
  <c r="F81" i="14"/>
  <c r="F80" i="14"/>
  <c r="F80" i="11"/>
  <c r="H79" i="17"/>
  <c r="H78" i="17"/>
  <c r="H77" i="17"/>
  <c r="H82" i="16"/>
  <c r="H81" i="16"/>
  <c r="H80" i="16"/>
  <c r="H79" i="16"/>
  <c r="H78" i="16"/>
  <c r="H77" i="16"/>
  <c r="H88" i="15"/>
  <c r="H87" i="15"/>
  <c r="H86" i="15"/>
  <c r="H85" i="15"/>
  <c r="H84" i="15"/>
  <c r="H83" i="15"/>
  <c r="H82" i="15"/>
  <c r="H81" i="15"/>
  <c r="H80" i="15"/>
  <c r="H79" i="15"/>
  <c r="H78" i="15"/>
  <c r="H77" i="15"/>
  <c r="H79" i="14"/>
  <c r="H78" i="14"/>
  <c r="H77" i="14"/>
  <c r="H82" i="13"/>
  <c r="H81" i="13"/>
  <c r="H80" i="13"/>
  <c r="H79" i="13"/>
  <c r="H78" i="13"/>
  <c r="H77" i="13"/>
  <c r="H88" i="12"/>
  <c r="H87" i="12"/>
  <c r="H86" i="12"/>
  <c r="H85" i="12"/>
  <c r="H84" i="12"/>
  <c r="H83" i="12"/>
  <c r="H82" i="12"/>
  <c r="H81" i="12"/>
  <c r="H80" i="12"/>
  <c r="H79" i="12"/>
  <c r="H78" i="12"/>
  <c r="H77" i="12"/>
  <c r="H79" i="11"/>
  <c r="H78" i="11"/>
  <c r="H77" i="11"/>
  <c r="H82" i="10"/>
  <c r="H81" i="10"/>
  <c r="H80" i="10"/>
  <c r="H79" i="10"/>
  <c r="H78" i="10"/>
  <c r="H77" i="10"/>
  <c r="H88" i="9"/>
  <c r="H87" i="9"/>
  <c r="H86" i="9"/>
  <c r="H85" i="9"/>
  <c r="H84" i="9"/>
  <c r="H83" i="9"/>
  <c r="H82" i="9"/>
  <c r="H81" i="9"/>
  <c r="H80" i="9"/>
  <c r="H79" i="9"/>
  <c r="H78" i="9"/>
  <c r="H77" i="9"/>
  <c r="F79" i="17"/>
  <c r="F78" i="17"/>
  <c r="F77" i="17"/>
  <c r="F82" i="16"/>
  <c r="F81" i="16"/>
  <c r="F80" i="16"/>
  <c r="F79" i="16"/>
  <c r="F78" i="16"/>
  <c r="F77" i="16"/>
  <c r="F77" i="14"/>
  <c r="F88" i="15"/>
  <c r="F87" i="15"/>
  <c r="F86" i="15"/>
  <c r="F85" i="15"/>
  <c r="F84" i="15"/>
  <c r="F83" i="15"/>
  <c r="F82" i="15"/>
  <c r="F81" i="15"/>
  <c r="F80" i="15"/>
  <c r="F79" i="15"/>
  <c r="F78" i="15"/>
  <c r="F77" i="15"/>
  <c r="F79" i="14"/>
  <c r="F78" i="14"/>
  <c r="F82" i="13"/>
  <c r="F81" i="13"/>
  <c r="F80" i="13"/>
  <c r="F79" i="13"/>
  <c r="F78" i="13"/>
  <c r="F77" i="13"/>
  <c r="F88" i="12"/>
  <c r="F87" i="12"/>
  <c r="F86" i="12"/>
  <c r="F85" i="12"/>
  <c r="F84" i="12"/>
  <c r="F83" i="12"/>
  <c r="K83" i="12" s="1"/>
  <c r="F82" i="12"/>
  <c r="F81" i="12"/>
  <c r="F80" i="12"/>
  <c r="F79" i="12"/>
  <c r="F78" i="12"/>
  <c r="F77" i="12"/>
  <c r="F79" i="11"/>
  <c r="F78" i="11"/>
  <c r="F77" i="11"/>
  <c r="F82" i="10"/>
  <c r="F81" i="10"/>
  <c r="F80" i="10"/>
  <c r="F79" i="10"/>
  <c r="F78" i="10"/>
  <c r="F77" i="10"/>
  <c r="F88" i="9"/>
  <c r="F87" i="9"/>
  <c r="F86" i="9"/>
  <c r="F85" i="9"/>
  <c r="F84" i="9"/>
  <c r="F83" i="9"/>
  <c r="F82" i="9"/>
  <c r="F81" i="9"/>
  <c r="F80" i="9"/>
  <c r="F79" i="9"/>
  <c r="F78" i="9"/>
  <c r="F77" i="9"/>
  <c r="H76" i="17"/>
  <c r="H75" i="17"/>
  <c r="H74" i="17"/>
  <c r="H76" i="14"/>
  <c r="H74" i="14"/>
  <c r="H75" i="14"/>
  <c r="H76" i="11"/>
  <c r="H75" i="11"/>
  <c r="H74" i="11"/>
  <c r="G70" i="17"/>
  <c r="G69" i="17"/>
  <c r="G68" i="17"/>
  <c r="G70" i="14"/>
  <c r="G69" i="14"/>
  <c r="G68" i="14"/>
  <c r="G70" i="11"/>
  <c r="G69" i="11"/>
  <c r="G68" i="11"/>
  <c r="H65" i="16"/>
  <c r="H67" i="17"/>
  <c r="H66" i="17"/>
  <c r="H65" i="17"/>
  <c r="H70" i="16"/>
  <c r="H69" i="16"/>
  <c r="H68" i="16"/>
  <c r="H67" i="16"/>
  <c r="H66" i="16"/>
  <c r="H76" i="15"/>
  <c r="H75" i="15"/>
  <c r="H74" i="15"/>
  <c r="H73" i="15"/>
  <c r="H72" i="15"/>
  <c r="H71" i="15"/>
  <c r="H70" i="15"/>
  <c r="H69" i="15"/>
  <c r="H68" i="15"/>
  <c r="H67" i="15"/>
  <c r="H66" i="15"/>
  <c r="H65" i="15"/>
  <c r="H67" i="14"/>
  <c r="H66" i="14"/>
  <c r="H65" i="14"/>
  <c r="H70" i="13"/>
  <c r="H69" i="13"/>
  <c r="H68" i="13"/>
  <c r="H67" i="13"/>
  <c r="H66" i="13"/>
  <c r="H65" i="13"/>
  <c r="H76" i="12"/>
  <c r="H75" i="12"/>
  <c r="H74" i="12"/>
  <c r="H73" i="12"/>
  <c r="H72" i="12"/>
  <c r="H71" i="12"/>
  <c r="H70" i="12"/>
  <c r="H69" i="12"/>
  <c r="H68" i="12"/>
  <c r="H67" i="12"/>
  <c r="H66" i="12"/>
  <c r="H65" i="12"/>
  <c r="H67" i="11"/>
  <c r="H66" i="11"/>
  <c r="H65" i="11"/>
  <c r="H70" i="10"/>
  <c r="H69" i="10"/>
  <c r="H68" i="10"/>
  <c r="H67" i="10"/>
  <c r="H66" i="10"/>
  <c r="H65" i="10"/>
  <c r="H76" i="9"/>
  <c r="H75" i="9"/>
  <c r="H74" i="9"/>
  <c r="H73" i="9"/>
  <c r="H72" i="9"/>
  <c r="H71" i="9"/>
  <c r="H70" i="9"/>
  <c r="H69" i="9"/>
  <c r="H68" i="9"/>
  <c r="H67" i="9"/>
  <c r="H66" i="9"/>
  <c r="H65" i="9"/>
  <c r="I64" i="17"/>
  <c r="I63" i="17"/>
  <c r="I62" i="17"/>
  <c r="I64" i="14"/>
  <c r="I63" i="14"/>
  <c r="I62" i="14"/>
  <c r="I64" i="11"/>
  <c r="I63" i="11"/>
  <c r="I62" i="11"/>
  <c r="I64" i="16"/>
  <c r="I62" i="16"/>
  <c r="I60" i="16"/>
  <c r="I59" i="16"/>
  <c r="I61" i="17"/>
  <c r="I60" i="17"/>
  <c r="I59" i="17"/>
  <c r="I63" i="16"/>
  <c r="I61" i="16"/>
  <c r="I61" i="14"/>
  <c r="I60" i="14"/>
  <c r="I59" i="14"/>
  <c r="I64" i="13"/>
  <c r="I63" i="13"/>
  <c r="I62" i="13"/>
  <c r="I61" i="13"/>
  <c r="I60" i="13"/>
  <c r="I59" i="13"/>
  <c r="I61" i="11"/>
  <c r="I60" i="11"/>
  <c r="I59" i="11"/>
  <c r="I64" i="10"/>
  <c r="I63" i="10"/>
  <c r="I62" i="10"/>
  <c r="I61" i="10"/>
  <c r="I60" i="10"/>
  <c r="I59" i="10"/>
  <c r="J58" i="17"/>
  <c r="J57" i="17"/>
  <c r="J56" i="17"/>
  <c r="J58" i="14"/>
  <c r="J57" i="14"/>
  <c r="J56" i="14"/>
  <c r="J58" i="11"/>
  <c r="J57" i="11"/>
  <c r="J56" i="11"/>
  <c r="F58" i="17"/>
  <c r="F57" i="17"/>
  <c r="F56" i="17"/>
  <c r="F58" i="14"/>
  <c r="F57" i="14"/>
  <c r="F56" i="14"/>
  <c r="F58" i="11"/>
  <c r="F57" i="11"/>
  <c r="F56" i="11"/>
  <c r="J58" i="16"/>
  <c r="J55" i="17"/>
  <c r="J54" i="17"/>
  <c r="J53" i="17"/>
  <c r="J57" i="16"/>
  <c r="J56" i="16"/>
  <c r="J55" i="16"/>
  <c r="J54" i="16"/>
  <c r="J53" i="16"/>
  <c r="J64" i="15"/>
  <c r="J63" i="15"/>
  <c r="J62" i="15"/>
  <c r="J61" i="15"/>
  <c r="J60" i="15"/>
  <c r="J59" i="15"/>
  <c r="J58" i="15"/>
  <c r="J57" i="15"/>
  <c r="J56" i="15"/>
  <c r="J55" i="15"/>
  <c r="J54" i="15"/>
  <c r="J53" i="15"/>
  <c r="J55" i="14"/>
  <c r="J54" i="14"/>
  <c r="J53" i="14"/>
  <c r="J58" i="13"/>
  <c r="J57" i="13"/>
  <c r="J56" i="13"/>
  <c r="J55" i="13"/>
  <c r="J54" i="13"/>
  <c r="J53" i="13"/>
  <c r="J64" i="12"/>
  <c r="J63" i="12"/>
  <c r="J62" i="12"/>
  <c r="J61" i="12"/>
  <c r="J60" i="12"/>
  <c r="J59" i="12"/>
  <c r="J58" i="12"/>
  <c r="J57" i="12"/>
  <c r="J56" i="12"/>
  <c r="J55" i="12"/>
  <c r="J54" i="12"/>
  <c r="J53" i="12"/>
  <c r="J55" i="11"/>
  <c r="J54" i="11"/>
  <c r="J53" i="11"/>
  <c r="J58" i="10"/>
  <c r="J57" i="10"/>
  <c r="J56" i="10"/>
  <c r="J55" i="10"/>
  <c r="J54" i="10"/>
  <c r="J53" i="10"/>
  <c r="J64" i="9"/>
  <c r="J63" i="9"/>
  <c r="J62" i="9"/>
  <c r="J61" i="9"/>
  <c r="J60" i="9"/>
  <c r="J59" i="9"/>
  <c r="J58" i="9"/>
  <c r="J57" i="9"/>
  <c r="J56" i="9"/>
  <c r="J55" i="9"/>
  <c r="J54" i="9"/>
  <c r="J53" i="9"/>
  <c r="J52" i="17"/>
  <c r="J51" i="17"/>
  <c r="J50" i="17"/>
  <c r="J52" i="14"/>
  <c r="J51" i="14"/>
  <c r="J50" i="14"/>
  <c r="J52" i="11"/>
  <c r="J51" i="11"/>
  <c r="J50" i="11"/>
  <c r="D34" i="16"/>
  <c r="D33" i="16"/>
  <c r="D32" i="16"/>
  <c r="D30" i="16"/>
  <c r="D37" i="12"/>
  <c r="D31" i="17"/>
  <c r="D30" i="17"/>
  <c r="D29" i="17"/>
  <c r="D31" i="16"/>
  <c r="D29" i="16"/>
  <c r="D38" i="12"/>
  <c r="D30" i="12"/>
  <c r="D40" i="15"/>
  <c r="D39" i="15"/>
  <c r="D38" i="15"/>
  <c r="D37" i="15"/>
  <c r="D36" i="15"/>
  <c r="D35" i="15"/>
  <c r="D34" i="15"/>
  <c r="D33" i="15"/>
  <c r="D32" i="15"/>
  <c r="D31" i="15"/>
  <c r="D30" i="15"/>
  <c r="D29" i="15"/>
  <c r="D36" i="12"/>
  <c r="D33" i="12"/>
  <c r="D29" i="12"/>
  <c r="D31" i="14"/>
  <c r="D30" i="14"/>
  <c r="D29" i="14"/>
  <c r="D34" i="13"/>
  <c r="D33" i="13"/>
  <c r="D32" i="13"/>
  <c r="D31" i="13"/>
  <c r="D30" i="13"/>
  <c r="D29" i="13"/>
  <c r="D35" i="12"/>
  <c r="D34" i="12"/>
  <c r="D31" i="12"/>
  <c r="D40" i="12"/>
  <c r="D39" i="12"/>
  <c r="D31" i="11"/>
  <c r="D30" i="11"/>
  <c r="D29" i="11"/>
  <c r="D34" i="10"/>
  <c r="D33" i="10"/>
  <c r="D32" i="10"/>
  <c r="D31" i="10"/>
  <c r="D30" i="10"/>
  <c r="D29" i="10"/>
  <c r="D40" i="9"/>
  <c r="D39" i="9"/>
  <c r="D38" i="9"/>
  <c r="D37" i="9"/>
  <c r="D36" i="9"/>
  <c r="D35" i="9"/>
  <c r="D34" i="9"/>
  <c r="D33" i="9"/>
  <c r="D32" i="9"/>
  <c r="D31" i="9"/>
  <c r="D30" i="9"/>
  <c r="D29" i="9"/>
  <c r="D32" i="12"/>
  <c r="H10" i="17"/>
  <c r="H9" i="17"/>
  <c r="H8" i="17"/>
  <c r="H10" i="14"/>
  <c r="H9" i="14"/>
  <c r="H8" i="14"/>
  <c r="H10" i="11"/>
  <c r="H9" i="11"/>
  <c r="H8" i="11"/>
  <c r="H13" i="12"/>
  <c r="H8" i="12"/>
  <c r="H7" i="17"/>
  <c r="H6" i="17"/>
  <c r="H5" i="17"/>
  <c r="H10" i="16"/>
  <c r="H9" i="16"/>
  <c r="H8" i="16"/>
  <c r="H7" i="16"/>
  <c r="H6" i="16"/>
  <c r="H5" i="16"/>
  <c r="H16" i="15"/>
  <c r="H15" i="15"/>
  <c r="H14" i="15"/>
  <c r="H13" i="15"/>
  <c r="H12" i="15"/>
  <c r="H11" i="15"/>
  <c r="H10" i="15"/>
  <c r="H9" i="15"/>
  <c r="H8" i="15"/>
  <c r="H7" i="15"/>
  <c r="H6" i="15"/>
  <c r="H5" i="15"/>
  <c r="H11" i="12"/>
  <c r="H9" i="12"/>
  <c r="H7" i="14"/>
  <c r="H6" i="14"/>
  <c r="H5" i="14"/>
  <c r="H7" i="12"/>
  <c r="H6" i="12"/>
  <c r="H10" i="13"/>
  <c r="H9" i="13"/>
  <c r="H8" i="13"/>
  <c r="H7" i="13"/>
  <c r="H6" i="13"/>
  <c r="H5" i="13"/>
  <c r="H15" i="12"/>
  <c r="H14" i="12"/>
  <c r="H5" i="12"/>
  <c r="H7" i="11"/>
  <c r="H6" i="11"/>
  <c r="H5" i="11"/>
  <c r="H12" i="12"/>
  <c r="H10" i="12"/>
  <c r="H10" i="10"/>
  <c r="H9" i="10"/>
  <c r="H8" i="10"/>
  <c r="H7" i="10"/>
  <c r="H6" i="10"/>
  <c r="H5" i="10"/>
  <c r="H16" i="9"/>
  <c r="H15" i="9"/>
  <c r="H14" i="9"/>
  <c r="H13" i="9"/>
  <c r="H12" i="9"/>
  <c r="H11" i="9"/>
  <c r="H10" i="9"/>
  <c r="H9" i="9"/>
  <c r="H8" i="9"/>
  <c r="H7" i="9"/>
  <c r="H6" i="9"/>
  <c r="H5" i="9"/>
  <c r="H16" i="12"/>
  <c r="H115" i="17"/>
  <c r="H114" i="17"/>
  <c r="H113" i="17"/>
  <c r="H114" i="11"/>
  <c r="H117" i="16"/>
  <c r="H116" i="16"/>
  <c r="H115" i="16"/>
  <c r="H114" i="16"/>
  <c r="H113" i="16"/>
  <c r="H115" i="11"/>
  <c r="H117" i="15"/>
  <c r="H116" i="15"/>
  <c r="H115" i="15"/>
  <c r="H114" i="15"/>
  <c r="H113" i="15"/>
  <c r="H115" i="14"/>
  <c r="H114" i="14"/>
  <c r="H113" i="14"/>
  <c r="H117" i="13"/>
  <c r="H116" i="13"/>
  <c r="H115" i="13"/>
  <c r="H114" i="13"/>
  <c r="H113" i="13"/>
  <c r="H117" i="12"/>
  <c r="H116" i="12"/>
  <c r="H115" i="12"/>
  <c r="H114" i="12"/>
  <c r="H113" i="12"/>
  <c r="H117" i="10"/>
  <c r="H116" i="10"/>
  <c r="H115" i="10"/>
  <c r="H114" i="10"/>
  <c r="H113" i="10"/>
  <c r="H113" i="11"/>
  <c r="H117" i="9"/>
  <c r="H116" i="9"/>
  <c r="H115" i="9"/>
  <c r="H114" i="9"/>
  <c r="H113" i="9"/>
  <c r="E115" i="17"/>
  <c r="E114" i="17"/>
  <c r="E113" i="17"/>
  <c r="E117" i="16"/>
  <c r="E116" i="16"/>
  <c r="E115" i="16"/>
  <c r="E114" i="16"/>
  <c r="E113" i="16"/>
  <c r="E114" i="11"/>
  <c r="E113" i="11"/>
  <c r="E117" i="15"/>
  <c r="E116" i="15"/>
  <c r="E115" i="15"/>
  <c r="E114" i="15"/>
  <c r="E113" i="15"/>
  <c r="E115" i="14"/>
  <c r="E114" i="14"/>
  <c r="E113" i="14"/>
  <c r="E117" i="13"/>
  <c r="E116" i="13"/>
  <c r="E115" i="13"/>
  <c r="E114" i="13"/>
  <c r="E113" i="13"/>
  <c r="E115" i="11"/>
  <c r="E117" i="12"/>
  <c r="E116" i="12"/>
  <c r="E115" i="12"/>
  <c r="E114" i="12"/>
  <c r="E113" i="12"/>
  <c r="E117" i="10"/>
  <c r="E116" i="10"/>
  <c r="E115" i="10"/>
  <c r="E114" i="10"/>
  <c r="E113" i="10"/>
  <c r="E117" i="9"/>
  <c r="E116" i="9"/>
  <c r="E115" i="9"/>
  <c r="E114" i="9"/>
  <c r="E113" i="9"/>
  <c r="J112" i="17"/>
  <c r="J111" i="17"/>
  <c r="J110" i="17"/>
  <c r="J110" i="11"/>
  <c r="J111" i="11"/>
  <c r="J112" i="14"/>
  <c r="J111" i="14"/>
  <c r="J110" i="14"/>
  <c r="J112" i="11"/>
  <c r="G112" i="11"/>
  <c r="G112" i="17"/>
  <c r="G111" i="17"/>
  <c r="G110" i="17"/>
  <c r="G110" i="11"/>
  <c r="G111" i="11"/>
  <c r="G112" i="14"/>
  <c r="G111" i="14"/>
  <c r="G110" i="14"/>
  <c r="I109" i="17"/>
  <c r="I108" i="17"/>
  <c r="I107" i="17"/>
  <c r="I112" i="16"/>
  <c r="I111" i="16"/>
  <c r="I110" i="16"/>
  <c r="I109" i="16"/>
  <c r="I108" i="16"/>
  <c r="I107" i="16"/>
  <c r="I109" i="14"/>
  <c r="I108" i="14"/>
  <c r="I107" i="14"/>
  <c r="I109" i="11"/>
  <c r="I107" i="11"/>
  <c r="I112" i="13"/>
  <c r="I111" i="13"/>
  <c r="I110" i="13"/>
  <c r="I109" i="13"/>
  <c r="I108" i="13"/>
  <c r="I107" i="13"/>
  <c r="I108" i="11"/>
  <c r="I112" i="10"/>
  <c r="I111" i="10"/>
  <c r="I110" i="10"/>
  <c r="I109" i="10"/>
  <c r="I108" i="10"/>
  <c r="I107" i="10"/>
  <c r="F109" i="17"/>
  <c r="F108" i="17"/>
  <c r="F107" i="17"/>
  <c r="F109" i="11"/>
  <c r="F112" i="16"/>
  <c r="F111" i="16"/>
  <c r="F110" i="16"/>
  <c r="F109" i="16"/>
  <c r="F108" i="16"/>
  <c r="F107" i="16"/>
  <c r="F109" i="14"/>
  <c r="F108" i="14"/>
  <c r="F107" i="14"/>
  <c r="F112" i="13"/>
  <c r="F111" i="13"/>
  <c r="F110" i="13"/>
  <c r="F109" i="13"/>
  <c r="F108" i="13"/>
  <c r="F107" i="13"/>
  <c r="F108" i="11"/>
  <c r="F112" i="10"/>
  <c r="F111" i="10"/>
  <c r="F110" i="10"/>
  <c r="F109" i="10"/>
  <c r="F108" i="10"/>
  <c r="F107" i="10"/>
  <c r="F107" i="11"/>
  <c r="I106" i="17"/>
  <c r="I105" i="17"/>
  <c r="I104" i="17"/>
  <c r="I106" i="14"/>
  <c r="I105" i="14"/>
  <c r="I104" i="14"/>
  <c r="I105" i="11"/>
  <c r="I106" i="11"/>
  <c r="I104" i="11"/>
  <c r="F104" i="11"/>
  <c r="F106" i="17"/>
  <c r="F105" i="17"/>
  <c r="F104" i="17"/>
  <c r="F106" i="11"/>
  <c r="F106" i="14"/>
  <c r="F105" i="14"/>
  <c r="F104" i="14"/>
  <c r="F105" i="11"/>
  <c r="H103" i="17"/>
  <c r="H102" i="17"/>
  <c r="H101" i="17"/>
  <c r="H106" i="16"/>
  <c r="H105" i="16"/>
  <c r="H104" i="16"/>
  <c r="H103" i="16"/>
  <c r="H102" i="16"/>
  <c r="H101" i="16"/>
  <c r="H103" i="11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3" i="14"/>
  <c r="H102" i="14"/>
  <c r="H101" i="14"/>
  <c r="H102" i="11"/>
  <c r="H101" i="11"/>
  <c r="H106" i="13"/>
  <c r="H105" i="13"/>
  <c r="H104" i="13"/>
  <c r="H103" i="13"/>
  <c r="H102" i="13"/>
  <c r="H101" i="13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6" i="10"/>
  <c r="H105" i="10"/>
  <c r="H104" i="10"/>
  <c r="H103" i="10"/>
  <c r="H102" i="10"/>
  <c r="H101" i="10"/>
  <c r="H112" i="9"/>
  <c r="H111" i="9"/>
  <c r="H110" i="9"/>
  <c r="H109" i="9"/>
  <c r="H108" i="9"/>
  <c r="H107" i="9"/>
  <c r="H106" i="9"/>
  <c r="H105" i="9"/>
  <c r="H104" i="9"/>
  <c r="H103" i="9"/>
  <c r="H102" i="9"/>
  <c r="H101" i="9"/>
  <c r="E103" i="17"/>
  <c r="E102" i="17"/>
  <c r="E101" i="17"/>
  <c r="E106" i="16"/>
  <c r="E105" i="16"/>
  <c r="E104" i="16"/>
  <c r="E103" i="16"/>
  <c r="E102" i="16"/>
  <c r="E101" i="16"/>
  <c r="E102" i="11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3" i="14"/>
  <c r="E102" i="14"/>
  <c r="E101" i="14"/>
  <c r="E106" i="13"/>
  <c r="E105" i="13"/>
  <c r="E104" i="13"/>
  <c r="E103" i="13"/>
  <c r="E102" i="13"/>
  <c r="E101" i="13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3" i="11"/>
  <c r="E106" i="10"/>
  <c r="E105" i="10"/>
  <c r="E104" i="10"/>
  <c r="E103" i="10"/>
  <c r="E102" i="10"/>
  <c r="E101" i="10"/>
  <c r="E101" i="11"/>
  <c r="E112" i="9"/>
  <c r="E111" i="9"/>
  <c r="E110" i="9"/>
  <c r="E109" i="9"/>
  <c r="E108" i="9"/>
  <c r="E107" i="9"/>
  <c r="E106" i="9"/>
  <c r="E105" i="9"/>
  <c r="E104" i="9"/>
  <c r="E103" i="9"/>
  <c r="E102" i="9"/>
  <c r="E101" i="9"/>
  <c r="I100" i="17"/>
  <c r="I99" i="17"/>
  <c r="I98" i="17"/>
  <c r="I100" i="11"/>
  <c r="I100" i="14"/>
  <c r="I99" i="14"/>
  <c r="I98" i="14"/>
  <c r="I99" i="11"/>
  <c r="I98" i="11"/>
  <c r="F99" i="11"/>
  <c r="F100" i="17"/>
  <c r="F99" i="17"/>
  <c r="F98" i="17"/>
  <c r="F100" i="11"/>
  <c r="F98" i="11"/>
  <c r="F100" i="14"/>
  <c r="F99" i="14"/>
  <c r="F98" i="14"/>
  <c r="J97" i="17"/>
  <c r="J96" i="17"/>
  <c r="J95" i="17"/>
  <c r="J100" i="16"/>
  <c r="J99" i="16"/>
  <c r="J98" i="16"/>
  <c r="J97" i="16"/>
  <c r="J96" i="16"/>
  <c r="J95" i="16"/>
  <c r="J97" i="14"/>
  <c r="J96" i="14"/>
  <c r="J95" i="14"/>
  <c r="J100" i="13"/>
  <c r="J99" i="13"/>
  <c r="J98" i="13"/>
  <c r="J97" i="13"/>
  <c r="J96" i="13"/>
  <c r="J95" i="13"/>
  <c r="J97" i="11"/>
  <c r="J96" i="11"/>
  <c r="J100" i="10"/>
  <c r="J99" i="10"/>
  <c r="J98" i="10"/>
  <c r="J97" i="10"/>
  <c r="J96" i="10"/>
  <c r="J95" i="10"/>
  <c r="J95" i="11"/>
  <c r="G97" i="17"/>
  <c r="G96" i="17"/>
  <c r="G95" i="17"/>
  <c r="G97" i="11"/>
  <c r="G100" i="16"/>
  <c r="G99" i="16"/>
  <c r="G98" i="16"/>
  <c r="G97" i="16"/>
  <c r="G96" i="16"/>
  <c r="G95" i="16"/>
  <c r="G96" i="11"/>
  <c r="G97" i="14"/>
  <c r="G96" i="14"/>
  <c r="G95" i="14"/>
  <c r="G100" i="13"/>
  <c r="G99" i="13"/>
  <c r="G98" i="13"/>
  <c r="G97" i="13"/>
  <c r="G96" i="13"/>
  <c r="G95" i="13"/>
  <c r="G95" i="11"/>
  <c r="G100" i="10"/>
  <c r="G99" i="10"/>
  <c r="G98" i="10"/>
  <c r="G97" i="10"/>
  <c r="G96" i="10"/>
  <c r="G95" i="10"/>
  <c r="I85" i="17"/>
  <c r="I84" i="17"/>
  <c r="I83" i="17"/>
  <c r="I83" i="11"/>
  <c r="I88" i="16"/>
  <c r="I87" i="16"/>
  <c r="I86" i="16"/>
  <c r="I85" i="16"/>
  <c r="I84" i="16"/>
  <c r="I83" i="16"/>
  <c r="I85" i="14"/>
  <c r="I84" i="14"/>
  <c r="I83" i="14"/>
  <c r="I88" i="13"/>
  <c r="I87" i="13"/>
  <c r="I86" i="13"/>
  <c r="I85" i="13"/>
  <c r="I84" i="13"/>
  <c r="I83" i="13"/>
  <c r="I85" i="11"/>
  <c r="I84" i="11"/>
  <c r="I88" i="10"/>
  <c r="I87" i="10"/>
  <c r="I86" i="10"/>
  <c r="I85" i="10"/>
  <c r="I84" i="10"/>
  <c r="I83" i="10"/>
  <c r="E85" i="17"/>
  <c r="E84" i="17"/>
  <c r="E83" i="17"/>
  <c r="E88" i="16"/>
  <c r="E87" i="16"/>
  <c r="E86" i="16"/>
  <c r="E85" i="16"/>
  <c r="E84" i="16"/>
  <c r="E83" i="16"/>
  <c r="E85" i="14"/>
  <c r="E84" i="14"/>
  <c r="E83" i="14"/>
  <c r="E84" i="11"/>
  <c r="E83" i="11"/>
  <c r="E88" i="13"/>
  <c r="E87" i="13"/>
  <c r="E86" i="13"/>
  <c r="E85" i="13"/>
  <c r="E84" i="13"/>
  <c r="E83" i="13"/>
  <c r="E85" i="11"/>
  <c r="E88" i="10"/>
  <c r="E87" i="10"/>
  <c r="E86" i="10"/>
  <c r="E85" i="10"/>
  <c r="E84" i="10"/>
  <c r="E83" i="10"/>
  <c r="G82" i="11"/>
  <c r="G82" i="17"/>
  <c r="G81" i="17"/>
  <c r="G80" i="17"/>
  <c r="G82" i="14"/>
  <c r="G81" i="14"/>
  <c r="G80" i="14"/>
  <c r="G80" i="11"/>
  <c r="G81" i="11"/>
  <c r="G79" i="17"/>
  <c r="G78" i="17"/>
  <c r="G77" i="17"/>
  <c r="G78" i="14"/>
  <c r="G77" i="14"/>
  <c r="G82" i="16"/>
  <c r="G81" i="16"/>
  <c r="G80" i="16"/>
  <c r="G79" i="16"/>
  <c r="G78" i="16"/>
  <c r="G77" i="16"/>
  <c r="G88" i="15"/>
  <c r="G87" i="15"/>
  <c r="G86" i="15"/>
  <c r="G85" i="15"/>
  <c r="G84" i="15"/>
  <c r="G83" i="15"/>
  <c r="G82" i="15"/>
  <c r="G81" i="15"/>
  <c r="G80" i="15"/>
  <c r="G79" i="15"/>
  <c r="G78" i="15"/>
  <c r="G77" i="15"/>
  <c r="G79" i="14"/>
  <c r="G82" i="13"/>
  <c r="G81" i="13"/>
  <c r="G80" i="13"/>
  <c r="G79" i="13"/>
  <c r="G78" i="13"/>
  <c r="G77" i="13"/>
  <c r="G88" i="12"/>
  <c r="G87" i="12"/>
  <c r="G86" i="12"/>
  <c r="G85" i="12"/>
  <c r="G84" i="12"/>
  <c r="G83" i="12"/>
  <c r="G82" i="12"/>
  <c r="G81" i="12"/>
  <c r="G80" i="12"/>
  <c r="G79" i="12"/>
  <c r="G78" i="12"/>
  <c r="G77" i="12"/>
  <c r="G79" i="11"/>
  <c r="G78" i="11"/>
  <c r="G77" i="11"/>
  <c r="G82" i="10"/>
  <c r="G81" i="10"/>
  <c r="G80" i="10"/>
  <c r="G79" i="10"/>
  <c r="G78" i="10"/>
  <c r="G77" i="10"/>
  <c r="G88" i="9"/>
  <c r="G87" i="9"/>
  <c r="G86" i="9"/>
  <c r="G85" i="9"/>
  <c r="G84" i="9"/>
  <c r="G83" i="9"/>
  <c r="G82" i="9"/>
  <c r="G81" i="9"/>
  <c r="G80" i="9"/>
  <c r="G79" i="9"/>
  <c r="G78" i="9"/>
  <c r="G77" i="9"/>
  <c r="I76" i="17"/>
  <c r="I75" i="17"/>
  <c r="I74" i="17"/>
  <c r="I75" i="14"/>
  <c r="I76" i="14"/>
  <c r="I74" i="14"/>
  <c r="I76" i="11"/>
  <c r="I75" i="11"/>
  <c r="I74" i="11"/>
  <c r="F76" i="17"/>
  <c r="F75" i="17"/>
  <c r="F74" i="17"/>
  <c r="F75" i="14"/>
  <c r="F74" i="14"/>
  <c r="F76" i="14"/>
  <c r="F76" i="11"/>
  <c r="F75" i="11"/>
  <c r="F74" i="11"/>
  <c r="J70" i="17"/>
  <c r="J69" i="17"/>
  <c r="J68" i="17"/>
  <c r="J70" i="14"/>
  <c r="J69" i="14"/>
  <c r="J68" i="14"/>
  <c r="J70" i="11"/>
  <c r="J69" i="11"/>
  <c r="J68" i="11"/>
  <c r="I67" i="17"/>
  <c r="I66" i="17"/>
  <c r="I65" i="17"/>
  <c r="I70" i="16"/>
  <c r="I69" i="16"/>
  <c r="I68" i="16"/>
  <c r="I67" i="16"/>
  <c r="I66" i="16"/>
  <c r="I65" i="16"/>
  <c r="I76" i="15"/>
  <c r="I75" i="15"/>
  <c r="I74" i="15"/>
  <c r="I73" i="15"/>
  <c r="I72" i="15"/>
  <c r="I71" i="15"/>
  <c r="I70" i="15"/>
  <c r="I69" i="15"/>
  <c r="I68" i="15"/>
  <c r="I67" i="15"/>
  <c r="I66" i="15"/>
  <c r="I65" i="15"/>
  <c r="I67" i="14"/>
  <c r="I66" i="14"/>
  <c r="I65" i="14"/>
  <c r="I70" i="13"/>
  <c r="I69" i="13"/>
  <c r="I68" i="13"/>
  <c r="I67" i="13"/>
  <c r="I66" i="13"/>
  <c r="I65" i="13"/>
  <c r="I76" i="12"/>
  <c r="I75" i="12"/>
  <c r="I74" i="12"/>
  <c r="I73" i="12"/>
  <c r="I72" i="12"/>
  <c r="I71" i="12"/>
  <c r="I70" i="12"/>
  <c r="I69" i="12"/>
  <c r="I68" i="12"/>
  <c r="I67" i="12"/>
  <c r="I66" i="12"/>
  <c r="I65" i="12"/>
  <c r="I67" i="11"/>
  <c r="I66" i="11"/>
  <c r="I65" i="11"/>
  <c r="I70" i="10"/>
  <c r="I69" i="10"/>
  <c r="I68" i="10"/>
  <c r="I67" i="10"/>
  <c r="I66" i="10"/>
  <c r="I65" i="10"/>
  <c r="I76" i="9"/>
  <c r="I75" i="9"/>
  <c r="I74" i="9"/>
  <c r="I73" i="9"/>
  <c r="I72" i="9"/>
  <c r="I71" i="9"/>
  <c r="I70" i="9"/>
  <c r="I69" i="9"/>
  <c r="I68" i="9"/>
  <c r="I67" i="9"/>
  <c r="I66" i="9"/>
  <c r="I65" i="9"/>
  <c r="G64" i="17"/>
  <c r="G63" i="17"/>
  <c r="G62" i="17"/>
  <c r="G64" i="14"/>
  <c r="G63" i="14"/>
  <c r="G62" i="14"/>
  <c r="G64" i="11"/>
  <c r="G63" i="11"/>
  <c r="G62" i="11"/>
  <c r="J63" i="16"/>
  <c r="J61" i="16"/>
  <c r="J61" i="17"/>
  <c r="J60" i="17"/>
  <c r="J59" i="17"/>
  <c r="J64" i="16"/>
  <c r="J62" i="16"/>
  <c r="J60" i="16"/>
  <c r="J59" i="16"/>
  <c r="J61" i="14"/>
  <c r="J60" i="14"/>
  <c r="J59" i="14"/>
  <c r="J64" i="13"/>
  <c r="J63" i="13"/>
  <c r="J62" i="13"/>
  <c r="J61" i="13"/>
  <c r="J60" i="13"/>
  <c r="J59" i="13"/>
  <c r="J61" i="11"/>
  <c r="J60" i="11"/>
  <c r="J59" i="11"/>
  <c r="J64" i="10"/>
  <c r="J63" i="10"/>
  <c r="J62" i="10"/>
  <c r="J61" i="10"/>
  <c r="J60" i="10"/>
  <c r="J59" i="10"/>
  <c r="F63" i="16"/>
  <c r="F61" i="16"/>
  <c r="F61" i="17"/>
  <c r="F60" i="17"/>
  <c r="F59" i="17"/>
  <c r="F64" i="16"/>
  <c r="F62" i="16"/>
  <c r="F60" i="16"/>
  <c r="F59" i="16"/>
  <c r="F61" i="14"/>
  <c r="F60" i="14"/>
  <c r="F59" i="14"/>
  <c r="F64" i="13"/>
  <c r="F63" i="13"/>
  <c r="F62" i="13"/>
  <c r="F61" i="13"/>
  <c r="F60" i="13"/>
  <c r="F59" i="13"/>
  <c r="F61" i="11"/>
  <c r="F60" i="11"/>
  <c r="F59" i="11"/>
  <c r="F64" i="10"/>
  <c r="F63" i="10"/>
  <c r="F62" i="10"/>
  <c r="F61" i="10"/>
  <c r="F60" i="10"/>
  <c r="F59" i="10"/>
  <c r="H58" i="17"/>
  <c r="H57" i="17"/>
  <c r="H56" i="17"/>
  <c r="H58" i="14"/>
  <c r="H57" i="14"/>
  <c r="H56" i="14"/>
  <c r="H58" i="11"/>
  <c r="H57" i="11"/>
  <c r="H56" i="11"/>
  <c r="H58" i="16"/>
  <c r="H57" i="16"/>
  <c r="H54" i="16"/>
  <c r="H55" i="17"/>
  <c r="H54" i="17"/>
  <c r="H53" i="17"/>
  <c r="H56" i="16"/>
  <c r="H55" i="16"/>
  <c r="H53" i="16"/>
  <c r="H64" i="15"/>
  <c r="H63" i="15"/>
  <c r="H62" i="15"/>
  <c r="H61" i="15"/>
  <c r="H60" i="15"/>
  <c r="H59" i="15"/>
  <c r="H58" i="15"/>
  <c r="H57" i="15"/>
  <c r="H56" i="15"/>
  <c r="H55" i="15"/>
  <c r="H54" i="15"/>
  <c r="H53" i="15"/>
  <c r="H55" i="14"/>
  <c r="H54" i="14"/>
  <c r="H53" i="14"/>
  <c r="H58" i="13"/>
  <c r="H57" i="13"/>
  <c r="H56" i="13"/>
  <c r="H55" i="13"/>
  <c r="H54" i="13"/>
  <c r="H53" i="13"/>
  <c r="H64" i="12"/>
  <c r="H63" i="12"/>
  <c r="H62" i="12"/>
  <c r="H61" i="12"/>
  <c r="H60" i="12"/>
  <c r="H59" i="12"/>
  <c r="H58" i="12"/>
  <c r="H57" i="12"/>
  <c r="H56" i="12"/>
  <c r="H55" i="12"/>
  <c r="H54" i="12"/>
  <c r="H53" i="12"/>
  <c r="H55" i="11"/>
  <c r="H54" i="11"/>
  <c r="H53" i="11"/>
  <c r="H58" i="10"/>
  <c r="H57" i="10"/>
  <c r="H56" i="10"/>
  <c r="H55" i="10"/>
  <c r="H54" i="10"/>
  <c r="H53" i="10"/>
  <c r="H64" i="9"/>
  <c r="H63" i="9"/>
  <c r="H62" i="9"/>
  <c r="H61" i="9"/>
  <c r="H60" i="9"/>
  <c r="H59" i="9"/>
  <c r="H58" i="9"/>
  <c r="H57" i="9"/>
  <c r="H56" i="9"/>
  <c r="H55" i="9"/>
  <c r="H54" i="9"/>
  <c r="H53" i="9"/>
  <c r="G52" i="17"/>
  <c r="G51" i="17"/>
  <c r="G50" i="17"/>
  <c r="G52" i="14"/>
  <c r="G51" i="14"/>
  <c r="G50" i="14"/>
  <c r="G52" i="11"/>
  <c r="G51" i="11"/>
  <c r="G50" i="11"/>
  <c r="E34" i="16"/>
  <c r="E31" i="16"/>
  <c r="E39" i="12"/>
  <c r="E36" i="12"/>
  <c r="E31" i="12"/>
  <c r="E30" i="12"/>
  <c r="E31" i="17"/>
  <c r="E30" i="17"/>
  <c r="E29" i="17"/>
  <c r="E33" i="16"/>
  <c r="E32" i="16"/>
  <c r="E30" i="16"/>
  <c r="E29" i="16"/>
  <c r="E35" i="12"/>
  <c r="E32" i="12"/>
  <c r="E40" i="15"/>
  <c r="E39" i="15"/>
  <c r="E38" i="15"/>
  <c r="E37" i="15"/>
  <c r="E36" i="15"/>
  <c r="E35" i="15"/>
  <c r="E34" i="15"/>
  <c r="E33" i="15"/>
  <c r="E32" i="15"/>
  <c r="E31" i="15"/>
  <c r="E30" i="15"/>
  <c r="E29" i="15"/>
  <c r="E38" i="12"/>
  <c r="E37" i="12"/>
  <c r="E34" i="12"/>
  <c r="E31" i="14"/>
  <c r="E30" i="14"/>
  <c r="E29" i="14"/>
  <c r="E34" i="13"/>
  <c r="E33" i="13"/>
  <c r="E32" i="13"/>
  <c r="E31" i="13"/>
  <c r="E30" i="13"/>
  <c r="E29" i="13"/>
  <c r="E33" i="12"/>
  <c r="E29" i="12"/>
  <c r="E40" i="12"/>
  <c r="E31" i="11"/>
  <c r="E30" i="11"/>
  <c r="E29" i="11"/>
  <c r="E34" i="10"/>
  <c r="E33" i="10"/>
  <c r="E32" i="10"/>
  <c r="E31" i="10"/>
  <c r="E30" i="10"/>
  <c r="E29" i="10"/>
  <c r="E40" i="9"/>
  <c r="E39" i="9"/>
  <c r="E38" i="9"/>
  <c r="E37" i="9"/>
  <c r="E36" i="9"/>
  <c r="E35" i="9"/>
  <c r="E34" i="9"/>
  <c r="E33" i="9"/>
  <c r="E32" i="9"/>
  <c r="E31" i="9"/>
  <c r="E30" i="9"/>
  <c r="E29" i="9"/>
  <c r="G10" i="17"/>
  <c r="G9" i="17"/>
  <c r="G8" i="17"/>
  <c r="G10" i="14"/>
  <c r="G9" i="14"/>
  <c r="G8" i="14"/>
  <c r="G10" i="11"/>
  <c r="G9" i="11"/>
  <c r="G8" i="11"/>
  <c r="F15" i="12"/>
  <c r="F7" i="17"/>
  <c r="F6" i="17"/>
  <c r="F5" i="17"/>
  <c r="F10" i="16"/>
  <c r="F9" i="16"/>
  <c r="F8" i="16"/>
  <c r="F7" i="16"/>
  <c r="F6" i="16"/>
  <c r="F5" i="16"/>
  <c r="F16" i="15"/>
  <c r="F15" i="15"/>
  <c r="F14" i="15"/>
  <c r="F13" i="15"/>
  <c r="F12" i="15"/>
  <c r="F11" i="15"/>
  <c r="F10" i="15"/>
  <c r="F9" i="15"/>
  <c r="F8" i="15"/>
  <c r="F7" i="15"/>
  <c r="F6" i="15"/>
  <c r="F5" i="15"/>
  <c r="F10" i="12"/>
  <c r="F7" i="14"/>
  <c r="F6" i="14"/>
  <c r="F5" i="14"/>
  <c r="F16" i="12"/>
  <c r="F5" i="12"/>
  <c r="F10" i="13"/>
  <c r="F9" i="13"/>
  <c r="F8" i="13"/>
  <c r="F7" i="13"/>
  <c r="F6" i="13"/>
  <c r="F5" i="13"/>
  <c r="F13" i="12"/>
  <c r="F12" i="12"/>
  <c r="F6" i="12"/>
  <c r="F7" i="11"/>
  <c r="F6" i="11"/>
  <c r="F5" i="11"/>
  <c r="F14" i="12"/>
  <c r="F11" i="12"/>
  <c r="F8" i="12"/>
  <c r="F10" i="10"/>
  <c r="F9" i="10"/>
  <c r="F8" i="10"/>
  <c r="F7" i="10"/>
  <c r="F6" i="10"/>
  <c r="F5" i="10"/>
  <c r="F16" i="9"/>
  <c r="F15" i="9"/>
  <c r="F14" i="9"/>
  <c r="F13" i="9"/>
  <c r="F12" i="9"/>
  <c r="F11" i="9"/>
  <c r="F10" i="9"/>
  <c r="F9" i="9"/>
  <c r="F8" i="9"/>
  <c r="F7" i="9"/>
  <c r="F6" i="9"/>
  <c r="F5" i="9"/>
  <c r="F9" i="12"/>
  <c r="F7" i="12"/>
  <c r="J116" i="11"/>
  <c r="J117" i="17"/>
  <c r="J116" i="17"/>
  <c r="J117" i="11"/>
  <c r="J117" i="14"/>
  <c r="J116" i="14"/>
  <c r="I117" i="17"/>
  <c r="I116" i="17"/>
  <c r="I117" i="14"/>
  <c r="I116" i="14"/>
  <c r="I116" i="11"/>
  <c r="I117" i="11"/>
  <c r="H117" i="11"/>
  <c r="H117" i="17"/>
  <c r="H116" i="17"/>
  <c r="H117" i="14"/>
  <c r="H116" i="14"/>
  <c r="H116" i="11"/>
  <c r="G117" i="17"/>
  <c r="G116" i="17"/>
  <c r="G117" i="14"/>
  <c r="G116" i="14"/>
  <c r="G116" i="11"/>
  <c r="G117" i="11"/>
  <c r="F117" i="17"/>
  <c r="F116" i="17"/>
  <c r="F117" i="11"/>
  <c r="F117" i="14"/>
  <c r="F116" i="14"/>
  <c r="F116" i="11"/>
  <c r="E117" i="17"/>
  <c r="E116" i="17"/>
  <c r="E116" i="11"/>
  <c r="E117" i="14"/>
  <c r="E116" i="14"/>
  <c r="E117" i="11"/>
  <c r="D117" i="11"/>
  <c r="D117" i="17"/>
  <c r="D116" i="17"/>
  <c r="D117" i="14"/>
  <c r="D116" i="14"/>
  <c r="D116" i="11"/>
  <c r="J92" i="11"/>
  <c r="J94" i="17"/>
  <c r="J93" i="17"/>
  <c r="J92" i="17"/>
  <c r="J93" i="11"/>
  <c r="J94" i="14"/>
  <c r="J93" i="14"/>
  <c r="J92" i="14"/>
  <c r="J94" i="11"/>
  <c r="I93" i="11"/>
  <c r="I94" i="17"/>
  <c r="I93" i="17"/>
  <c r="I92" i="17"/>
  <c r="I94" i="14"/>
  <c r="I93" i="14"/>
  <c r="I92" i="14"/>
  <c r="I92" i="11"/>
  <c r="I94" i="11"/>
  <c r="H94" i="17"/>
  <c r="H93" i="17"/>
  <c r="H92" i="17"/>
  <c r="H92" i="11"/>
  <c r="H94" i="14"/>
  <c r="H93" i="14"/>
  <c r="H92" i="14"/>
  <c r="H94" i="11"/>
  <c r="H93" i="11"/>
  <c r="G94" i="17"/>
  <c r="G93" i="17"/>
  <c r="G92" i="17"/>
  <c r="G94" i="11"/>
  <c r="G94" i="14"/>
  <c r="G93" i="14"/>
  <c r="G92" i="14"/>
  <c r="G93" i="11"/>
  <c r="G92" i="11"/>
  <c r="F92" i="11"/>
  <c r="F94" i="17"/>
  <c r="F93" i="17"/>
  <c r="F92" i="17"/>
  <c r="F94" i="14"/>
  <c r="F93" i="14"/>
  <c r="F92" i="14"/>
  <c r="F93" i="11"/>
  <c r="F94" i="11"/>
  <c r="E94" i="17"/>
  <c r="E93" i="17"/>
  <c r="E92" i="17"/>
  <c r="E94" i="14"/>
  <c r="E93" i="14"/>
  <c r="E92" i="14"/>
  <c r="E92" i="11"/>
  <c r="E94" i="11"/>
  <c r="E93" i="11"/>
  <c r="D94" i="17"/>
  <c r="D93" i="17"/>
  <c r="D92" i="17"/>
  <c r="D92" i="11"/>
  <c r="D94" i="14"/>
  <c r="D93" i="14"/>
  <c r="D92" i="14"/>
  <c r="D94" i="11"/>
  <c r="D93" i="11"/>
  <c r="J91" i="11"/>
  <c r="J91" i="17"/>
  <c r="J90" i="17"/>
  <c r="J89" i="17"/>
  <c r="J90" i="11"/>
  <c r="J94" i="16"/>
  <c r="J93" i="16"/>
  <c r="J92" i="16"/>
  <c r="J91" i="16"/>
  <c r="J90" i="16"/>
  <c r="J89" i="16"/>
  <c r="J100" i="15"/>
  <c r="J99" i="15"/>
  <c r="J98" i="15"/>
  <c r="J97" i="15"/>
  <c r="J96" i="15"/>
  <c r="J95" i="15"/>
  <c r="J94" i="15"/>
  <c r="J93" i="15"/>
  <c r="J92" i="15"/>
  <c r="J91" i="15"/>
  <c r="J90" i="15"/>
  <c r="J89" i="15"/>
  <c r="J91" i="14"/>
  <c r="J90" i="14"/>
  <c r="J89" i="14"/>
  <c r="J89" i="11"/>
  <c r="J94" i="13"/>
  <c r="J93" i="13"/>
  <c r="J92" i="13"/>
  <c r="J91" i="13"/>
  <c r="J90" i="13"/>
  <c r="J89" i="13"/>
  <c r="J100" i="12"/>
  <c r="J99" i="12"/>
  <c r="J98" i="12"/>
  <c r="J97" i="12"/>
  <c r="J96" i="12"/>
  <c r="J95" i="12"/>
  <c r="J94" i="12"/>
  <c r="J93" i="12"/>
  <c r="J92" i="12"/>
  <c r="J91" i="12"/>
  <c r="J90" i="12"/>
  <c r="J89" i="12"/>
  <c r="J94" i="10"/>
  <c r="J93" i="10"/>
  <c r="J92" i="10"/>
  <c r="J91" i="10"/>
  <c r="J90" i="10"/>
  <c r="J89" i="10"/>
  <c r="J100" i="9"/>
  <c r="J99" i="9"/>
  <c r="J98" i="9"/>
  <c r="J97" i="9"/>
  <c r="J96" i="9"/>
  <c r="J95" i="9"/>
  <c r="J94" i="9"/>
  <c r="J93" i="9"/>
  <c r="J92" i="9"/>
  <c r="J91" i="9"/>
  <c r="J90" i="9"/>
  <c r="J89" i="9"/>
  <c r="I89" i="11"/>
  <c r="I91" i="17"/>
  <c r="I90" i="17"/>
  <c r="I89" i="17"/>
  <c r="I94" i="16"/>
  <c r="I93" i="16"/>
  <c r="I92" i="16"/>
  <c r="I91" i="16"/>
  <c r="I90" i="16"/>
  <c r="I89" i="16"/>
  <c r="I100" i="15"/>
  <c r="I99" i="15"/>
  <c r="I98" i="15"/>
  <c r="I97" i="15"/>
  <c r="I96" i="15"/>
  <c r="I95" i="15"/>
  <c r="I94" i="15"/>
  <c r="I93" i="15"/>
  <c r="I92" i="15"/>
  <c r="I91" i="15"/>
  <c r="I90" i="15"/>
  <c r="I89" i="15"/>
  <c r="I91" i="14"/>
  <c r="I90" i="14"/>
  <c r="I89" i="14"/>
  <c r="I94" i="13"/>
  <c r="I93" i="13"/>
  <c r="I92" i="13"/>
  <c r="I91" i="13"/>
  <c r="I90" i="13"/>
  <c r="I89" i="13"/>
  <c r="I100" i="12"/>
  <c r="I99" i="12"/>
  <c r="I98" i="12"/>
  <c r="I97" i="12"/>
  <c r="I96" i="12"/>
  <c r="I95" i="12"/>
  <c r="I94" i="12"/>
  <c r="I93" i="12"/>
  <c r="I92" i="12"/>
  <c r="I91" i="12"/>
  <c r="I90" i="12"/>
  <c r="I89" i="12"/>
  <c r="I90" i="11"/>
  <c r="I94" i="10"/>
  <c r="I93" i="10"/>
  <c r="I92" i="10"/>
  <c r="I91" i="10"/>
  <c r="I90" i="10"/>
  <c r="I89" i="10"/>
  <c r="I91" i="11"/>
  <c r="I100" i="9"/>
  <c r="I99" i="9"/>
  <c r="I98" i="9"/>
  <c r="I97" i="9"/>
  <c r="I96" i="9"/>
  <c r="I95" i="9"/>
  <c r="I94" i="9"/>
  <c r="I93" i="9"/>
  <c r="I92" i="9"/>
  <c r="I91" i="9"/>
  <c r="I90" i="9"/>
  <c r="I89" i="9"/>
  <c r="H91" i="17"/>
  <c r="H90" i="17"/>
  <c r="H89" i="17"/>
  <c r="H94" i="16"/>
  <c r="H93" i="16"/>
  <c r="H92" i="16"/>
  <c r="H91" i="16"/>
  <c r="H90" i="16"/>
  <c r="H89" i="16"/>
  <c r="H89" i="11"/>
  <c r="H100" i="15"/>
  <c r="H99" i="15"/>
  <c r="H98" i="15"/>
  <c r="H97" i="15"/>
  <c r="H96" i="15"/>
  <c r="H95" i="15"/>
  <c r="H94" i="15"/>
  <c r="H93" i="15"/>
  <c r="H92" i="15"/>
  <c r="H91" i="15"/>
  <c r="H90" i="15"/>
  <c r="H89" i="15"/>
  <c r="H91" i="14"/>
  <c r="H90" i="14"/>
  <c r="H89" i="14"/>
  <c r="H90" i="11"/>
  <c r="H94" i="13"/>
  <c r="H93" i="13"/>
  <c r="H92" i="13"/>
  <c r="H91" i="13"/>
  <c r="H90" i="13"/>
  <c r="H89" i="13"/>
  <c r="H100" i="12"/>
  <c r="H99" i="12"/>
  <c r="H98" i="12"/>
  <c r="H97" i="12"/>
  <c r="H96" i="12"/>
  <c r="H95" i="12"/>
  <c r="H94" i="12"/>
  <c r="H93" i="12"/>
  <c r="H92" i="12"/>
  <c r="H91" i="12"/>
  <c r="H90" i="12"/>
  <c r="H89" i="12"/>
  <c r="H91" i="11"/>
  <c r="H94" i="10"/>
  <c r="H93" i="10"/>
  <c r="H92" i="10"/>
  <c r="H91" i="10"/>
  <c r="H90" i="10"/>
  <c r="H89" i="10"/>
  <c r="H100" i="9"/>
  <c r="H99" i="9"/>
  <c r="H98" i="9"/>
  <c r="H97" i="9"/>
  <c r="H96" i="9"/>
  <c r="H95" i="9"/>
  <c r="H94" i="9"/>
  <c r="H93" i="9"/>
  <c r="H92" i="9"/>
  <c r="H91" i="9"/>
  <c r="H90" i="9"/>
  <c r="H89" i="9"/>
  <c r="G91" i="17"/>
  <c r="G90" i="17"/>
  <c r="G89" i="17"/>
  <c r="G94" i="16"/>
  <c r="G93" i="16"/>
  <c r="G92" i="16"/>
  <c r="G91" i="16"/>
  <c r="G90" i="16"/>
  <c r="G89" i="16"/>
  <c r="G100" i="15"/>
  <c r="G99" i="15"/>
  <c r="G98" i="15"/>
  <c r="G97" i="15"/>
  <c r="G96" i="15"/>
  <c r="G95" i="15"/>
  <c r="G94" i="15"/>
  <c r="G93" i="15"/>
  <c r="G92" i="15"/>
  <c r="G91" i="15"/>
  <c r="G90" i="15"/>
  <c r="G89" i="15"/>
  <c r="G91" i="14"/>
  <c r="G90" i="14"/>
  <c r="G89" i="14"/>
  <c r="G91" i="11"/>
  <c r="G94" i="13"/>
  <c r="G93" i="13"/>
  <c r="G92" i="13"/>
  <c r="G91" i="13"/>
  <c r="G90" i="13"/>
  <c r="G89" i="13"/>
  <c r="G100" i="12"/>
  <c r="G99" i="12"/>
  <c r="G98" i="12"/>
  <c r="G97" i="12"/>
  <c r="G96" i="12"/>
  <c r="G95" i="12"/>
  <c r="G94" i="12"/>
  <c r="G93" i="12"/>
  <c r="G92" i="12"/>
  <c r="G91" i="12"/>
  <c r="G90" i="12"/>
  <c r="G89" i="12"/>
  <c r="G94" i="10"/>
  <c r="G93" i="10"/>
  <c r="G92" i="10"/>
  <c r="G91" i="10"/>
  <c r="G90" i="10"/>
  <c r="G89" i="10"/>
  <c r="G90" i="11"/>
  <c r="G89" i="11"/>
  <c r="G100" i="9"/>
  <c r="G99" i="9"/>
  <c r="G98" i="9"/>
  <c r="G97" i="9"/>
  <c r="G96" i="9"/>
  <c r="G95" i="9"/>
  <c r="G94" i="9"/>
  <c r="G93" i="9"/>
  <c r="G92" i="9"/>
  <c r="G91" i="9"/>
  <c r="G90" i="9"/>
  <c r="G89" i="9"/>
  <c r="F91" i="11"/>
  <c r="F91" i="17"/>
  <c r="F90" i="17"/>
  <c r="F89" i="17"/>
  <c r="F90" i="11"/>
  <c r="F89" i="11"/>
  <c r="F94" i="16"/>
  <c r="F93" i="16"/>
  <c r="F92" i="16"/>
  <c r="F91" i="16"/>
  <c r="F90" i="16"/>
  <c r="F89" i="16"/>
  <c r="F100" i="15"/>
  <c r="F99" i="15"/>
  <c r="F98" i="15"/>
  <c r="F97" i="15"/>
  <c r="F96" i="15"/>
  <c r="F95" i="15"/>
  <c r="F94" i="15"/>
  <c r="F93" i="15"/>
  <c r="F92" i="15"/>
  <c r="F91" i="15"/>
  <c r="F90" i="15"/>
  <c r="F89" i="15"/>
  <c r="F91" i="14"/>
  <c r="F90" i="14"/>
  <c r="F89" i="14"/>
  <c r="F94" i="13"/>
  <c r="F93" i="13"/>
  <c r="F92" i="13"/>
  <c r="F91" i="13"/>
  <c r="F90" i="13"/>
  <c r="F89" i="13"/>
  <c r="F100" i="12"/>
  <c r="F99" i="12"/>
  <c r="F98" i="12"/>
  <c r="F97" i="12"/>
  <c r="F96" i="12"/>
  <c r="F95" i="12"/>
  <c r="F94" i="12"/>
  <c r="F93" i="12"/>
  <c r="F92" i="12"/>
  <c r="F91" i="12"/>
  <c r="F90" i="12"/>
  <c r="F89" i="12"/>
  <c r="F94" i="10"/>
  <c r="F93" i="10"/>
  <c r="F92" i="10"/>
  <c r="F91" i="10"/>
  <c r="F90" i="10"/>
  <c r="F89" i="10"/>
  <c r="F100" i="9"/>
  <c r="F99" i="9"/>
  <c r="F98" i="9"/>
  <c r="F97" i="9"/>
  <c r="F96" i="9"/>
  <c r="F95" i="9"/>
  <c r="F94" i="9"/>
  <c r="F93" i="9"/>
  <c r="F92" i="9"/>
  <c r="F91" i="9"/>
  <c r="F90" i="9"/>
  <c r="F89" i="9"/>
  <c r="E91" i="17"/>
  <c r="E90" i="17"/>
  <c r="E89" i="17"/>
  <c r="E94" i="16"/>
  <c r="E93" i="16"/>
  <c r="E92" i="16"/>
  <c r="E91" i="16"/>
  <c r="E90" i="16"/>
  <c r="E89" i="16"/>
  <c r="E100" i="15"/>
  <c r="E99" i="15"/>
  <c r="E98" i="15"/>
  <c r="E97" i="15"/>
  <c r="E96" i="15"/>
  <c r="E95" i="15"/>
  <c r="E94" i="15"/>
  <c r="E93" i="15"/>
  <c r="E92" i="15"/>
  <c r="E91" i="15"/>
  <c r="E90" i="15"/>
  <c r="E89" i="15"/>
  <c r="E91" i="14"/>
  <c r="E90" i="14"/>
  <c r="E89" i="14"/>
  <c r="E90" i="11"/>
  <c r="E89" i="11"/>
  <c r="E94" i="13"/>
  <c r="E93" i="13"/>
  <c r="E92" i="13"/>
  <c r="E91" i="13"/>
  <c r="E90" i="13"/>
  <c r="E89" i="13"/>
  <c r="E91" i="11"/>
  <c r="E100" i="12"/>
  <c r="E99" i="12"/>
  <c r="E98" i="12"/>
  <c r="E97" i="12"/>
  <c r="E96" i="12"/>
  <c r="E95" i="12"/>
  <c r="E94" i="12"/>
  <c r="E93" i="12"/>
  <c r="E92" i="12"/>
  <c r="E91" i="12"/>
  <c r="E90" i="12"/>
  <c r="E89" i="12"/>
  <c r="E94" i="10"/>
  <c r="E93" i="10"/>
  <c r="E92" i="10"/>
  <c r="E91" i="10"/>
  <c r="E90" i="10"/>
  <c r="E89" i="10"/>
  <c r="E100" i="9"/>
  <c r="E99" i="9"/>
  <c r="E98" i="9"/>
  <c r="E97" i="9"/>
  <c r="E96" i="9"/>
  <c r="E95" i="9"/>
  <c r="E94" i="9"/>
  <c r="E93" i="9"/>
  <c r="E92" i="9"/>
  <c r="E91" i="9"/>
  <c r="E90" i="9"/>
  <c r="E89" i="9"/>
  <c r="D90" i="11"/>
  <c r="D89" i="11"/>
  <c r="D91" i="17"/>
  <c r="D90" i="17"/>
  <c r="D89" i="17"/>
  <c r="D94" i="16"/>
  <c r="D93" i="16"/>
  <c r="D92" i="16"/>
  <c r="D91" i="16"/>
  <c r="D90" i="16"/>
  <c r="D89" i="16"/>
  <c r="D100" i="15"/>
  <c r="D99" i="15"/>
  <c r="D98" i="15"/>
  <c r="D97" i="15"/>
  <c r="D96" i="15"/>
  <c r="D95" i="15"/>
  <c r="D94" i="15"/>
  <c r="D93" i="15"/>
  <c r="D92" i="15"/>
  <c r="D91" i="15"/>
  <c r="D90" i="15"/>
  <c r="D89" i="15"/>
  <c r="D91" i="14"/>
  <c r="D90" i="14"/>
  <c r="D89" i="14"/>
  <c r="D94" i="13"/>
  <c r="D93" i="13"/>
  <c r="D92" i="13"/>
  <c r="D91" i="13"/>
  <c r="D90" i="13"/>
  <c r="D89" i="13"/>
  <c r="D100" i="12"/>
  <c r="D99" i="12"/>
  <c r="D98" i="12"/>
  <c r="D97" i="12"/>
  <c r="D96" i="12"/>
  <c r="D95" i="12"/>
  <c r="D94" i="12"/>
  <c r="D93" i="12"/>
  <c r="D92" i="12"/>
  <c r="D91" i="12"/>
  <c r="D90" i="12"/>
  <c r="D89" i="12"/>
  <c r="D94" i="10"/>
  <c r="D93" i="10"/>
  <c r="D92" i="10"/>
  <c r="D91" i="10"/>
  <c r="D90" i="10"/>
  <c r="D89" i="10"/>
  <c r="D91" i="11"/>
  <c r="D100" i="9"/>
  <c r="D99" i="9"/>
  <c r="D98" i="9"/>
  <c r="D97" i="9"/>
  <c r="D96" i="9"/>
  <c r="D95" i="9"/>
  <c r="D94" i="9"/>
  <c r="D93" i="9"/>
  <c r="D92" i="9"/>
  <c r="D91" i="9"/>
  <c r="D90" i="9"/>
  <c r="D89" i="9"/>
  <c r="J88" i="17"/>
  <c r="J87" i="17"/>
  <c r="J86" i="17"/>
  <c r="J88" i="14"/>
  <c r="J87" i="14"/>
  <c r="J86" i="14"/>
  <c r="J87" i="11"/>
  <c r="J88" i="11"/>
  <c r="J86" i="11"/>
  <c r="I86" i="11"/>
  <c r="I88" i="17"/>
  <c r="I87" i="17"/>
  <c r="I86" i="17"/>
  <c r="I87" i="11"/>
  <c r="I88" i="11"/>
  <c r="I88" i="14"/>
  <c r="I87" i="14"/>
  <c r="I86" i="14"/>
  <c r="H88" i="17"/>
  <c r="H87" i="17"/>
  <c r="H86" i="17"/>
  <c r="H87" i="11"/>
  <c r="H86" i="11"/>
  <c r="H88" i="14"/>
  <c r="H87" i="14"/>
  <c r="H86" i="14"/>
  <c r="H88" i="11"/>
  <c r="G87" i="11"/>
  <c r="G88" i="17"/>
  <c r="G87" i="17"/>
  <c r="G86" i="17"/>
  <c r="G88" i="14"/>
  <c r="G87" i="14"/>
  <c r="G86" i="14"/>
  <c r="G88" i="11"/>
  <c r="G86" i="11"/>
  <c r="F88" i="17"/>
  <c r="F87" i="17"/>
  <c r="F86" i="17"/>
  <c r="F86" i="11"/>
  <c r="F88" i="11"/>
  <c r="F88" i="14"/>
  <c r="F87" i="14"/>
  <c r="F86" i="14"/>
  <c r="F87" i="11"/>
  <c r="E88" i="17"/>
  <c r="E87" i="17"/>
  <c r="E86" i="17"/>
  <c r="E88" i="14"/>
  <c r="E87" i="14"/>
  <c r="E86" i="14"/>
  <c r="E87" i="11"/>
  <c r="E88" i="11"/>
  <c r="E86" i="11"/>
  <c r="D86" i="11"/>
  <c r="D88" i="17"/>
  <c r="D87" i="17"/>
  <c r="D86" i="17"/>
  <c r="D88" i="14"/>
  <c r="D87" i="14"/>
  <c r="D86" i="14"/>
  <c r="D87" i="11"/>
  <c r="D88" i="11"/>
  <c r="G85" i="17"/>
  <c r="G84" i="17"/>
  <c r="G83" i="17"/>
  <c r="G88" i="16"/>
  <c r="G87" i="16"/>
  <c r="G86" i="16"/>
  <c r="G85" i="16"/>
  <c r="G84" i="16"/>
  <c r="G83" i="16"/>
  <c r="G85" i="11"/>
  <c r="G85" i="14"/>
  <c r="G84" i="14"/>
  <c r="G83" i="14"/>
  <c r="G88" i="13"/>
  <c r="G87" i="13"/>
  <c r="G86" i="13"/>
  <c r="G85" i="13"/>
  <c r="G84" i="13"/>
  <c r="G83" i="13"/>
  <c r="G84" i="11"/>
  <c r="G88" i="10"/>
  <c r="G87" i="10"/>
  <c r="G86" i="10"/>
  <c r="G85" i="10"/>
  <c r="G84" i="10"/>
  <c r="G83" i="10"/>
  <c r="G83" i="11"/>
  <c r="H82" i="17"/>
  <c r="H81" i="17"/>
  <c r="H80" i="17"/>
  <c r="H82" i="14"/>
  <c r="H81" i="14"/>
  <c r="H80" i="14"/>
  <c r="H81" i="11"/>
  <c r="H82" i="11"/>
  <c r="H80" i="11"/>
  <c r="I79" i="17"/>
  <c r="I78" i="17"/>
  <c r="I77" i="17"/>
  <c r="I78" i="14"/>
  <c r="I77" i="14"/>
  <c r="I82" i="16"/>
  <c r="I81" i="16"/>
  <c r="I80" i="16"/>
  <c r="I79" i="16"/>
  <c r="I78" i="16"/>
  <c r="I77" i="16"/>
  <c r="I88" i="15"/>
  <c r="I87" i="15"/>
  <c r="I86" i="15"/>
  <c r="I85" i="15"/>
  <c r="I84" i="15"/>
  <c r="I83" i="15"/>
  <c r="I82" i="15"/>
  <c r="I81" i="15"/>
  <c r="I80" i="15"/>
  <c r="I79" i="15"/>
  <c r="I78" i="15"/>
  <c r="I77" i="15"/>
  <c r="I79" i="14"/>
  <c r="I82" i="13"/>
  <c r="I81" i="13"/>
  <c r="I80" i="13"/>
  <c r="I79" i="13"/>
  <c r="I78" i="13"/>
  <c r="I77" i="13"/>
  <c r="I88" i="12"/>
  <c r="I87" i="12"/>
  <c r="I86" i="12"/>
  <c r="I85" i="12"/>
  <c r="I84" i="12"/>
  <c r="I83" i="12"/>
  <c r="I82" i="12"/>
  <c r="I81" i="12"/>
  <c r="I80" i="12"/>
  <c r="I79" i="12"/>
  <c r="I78" i="12"/>
  <c r="I77" i="12"/>
  <c r="I79" i="11"/>
  <c r="I78" i="11"/>
  <c r="I77" i="11"/>
  <c r="I82" i="10"/>
  <c r="I81" i="10"/>
  <c r="I80" i="10"/>
  <c r="I79" i="10"/>
  <c r="I78" i="10"/>
  <c r="I77" i="10"/>
  <c r="I88" i="9"/>
  <c r="I87" i="9"/>
  <c r="I86" i="9"/>
  <c r="I85" i="9"/>
  <c r="I84" i="9"/>
  <c r="I83" i="9"/>
  <c r="I82" i="9"/>
  <c r="I81" i="9"/>
  <c r="I80" i="9"/>
  <c r="I79" i="9"/>
  <c r="I78" i="9"/>
  <c r="I77" i="9"/>
  <c r="G76" i="17"/>
  <c r="G75" i="17"/>
  <c r="G74" i="17"/>
  <c r="G76" i="14"/>
  <c r="G75" i="14"/>
  <c r="G74" i="14"/>
  <c r="G76" i="11"/>
  <c r="G75" i="11"/>
  <c r="G74" i="11"/>
  <c r="H70" i="17"/>
  <c r="H69" i="17"/>
  <c r="H68" i="17"/>
  <c r="H70" i="14"/>
  <c r="H69" i="14"/>
  <c r="H68" i="14"/>
  <c r="H70" i="11"/>
  <c r="H69" i="11"/>
  <c r="H68" i="11"/>
  <c r="G67" i="16"/>
  <c r="G66" i="16"/>
  <c r="G67" i="17"/>
  <c r="G66" i="17"/>
  <c r="G65" i="17"/>
  <c r="G70" i="16"/>
  <c r="G69" i="16"/>
  <c r="G68" i="16"/>
  <c r="G65" i="16"/>
  <c r="G76" i="15"/>
  <c r="G75" i="15"/>
  <c r="G74" i="15"/>
  <c r="G73" i="15"/>
  <c r="G72" i="15"/>
  <c r="G71" i="15"/>
  <c r="G70" i="15"/>
  <c r="G69" i="15"/>
  <c r="G68" i="15"/>
  <c r="G67" i="15"/>
  <c r="G66" i="15"/>
  <c r="G65" i="15"/>
  <c r="G67" i="14"/>
  <c r="G66" i="14"/>
  <c r="G65" i="14"/>
  <c r="G70" i="13"/>
  <c r="G69" i="13"/>
  <c r="G68" i="13"/>
  <c r="G67" i="13"/>
  <c r="G66" i="13"/>
  <c r="G65" i="13"/>
  <c r="G76" i="12"/>
  <c r="G75" i="12"/>
  <c r="G74" i="12"/>
  <c r="G73" i="12"/>
  <c r="G72" i="12"/>
  <c r="G71" i="12"/>
  <c r="G70" i="12"/>
  <c r="G69" i="12"/>
  <c r="G68" i="12"/>
  <c r="G67" i="12"/>
  <c r="G66" i="12"/>
  <c r="G65" i="12"/>
  <c r="G67" i="11"/>
  <c r="G66" i="11"/>
  <c r="G65" i="11"/>
  <c r="G70" i="10"/>
  <c r="G69" i="10"/>
  <c r="G68" i="10"/>
  <c r="G67" i="10"/>
  <c r="G66" i="10"/>
  <c r="G65" i="10"/>
  <c r="G76" i="9"/>
  <c r="G75" i="9"/>
  <c r="G74" i="9"/>
  <c r="G73" i="9"/>
  <c r="G72" i="9"/>
  <c r="G71" i="9"/>
  <c r="G70" i="9"/>
  <c r="G69" i="9"/>
  <c r="G68" i="9"/>
  <c r="G67" i="9"/>
  <c r="G66" i="9"/>
  <c r="G65" i="9"/>
  <c r="H64" i="17"/>
  <c r="H63" i="17"/>
  <c r="H62" i="17"/>
  <c r="H64" i="14"/>
  <c r="H63" i="14"/>
  <c r="H62" i="14"/>
  <c r="H64" i="11"/>
  <c r="H63" i="11"/>
  <c r="H62" i="11"/>
  <c r="G64" i="16"/>
  <c r="G62" i="16"/>
  <c r="G60" i="16"/>
  <c r="G59" i="16"/>
  <c r="G61" i="17"/>
  <c r="G60" i="17"/>
  <c r="G59" i="17"/>
  <c r="G63" i="16"/>
  <c r="G61" i="16"/>
  <c r="G61" i="14"/>
  <c r="G60" i="14"/>
  <c r="G59" i="14"/>
  <c r="G64" i="13"/>
  <c r="G63" i="13"/>
  <c r="G62" i="13"/>
  <c r="G61" i="13"/>
  <c r="G60" i="13"/>
  <c r="G59" i="13"/>
  <c r="G61" i="11"/>
  <c r="G60" i="11"/>
  <c r="G59" i="11"/>
  <c r="G64" i="10"/>
  <c r="G63" i="10"/>
  <c r="G62" i="10"/>
  <c r="G61" i="10"/>
  <c r="G60" i="10"/>
  <c r="G59" i="10"/>
  <c r="I58" i="17"/>
  <c r="I57" i="17"/>
  <c r="I56" i="17"/>
  <c r="I58" i="14"/>
  <c r="I57" i="14"/>
  <c r="I56" i="14"/>
  <c r="I58" i="11"/>
  <c r="I57" i="11"/>
  <c r="I56" i="11"/>
  <c r="G56" i="16"/>
  <c r="G55" i="16"/>
  <c r="G53" i="16"/>
  <c r="G55" i="17"/>
  <c r="G54" i="17"/>
  <c r="G53" i="17"/>
  <c r="G58" i="16"/>
  <c r="G57" i="16"/>
  <c r="G54" i="16"/>
  <c r="G64" i="15"/>
  <c r="G63" i="15"/>
  <c r="G62" i="15"/>
  <c r="G61" i="15"/>
  <c r="G60" i="15"/>
  <c r="G59" i="15"/>
  <c r="G58" i="15"/>
  <c r="G57" i="15"/>
  <c r="G56" i="15"/>
  <c r="G55" i="15"/>
  <c r="G54" i="15"/>
  <c r="G53" i="15"/>
  <c r="G55" i="14"/>
  <c r="G54" i="14"/>
  <c r="G53" i="14"/>
  <c r="G58" i="13"/>
  <c r="G57" i="13"/>
  <c r="G56" i="13"/>
  <c r="G55" i="13"/>
  <c r="G54" i="13"/>
  <c r="G53" i="13"/>
  <c r="G64" i="12"/>
  <c r="G63" i="12"/>
  <c r="G62" i="12"/>
  <c r="G61" i="12"/>
  <c r="G60" i="12"/>
  <c r="G59" i="12"/>
  <c r="G58" i="12"/>
  <c r="G57" i="12"/>
  <c r="G56" i="12"/>
  <c r="G55" i="12"/>
  <c r="G54" i="12"/>
  <c r="G53" i="12"/>
  <c r="G55" i="11"/>
  <c r="G54" i="11"/>
  <c r="G53" i="11"/>
  <c r="G58" i="10"/>
  <c r="G57" i="10"/>
  <c r="G56" i="10"/>
  <c r="G55" i="10"/>
  <c r="G54" i="10"/>
  <c r="G53" i="10"/>
  <c r="G64" i="9"/>
  <c r="G63" i="9"/>
  <c r="G62" i="9"/>
  <c r="G61" i="9"/>
  <c r="G60" i="9"/>
  <c r="G59" i="9"/>
  <c r="G58" i="9"/>
  <c r="G57" i="9"/>
  <c r="G56" i="9"/>
  <c r="G55" i="9"/>
  <c r="G54" i="9"/>
  <c r="G53" i="9"/>
  <c r="I52" i="17"/>
  <c r="I51" i="17"/>
  <c r="I50" i="17"/>
  <c r="I52" i="14"/>
  <c r="I51" i="14"/>
  <c r="I50" i="14"/>
  <c r="I52" i="11"/>
  <c r="I51" i="11"/>
  <c r="I50" i="11"/>
  <c r="J10" i="17"/>
  <c r="J9" i="17"/>
  <c r="J8" i="17"/>
  <c r="J10" i="14"/>
  <c r="J9" i="14"/>
  <c r="J8" i="14"/>
  <c r="J10" i="11"/>
  <c r="J9" i="11"/>
  <c r="J8" i="11"/>
  <c r="I5" i="12"/>
  <c r="I7" i="17"/>
  <c r="I6" i="17"/>
  <c r="I5" i="17"/>
  <c r="I16" i="12"/>
  <c r="I10" i="12"/>
  <c r="I9" i="12"/>
  <c r="I10" i="16"/>
  <c r="I9" i="16"/>
  <c r="I8" i="16"/>
  <c r="I7" i="16"/>
  <c r="I6" i="16"/>
  <c r="I5" i="16"/>
  <c r="I16" i="15"/>
  <c r="I15" i="15"/>
  <c r="I14" i="15"/>
  <c r="I13" i="15"/>
  <c r="I12" i="15"/>
  <c r="I11" i="15"/>
  <c r="I10" i="15"/>
  <c r="I9" i="15"/>
  <c r="I8" i="15"/>
  <c r="I7" i="15"/>
  <c r="I6" i="15"/>
  <c r="I5" i="15"/>
  <c r="I13" i="12"/>
  <c r="I7" i="14"/>
  <c r="I6" i="14"/>
  <c r="I5" i="14"/>
  <c r="I14" i="12"/>
  <c r="I12" i="12"/>
  <c r="I10" i="13"/>
  <c r="I9" i="13"/>
  <c r="I8" i="13"/>
  <c r="I7" i="13"/>
  <c r="I6" i="13"/>
  <c r="I5" i="13"/>
  <c r="I11" i="12"/>
  <c r="I8" i="12"/>
  <c r="I7" i="12"/>
  <c r="I7" i="11"/>
  <c r="I6" i="11"/>
  <c r="I5" i="11"/>
  <c r="I6" i="12"/>
  <c r="I10" i="10"/>
  <c r="I9" i="10"/>
  <c r="I8" i="10"/>
  <c r="I7" i="10"/>
  <c r="I6" i="10"/>
  <c r="I5" i="10"/>
  <c r="I16" i="9"/>
  <c r="I15" i="9"/>
  <c r="I14" i="9"/>
  <c r="I13" i="9"/>
  <c r="I12" i="9"/>
  <c r="I11" i="9"/>
  <c r="I10" i="9"/>
  <c r="I9" i="9"/>
  <c r="I8" i="9"/>
  <c r="I7" i="9"/>
  <c r="I6" i="9"/>
  <c r="I5" i="9"/>
  <c r="I15" i="12"/>
  <c r="J73" i="17"/>
  <c r="J72" i="17"/>
  <c r="J71" i="17"/>
  <c r="J76" i="16"/>
  <c r="J75" i="16"/>
  <c r="J74" i="16"/>
  <c r="J73" i="16"/>
  <c r="J72" i="16"/>
  <c r="J71" i="16"/>
  <c r="J73" i="14"/>
  <c r="J72" i="14"/>
  <c r="J71" i="14"/>
  <c r="J76" i="13"/>
  <c r="J75" i="13"/>
  <c r="J74" i="13"/>
  <c r="J73" i="13"/>
  <c r="J72" i="13"/>
  <c r="J71" i="13"/>
  <c r="J73" i="11"/>
  <c r="J72" i="11"/>
  <c r="J71" i="11"/>
  <c r="J76" i="10"/>
  <c r="J75" i="10"/>
  <c r="J74" i="10"/>
  <c r="J73" i="10"/>
  <c r="J72" i="10"/>
  <c r="J71" i="10"/>
  <c r="I73" i="17"/>
  <c r="I72" i="17"/>
  <c r="I71" i="17"/>
  <c r="I76" i="16"/>
  <c r="I75" i="16"/>
  <c r="I74" i="16"/>
  <c r="I73" i="16"/>
  <c r="I72" i="16"/>
  <c r="I71" i="16"/>
  <c r="I73" i="14"/>
  <c r="I72" i="14"/>
  <c r="I71" i="14"/>
  <c r="I76" i="13"/>
  <c r="I75" i="13"/>
  <c r="I74" i="13"/>
  <c r="I73" i="13"/>
  <c r="I72" i="13"/>
  <c r="I71" i="13"/>
  <c r="I73" i="11"/>
  <c r="I72" i="11"/>
  <c r="I71" i="11"/>
  <c r="I76" i="10"/>
  <c r="I75" i="10"/>
  <c r="I74" i="10"/>
  <c r="I73" i="10"/>
  <c r="I72" i="10"/>
  <c r="I71" i="10"/>
  <c r="H73" i="17"/>
  <c r="H72" i="17"/>
  <c r="H71" i="17"/>
  <c r="H76" i="16"/>
  <c r="H75" i="16"/>
  <c r="H74" i="16"/>
  <c r="H73" i="16"/>
  <c r="H72" i="16"/>
  <c r="H71" i="16"/>
  <c r="H73" i="14"/>
  <c r="H72" i="14"/>
  <c r="H71" i="14"/>
  <c r="H76" i="13"/>
  <c r="H75" i="13"/>
  <c r="H74" i="13"/>
  <c r="H73" i="13"/>
  <c r="H72" i="13"/>
  <c r="H71" i="13"/>
  <c r="H73" i="11"/>
  <c r="H72" i="11"/>
  <c r="H71" i="11"/>
  <c r="H76" i="10"/>
  <c r="H75" i="10"/>
  <c r="H74" i="10"/>
  <c r="H73" i="10"/>
  <c r="H72" i="10"/>
  <c r="H71" i="10"/>
  <c r="G73" i="17"/>
  <c r="G72" i="17"/>
  <c r="G71" i="17"/>
  <c r="G76" i="16"/>
  <c r="G75" i="16"/>
  <c r="G74" i="16"/>
  <c r="G73" i="16"/>
  <c r="G72" i="16"/>
  <c r="G71" i="16"/>
  <c r="G73" i="14"/>
  <c r="G72" i="14"/>
  <c r="G71" i="14"/>
  <c r="G76" i="13"/>
  <c r="G75" i="13"/>
  <c r="G74" i="13"/>
  <c r="G73" i="13"/>
  <c r="G72" i="13"/>
  <c r="G71" i="13"/>
  <c r="G73" i="11"/>
  <c r="G72" i="11"/>
  <c r="G71" i="11"/>
  <c r="G76" i="10"/>
  <c r="G75" i="10"/>
  <c r="G74" i="10"/>
  <c r="G73" i="10"/>
  <c r="G72" i="10"/>
  <c r="G71" i="10"/>
  <c r="F73" i="17"/>
  <c r="F72" i="17"/>
  <c r="F71" i="17"/>
  <c r="F76" i="16"/>
  <c r="F75" i="16"/>
  <c r="F74" i="16"/>
  <c r="F73" i="16"/>
  <c r="F72" i="16"/>
  <c r="F71" i="16"/>
  <c r="F73" i="14"/>
  <c r="F72" i="14"/>
  <c r="F71" i="14"/>
  <c r="F76" i="13"/>
  <c r="F75" i="13"/>
  <c r="F74" i="13"/>
  <c r="F73" i="13"/>
  <c r="F72" i="13"/>
  <c r="F71" i="13"/>
  <c r="F73" i="11"/>
  <c r="F72" i="11"/>
  <c r="F71" i="11"/>
  <c r="F76" i="10"/>
  <c r="F75" i="10"/>
  <c r="F74" i="10"/>
  <c r="F73" i="10"/>
  <c r="F72" i="10"/>
  <c r="F71" i="10"/>
  <c r="E73" i="17"/>
  <c r="E72" i="17"/>
  <c r="E71" i="17"/>
  <c r="E76" i="16"/>
  <c r="E75" i="16"/>
  <c r="E74" i="16"/>
  <c r="E73" i="16"/>
  <c r="E72" i="16"/>
  <c r="E71" i="16"/>
  <c r="E73" i="14"/>
  <c r="E72" i="14"/>
  <c r="E71" i="14"/>
  <c r="E76" i="13"/>
  <c r="E75" i="13"/>
  <c r="E74" i="13"/>
  <c r="E73" i="13"/>
  <c r="E72" i="13"/>
  <c r="E71" i="13"/>
  <c r="E73" i="11"/>
  <c r="E72" i="11"/>
  <c r="E71" i="11"/>
  <c r="E76" i="10"/>
  <c r="E75" i="10"/>
  <c r="E74" i="10"/>
  <c r="E73" i="10"/>
  <c r="E72" i="10"/>
  <c r="E71" i="10"/>
  <c r="D73" i="17"/>
  <c r="D72" i="17"/>
  <c r="D71" i="17"/>
  <c r="D76" i="16"/>
  <c r="D75" i="16"/>
  <c r="D74" i="16"/>
  <c r="D73" i="16"/>
  <c r="D72" i="16"/>
  <c r="D71" i="16"/>
  <c r="D73" i="14"/>
  <c r="D72" i="14"/>
  <c r="D71" i="14"/>
  <c r="D76" i="13"/>
  <c r="D75" i="13"/>
  <c r="D74" i="13"/>
  <c r="D73" i="13"/>
  <c r="D72" i="13"/>
  <c r="D71" i="13"/>
  <c r="D73" i="11"/>
  <c r="D72" i="11"/>
  <c r="D71" i="11"/>
  <c r="D76" i="10"/>
  <c r="D75" i="10"/>
  <c r="D74" i="10"/>
  <c r="D73" i="10"/>
  <c r="D72" i="10"/>
  <c r="D71" i="10"/>
  <c r="J49" i="17"/>
  <c r="J48" i="17"/>
  <c r="J47" i="17"/>
  <c r="J52" i="16"/>
  <c r="J51" i="16"/>
  <c r="J50" i="16"/>
  <c r="J49" i="16"/>
  <c r="J48" i="16"/>
  <c r="J47" i="16"/>
  <c r="J49" i="14"/>
  <c r="J48" i="14"/>
  <c r="J47" i="14"/>
  <c r="J52" i="13"/>
  <c r="J51" i="13"/>
  <c r="J50" i="13"/>
  <c r="J49" i="13"/>
  <c r="J48" i="13"/>
  <c r="J47" i="13"/>
  <c r="J49" i="11"/>
  <c r="J48" i="11"/>
  <c r="J47" i="11"/>
  <c r="J52" i="10"/>
  <c r="J51" i="10"/>
  <c r="J50" i="10"/>
  <c r="J49" i="10"/>
  <c r="J48" i="10"/>
  <c r="J47" i="10"/>
  <c r="I52" i="16"/>
  <c r="I51" i="16"/>
  <c r="I50" i="16"/>
  <c r="I49" i="16"/>
  <c r="I49" i="17"/>
  <c r="I48" i="17"/>
  <c r="I47" i="17"/>
  <c r="I48" i="16"/>
  <c r="I47" i="16"/>
  <c r="I49" i="14"/>
  <c r="I48" i="14"/>
  <c r="I47" i="14"/>
  <c r="I52" i="13"/>
  <c r="I51" i="13"/>
  <c r="I50" i="13"/>
  <c r="I49" i="13"/>
  <c r="I48" i="13"/>
  <c r="I47" i="13"/>
  <c r="I49" i="11"/>
  <c r="I48" i="11"/>
  <c r="I47" i="11"/>
  <c r="I52" i="10"/>
  <c r="I51" i="10"/>
  <c r="I50" i="10"/>
  <c r="I49" i="10"/>
  <c r="I48" i="10"/>
  <c r="I47" i="10"/>
  <c r="H49" i="17"/>
  <c r="H48" i="17"/>
  <c r="H47" i="17"/>
  <c r="H52" i="16"/>
  <c r="H51" i="16"/>
  <c r="H50" i="16"/>
  <c r="H49" i="16"/>
  <c r="H48" i="16"/>
  <c r="H47" i="16"/>
  <c r="H49" i="14"/>
  <c r="H48" i="14"/>
  <c r="H47" i="14"/>
  <c r="H52" i="13"/>
  <c r="H51" i="13"/>
  <c r="H50" i="13"/>
  <c r="H49" i="13"/>
  <c r="H48" i="13"/>
  <c r="H47" i="13"/>
  <c r="H49" i="11"/>
  <c r="H48" i="11"/>
  <c r="H47" i="11"/>
  <c r="H52" i="10"/>
  <c r="H51" i="10"/>
  <c r="H50" i="10"/>
  <c r="H49" i="10"/>
  <c r="H48" i="10"/>
  <c r="H47" i="10"/>
  <c r="G52" i="16"/>
  <c r="G51" i="16"/>
  <c r="G50" i="16"/>
  <c r="G49" i="17"/>
  <c r="G48" i="17"/>
  <c r="G47" i="17"/>
  <c r="G49" i="16"/>
  <c r="G48" i="16"/>
  <c r="G47" i="16"/>
  <c r="G49" i="14"/>
  <c r="G48" i="14"/>
  <c r="G47" i="14"/>
  <c r="G52" i="13"/>
  <c r="G51" i="13"/>
  <c r="G50" i="13"/>
  <c r="G49" i="13"/>
  <c r="G48" i="13"/>
  <c r="G47" i="13"/>
  <c r="G49" i="11"/>
  <c r="G48" i="11"/>
  <c r="G47" i="11"/>
  <c r="G52" i="10"/>
  <c r="G51" i="10"/>
  <c r="G50" i="10"/>
  <c r="G49" i="10"/>
  <c r="G48" i="10"/>
  <c r="G47" i="10"/>
  <c r="F49" i="17"/>
  <c r="F48" i="17"/>
  <c r="F47" i="17"/>
  <c r="F52" i="16"/>
  <c r="F51" i="16"/>
  <c r="F50" i="16"/>
  <c r="F49" i="16"/>
  <c r="F48" i="16"/>
  <c r="F47" i="16"/>
  <c r="F49" i="14"/>
  <c r="F48" i="14"/>
  <c r="F47" i="14"/>
  <c r="F52" i="13"/>
  <c r="F51" i="13"/>
  <c r="F50" i="13"/>
  <c r="F49" i="13"/>
  <c r="F48" i="13"/>
  <c r="F47" i="13"/>
  <c r="F49" i="11"/>
  <c r="F48" i="11"/>
  <c r="F47" i="11"/>
  <c r="F52" i="10"/>
  <c r="F51" i="10"/>
  <c r="F50" i="10"/>
  <c r="F49" i="10"/>
  <c r="F48" i="10"/>
  <c r="F47" i="10"/>
  <c r="E52" i="16"/>
  <c r="E51" i="16"/>
  <c r="E50" i="16"/>
  <c r="E49" i="17"/>
  <c r="E48" i="17"/>
  <c r="E47" i="17"/>
  <c r="E49" i="16"/>
  <c r="E48" i="16"/>
  <c r="E47" i="16"/>
  <c r="E49" i="14"/>
  <c r="E48" i="14"/>
  <c r="E47" i="14"/>
  <c r="E52" i="13"/>
  <c r="E51" i="13"/>
  <c r="E50" i="13"/>
  <c r="E49" i="13"/>
  <c r="E48" i="13"/>
  <c r="E47" i="13"/>
  <c r="E49" i="11"/>
  <c r="E48" i="11"/>
  <c r="E47" i="11"/>
  <c r="E52" i="10"/>
  <c r="E51" i="10"/>
  <c r="E50" i="10"/>
  <c r="E49" i="10"/>
  <c r="E48" i="10"/>
  <c r="E47" i="10"/>
  <c r="D49" i="17"/>
  <c r="D48" i="17"/>
  <c r="D47" i="17"/>
  <c r="D52" i="16"/>
  <c r="D51" i="16"/>
  <c r="D50" i="16"/>
  <c r="D49" i="16"/>
  <c r="D48" i="16"/>
  <c r="D47" i="16"/>
  <c r="D49" i="14"/>
  <c r="D48" i="14"/>
  <c r="D47" i="14"/>
  <c r="D52" i="13"/>
  <c r="D51" i="13"/>
  <c r="D50" i="13"/>
  <c r="D49" i="13"/>
  <c r="D48" i="13"/>
  <c r="D47" i="13"/>
  <c r="D49" i="11"/>
  <c r="D48" i="11"/>
  <c r="D47" i="11"/>
  <c r="D52" i="10"/>
  <c r="D51" i="10"/>
  <c r="D50" i="10"/>
  <c r="D49" i="10"/>
  <c r="D48" i="10"/>
  <c r="D47" i="10"/>
  <c r="J46" i="17"/>
  <c r="J45" i="17"/>
  <c r="J44" i="17"/>
  <c r="J46" i="14"/>
  <c r="J45" i="14"/>
  <c r="J44" i="14"/>
  <c r="J46" i="11"/>
  <c r="J45" i="11"/>
  <c r="J44" i="11"/>
  <c r="I46" i="17"/>
  <c r="I45" i="17"/>
  <c r="I44" i="17"/>
  <c r="I46" i="14"/>
  <c r="I45" i="14"/>
  <c r="I44" i="14"/>
  <c r="I46" i="11"/>
  <c r="I45" i="11"/>
  <c r="I44" i="11"/>
  <c r="H46" i="17"/>
  <c r="H45" i="17"/>
  <c r="H44" i="17"/>
  <c r="H46" i="14"/>
  <c r="H45" i="14"/>
  <c r="H44" i="14"/>
  <c r="H46" i="11"/>
  <c r="H45" i="11"/>
  <c r="H44" i="11"/>
  <c r="G46" i="17"/>
  <c r="G45" i="17"/>
  <c r="G44" i="17"/>
  <c r="G46" i="14"/>
  <c r="G45" i="14"/>
  <c r="G44" i="14"/>
  <c r="G46" i="11"/>
  <c r="G45" i="11"/>
  <c r="G44" i="11"/>
  <c r="F46" i="17"/>
  <c r="F45" i="17"/>
  <c r="F44" i="17"/>
  <c r="F46" i="14"/>
  <c r="F45" i="14"/>
  <c r="F44" i="14"/>
  <c r="F46" i="11"/>
  <c r="F45" i="11"/>
  <c r="F44" i="11"/>
  <c r="E46" i="17"/>
  <c r="E45" i="17"/>
  <c r="E44" i="17"/>
  <c r="E46" i="14"/>
  <c r="E45" i="14"/>
  <c r="E44" i="14"/>
  <c r="E46" i="11"/>
  <c r="E45" i="11"/>
  <c r="E44" i="11"/>
  <c r="D46" i="17"/>
  <c r="D45" i="17"/>
  <c r="D44" i="17"/>
  <c r="D46" i="14"/>
  <c r="D45" i="14"/>
  <c r="D44" i="14"/>
  <c r="D46" i="11"/>
  <c r="D45" i="11"/>
  <c r="D44" i="11"/>
  <c r="J43" i="17"/>
  <c r="J42" i="17"/>
  <c r="J41" i="17"/>
  <c r="J46" i="16"/>
  <c r="J45" i="16"/>
  <c r="J44" i="16"/>
  <c r="J43" i="16"/>
  <c r="J42" i="16"/>
  <c r="J41" i="16"/>
  <c r="J52" i="15"/>
  <c r="J51" i="15"/>
  <c r="J50" i="15"/>
  <c r="J49" i="15"/>
  <c r="J48" i="15"/>
  <c r="J47" i="15"/>
  <c r="J46" i="15"/>
  <c r="J45" i="15"/>
  <c r="J44" i="15"/>
  <c r="J43" i="15"/>
  <c r="J42" i="15"/>
  <c r="J41" i="15"/>
  <c r="J43" i="14"/>
  <c r="J42" i="14"/>
  <c r="J41" i="14"/>
  <c r="J46" i="13"/>
  <c r="J45" i="13"/>
  <c r="J44" i="13"/>
  <c r="J43" i="13"/>
  <c r="J42" i="13"/>
  <c r="J41" i="13"/>
  <c r="J52" i="12"/>
  <c r="J51" i="12"/>
  <c r="J50" i="12"/>
  <c r="J49" i="12"/>
  <c r="J48" i="12"/>
  <c r="J47" i="12"/>
  <c r="J46" i="12"/>
  <c r="J45" i="12"/>
  <c r="J44" i="12"/>
  <c r="J43" i="12"/>
  <c r="J42" i="12"/>
  <c r="J41" i="12"/>
  <c r="J43" i="11"/>
  <c r="J42" i="11"/>
  <c r="J41" i="11"/>
  <c r="J46" i="10"/>
  <c r="J45" i="10"/>
  <c r="J44" i="10"/>
  <c r="J43" i="10"/>
  <c r="J42" i="10"/>
  <c r="J41" i="10"/>
  <c r="J52" i="9"/>
  <c r="J51" i="9"/>
  <c r="J50" i="9"/>
  <c r="J49" i="9"/>
  <c r="J48" i="9"/>
  <c r="J47" i="9"/>
  <c r="J46" i="9"/>
  <c r="J45" i="9"/>
  <c r="J44" i="9"/>
  <c r="J43" i="9"/>
  <c r="J42" i="9"/>
  <c r="J41" i="9"/>
  <c r="I43" i="17"/>
  <c r="I42" i="17"/>
  <c r="I41" i="17"/>
  <c r="I46" i="16"/>
  <c r="I45" i="16"/>
  <c r="I44" i="16"/>
  <c r="I43" i="16"/>
  <c r="I42" i="16"/>
  <c r="I41" i="16"/>
  <c r="I52" i="15"/>
  <c r="I51" i="15"/>
  <c r="I50" i="15"/>
  <c r="I49" i="15"/>
  <c r="I48" i="15"/>
  <c r="I47" i="15"/>
  <c r="I46" i="15"/>
  <c r="I45" i="15"/>
  <c r="I44" i="15"/>
  <c r="I43" i="15"/>
  <c r="I42" i="15"/>
  <c r="I41" i="15"/>
  <c r="I43" i="14"/>
  <c r="I42" i="14"/>
  <c r="I41" i="14"/>
  <c r="I46" i="13"/>
  <c r="I45" i="13"/>
  <c r="I44" i="13"/>
  <c r="I43" i="13"/>
  <c r="I42" i="13"/>
  <c r="I41" i="13"/>
  <c r="I52" i="12"/>
  <c r="I51" i="12"/>
  <c r="I50" i="12"/>
  <c r="I49" i="12"/>
  <c r="I48" i="12"/>
  <c r="I47" i="12"/>
  <c r="I46" i="12"/>
  <c r="I45" i="12"/>
  <c r="I44" i="12"/>
  <c r="I43" i="12"/>
  <c r="I42" i="12"/>
  <c r="I41" i="12"/>
  <c r="I43" i="11"/>
  <c r="I42" i="11"/>
  <c r="I41" i="11"/>
  <c r="I46" i="10"/>
  <c r="I45" i="10"/>
  <c r="I44" i="10"/>
  <c r="I43" i="10"/>
  <c r="I42" i="10"/>
  <c r="I41" i="10"/>
  <c r="I52" i="9"/>
  <c r="I51" i="9"/>
  <c r="I50" i="9"/>
  <c r="I49" i="9"/>
  <c r="I48" i="9"/>
  <c r="I47" i="9"/>
  <c r="I46" i="9"/>
  <c r="I45" i="9"/>
  <c r="I44" i="9"/>
  <c r="I43" i="9"/>
  <c r="I42" i="9"/>
  <c r="I41" i="9"/>
  <c r="H43" i="17"/>
  <c r="H42" i="17"/>
  <c r="H41" i="17"/>
  <c r="H46" i="16"/>
  <c r="H45" i="16"/>
  <c r="H44" i="16"/>
  <c r="H43" i="16"/>
  <c r="H42" i="16"/>
  <c r="H41" i="16"/>
  <c r="H52" i="15"/>
  <c r="H51" i="15"/>
  <c r="H50" i="15"/>
  <c r="H49" i="15"/>
  <c r="H48" i="15"/>
  <c r="H47" i="15"/>
  <c r="H46" i="15"/>
  <c r="H45" i="15"/>
  <c r="H44" i="15"/>
  <c r="H43" i="15"/>
  <c r="H42" i="15"/>
  <c r="H41" i="15"/>
  <c r="H43" i="14"/>
  <c r="H42" i="14"/>
  <c r="H41" i="14"/>
  <c r="H46" i="13"/>
  <c r="H45" i="13"/>
  <c r="H44" i="13"/>
  <c r="H43" i="13"/>
  <c r="H42" i="13"/>
  <c r="H41" i="13"/>
  <c r="H52" i="12"/>
  <c r="H51" i="12"/>
  <c r="H50" i="12"/>
  <c r="H49" i="12"/>
  <c r="H48" i="12"/>
  <c r="H47" i="12"/>
  <c r="H46" i="12"/>
  <c r="H45" i="12"/>
  <c r="H44" i="12"/>
  <c r="H43" i="12"/>
  <c r="H42" i="12"/>
  <c r="H41" i="12"/>
  <c r="H43" i="11"/>
  <c r="H42" i="11"/>
  <c r="H41" i="11"/>
  <c r="H46" i="10"/>
  <c r="H45" i="10"/>
  <c r="H44" i="10"/>
  <c r="H43" i="10"/>
  <c r="H42" i="10"/>
  <c r="H41" i="10"/>
  <c r="H52" i="9"/>
  <c r="H51" i="9"/>
  <c r="H50" i="9"/>
  <c r="H49" i="9"/>
  <c r="H48" i="9"/>
  <c r="H47" i="9"/>
  <c r="H46" i="9"/>
  <c r="H45" i="9"/>
  <c r="H44" i="9"/>
  <c r="H43" i="9"/>
  <c r="H42" i="9"/>
  <c r="H41" i="9"/>
  <c r="G43" i="17"/>
  <c r="G42" i="17"/>
  <c r="G41" i="17"/>
  <c r="G46" i="16"/>
  <c r="G45" i="16"/>
  <c r="G44" i="16"/>
  <c r="G43" i="16"/>
  <c r="G42" i="16"/>
  <c r="G41" i="16"/>
  <c r="G52" i="15"/>
  <c r="G51" i="15"/>
  <c r="G50" i="15"/>
  <c r="G49" i="15"/>
  <c r="G48" i="15"/>
  <c r="G47" i="15"/>
  <c r="G46" i="15"/>
  <c r="G45" i="15"/>
  <c r="G44" i="15"/>
  <c r="G43" i="15"/>
  <c r="G42" i="15"/>
  <c r="G41" i="15"/>
  <c r="G43" i="14"/>
  <c r="G42" i="14"/>
  <c r="G41" i="14"/>
  <c r="G46" i="13"/>
  <c r="G45" i="13"/>
  <c r="G44" i="13"/>
  <c r="G43" i="13"/>
  <c r="G42" i="13"/>
  <c r="G41" i="13"/>
  <c r="G52" i="12"/>
  <c r="G51" i="12"/>
  <c r="G50" i="12"/>
  <c r="G49" i="12"/>
  <c r="G48" i="12"/>
  <c r="G47" i="12"/>
  <c r="G46" i="12"/>
  <c r="G45" i="12"/>
  <c r="G44" i="12"/>
  <c r="G43" i="12"/>
  <c r="G42" i="12"/>
  <c r="G41" i="12"/>
  <c r="G43" i="11"/>
  <c r="G42" i="11"/>
  <c r="G41" i="11"/>
  <c r="G46" i="10"/>
  <c r="G45" i="10"/>
  <c r="G44" i="10"/>
  <c r="G43" i="10"/>
  <c r="G42" i="10"/>
  <c r="G41" i="10"/>
  <c r="G52" i="9"/>
  <c r="G51" i="9"/>
  <c r="G50" i="9"/>
  <c r="G49" i="9"/>
  <c r="G48" i="9"/>
  <c r="G47" i="9"/>
  <c r="G46" i="9"/>
  <c r="G45" i="9"/>
  <c r="G44" i="9"/>
  <c r="G43" i="9"/>
  <c r="G42" i="9"/>
  <c r="G41" i="9"/>
  <c r="F43" i="17"/>
  <c r="F42" i="17"/>
  <c r="F41" i="17"/>
  <c r="F46" i="16"/>
  <c r="F45" i="16"/>
  <c r="F44" i="16"/>
  <c r="F43" i="16"/>
  <c r="F42" i="16"/>
  <c r="F41" i="16"/>
  <c r="F52" i="15"/>
  <c r="F51" i="15"/>
  <c r="F50" i="15"/>
  <c r="F49" i="15"/>
  <c r="F48" i="15"/>
  <c r="F47" i="15"/>
  <c r="F46" i="15"/>
  <c r="F45" i="15"/>
  <c r="F44" i="15"/>
  <c r="F43" i="15"/>
  <c r="F42" i="15"/>
  <c r="F41" i="15"/>
  <c r="F43" i="14"/>
  <c r="F42" i="14"/>
  <c r="F41" i="14"/>
  <c r="F46" i="13"/>
  <c r="F45" i="13"/>
  <c r="F44" i="13"/>
  <c r="F43" i="13"/>
  <c r="F42" i="13"/>
  <c r="F41" i="13"/>
  <c r="F52" i="12"/>
  <c r="F51" i="12"/>
  <c r="F50" i="12"/>
  <c r="F49" i="12"/>
  <c r="F48" i="12"/>
  <c r="F47" i="12"/>
  <c r="F46" i="12"/>
  <c r="F45" i="12"/>
  <c r="F44" i="12"/>
  <c r="F43" i="12"/>
  <c r="F42" i="12"/>
  <c r="F41" i="12"/>
  <c r="F43" i="11"/>
  <c r="F42" i="11"/>
  <c r="F41" i="11"/>
  <c r="F46" i="10"/>
  <c r="F45" i="10"/>
  <c r="F44" i="10"/>
  <c r="F43" i="10"/>
  <c r="F42" i="10"/>
  <c r="F41" i="10"/>
  <c r="F52" i="9"/>
  <c r="F51" i="9"/>
  <c r="F50" i="9"/>
  <c r="F49" i="9"/>
  <c r="F48" i="9"/>
  <c r="F47" i="9"/>
  <c r="F46" i="9"/>
  <c r="F45" i="9"/>
  <c r="F44" i="9"/>
  <c r="F43" i="9"/>
  <c r="F42" i="9"/>
  <c r="F41" i="9"/>
  <c r="E43" i="17"/>
  <c r="E42" i="17"/>
  <c r="E41" i="17"/>
  <c r="E46" i="16"/>
  <c r="E45" i="16"/>
  <c r="E44" i="16"/>
  <c r="E43" i="16"/>
  <c r="E42" i="16"/>
  <c r="E41" i="16"/>
  <c r="E52" i="15"/>
  <c r="E51" i="15"/>
  <c r="E50" i="15"/>
  <c r="E49" i="15"/>
  <c r="E48" i="15"/>
  <c r="E47" i="15"/>
  <c r="E46" i="15"/>
  <c r="E45" i="15"/>
  <c r="E44" i="15"/>
  <c r="E43" i="15"/>
  <c r="E42" i="15"/>
  <c r="E41" i="15"/>
  <c r="E43" i="14"/>
  <c r="E42" i="14"/>
  <c r="E41" i="14"/>
  <c r="E46" i="13"/>
  <c r="E45" i="13"/>
  <c r="E44" i="13"/>
  <c r="E43" i="13"/>
  <c r="E42" i="13"/>
  <c r="E41" i="13"/>
  <c r="E52" i="12"/>
  <c r="E51" i="12"/>
  <c r="E50" i="12"/>
  <c r="E49" i="12"/>
  <c r="E48" i="12"/>
  <c r="E47" i="12"/>
  <c r="E46" i="12"/>
  <c r="E45" i="12"/>
  <c r="E44" i="12"/>
  <c r="E43" i="12"/>
  <c r="E42" i="12"/>
  <c r="E41" i="12"/>
  <c r="E43" i="11"/>
  <c r="E42" i="11"/>
  <c r="E41" i="11"/>
  <c r="E46" i="10"/>
  <c r="E45" i="10"/>
  <c r="E44" i="10"/>
  <c r="E43" i="10"/>
  <c r="E42" i="10"/>
  <c r="E41" i="10"/>
  <c r="E52" i="9"/>
  <c r="E51" i="9"/>
  <c r="E50" i="9"/>
  <c r="E49" i="9"/>
  <c r="E48" i="9"/>
  <c r="E47" i="9"/>
  <c r="E46" i="9"/>
  <c r="E45" i="9"/>
  <c r="E44" i="9"/>
  <c r="E43" i="9"/>
  <c r="E42" i="9"/>
  <c r="E41" i="9"/>
  <c r="D43" i="17"/>
  <c r="D42" i="17"/>
  <c r="D41" i="17"/>
  <c r="D46" i="16"/>
  <c r="D45" i="16"/>
  <c r="D44" i="16"/>
  <c r="D43" i="16"/>
  <c r="D42" i="16"/>
  <c r="D41" i="16"/>
  <c r="D52" i="15"/>
  <c r="D51" i="15"/>
  <c r="D50" i="15"/>
  <c r="D49" i="15"/>
  <c r="D48" i="15"/>
  <c r="D47" i="15"/>
  <c r="D46" i="15"/>
  <c r="D45" i="15"/>
  <c r="D44" i="15"/>
  <c r="D43" i="15"/>
  <c r="D42" i="15"/>
  <c r="D41" i="15"/>
  <c r="D43" i="14"/>
  <c r="D42" i="14"/>
  <c r="D41" i="14"/>
  <c r="D46" i="13"/>
  <c r="D45" i="13"/>
  <c r="D44" i="13"/>
  <c r="D43" i="13"/>
  <c r="D42" i="13"/>
  <c r="D41" i="13"/>
  <c r="D52" i="12"/>
  <c r="D51" i="12"/>
  <c r="D50" i="12"/>
  <c r="D49" i="12"/>
  <c r="D48" i="12"/>
  <c r="D47" i="12"/>
  <c r="D46" i="12"/>
  <c r="D45" i="12"/>
  <c r="D44" i="12"/>
  <c r="D43" i="12"/>
  <c r="D42" i="12"/>
  <c r="D41" i="12"/>
  <c r="D43" i="11"/>
  <c r="D42" i="11"/>
  <c r="D41" i="11"/>
  <c r="D46" i="10"/>
  <c r="D45" i="10"/>
  <c r="D44" i="10"/>
  <c r="D43" i="10"/>
  <c r="D42" i="10"/>
  <c r="D41" i="10"/>
  <c r="D52" i="9"/>
  <c r="D51" i="9"/>
  <c r="D50" i="9"/>
  <c r="D49" i="9"/>
  <c r="D48" i="9"/>
  <c r="D47" i="9"/>
  <c r="D46" i="9"/>
  <c r="D45" i="9"/>
  <c r="D44" i="9"/>
  <c r="D43" i="9"/>
  <c r="D42" i="9"/>
  <c r="D41" i="9"/>
  <c r="J40" i="17"/>
  <c r="J39" i="17"/>
  <c r="J38" i="17"/>
  <c r="J40" i="14"/>
  <c r="J39" i="14"/>
  <c r="J38" i="14"/>
  <c r="J40" i="11"/>
  <c r="J39" i="11"/>
  <c r="J38" i="11"/>
  <c r="I40" i="17"/>
  <c r="I39" i="17"/>
  <c r="I38" i="17"/>
  <c r="I40" i="14"/>
  <c r="I39" i="14"/>
  <c r="I38" i="14"/>
  <c r="I40" i="11"/>
  <c r="I39" i="11"/>
  <c r="I38" i="11"/>
  <c r="H40" i="17"/>
  <c r="H39" i="17"/>
  <c r="H38" i="17"/>
  <c r="H40" i="14"/>
  <c r="H39" i="14"/>
  <c r="H38" i="14"/>
  <c r="H40" i="11"/>
  <c r="H39" i="11"/>
  <c r="H38" i="11"/>
  <c r="G40" i="17"/>
  <c r="G39" i="17"/>
  <c r="G38" i="17"/>
  <c r="G40" i="14"/>
  <c r="G39" i="14"/>
  <c r="G38" i="14"/>
  <c r="G40" i="11"/>
  <c r="G39" i="11"/>
  <c r="G38" i="11"/>
  <c r="F40" i="17"/>
  <c r="F39" i="17"/>
  <c r="F38" i="17"/>
  <c r="F40" i="14"/>
  <c r="F39" i="14"/>
  <c r="F38" i="14"/>
  <c r="F40" i="11"/>
  <c r="F39" i="11"/>
  <c r="F38" i="11"/>
  <c r="E40" i="17"/>
  <c r="E39" i="17"/>
  <c r="E38" i="17"/>
  <c r="E40" i="14"/>
  <c r="E39" i="14"/>
  <c r="E38" i="14"/>
  <c r="E40" i="11"/>
  <c r="E39" i="11"/>
  <c r="E38" i="11"/>
  <c r="D40" i="17"/>
  <c r="D39" i="17"/>
  <c r="D38" i="17"/>
  <c r="D40" i="14"/>
  <c r="D39" i="14"/>
  <c r="D38" i="14"/>
  <c r="D40" i="11"/>
  <c r="D39" i="11"/>
  <c r="D38" i="11"/>
  <c r="J36" i="16"/>
  <c r="J37" i="17"/>
  <c r="J36" i="17"/>
  <c r="J35" i="17"/>
  <c r="J40" i="16"/>
  <c r="J39" i="16"/>
  <c r="J38" i="16"/>
  <c r="J37" i="16"/>
  <c r="J35" i="16"/>
  <c r="J37" i="14"/>
  <c r="J36" i="14"/>
  <c r="J35" i="14"/>
  <c r="J40" i="13"/>
  <c r="J39" i="13"/>
  <c r="J38" i="13"/>
  <c r="J37" i="13"/>
  <c r="J36" i="13"/>
  <c r="J35" i="13"/>
  <c r="J37" i="11"/>
  <c r="J36" i="11"/>
  <c r="J35" i="11"/>
  <c r="J40" i="10"/>
  <c r="J39" i="10"/>
  <c r="J38" i="10"/>
  <c r="J37" i="10"/>
  <c r="J36" i="10"/>
  <c r="J35" i="10"/>
  <c r="I38" i="16"/>
  <c r="I37" i="16"/>
  <c r="I35" i="16"/>
  <c r="I37" i="17"/>
  <c r="I36" i="17"/>
  <c r="I35" i="17"/>
  <c r="I40" i="16"/>
  <c r="I39" i="16"/>
  <c r="I36" i="16"/>
  <c r="I37" i="14"/>
  <c r="I36" i="14"/>
  <c r="I35" i="14"/>
  <c r="I40" i="13"/>
  <c r="I39" i="13"/>
  <c r="I38" i="13"/>
  <c r="I37" i="13"/>
  <c r="I36" i="13"/>
  <c r="I35" i="13"/>
  <c r="I37" i="11"/>
  <c r="I36" i="11"/>
  <c r="I35" i="11"/>
  <c r="I40" i="10"/>
  <c r="I39" i="10"/>
  <c r="I38" i="10"/>
  <c r="I37" i="10"/>
  <c r="I36" i="10"/>
  <c r="I35" i="10"/>
  <c r="H36" i="16"/>
  <c r="H37" i="17"/>
  <c r="H36" i="17"/>
  <c r="H35" i="17"/>
  <c r="H40" i="16"/>
  <c r="H39" i="16"/>
  <c r="H38" i="16"/>
  <c r="H37" i="16"/>
  <c r="H35" i="16"/>
  <c r="H37" i="14"/>
  <c r="H36" i="14"/>
  <c r="H35" i="14"/>
  <c r="H40" i="13"/>
  <c r="H39" i="13"/>
  <c r="H38" i="13"/>
  <c r="H37" i="13"/>
  <c r="H36" i="13"/>
  <c r="H35" i="13"/>
  <c r="H37" i="11"/>
  <c r="H36" i="11"/>
  <c r="H35" i="11"/>
  <c r="H40" i="10"/>
  <c r="H39" i="10"/>
  <c r="H38" i="10"/>
  <c r="H37" i="10"/>
  <c r="H36" i="10"/>
  <c r="H35" i="10"/>
  <c r="G39" i="16"/>
  <c r="G38" i="16"/>
  <c r="G37" i="16"/>
  <c r="G35" i="16"/>
  <c r="G37" i="17"/>
  <c r="G36" i="17"/>
  <c r="G35" i="17"/>
  <c r="G40" i="16"/>
  <c r="G36" i="16"/>
  <c r="G37" i="14"/>
  <c r="G36" i="14"/>
  <c r="G35" i="14"/>
  <c r="G40" i="13"/>
  <c r="G39" i="13"/>
  <c r="G38" i="13"/>
  <c r="G37" i="13"/>
  <c r="G36" i="13"/>
  <c r="G35" i="13"/>
  <c r="G37" i="11"/>
  <c r="G36" i="11"/>
  <c r="G35" i="11"/>
  <c r="G40" i="10"/>
  <c r="G39" i="10"/>
  <c r="G38" i="10"/>
  <c r="G37" i="10"/>
  <c r="G36" i="10"/>
  <c r="G35" i="10"/>
  <c r="F39" i="16"/>
  <c r="F36" i="16"/>
  <c r="F37" i="17"/>
  <c r="F36" i="17"/>
  <c r="F35" i="17"/>
  <c r="F40" i="16"/>
  <c r="F38" i="16"/>
  <c r="F37" i="16"/>
  <c r="F35" i="16"/>
  <c r="F37" i="14"/>
  <c r="F36" i="14"/>
  <c r="F35" i="14"/>
  <c r="F40" i="13"/>
  <c r="F39" i="13"/>
  <c r="F38" i="13"/>
  <c r="F37" i="13"/>
  <c r="F36" i="13"/>
  <c r="F35" i="13"/>
  <c r="F37" i="11"/>
  <c r="F36" i="11"/>
  <c r="F35" i="11"/>
  <c r="F40" i="10"/>
  <c r="F39" i="10"/>
  <c r="F38" i="10"/>
  <c r="F37" i="10"/>
  <c r="F36" i="10"/>
  <c r="F35" i="10"/>
  <c r="E39" i="16"/>
  <c r="E38" i="16"/>
  <c r="E37" i="16"/>
  <c r="E35" i="16"/>
  <c r="E37" i="17"/>
  <c r="E36" i="17"/>
  <c r="E35" i="17"/>
  <c r="E40" i="16"/>
  <c r="E36" i="16"/>
  <c r="E37" i="14"/>
  <c r="E36" i="14"/>
  <c r="E35" i="14"/>
  <c r="E40" i="13"/>
  <c r="E39" i="13"/>
  <c r="E38" i="13"/>
  <c r="E37" i="13"/>
  <c r="E36" i="13"/>
  <c r="E35" i="13"/>
  <c r="E37" i="11"/>
  <c r="E36" i="11"/>
  <c r="E35" i="11"/>
  <c r="E40" i="10"/>
  <c r="E39" i="10"/>
  <c r="E38" i="10"/>
  <c r="E37" i="10"/>
  <c r="E36" i="10"/>
  <c r="E35" i="10"/>
  <c r="D39" i="16"/>
  <c r="D37" i="16"/>
  <c r="D36" i="16"/>
  <c r="D37" i="17"/>
  <c r="D36" i="17"/>
  <c r="D35" i="17"/>
  <c r="D40" i="16"/>
  <c r="D38" i="16"/>
  <c r="D35" i="16"/>
  <c r="D37" i="14"/>
  <c r="D36" i="14"/>
  <c r="D35" i="14"/>
  <c r="D40" i="13"/>
  <c r="D39" i="13"/>
  <c r="D38" i="13"/>
  <c r="D37" i="13"/>
  <c r="D36" i="13"/>
  <c r="D35" i="13"/>
  <c r="D37" i="11"/>
  <c r="D36" i="11"/>
  <c r="D35" i="11"/>
  <c r="D40" i="10"/>
  <c r="D39" i="10"/>
  <c r="D38" i="10"/>
  <c r="D37" i="10"/>
  <c r="D36" i="10"/>
  <c r="D35" i="10"/>
  <c r="J34" i="17"/>
  <c r="J33" i="17"/>
  <c r="J32" i="17"/>
  <c r="J34" i="14"/>
  <c r="J33" i="14"/>
  <c r="J32" i="14"/>
  <c r="J34" i="11"/>
  <c r="J33" i="11"/>
  <c r="J32" i="11"/>
  <c r="I34" i="17"/>
  <c r="I33" i="17"/>
  <c r="I32" i="17"/>
  <c r="I34" i="14"/>
  <c r="I33" i="14"/>
  <c r="I32" i="14"/>
  <c r="I34" i="11"/>
  <c r="I33" i="11"/>
  <c r="I32" i="11"/>
  <c r="H34" i="17"/>
  <c r="H33" i="17"/>
  <c r="H32" i="17"/>
  <c r="H34" i="14"/>
  <c r="H33" i="14"/>
  <c r="H32" i="14"/>
  <c r="H34" i="11"/>
  <c r="H33" i="11"/>
  <c r="H32" i="11"/>
  <c r="G34" i="17"/>
  <c r="G33" i="17"/>
  <c r="G32" i="17"/>
  <c r="G34" i="14"/>
  <c r="G33" i="14"/>
  <c r="G32" i="14"/>
  <c r="G34" i="11"/>
  <c r="G33" i="11"/>
  <c r="G32" i="11"/>
  <c r="F34" i="17"/>
  <c r="F33" i="17"/>
  <c r="F32" i="17"/>
  <c r="F34" i="14"/>
  <c r="F33" i="14"/>
  <c r="F32" i="14"/>
  <c r="F34" i="11"/>
  <c r="F33" i="11"/>
  <c r="F32" i="11"/>
  <c r="E34" i="17"/>
  <c r="E33" i="17"/>
  <c r="E32" i="17"/>
  <c r="E34" i="14"/>
  <c r="E33" i="14"/>
  <c r="E32" i="14"/>
  <c r="E34" i="11"/>
  <c r="E33" i="11"/>
  <c r="E32" i="11"/>
  <c r="D34" i="17"/>
  <c r="D33" i="17"/>
  <c r="D32" i="17"/>
  <c r="D34" i="14"/>
  <c r="D33" i="14"/>
  <c r="D32" i="14"/>
  <c r="D34" i="11"/>
  <c r="D33" i="11"/>
  <c r="D32" i="11"/>
  <c r="J33" i="16"/>
  <c r="J32" i="16"/>
  <c r="J31" i="16"/>
  <c r="J30" i="16"/>
  <c r="J29" i="16"/>
  <c r="J39" i="12"/>
  <c r="J33" i="12"/>
  <c r="J31" i="17"/>
  <c r="J30" i="17"/>
  <c r="J29" i="17"/>
  <c r="J34" i="16"/>
  <c r="J34" i="12"/>
  <c r="J30" i="12"/>
  <c r="J40" i="15"/>
  <c r="J39" i="15"/>
  <c r="J38" i="15"/>
  <c r="J37" i="15"/>
  <c r="J36" i="15"/>
  <c r="J35" i="15"/>
  <c r="J34" i="15"/>
  <c r="J33" i="15"/>
  <c r="J32" i="15"/>
  <c r="J31" i="15"/>
  <c r="J30" i="15"/>
  <c r="J29" i="15"/>
  <c r="J37" i="12"/>
  <c r="J35" i="12"/>
  <c r="J31" i="14"/>
  <c r="J30" i="14"/>
  <c r="J29" i="14"/>
  <c r="J34" i="13"/>
  <c r="J33" i="13"/>
  <c r="J32" i="13"/>
  <c r="J31" i="13"/>
  <c r="J30" i="13"/>
  <c r="J29" i="13"/>
  <c r="J38" i="12"/>
  <c r="J29" i="12"/>
  <c r="J40" i="12"/>
  <c r="J36" i="12"/>
  <c r="J31" i="12"/>
  <c r="J31" i="11"/>
  <c r="J30" i="11"/>
  <c r="J29" i="11"/>
  <c r="J34" i="10"/>
  <c r="J33" i="10"/>
  <c r="J32" i="10"/>
  <c r="J31" i="10"/>
  <c r="J30" i="10"/>
  <c r="J29" i="10"/>
  <c r="J40" i="9"/>
  <c r="J39" i="9"/>
  <c r="J38" i="9"/>
  <c r="J37" i="9"/>
  <c r="J36" i="9"/>
  <c r="J35" i="9"/>
  <c r="J34" i="9"/>
  <c r="J33" i="9"/>
  <c r="J32" i="9"/>
  <c r="J31" i="9"/>
  <c r="J30" i="9"/>
  <c r="J29" i="9"/>
  <c r="J32" i="12"/>
  <c r="I34" i="16"/>
  <c r="I38" i="12"/>
  <c r="I30" i="12"/>
  <c r="I31" i="17"/>
  <c r="I30" i="17"/>
  <c r="I29" i="17"/>
  <c r="I33" i="16"/>
  <c r="I32" i="16"/>
  <c r="I31" i="16"/>
  <c r="I30" i="16"/>
  <c r="I29" i="16"/>
  <c r="I39" i="12"/>
  <c r="I37" i="12"/>
  <c r="I36" i="12"/>
  <c r="I35" i="12"/>
  <c r="I32" i="12"/>
  <c r="I40" i="15"/>
  <c r="I39" i="15"/>
  <c r="I38" i="15"/>
  <c r="I37" i="15"/>
  <c r="I36" i="15"/>
  <c r="I35" i="15"/>
  <c r="I34" i="15"/>
  <c r="I33" i="15"/>
  <c r="I32" i="15"/>
  <c r="I31" i="15"/>
  <c r="I30" i="15"/>
  <c r="I29" i="15"/>
  <c r="I34" i="12"/>
  <c r="I31" i="14"/>
  <c r="I30" i="14"/>
  <c r="I29" i="14"/>
  <c r="I34" i="13"/>
  <c r="I33" i="13"/>
  <c r="I32" i="13"/>
  <c r="I31" i="13"/>
  <c r="I30" i="13"/>
  <c r="I29" i="13"/>
  <c r="I31" i="12"/>
  <c r="I29" i="12"/>
  <c r="I40" i="12"/>
  <c r="I33" i="12"/>
  <c r="I31" i="11"/>
  <c r="I30" i="11"/>
  <c r="I29" i="11"/>
  <c r="I34" i="10"/>
  <c r="I33" i="10"/>
  <c r="I32" i="10"/>
  <c r="I31" i="10"/>
  <c r="I30" i="10"/>
  <c r="I29" i="10"/>
  <c r="I40" i="9"/>
  <c r="I39" i="9"/>
  <c r="I38" i="9"/>
  <c r="I37" i="9"/>
  <c r="I36" i="9"/>
  <c r="I35" i="9"/>
  <c r="I34" i="9"/>
  <c r="I33" i="9"/>
  <c r="I32" i="9"/>
  <c r="I31" i="9"/>
  <c r="I30" i="9"/>
  <c r="I29" i="9"/>
  <c r="H32" i="16"/>
  <c r="H31" i="16"/>
  <c r="H30" i="16"/>
  <c r="H29" i="16"/>
  <c r="H39" i="12"/>
  <c r="H31" i="17"/>
  <c r="H30" i="17"/>
  <c r="H29" i="17"/>
  <c r="H34" i="16"/>
  <c r="H33" i="16"/>
  <c r="H40" i="15"/>
  <c r="H39" i="15"/>
  <c r="H38" i="15"/>
  <c r="H37" i="15"/>
  <c r="H36" i="15"/>
  <c r="H35" i="15"/>
  <c r="H34" i="15"/>
  <c r="H33" i="15"/>
  <c r="H32" i="15"/>
  <c r="H31" i="15"/>
  <c r="H30" i="15"/>
  <c r="H29" i="15"/>
  <c r="H38" i="12"/>
  <c r="H37" i="12"/>
  <c r="H31" i="12"/>
  <c r="H31" i="14"/>
  <c r="H30" i="14"/>
  <c r="H29" i="14"/>
  <c r="H34" i="13"/>
  <c r="H33" i="13"/>
  <c r="H32" i="13"/>
  <c r="H31" i="13"/>
  <c r="H30" i="13"/>
  <c r="H29" i="13"/>
  <c r="H35" i="12"/>
  <c r="H34" i="12"/>
  <c r="H32" i="12"/>
  <c r="H40" i="12"/>
  <c r="H36" i="12"/>
  <c r="H29" i="12"/>
  <c r="H31" i="11"/>
  <c r="H30" i="11"/>
  <c r="H29" i="11"/>
  <c r="H34" i="10"/>
  <c r="H33" i="10"/>
  <c r="H32" i="10"/>
  <c r="H31" i="10"/>
  <c r="H30" i="10"/>
  <c r="H29" i="10"/>
  <c r="H40" i="9"/>
  <c r="H39" i="9"/>
  <c r="H38" i="9"/>
  <c r="H37" i="9"/>
  <c r="H36" i="9"/>
  <c r="H35" i="9"/>
  <c r="H34" i="9"/>
  <c r="H33" i="9"/>
  <c r="H32" i="9"/>
  <c r="H31" i="9"/>
  <c r="H30" i="9"/>
  <c r="H29" i="9"/>
  <c r="H33" i="12"/>
  <c r="H30" i="12"/>
  <c r="G34" i="16"/>
  <c r="G33" i="16"/>
  <c r="G30" i="16"/>
  <c r="G38" i="12"/>
  <c r="G33" i="12"/>
  <c r="G31" i="17"/>
  <c r="G30" i="17"/>
  <c r="G29" i="17"/>
  <c r="G32" i="16"/>
  <c r="G31" i="16"/>
  <c r="G29" i="16"/>
  <c r="G39" i="12"/>
  <c r="G31" i="12"/>
  <c r="G29" i="12"/>
  <c r="G40" i="15"/>
  <c r="G39" i="15"/>
  <c r="G38" i="15"/>
  <c r="G37" i="15"/>
  <c r="G36" i="15"/>
  <c r="G35" i="15"/>
  <c r="G34" i="15"/>
  <c r="G33" i="15"/>
  <c r="G32" i="15"/>
  <c r="G31" i="15"/>
  <c r="G30" i="15"/>
  <c r="G29" i="15"/>
  <c r="G35" i="12"/>
  <c r="G31" i="14"/>
  <c r="G30" i="14"/>
  <c r="G29" i="14"/>
  <c r="G34" i="13"/>
  <c r="G33" i="13"/>
  <c r="G32" i="13"/>
  <c r="G31" i="13"/>
  <c r="G30" i="13"/>
  <c r="G29" i="13"/>
  <c r="G36" i="12"/>
  <c r="G30" i="12"/>
  <c r="G40" i="12"/>
  <c r="G37" i="12"/>
  <c r="G34" i="12"/>
  <c r="G31" i="11"/>
  <c r="G30" i="11"/>
  <c r="G29" i="11"/>
  <c r="G34" i="10"/>
  <c r="G33" i="10"/>
  <c r="G32" i="10"/>
  <c r="G31" i="10"/>
  <c r="G30" i="10"/>
  <c r="G29" i="10"/>
  <c r="G40" i="9"/>
  <c r="G39" i="9"/>
  <c r="G38" i="9"/>
  <c r="G37" i="9"/>
  <c r="G36" i="9"/>
  <c r="G35" i="9"/>
  <c r="G34" i="9"/>
  <c r="G33" i="9"/>
  <c r="G32" i="9"/>
  <c r="G31" i="9"/>
  <c r="G30" i="9"/>
  <c r="G29" i="9"/>
  <c r="G32" i="12"/>
  <c r="E10" i="17"/>
  <c r="E9" i="17"/>
  <c r="E8" i="17"/>
  <c r="E10" i="14"/>
  <c r="E9" i="14"/>
  <c r="E8" i="14"/>
  <c r="E10" i="11"/>
  <c r="E9" i="11"/>
  <c r="E8" i="11"/>
  <c r="G13" i="12"/>
  <c r="G11" i="12"/>
  <c r="G7" i="17"/>
  <c r="G6" i="17"/>
  <c r="G5" i="17"/>
  <c r="G14" i="12"/>
  <c r="G12" i="12"/>
  <c r="G8" i="12"/>
  <c r="G7" i="12"/>
  <c r="G6" i="12"/>
  <c r="G10" i="16"/>
  <c r="G9" i="16"/>
  <c r="G8" i="16"/>
  <c r="G7" i="16"/>
  <c r="G6" i="16"/>
  <c r="G5" i="16"/>
  <c r="G16" i="15"/>
  <c r="G15" i="15"/>
  <c r="G14" i="15"/>
  <c r="G13" i="15"/>
  <c r="G12" i="15"/>
  <c r="G11" i="15"/>
  <c r="G10" i="15"/>
  <c r="G9" i="15"/>
  <c r="G8" i="15"/>
  <c r="G7" i="15"/>
  <c r="G6" i="15"/>
  <c r="G5" i="15"/>
  <c r="G5" i="12"/>
  <c r="G7" i="14"/>
  <c r="G6" i="14"/>
  <c r="G5" i="14"/>
  <c r="G10" i="12"/>
  <c r="G10" i="13"/>
  <c r="G9" i="13"/>
  <c r="G8" i="13"/>
  <c r="G7" i="13"/>
  <c r="G6" i="13"/>
  <c r="G5" i="13"/>
  <c r="G9" i="12"/>
  <c r="G7" i="11"/>
  <c r="G6" i="11"/>
  <c r="G5" i="11"/>
  <c r="G16" i="12"/>
  <c r="G15" i="12"/>
  <c r="G10" i="10"/>
  <c r="G9" i="10"/>
  <c r="G8" i="10"/>
  <c r="G7" i="10"/>
  <c r="G6" i="10"/>
  <c r="G5" i="10"/>
  <c r="G16" i="9"/>
  <c r="G15" i="9"/>
  <c r="G14" i="9"/>
  <c r="G13" i="9"/>
  <c r="G12" i="9"/>
  <c r="G11" i="9"/>
  <c r="G10" i="9"/>
  <c r="G9" i="9"/>
  <c r="G8" i="9"/>
  <c r="G7" i="9"/>
  <c r="G6" i="9"/>
  <c r="G5" i="9"/>
  <c r="J28" i="17"/>
  <c r="J27" i="17"/>
  <c r="J26" i="17"/>
  <c r="J28" i="14"/>
  <c r="J27" i="14"/>
  <c r="J26" i="14"/>
  <c r="J28" i="11"/>
  <c r="J27" i="11"/>
  <c r="J26" i="11"/>
  <c r="I28" i="17"/>
  <c r="I27" i="17"/>
  <c r="I26" i="17"/>
  <c r="I28" i="14"/>
  <c r="I27" i="14"/>
  <c r="I26" i="14"/>
  <c r="I28" i="11"/>
  <c r="I27" i="11"/>
  <c r="I26" i="11"/>
  <c r="H28" i="17"/>
  <c r="H27" i="17"/>
  <c r="H26" i="17"/>
  <c r="H28" i="14"/>
  <c r="H27" i="14"/>
  <c r="H26" i="14"/>
  <c r="H28" i="11"/>
  <c r="H27" i="11"/>
  <c r="H26" i="11"/>
  <c r="G28" i="17"/>
  <c r="G27" i="17"/>
  <c r="G26" i="17"/>
  <c r="G28" i="14"/>
  <c r="G27" i="14"/>
  <c r="G26" i="14"/>
  <c r="G28" i="11"/>
  <c r="G27" i="11"/>
  <c r="G26" i="11"/>
  <c r="F28" i="17"/>
  <c r="F27" i="17"/>
  <c r="F26" i="17"/>
  <c r="F28" i="14"/>
  <c r="F27" i="14"/>
  <c r="F26" i="14"/>
  <c r="F28" i="11"/>
  <c r="F27" i="11"/>
  <c r="F26" i="11"/>
  <c r="E28" i="17"/>
  <c r="E27" i="17"/>
  <c r="E26" i="17"/>
  <c r="E28" i="14"/>
  <c r="E27" i="14"/>
  <c r="E26" i="14"/>
  <c r="E28" i="11"/>
  <c r="E27" i="11"/>
  <c r="E26" i="11"/>
  <c r="D28" i="17"/>
  <c r="D27" i="17"/>
  <c r="D26" i="17"/>
  <c r="D28" i="14"/>
  <c r="D27" i="14"/>
  <c r="D26" i="14"/>
  <c r="D28" i="11"/>
  <c r="D27" i="11"/>
  <c r="D26" i="11"/>
  <c r="J28" i="16"/>
  <c r="J27" i="16"/>
  <c r="J26" i="16"/>
  <c r="J24" i="16"/>
  <c r="J23" i="16"/>
  <c r="J26" i="13"/>
  <c r="J25" i="17"/>
  <c r="J24" i="17"/>
  <c r="J23" i="17"/>
  <c r="J25" i="16"/>
  <c r="J24" i="13"/>
  <c r="J25" i="14"/>
  <c r="J24" i="14"/>
  <c r="J23" i="14"/>
  <c r="J28" i="13"/>
  <c r="J27" i="13"/>
  <c r="J25" i="13"/>
  <c r="J23" i="13"/>
  <c r="J25" i="11"/>
  <c r="J24" i="11"/>
  <c r="J23" i="11"/>
  <c r="J28" i="10"/>
  <c r="J27" i="10"/>
  <c r="J26" i="10"/>
  <c r="J25" i="10"/>
  <c r="J24" i="10"/>
  <c r="J23" i="10"/>
  <c r="I25" i="16"/>
  <c r="I23" i="13"/>
  <c r="I25" i="17"/>
  <c r="I24" i="17"/>
  <c r="I23" i="17"/>
  <c r="I28" i="16"/>
  <c r="I27" i="16"/>
  <c r="I26" i="16"/>
  <c r="I24" i="16"/>
  <c r="I23" i="16"/>
  <c r="I26" i="13"/>
  <c r="I24" i="13"/>
  <c r="I25" i="13"/>
  <c r="I25" i="14"/>
  <c r="I24" i="14"/>
  <c r="I23" i="14"/>
  <c r="I28" i="13"/>
  <c r="I27" i="13"/>
  <c r="I25" i="11"/>
  <c r="I24" i="11"/>
  <c r="I23" i="11"/>
  <c r="I28" i="10"/>
  <c r="I27" i="10"/>
  <c r="I26" i="10"/>
  <c r="I25" i="10"/>
  <c r="I24" i="10"/>
  <c r="I23" i="10"/>
  <c r="H28" i="16"/>
  <c r="H27" i="16"/>
  <c r="H26" i="16"/>
  <c r="H24" i="16"/>
  <c r="H23" i="16"/>
  <c r="H25" i="17"/>
  <c r="H24" i="17"/>
  <c r="H23" i="17"/>
  <c r="H25" i="16"/>
  <c r="H25" i="13"/>
  <c r="H24" i="13"/>
  <c r="H23" i="13"/>
  <c r="H25" i="14"/>
  <c r="H24" i="14"/>
  <c r="H23" i="14"/>
  <c r="H28" i="13"/>
  <c r="H27" i="13"/>
  <c r="H26" i="13"/>
  <c r="H25" i="11"/>
  <c r="H24" i="11"/>
  <c r="H23" i="11"/>
  <c r="H28" i="10"/>
  <c r="H27" i="10"/>
  <c r="H26" i="10"/>
  <c r="H25" i="10"/>
  <c r="H24" i="10"/>
  <c r="H23" i="10"/>
  <c r="G25" i="16"/>
  <c r="G26" i="13"/>
  <c r="G24" i="13"/>
  <c r="G25" i="17"/>
  <c r="G24" i="17"/>
  <c r="G23" i="17"/>
  <c r="G28" i="16"/>
  <c r="G27" i="16"/>
  <c r="G26" i="16"/>
  <c r="G24" i="16"/>
  <c r="G23" i="16"/>
  <c r="G25" i="14"/>
  <c r="G24" i="14"/>
  <c r="G23" i="14"/>
  <c r="G28" i="13"/>
  <c r="G27" i="13"/>
  <c r="G25" i="13"/>
  <c r="G23" i="13"/>
  <c r="G25" i="11"/>
  <c r="G24" i="11"/>
  <c r="G23" i="11"/>
  <c r="G28" i="10"/>
  <c r="G27" i="10"/>
  <c r="G26" i="10"/>
  <c r="G25" i="10"/>
  <c r="G24" i="10"/>
  <c r="G23" i="10"/>
  <c r="F28" i="16"/>
  <c r="F27" i="16"/>
  <c r="F26" i="16"/>
  <c r="F24" i="16"/>
  <c r="F23" i="16"/>
  <c r="F25" i="13"/>
  <c r="F23" i="13"/>
  <c r="F25" i="17"/>
  <c r="F24" i="17"/>
  <c r="F23" i="17"/>
  <c r="F25" i="16"/>
  <c r="F25" i="14"/>
  <c r="F24" i="14"/>
  <c r="F23" i="14"/>
  <c r="F28" i="13"/>
  <c r="F27" i="13"/>
  <c r="F26" i="13"/>
  <c r="F24" i="13"/>
  <c r="F25" i="11"/>
  <c r="F24" i="11"/>
  <c r="F23" i="11"/>
  <c r="F28" i="10"/>
  <c r="F27" i="10"/>
  <c r="F26" i="10"/>
  <c r="F25" i="10"/>
  <c r="F24" i="10"/>
  <c r="F23" i="10"/>
  <c r="E25" i="16"/>
  <c r="E25" i="17"/>
  <c r="E24" i="17"/>
  <c r="E23" i="17"/>
  <c r="E28" i="16"/>
  <c r="E27" i="16"/>
  <c r="E26" i="16"/>
  <c r="E24" i="16"/>
  <c r="E23" i="16"/>
  <c r="E26" i="13"/>
  <c r="E24" i="13"/>
  <c r="E25" i="13"/>
  <c r="E23" i="13"/>
  <c r="E25" i="14"/>
  <c r="E24" i="14"/>
  <c r="E23" i="14"/>
  <c r="E28" i="13"/>
  <c r="E27" i="13"/>
  <c r="E25" i="11"/>
  <c r="E24" i="11"/>
  <c r="E23" i="11"/>
  <c r="E28" i="10"/>
  <c r="E27" i="10"/>
  <c r="E26" i="10"/>
  <c r="E25" i="10"/>
  <c r="E24" i="10"/>
  <c r="E23" i="10"/>
  <c r="D26" i="16"/>
  <c r="D24" i="16"/>
  <c r="D23" i="16"/>
  <c r="D25" i="17"/>
  <c r="D24" i="17"/>
  <c r="D23" i="17"/>
  <c r="D28" i="16"/>
  <c r="D27" i="16"/>
  <c r="D25" i="16"/>
  <c r="D23" i="13"/>
  <c r="D26" i="13"/>
  <c r="D24" i="13"/>
  <c r="D25" i="14"/>
  <c r="D24" i="14"/>
  <c r="D23" i="14"/>
  <c r="D28" i="13"/>
  <c r="D27" i="13"/>
  <c r="D25" i="13"/>
  <c r="D25" i="11"/>
  <c r="D24" i="11"/>
  <c r="D23" i="11"/>
  <c r="D28" i="10"/>
  <c r="D27" i="10"/>
  <c r="D26" i="10"/>
  <c r="D25" i="10"/>
  <c r="D24" i="10"/>
  <c r="D23" i="10"/>
  <c r="J22" i="17"/>
  <c r="J21" i="17"/>
  <c r="J20" i="17"/>
  <c r="J22" i="14"/>
  <c r="J21" i="14"/>
  <c r="J20" i="14"/>
  <c r="J22" i="11"/>
  <c r="J21" i="11"/>
  <c r="J20" i="11"/>
  <c r="I22" i="17"/>
  <c r="I21" i="17"/>
  <c r="I20" i="17"/>
  <c r="I22" i="14"/>
  <c r="I21" i="14"/>
  <c r="I20" i="14"/>
  <c r="I22" i="11"/>
  <c r="I21" i="11"/>
  <c r="I20" i="11"/>
  <c r="H22" i="17"/>
  <c r="H21" i="17"/>
  <c r="H20" i="17"/>
  <c r="H22" i="14"/>
  <c r="H21" i="14"/>
  <c r="H20" i="14"/>
  <c r="H22" i="11"/>
  <c r="H21" i="11"/>
  <c r="H20" i="11"/>
  <c r="G22" i="17"/>
  <c r="G21" i="17"/>
  <c r="G20" i="17"/>
  <c r="G22" i="14"/>
  <c r="G21" i="14"/>
  <c r="G20" i="14"/>
  <c r="G22" i="11"/>
  <c r="G21" i="11"/>
  <c r="G20" i="11"/>
  <c r="F22" i="17"/>
  <c r="F21" i="17"/>
  <c r="F20" i="17"/>
  <c r="F22" i="14"/>
  <c r="F21" i="14"/>
  <c r="F20" i="14"/>
  <c r="F22" i="11"/>
  <c r="F21" i="11"/>
  <c r="F20" i="11"/>
  <c r="E22" i="17"/>
  <c r="E21" i="17"/>
  <c r="E20" i="17"/>
  <c r="E22" i="14"/>
  <c r="E21" i="14"/>
  <c r="E20" i="14"/>
  <c r="E22" i="11"/>
  <c r="E21" i="11"/>
  <c r="E20" i="11"/>
  <c r="D22" i="17"/>
  <c r="D21" i="17"/>
  <c r="D20" i="17"/>
  <c r="D22" i="14"/>
  <c r="D21" i="14"/>
  <c r="D20" i="14"/>
  <c r="D22" i="11"/>
  <c r="D21" i="11"/>
  <c r="D20" i="11"/>
  <c r="J21" i="16"/>
  <c r="J20" i="16"/>
  <c r="J19" i="16"/>
  <c r="J22" i="13"/>
  <c r="J21" i="13"/>
  <c r="J22" i="12"/>
  <c r="J19" i="17"/>
  <c r="J18" i="17"/>
  <c r="J17" i="17"/>
  <c r="J22" i="16"/>
  <c r="J18" i="16"/>
  <c r="J17" i="16"/>
  <c r="J28" i="15"/>
  <c r="J27" i="15"/>
  <c r="J26" i="15"/>
  <c r="J25" i="15"/>
  <c r="J24" i="15"/>
  <c r="J23" i="15"/>
  <c r="J22" i="15"/>
  <c r="J21" i="15"/>
  <c r="J20" i="15"/>
  <c r="J19" i="15"/>
  <c r="J18" i="15"/>
  <c r="J17" i="15"/>
  <c r="J28" i="12"/>
  <c r="J26" i="12"/>
  <c r="J20" i="12"/>
  <c r="J19" i="14"/>
  <c r="J18" i="14"/>
  <c r="J17" i="14"/>
  <c r="J24" i="12"/>
  <c r="J20" i="13"/>
  <c r="J19" i="13"/>
  <c r="J18" i="13"/>
  <c r="J17" i="13"/>
  <c r="J27" i="12"/>
  <c r="J21" i="12"/>
  <c r="J17" i="12"/>
  <c r="J19" i="11"/>
  <c r="J18" i="11"/>
  <c r="J17" i="11"/>
  <c r="J18" i="12"/>
  <c r="J22" i="10"/>
  <c r="J21" i="10"/>
  <c r="J20" i="10"/>
  <c r="J19" i="10"/>
  <c r="J18" i="10"/>
  <c r="J17" i="10"/>
  <c r="J28" i="9"/>
  <c r="J27" i="9"/>
  <c r="J26" i="9"/>
  <c r="J25" i="9"/>
  <c r="J24" i="9"/>
  <c r="J23" i="9"/>
  <c r="J22" i="9"/>
  <c r="J21" i="9"/>
  <c r="J20" i="9"/>
  <c r="J19" i="9"/>
  <c r="J18" i="9"/>
  <c r="J17" i="9"/>
  <c r="J25" i="12"/>
  <c r="J23" i="12"/>
  <c r="J19" i="12"/>
  <c r="I22" i="16"/>
  <c r="I18" i="16"/>
  <c r="I24" i="12"/>
  <c r="I19" i="17"/>
  <c r="I18" i="17"/>
  <c r="I17" i="17"/>
  <c r="I21" i="16"/>
  <c r="I20" i="16"/>
  <c r="I19" i="16"/>
  <c r="I17" i="16"/>
  <c r="I28" i="15"/>
  <c r="I27" i="15"/>
  <c r="I26" i="15"/>
  <c r="I25" i="15"/>
  <c r="I24" i="15"/>
  <c r="I23" i="15"/>
  <c r="I22" i="15"/>
  <c r="I21" i="15"/>
  <c r="I20" i="15"/>
  <c r="I19" i="15"/>
  <c r="I18" i="15"/>
  <c r="I17" i="15"/>
  <c r="I19" i="12"/>
  <c r="I19" i="14"/>
  <c r="I18" i="14"/>
  <c r="I17" i="14"/>
  <c r="I22" i="13"/>
  <c r="I21" i="13"/>
  <c r="I27" i="12"/>
  <c r="I21" i="12"/>
  <c r="I17" i="12"/>
  <c r="I20" i="13"/>
  <c r="I19" i="13"/>
  <c r="I18" i="13"/>
  <c r="I17" i="13"/>
  <c r="I25" i="12"/>
  <c r="I23" i="12"/>
  <c r="I22" i="12"/>
  <c r="I18" i="12"/>
  <c r="I19" i="11"/>
  <c r="I18" i="11"/>
  <c r="I17" i="11"/>
  <c r="I26" i="12"/>
  <c r="I20" i="12"/>
  <c r="I22" i="10"/>
  <c r="I21" i="10"/>
  <c r="I20" i="10"/>
  <c r="I19" i="10"/>
  <c r="I18" i="10"/>
  <c r="I17" i="10"/>
  <c r="I28" i="9"/>
  <c r="I27" i="9"/>
  <c r="I26" i="9"/>
  <c r="I25" i="9"/>
  <c r="I24" i="9"/>
  <c r="I23" i="9"/>
  <c r="I22" i="9"/>
  <c r="I21" i="9"/>
  <c r="I20" i="9"/>
  <c r="I19" i="9"/>
  <c r="I18" i="9"/>
  <c r="I17" i="9"/>
  <c r="I28" i="12"/>
  <c r="H20" i="16"/>
  <c r="H19" i="16"/>
  <c r="H22" i="13"/>
  <c r="H21" i="13"/>
  <c r="H19" i="12"/>
  <c r="H19" i="17"/>
  <c r="H18" i="17"/>
  <c r="H17" i="17"/>
  <c r="H22" i="16"/>
  <c r="H21" i="16"/>
  <c r="H18" i="16"/>
  <c r="H17" i="16"/>
  <c r="H27" i="12"/>
  <c r="H26" i="12"/>
  <c r="H22" i="12"/>
  <c r="H18" i="12"/>
  <c r="H28" i="15"/>
  <c r="H27" i="15"/>
  <c r="H26" i="15"/>
  <c r="H25" i="15"/>
  <c r="H24" i="15"/>
  <c r="H23" i="15"/>
  <c r="H22" i="15"/>
  <c r="H21" i="15"/>
  <c r="H20" i="15"/>
  <c r="H19" i="15"/>
  <c r="H18" i="15"/>
  <c r="H17" i="15"/>
  <c r="H25" i="12"/>
  <c r="H24" i="12"/>
  <c r="H21" i="12"/>
  <c r="H19" i="14"/>
  <c r="H18" i="14"/>
  <c r="H17" i="14"/>
  <c r="H28" i="12"/>
  <c r="H23" i="12"/>
  <c r="H20" i="13"/>
  <c r="H19" i="13"/>
  <c r="H18" i="13"/>
  <c r="H17" i="13"/>
  <c r="H17" i="12"/>
  <c r="H19" i="11"/>
  <c r="H18" i="11"/>
  <c r="H17" i="11"/>
  <c r="H22" i="10"/>
  <c r="H21" i="10"/>
  <c r="H20" i="10"/>
  <c r="H19" i="10"/>
  <c r="H18" i="10"/>
  <c r="H17" i="10"/>
  <c r="H28" i="9"/>
  <c r="H27" i="9"/>
  <c r="H26" i="9"/>
  <c r="H25" i="9"/>
  <c r="H24" i="9"/>
  <c r="H23" i="9"/>
  <c r="H22" i="9"/>
  <c r="H21" i="9"/>
  <c r="H20" i="9"/>
  <c r="H19" i="9"/>
  <c r="H18" i="9"/>
  <c r="H17" i="9"/>
  <c r="H20" i="12"/>
  <c r="G22" i="16"/>
  <c r="G21" i="16"/>
  <c r="G18" i="16"/>
  <c r="G17" i="12"/>
  <c r="G19" i="17"/>
  <c r="G18" i="17"/>
  <c r="G17" i="17"/>
  <c r="G20" i="16"/>
  <c r="G19" i="16"/>
  <c r="G17" i="16"/>
  <c r="G24" i="12"/>
  <c r="G23" i="12"/>
  <c r="G21" i="12"/>
  <c r="G28" i="15"/>
  <c r="G27" i="15"/>
  <c r="G26" i="15"/>
  <c r="G25" i="15"/>
  <c r="G24" i="15"/>
  <c r="G23" i="15"/>
  <c r="G22" i="15"/>
  <c r="G21" i="15"/>
  <c r="G20" i="15"/>
  <c r="G19" i="15"/>
  <c r="G18" i="15"/>
  <c r="G17" i="15"/>
  <c r="G22" i="13"/>
  <c r="G21" i="13"/>
  <c r="G28" i="12"/>
  <c r="G27" i="12"/>
  <c r="G18" i="12"/>
  <c r="G19" i="14"/>
  <c r="G18" i="14"/>
  <c r="G17" i="14"/>
  <c r="G19" i="12"/>
  <c r="G20" i="13"/>
  <c r="G19" i="13"/>
  <c r="G18" i="13"/>
  <c r="G17" i="13"/>
  <c r="G26" i="12"/>
  <c r="G20" i="12"/>
  <c r="G19" i="11"/>
  <c r="G18" i="11"/>
  <c r="G17" i="11"/>
  <c r="G25" i="12"/>
  <c r="G22" i="12"/>
  <c r="G22" i="10"/>
  <c r="G21" i="10"/>
  <c r="G20" i="10"/>
  <c r="G19" i="10"/>
  <c r="G18" i="10"/>
  <c r="G17" i="10"/>
  <c r="G28" i="9"/>
  <c r="G27" i="9"/>
  <c r="G26" i="9"/>
  <c r="G25" i="9"/>
  <c r="G24" i="9"/>
  <c r="G23" i="9"/>
  <c r="G22" i="9"/>
  <c r="G21" i="9"/>
  <c r="G20" i="9"/>
  <c r="G19" i="9"/>
  <c r="G18" i="9"/>
  <c r="G17" i="9"/>
  <c r="F21" i="16"/>
  <c r="F20" i="16"/>
  <c r="F19" i="16"/>
  <c r="F25" i="12"/>
  <c r="F23" i="12"/>
  <c r="F20" i="12"/>
  <c r="F19" i="17"/>
  <c r="F18" i="17"/>
  <c r="F17" i="17"/>
  <c r="F22" i="16"/>
  <c r="F18" i="16"/>
  <c r="F17" i="16"/>
  <c r="F22" i="13"/>
  <c r="F28" i="12"/>
  <c r="F28" i="15"/>
  <c r="F27" i="15"/>
  <c r="F26" i="15"/>
  <c r="F25" i="15"/>
  <c r="F24" i="15"/>
  <c r="F23" i="15"/>
  <c r="F22" i="15"/>
  <c r="F21" i="15"/>
  <c r="F20" i="15"/>
  <c r="F19" i="15"/>
  <c r="F18" i="15"/>
  <c r="F17" i="15"/>
  <c r="F17" i="12"/>
  <c r="F19" i="14"/>
  <c r="F18" i="14"/>
  <c r="F17" i="14"/>
  <c r="F21" i="13"/>
  <c r="F26" i="12"/>
  <c r="F20" i="13"/>
  <c r="F19" i="13"/>
  <c r="F18" i="13"/>
  <c r="F17" i="13"/>
  <c r="F27" i="12"/>
  <c r="F24" i="12"/>
  <c r="F22" i="12"/>
  <c r="F19" i="12"/>
  <c r="F19" i="11"/>
  <c r="F18" i="11"/>
  <c r="F17" i="11"/>
  <c r="F21" i="12"/>
  <c r="F18" i="12"/>
  <c r="F22" i="10"/>
  <c r="F21" i="10"/>
  <c r="F20" i="10"/>
  <c r="F19" i="10"/>
  <c r="F18" i="10"/>
  <c r="F17" i="10"/>
  <c r="F28" i="9"/>
  <c r="F27" i="9"/>
  <c r="F26" i="9"/>
  <c r="F25" i="9"/>
  <c r="F24" i="9"/>
  <c r="F23" i="9"/>
  <c r="F22" i="9"/>
  <c r="F21" i="9"/>
  <c r="F20" i="9"/>
  <c r="F19" i="9"/>
  <c r="F18" i="9"/>
  <c r="F17" i="9"/>
  <c r="E22" i="16"/>
  <c r="E18" i="16"/>
  <c r="E28" i="12"/>
  <c r="E24" i="12"/>
  <c r="E21" i="12"/>
  <c r="E19" i="17"/>
  <c r="E18" i="17"/>
  <c r="E17" i="17"/>
  <c r="E21" i="16"/>
  <c r="E20" i="16"/>
  <c r="E19" i="16"/>
  <c r="E17" i="16"/>
  <c r="E21" i="13"/>
  <c r="E22" i="12"/>
  <c r="E28" i="15"/>
  <c r="E27" i="15"/>
  <c r="E26" i="15"/>
  <c r="E25" i="15"/>
  <c r="E24" i="15"/>
  <c r="E23" i="15"/>
  <c r="E22" i="15"/>
  <c r="E21" i="15"/>
  <c r="E20" i="15"/>
  <c r="E19" i="15"/>
  <c r="E18" i="15"/>
  <c r="E17" i="15"/>
  <c r="E26" i="12"/>
  <c r="E19" i="12"/>
  <c r="E19" i="14"/>
  <c r="E18" i="14"/>
  <c r="E17" i="14"/>
  <c r="E22" i="13"/>
  <c r="E17" i="12"/>
  <c r="E20" i="13"/>
  <c r="E19" i="13"/>
  <c r="E18" i="13"/>
  <c r="E17" i="13"/>
  <c r="E25" i="12"/>
  <c r="E18" i="12"/>
  <c r="E19" i="11"/>
  <c r="E18" i="11"/>
  <c r="E17" i="11"/>
  <c r="E27" i="12"/>
  <c r="E20" i="12"/>
  <c r="E22" i="10"/>
  <c r="E21" i="10"/>
  <c r="E20" i="10"/>
  <c r="E19" i="10"/>
  <c r="E18" i="10"/>
  <c r="E17" i="10"/>
  <c r="E28" i="9"/>
  <c r="E27" i="9"/>
  <c r="E26" i="9"/>
  <c r="E25" i="9"/>
  <c r="E24" i="9"/>
  <c r="E23" i="9"/>
  <c r="E22" i="9"/>
  <c r="E21" i="9"/>
  <c r="E20" i="9"/>
  <c r="E19" i="9"/>
  <c r="E18" i="9"/>
  <c r="E17" i="9"/>
  <c r="E23" i="12"/>
  <c r="D21" i="16"/>
  <c r="D20" i="16"/>
  <c r="D19" i="16"/>
  <c r="D22" i="13"/>
  <c r="D17" i="12"/>
  <c r="D19" i="17"/>
  <c r="D18" i="17"/>
  <c r="D17" i="17"/>
  <c r="D22" i="16"/>
  <c r="D18" i="16"/>
  <c r="D17" i="16"/>
  <c r="D18" i="12"/>
  <c r="D28" i="15"/>
  <c r="D27" i="15"/>
  <c r="D26" i="15"/>
  <c r="D25" i="15"/>
  <c r="D24" i="15"/>
  <c r="D23" i="15"/>
  <c r="D22" i="15"/>
  <c r="D21" i="15"/>
  <c r="D20" i="15"/>
  <c r="D19" i="15"/>
  <c r="D18" i="15"/>
  <c r="D17" i="15"/>
  <c r="D27" i="12"/>
  <c r="D24" i="12"/>
  <c r="D19" i="14"/>
  <c r="D18" i="14"/>
  <c r="D17" i="14"/>
  <c r="D21" i="12"/>
  <c r="D20" i="12"/>
  <c r="D21" i="13"/>
  <c r="D20" i="13"/>
  <c r="D19" i="13"/>
  <c r="D18" i="13"/>
  <c r="D17" i="13"/>
  <c r="D23" i="12"/>
  <c r="D19" i="11"/>
  <c r="D18" i="11"/>
  <c r="D17" i="11"/>
  <c r="D26" i="12"/>
  <c r="D22" i="10"/>
  <c r="D21" i="10"/>
  <c r="D20" i="10"/>
  <c r="D19" i="10"/>
  <c r="D18" i="10"/>
  <c r="D17" i="10"/>
  <c r="D28" i="9"/>
  <c r="D27" i="9"/>
  <c r="D26" i="9"/>
  <c r="D25" i="9"/>
  <c r="D24" i="9"/>
  <c r="D23" i="9"/>
  <c r="D22" i="9"/>
  <c r="D21" i="9"/>
  <c r="D20" i="9"/>
  <c r="D19" i="9"/>
  <c r="D18" i="9"/>
  <c r="D17" i="9"/>
  <c r="D28" i="12"/>
  <c r="D25" i="12"/>
  <c r="D22" i="12"/>
  <c r="D19" i="12"/>
  <c r="J16" i="17"/>
  <c r="J15" i="17"/>
  <c r="J14" i="17"/>
  <c r="J16" i="14"/>
  <c r="J15" i="14"/>
  <c r="J14" i="14"/>
  <c r="J16" i="11"/>
  <c r="J15" i="11"/>
  <c r="J14" i="11"/>
  <c r="I16" i="17"/>
  <c r="I15" i="17"/>
  <c r="I14" i="17"/>
  <c r="I16" i="14"/>
  <c r="I15" i="14"/>
  <c r="I14" i="14"/>
  <c r="I16" i="11"/>
  <c r="I15" i="11"/>
  <c r="I14" i="11"/>
  <c r="H16" i="17"/>
  <c r="H15" i="17"/>
  <c r="H14" i="17"/>
  <c r="H16" i="14"/>
  <c r="H15" i="14"/>
  <c r="H14" i="14"/>
  <c r="H16" i="11"/>
  <c r="H15" i="11"/>
  <c r="H14" i="11"/>
  <c r="G16" i="17"/>
  <c r="G15" i="17"/>
  <c r="G14" i="17"/>
  <c r="G16" i="14"/>
  <c r="G15" i="14"/>
  <c r="G14" i="14"/>
  <c r="G16" i="11"/>
  <c r="G15" i="11"/>
  <c r="G14" i="11"/>
  <c r="F16" i="17"/>
  <c r="F15" i="17"/>
  <c r="F14" i="17"/>
  <c r="F16" i="14"/>
  <c r="F15" i="14"/>
  <c r="F14" i="14"/>
  <c r="F16" i="11"/>
  <c r="F15" i="11"/>
  <c r="F14" i="11"/>
  <c r="E16" i="17"/>
  <c r="E15" i="17"/>
  <c r="E14" i="17"/>
  <c r="E16" i="14"/>
  <c r="E15" i="14"/>
  <c r="E14" i="14"/>
  <c r="E16" i="11"/>
  <c r="E15" i="11"/>
  <c r="E14" i="11"/>
  <c r="D16" i="17"/>
  <c r="D15" i="17"/>
  <c r="D14" i="17"/>
  <c r="D16" i="14"/>
  <c r="D15" i="14"/>
  <c r="D14" i="14"/>
  <c r="D16" i="11"/>
  <c r="D15" i="11"/>
  <c r="D14" i="11"/>
  <c r="J13" i="17"/>
  <c r="J12" i="17"/>
  <c r="J11" i="17"/>
  <c r="J16" i="16"/>
  <c r="J15" i="16"/>
  <c r="J14" i="16"/>
  <c r="J13" i="16"/>
  <c r="J12" i="16"/>
  <c r="J11" i="16"/>
  <c r="J13" i="14"/>
  <c r="J12" i="14"/>
  <c r="J11" i="14"/>
  <c r="J16" i="13"/>
  <c r="J15" i="13"/>
  <c r="J14" i="13"/>
  <c r="J13" i="13"/>
  <c r="J12" i="13"/>
  <c r="J11" i="13"/>
  <c r="J13" i="11"/>
  <c r="J12" i="11"/>
  <c r="J11" i="11"/>
  <c r="J16" i="10"/>
  <c r="J15" i="10"/>
  <c r="J14" i="10"/>
  <c r="J13" i="10"/>
  <c r="J12" i="10"/>
  <c r="J11" i="10"/>
  <c r="I16" i="16"/>
  <c r="I15" i="16"/>
  <c r="I13" i="17"/>
  <c r="I12" i="17"/>
  <c r="I11" i="17"/>
  <c r="I14" i="16"/>
  <c r="I13" i="16"/>
  <c r="I12" i="16"/>
  <c r="I11" i="16"/>
  <c r="I13" i="14"/>
  <c r="I12" i="14"/>
  <c r="I11" i="14"/>
  <c r="I16" i="13"/>
  <c r="I15" i="13"/>
  <c r="I14" i="13"/>
  <c r="I13" i="13"/>
  <c r="I12" i="13"/>
  <c r="I11" i="13"/>
  <c r="I13" i="11"/>
  <c r="I12" i="11"/>
  <c r="I11" i="11"/>
  <c r="I16" i="10"/>
  <c r="I15" i="10"/>
  <c r="I14" i="10"/>
  <c r="I13" i="10"/>
  <c r="I12" i="10"/>
  <c r="I11" i="10"/>
  <c r="H13" i="17"/>
  <c r="H12" i="17"/>
  <c r="H11" i="17"/>
  <c r="H16" i="16"/>
  <c r="H15" i="16"/>
  <c r="H14" i="16"/>
  <c r="H13" i="16"/>
  <c r="H12" i="16"/>
  <c r="H11" i="16"/>
  <c r="H13" i="14"/>
  <c r="H12" i="14"/>
  <c r="H11" i="14"/>
  <c r="H16" i="13"/>
  <c r="H15" i="13"/>
  <c r="H14" i="13"/>
  <c r="H13" i="13"/>
  <c r="H12" i="13"/>
  <c r="H11" i="13"/>
  <c r="H13" i="11"/>
  <c r="H12" i="11"/>
  <c r="H11" i="11"/>
  <c r="H16" i="10"/>
  <c r="H15" i="10"/>
  <c r="H14" i="10"/>
  <c r="H13" i="10"/>
  <c r="H12" i="10"/>
  <c r="H11" i="10"/>
  <c r="G16" i="16"/>
  <c r="G15" i="16"/>
  <c r="G13" i="17"/>
  <c r="G12" i="17"/>
  <c r="G11" i="17"/>
  <c r="G14" i="16"/>
  <c r="G13" i="16"/>
  <c r="G12" i="16"/>
  <c r="G11" i="16"/>
  <c r="G13" i="14"/>
  <c r="G12" i="14"/>
  <c r="G11" i="14"/>
  <c r="G16" i="13"/>
  <c r="G15" i="13"/>
  <c r="G14" i="13"/>
  <c r="G13" i="13"/>
  <c r="G12" i="13"/>
  <c r="G11" i="13"/>
  <c r="G13" i="11"/>
  <c r="G12" i="11"/>
  <c r="G11" i="11"/>
  <c r="G16" i="10"/>
  <c r="G15" i="10"/>
  <c r="G14" i="10"/>
  <c r="G13" i="10"/>
  <c r="G12" i="10"/>
  <c r="G11" i="10"/>
  <c r="F13" i="17"/>
  <c r="F12" i="17"/>
  <c r="F11" i="17"/>
  <c r="F16" i="16"/>
  <c r="F15" i="16"/>
  <c r="F14" i="16"/>
  <c r="F13" i="16"/>
  <c r="F12" i="16"/>
  <c r="F11" i="16"/>
  <c r="F13" i="14"/>
  <c r="F12" i="14"/>
  <c r="F11" i="14"/>
  <c r="F16" i="13"/>
  <c r="F15" i="13"/>
  <c r="F14" i="13"/>
  <c r="F13" i="13"/>
  <c r="F12" i="13"/>
  <c r="F11" i="13"/>
  <c r="F13" i="11"/>
  <c r="F12" i="11"/>
  <c r="F11" i="11"/>
  <c r="F16" i="10"/>
  <c r="F15" i="10"/>
  <c r="F14" i="10"/>
  <c r="F13" i="10"/>
  <c r="F12" i="10"/>
  <c r="F11" i="10"/>
  <c r="E15" i="16"/>
  <c r="E13" i="17"/>
  <c r="E12" i="17"/>
  <c r="E11" i="17"/>
  <c r="E16" i="16"/>
  <c r="E14" i="16"/>
  <c r="E13" i="16"/>
  <c r="E12" i="16"/>
  <c r="E11" i="16"/>
  <c r="E13" i="14"/>
  <c r="E12" i="14"/>
  <c r="E11" i="14"/>
  <c r="E16" i="13"/>
  <c r="E15" i="13"/>
  <c r="E14" i="13"/>
  <c r="E13" i="13"/>
  <c r="E12" i="13"/>
  <c r="E11" i="13"/>
  <c r="E13" i="11"/>
  <c r="E12" i="11"/>
  <c r="E11" i="11"/>
  <c r="E16" i="10"/>
  <c r="E15" i="10"/>
  <c r="E14" i="10"/>
  <c r="E13" i="10"/>
  <c r="E12" i="10"/>
  <c r="E11" i="10"/>
  <c r="D16" i="16"/>
  <c r="D13" i="17"/>
  <c r="D12" i="17"/>
  <c r="D11" i="17"/>
  <c r="D15" i="16"/>
  <c r="D14" i="16"/>
  <c r="D13" i="16"/>
  <c r="D12" i="16"/>
  <c r="D11" i="16"/>
  <c r="D13" i="14"/>
  <c r="D12" i="14"/>
  <c r="D11" i="14"/>
  <c r="D16" i="13"/>
  <c r="D15" i="13"/>
  <c r="D14" i="13"/>
  <c r="D13" i="13"/>
  <c r="D12" i="13"/>
  <c r="D11" i="13"/>
  <c r="D13" i="11"/>
  <c r="D12" i="11"/>
  <c r="D11" i="11"/>
  <c r="D16" i="10"/>
  <c r="D15" i="10"/>
  <c r="D14" i="10"/>
  <c r="D13" i="10"/>
  <c r="D12" i="10"/>
  <c r="D11" i="10"/>
  <c r="F10" i="17"/>
  <c r="F9" i="17"/>
  <c r="F8" i="17"/>
  <c r="F10" i="14"/>
  <c r="F9" i="14"/>
  <c r="F8" i="14"/>
  <c r="F10" i="11"/>
  <c r="F9" i="11"/>
  <c r="F8" i="11"/>
  <c r="E10" i="12"/>
  <c r="E9" i="12"/>
  <c r="E7" i="17"/>
  <c r="E6" i="17"/>
  <c r="E5" i="17"/>
  <c r="E5" i="12"/>
  <c r="E10" i="16"/>
  <c r="E9" i="16"/>
  <c r="E8" i="16"/>
  <c r="E7" i="16"/>
  <c r="E6" i="16"/>
  <c r="E5" i="16"/>
  <c r="E16" i="15"/>
  <c r="E15" i="15"/>
  <c r="E14" i="15"/>
  <c r="E13" i="15"/>
  <c r="E12" i="15"/>
  <c r="E11" i="15"/>
  <c r="E10" i="15"/>
  <c r="E9" i="15"/>
  <c r="E8" i="15"/>
  <c r="E7" i="15"/>
  <c r="E6" i="15"/>
  <c r="E5" i="15"/>
  <c r="E16" i="12"/>
  <c r="E14" i="12"/>
  <c r="E13" i="12"/>
  <c r="E11" i="12"/>
  <c r="E8" i="12"/>
  <c r="E7" i="14"/>
  <c r="E6" i="14"/>
  <c r="E5" i="14"/>
  <c r="E15" i="12"/>
  <c r="E7" i="12"/>
  <c r="E10" i="13"/>
  <c r="E9" i="13"/>
  <c r="E8" i="13"/>
  <c r="E7" i="13"/>
  <c r="E6" i="13"/>
  <c r="E5" i="13"/>
  <c r="E7" i="11"/>
  <c r="E6" i="11"/>
  <c r="E5" i="11"/>
  <c r="E10" i="10"/>
  <c r="E9" i="10"/>
  <c r="E8" i="10"/>
  <c r="E7" i="10"/>
  <c r="E6" i="10"/>
  <c r="E5" i="10"/>
  <c r="E16" i="9"/>
  <c r="E15" i="9"/>
  <c r="E14" i="9"/>
  <c r="E13" i="9"/>
  <c r="E12" i="9"/>
  <c r="E11" i="9"/>
  <c r="E10" i="9"/>
  <c r="E9" i="9"/>
  <c r="E8" i="9"/>
  <c r="E7" i="9"/>
  <c r="E6" i="9"/>
  <c r="E5" i="9"/>
  <c r="E12" i="12"/>
  <c r="E6" i="12"/>
  <c r="F7" i="18" l="1"/>
  <c r="K107" i="10"/>
  <c r="L107" i="10"/>
  <c r="K105" i="10"/>
  <c r="L105" i="10" s="1"/>
  <c r="O105" i="10" s="1"/>
  <c r="S105" i="10" s="1"/>
  <c r="K104" i="10"/>
  <c r="L104" i="10" s="1"/>
  <c r="O104" i="10" s="1"/>
  <c r="S104" i="10" s="1"/>
  <c r="K103" i="10"/>
  <c r="L103" i="10" s="1"/>
  <c r="O103" i="10" s="1"/>
  <c r="S103" i="10" s="1"/>
  <c r="K102" i="10"/>
  <c r="L102" i="10" s="1"/>
  <c r="O102" i="10" s="1"/>
  <c r="S102" i="10" s="1"/>
  <c r="K101" i="10"/>
  <c r="L101" i="10" s="1"/>
  <c r="K112" i="9"/>
  <c r="L112" i="9"/>
  <c r="O112" i="9" s="1"/>
  <c r="S112" i="9" s="1"/>
  <c r="K111" i="9"/>
  <c r="L111" i="9" s="1"/>
  <c r="O111" i="9" s="1"/>
  <c r="S111" i="9" s="1"/>
  <c r="K110" i="9"/>
  <c r="L110" i="9"/>
  <c r="O110" i="9" s="1"/>
  <c r="S110" i="9" s="1"/>
  <c r="K109" i="9"/>
  <c r="L109" i="9"/>
  <c r="O109" i="9" s="1"/>
  <c r="S109" i="9" s="1"/>
  <c r="K108" i="9"/>
  <c r="L108" i="9" s="1"/>
  <c r="O108" i="9" s="1"/>
  <c r="S108" i="9" s="1"/>
  <c r="K107" i="9"/>
  <c r="L107" i="9" s="1"/>
  <c r="O107" i="9" s="1"/>
  <c r="S107" i="9" s="1"/>
  <c r="K106" i="9"/>
  <c r="L106" i="9"/>
  <c r="O106" i="9" s="1"/>
  <c r="S106" i="9" s="1"/>
  <c r="K105" i="9"/>
  <c r="L105" i="9"/>
  <c r="O105" i="9" s="1"/>
  <c r="S105" i="9" s="1"/>
  <c r="K104" i="9"/>
  <c r="L104" i="9"/>
  <c r="O104" i="9" s="1"/>
  <c r="S104" i="9" s="1"/>
  <c r="K103" i="9"/>
  <c r="L103" i="9" s="1"/>
  <c r="O103" i="9" s="1"/>
  <c r="S103" i="9" s="1"/>
  <c r="K102" i="9"/>
  <c r="L102" i="9"/>
  <c r="O102" i="9" s="1"/>
  <c r="S102" i="9" s="1"/>
  <c r="K101" i="9"/>
  <c r="L101" i="9"/>
  <c r="K79" i="17"/>
  <c r="L79" i="17" s="1"/>
  <c r="O79" i="17" s="1"/>
  <c r="S79" i="17" s="1"/>
  <c r="K78" i="17"/>
  <c r="L78" i="17"/>
  <c r="O78" i="17" s="1"/>
  <c r="S78" i="17" s="1"/>
  <c r="K77" i="17"/>
  <c r="L77" i="17" s="1"/>
  <c r="K78" i="14"/>
  <c r="L78" i="14" s="1"/>
  <c r="O78" i="14" s="1"/>
  <c r="S78" i="14" s="1"/>
  <c r="K82" i="16"/>
  <c r="L82" i="16"/>
  <c r="O82" i="16" s="1"/>
  <c r="S82" i="16" s="1"/>
  <c r="K81" i="16"/>
  <c r="L81" i="16"/>
  <c r="O81" i="16" s="1"/>
  <c r="S81" i="16" s="1"/>
  <c r="K80" i="16"/>
  <c r="L80" i="16" s="1"/>
  <c r="O80" i="16" s="1"/>
  <c r="S80" i="16" s="1"/>
  <c r="K79" i="16"/>
  <c r="L79" i="16" s="1"/>
  <c r="O79" i="16" s="1"/>
  <c r="S79" i="16" s="1"/>
  <c r="K78" i="16"/>
  <c r="L78" i="16" s="1"/>
  <c r="O78" i="16" s="1"/>
  <c r="S78" i="16" s="1"/>
  <c r="K77" i="16"/>
  <c r="L77" i="16"/>
  <c r="K88" i="15"/>
  <c r="L88" i="15" s="1"/>
  <c r="O88" i="15" s="1"/>
  <c r="S88" i="15" s="1"/>
  <c r="K87" i="15"/>
  <c r="L87" i="15" s="1"/>
  <c r="O87" i="15" s="1"/>
  <c r="S87" i="15" s="1"/>
  <c r="K86" i="15"/>
  <c r="L86" i="15" s="1"/>
  <c r="O86" i="15" s="1"/>
  <c r="S86" i="15" s="1"/>
  <c r="K85" i="15"/>
  <c r="L85" i="15"/>
  <c r="O85" i="15" s="1"/>
  <c r="S85" i="15" s="1"/>
  <c r="K84" i="15"/>
  <c r="L84" i="15" s="1"/>
  <c r="O84" i="15" s="1"/>
  <c r="S84" i="15" s="1"/>
  <c r="K83" i="15"/>
  <c r="L83" i="15"/>
  <c r="O83" i="15" s="1"/>
  <c r="S83" i="15" s="1"/>
  <c r="K82" i="15"/>
  <c r="L82" i="15" s="1"/>
  <c r="O82" i="15" s="1"/>
  <c r="S82" i="15" s="1"/>
  <c r="K81" i="15"/>
  <c r="L81" i="15"/>
  <c r="O81" i="15" s="1"/>
  <c r="S81" i="15" s="1"/>
  <c r="K80" i="15"/>
  <c r="L80" i="15"/>
  <c r="O80" i="15" s="1"/>
  <c r="S80" i="15" s="1"/>
  <c r="K79" i="15"/>
  <c r="L79" i="15" s="1"/>
  <c r="O79" i="15" s="1"/>
  <c r="S79" i="15" s="1"/>
  <c r="K78" i="15"/>
  <c r="L78" i="15" s="1"/>
  <c r="O78" i="15" s="1"/>
  <c r="S78" i="15" s="1"/>
  <c r="K77" i="15"/>
  <c r="L77" i="15"/>
  <c r="K79" i="14"/>
  <c r="L79" i="14"/>
  <c r="O79" i="14" s="1"/>
  <c r="S79" i="14" s="1"/>
  <c r="K77" i="14"/>
  <c r="L77" i="14" s="1"/>
  <c r="K82" i="13"/>
  <c r="L82" i="13"/>
  <c r="O82" i="13" s="1"/>
  <c r="S82" i="13" s="1"/>
  <c r="K81" i="13"/>
  <c r="L81" i="13"/>
  <c r="O81" i="13" s="1"/>
  <c r="S81" i="13" s="1"/>
  <c r="K80" i="13"/>
  <c r="L80" i="13"/>
  <c r="O80" i="13" s="1"/>
  <c r="S80" i="13" s="1"/>
  <c r="K79" i="13"/>
  <c r="L79" i="13"/>
  <c r="O79" i="13" s="1"/>
  <c r="S79" i="13" s="1"/>
  <c r="K78" i="13"/>
  <c r="L78" i="13"/>
  <c r="O78" i="13" s="1"/>
  <c r="S78" i="13" s="1"/>
  <c r="K77" i="13"/>
  <c r="L77" i="13"/>
  <c r="K88" i="12"/>
  <c r="L88" i="12" s="1"/>
  <c r="O88" i="12" s="1"/>
  <c r="S88" i="12" s="1"/>
  <c r="K87" i="12"/>
  <c r="L87" i="12" s="1"/>
  <c r="O87" i="12" s="1"/>
  <c r="S87" i="12" s="1"/>
  <c r="K86" i="12"/>
  <c r="L86" i="12"/>
  <c r="O86" i="12" s="1"/>
  <c r="S86" i="12" s="1"/>
  <c r="K85" i="12"/>
  <c r="L85" i="12" s="1"/>
  <c r="O85" i="12" s="1"/>
  <c r="S85" i="12" s="1"/>
  <c r="K84" i="12"/>
  <c r="L84" i="12" s="1"/>
  <c r="O84" i="12" s="1"/>
  <c r="S84" i="12" s="1"/>
  <c r="K76" i="17"/>
  <c r="L76" i="17" s="1"/>
  <c r="O76" i="17" s="1"/>
  <c r="S76" i="17" s="1"/>
  <c r="K75" i="17"/>
  <c r="L75" i="17" s="1"/>
  <c r="O75" i="17" s="1"/>
  <c r="S75" i="17" s="1"/>
  <c r="K74" i="17"/>
  <c r="L74" i="17"/>
  <c r="K76" i="14"/>
  <c r="L76" i="14"/>
  <c r="O76" i="14" s="1"/>
  <c r="S76" i="14" s="1"/>
  <c r="K74" i="14"/>
  <c r="L74" i="14"/>
  <c r="K75" i="14"/>
  <c r="L75" i="14" s="1"/>
  <c r="O75" i="14" s="1"/>
  <c r="S75" i="14" s="1"/>
  <c r="K76" i="11"/>
  <c r="L76" i="11" s="1"/>
  <c r="O76" i="11" s="1"/>
  <c r="S76" i="11" s="1"/>
  <c r="K75" i="11"/>
  <c r="L75" i="11" s="1"/>
  <c r="O75" i="11" s="1"/>
  <c r="S75" i="11" s="1"/>
  <c r="K74" i="11"/>
  <c r="L74" i="11" s="1"/>
  <c r="K64" i="17"/>
  <c r="L64" i="17"/>
  <c r="O64" i="17" s="1"/>
  <c r="S64" i="17" s="1"/>
  <c r="K63" i="17"/>
  <c r="L63" i="17" s="1"/>
  <c r="O63" i="17" s="1"/>
  <c r="S63" i="17" s="1"/>
  <c r="K62" i="17"/>
  <c r="L62" i="17" s="1"/>
  <c r="K64" i="14"/>
  <c r="L64" i="14" s="1"/>
  <c r="O64" i="14" s="1"/>
  <c r="S64" i="14" s="1"/>
  <c r="K63" i="14"/>
  <c r="L63" i="14" s="1"/>
  <c r="O63" i="14" s="1"/>
  <c r="S63" i="14" s="1"/>
  <c r="K62" i="14"/>
  <c r="L62" i="14" s="1"/>
  <c r="K64" i="11"/>
  <c r="L64" i="11" s="1"/>
  <c r="O64" i="11" s="1"/>
  <c r="S64" i="11" s="1"/>
  <c r="K63" i="11"/>
  <c r="L63" i="11" s="1"/>
  <c r="O63" i="11" s="1"/>
  <c r="S63" i="11" s="1"/>
  <c r="K62" i="11"/>
  <c r="L62" i="11"/>
  <c r="K112" i="17"/>
  <c r="L112" i="17"/>
  <c r="O112" i="17" s="1"/>
  <c r="S112" i="17" s="1"/>
  <c r="K111" i="17"/>
  <c r="L111" i="17"/>
  <c r="O111" i="17" s="1"/>
  <c r="S111" i="17" s="1"/>
  <c r="K110" i="17"/>
  <c r="L110" i="17" s="1"/>
  <c r="L112" i="14"/>
  <c r="O112" i="14" s="1"/>
  <c r="S112" i="14" s="1"/>
  <c r="K112" i="14"/>
  <c r="K111" i="14"/>
  <c r="L111" i="14" s="1"/>
  <c r="O111" i="14" s="1"/>
  <c r="S111" i="14" s="1"/>
  <c r="K110" i="14"/>
  <c r="L110" i="14"/>
  <c r="K111" i="11"/>
  <c r="L111" i="11" s="1"/>
  <c r="O111" i="11" s="1"/>
  <c r="S111" i="11" s="1"/>
  <c r="K110" i="11"/>
  <c r="L110" i="11"/>
  <c r="K112" i="11"/>
  <c r="L112" i="11"/>
  <c r="O112" i="11" s="1"/>
  <c r="S112" i="11" s="1"/>
  <c r="K109" i="17"/>
  <c r="L109" i="17" s="1"/>
  <c r="O109" i="17" s="1"/>
  <c r="S109" i="17" s="1"/>
  <c r="K108" i="17"/>
  <c r="L108" i="17" s="1"/>
  <c r="O108" i="17" s="1"/>
  <c r="S108" i="17" s="1"/>
  <c r="K107" i="17"/>
  <c r="L107" i="17" s="1"/>
  <c r="K112" i="16"/>
  <c r="L112" i="16" s="1"/>
  <c r="O112" i="16" s="1"/>
  <c r="S112" i="16" s="1"/>
  <c r="K111" i="16"/>
  <c r="L111" i="16" s="1"/>
  <c r="O111" i="16" s="1"/>
  <c r="S111" i="16" s="1"/>
  <c r="K110" i="16"/>
  <c r="L110" i="16" s="1"/>
  <c r="O110" i="16" s="1"/>
  <c r="S110" i="16" s="1"/>
  <c r="K109" i="16"/>
  <c r="L109" i="16" s="1"/>
  <c r="O109" i="16" s="1"/>
  <c r="S109" i="16" s="1"/>
  <c r="K108" i="16"/>
  <c r="L108" i="16" s="1"/>
  <c r="O108" i="16" s="1"/>
  <c r="S108" i="16" s="1"/>
  <c r="K107" i="16"/>
  <c r="L107" i="16"/>
  <c r="K109" i="14"/>
  <c r="L109" i="14" s="1"/>
  <c r="O109" i="14" s="1"/>
  <c r="S109" i="14" s="1"/>
  <c r="K108" i="14"/>
  <c r="L108" i="14"/>
  <c r="O108" i="14" s="1"/>
  <c r="S108" i="14" s="1"/>
  <c r="K107" i="14"/>
  <c r="L107" i="14"/>
  <c r="K109" i="11"/>
  <c r="L109" i="11"/>
  <c r="O109" i="11" s="1"/>
  <c r="S109" i="11" s="1"/>
  <c r="K108" i="11"/>
  <c r="L108" i="11" s="1"/>
  <c r="O108" i="11" s="1"/>
  <c r="S108" i="11" s="1"/>
  <c r="K112" i="13"/>
  <c r="L112" i="13"/>
  <c r="O112" i="13" s="1"/>
  <c r="S112" i="13" s="1"/>
  <c r="K111" i="13"/>
  <c r="L111" i="13" s="1"/>
  <c r="O111" i="13" s="1"/>
  <c r="S111" i="13" s="1"/>
  <c r="K110" i="13"/>
  <c r="L110" i="13"/>
  <c r="O110" i="13" s="1"/>
  <c r="S110" i="13" s="1"/>
  <c r="K109" i="13"/>
  <c r="L109" i="13"/>
  <c r="O109" i="13" s="1"/>
  <c r="S109" i="13" s="1"/>
  <c r="K108" i="13"/>
  <c r="L108" i="13"/>
  <c r="O108" i="13" s="1"/>
  <c r="S108" i="13" s="1"/>
  <c r="K107" i="13"/>
  <c r="L107" i="13"/>
  <c r="K112" i="10"/>
  <c r="L112" i="10"/>
  <c r="O112" i="10" s="1"/>
  <c r="S112" i="10" s="1"/>
  <c r="K111" i="10"/>
  <c r="L111" i="10" s="1"/>
  <c r="O111" i="10" s="1"/>
  <c r="S111" i="10" s="1"/>
  <c r="K110" i="10"/>
  <c r="L110" i="10"/>
  <c r="O110" i="10" s="1"/>
  <c r="S110" i="10" s="1"/>
  <c r="K109" i="10"/>
  <c r="L109" i="10"/>
  <c r="O109" i="10" s="1"/>
  <c r="S109" i="10" s="1"/>
  <c r="K108" i="10"/>
  <c r="L108" i="10" s="1"/>
  <c r="O108" i="10" s="1"/>
  <c r="S108" i="10" s="1"/>
  <c r="K106" i="17"/>
  <c r="L106" i="17"/>
  <c r="O106" i="17" s="1"/>
  <c r="S106" i="17" s="1"/>
  <c r="K105" i="17"/>
  <c r="L105" i="17"/>
  <c r="O105" i="17" s="1"/>
  <c r="S105" i="17" s="1"/>
  <c r="K104" i="17"/>
  <c r="L104" i="17" s="1"/>
  <c r="K104" i="11"/>
  <c r="L104" i="11"/>
  <c r="K105" i="11"/>
  <c r="L105" i="11"/>
  <c r="O105" i="11" s="1"/>
  <c r="S105" i="11" s="1"/>
  <c r="K106" i="14"/>
  <c r="L106" i="14" s="1"/>
  <c r="O106" i="14" s="1"/>
  <c r="S106" i="14" s="1"/>
  <c r="K105" i="14"/>
  <c r="L105" i="14"/>
  <c r="O105" i="14" s="1"/>
  <c r="S105" i="14" s="1"/>
  <c r="K104" i="14"/>
  <c r="L104" i="14"/>
  <c r="K106" i="11"/>
  <c r="L106" i="11" s="1"/>
  <c r="O106" i="11" s="1"/>
  <c r="S106" i="11" s="1"/>
  <c r="K100" i="17"/>
  <c r="L100" i="17" s="1"/>
  <c r="O100" i="17" s="1"/>
  <c r="S100" i="17" s="1"/>
  <c r="K99" i="17"/>
  <c r="L99" i="17" s="1"/>
  <c r="O99" i="17" s="1"/>
  <c r="S99" i="17" s="1"/>
  <c r="K98" i="17"/>
  <c r="L98" i="17" s="1"/>
  <c r="K100" i="11"/>
  <c r="L100" i="11" s="1"/>
  <c r="O100" i="11" s="1"/>
  <c r="S100" i="11" s="1"/>
  <c r="K100" i="14"/>
  <c r="L100" i="14" s="1"/>
  <c r="O100" i="14" s="1"/>
  <c r="S100" i="14" s="1"/>
  <c r="K99" i="14"/>
  <c r="L99" i="14"/>
  <c r="O99" i="14" s="1"/>
  <c r="S99" i="14" s="1"/>
  <c r="K98" i="14"/>
  <c r="L98" i="14"/>
  <c r="K99" i="11"/>
  <c r="L99" i="11" s="1"/>
  <c r="O99" i="11" s="1"/>
  <c r="S99" i="11" s="1"/>
  <c r="K98" i="11"/>
  <c r="L98" i="11"/>
  <c r="K97" i="17"/>
  <c r="L97" i="17" s="1"/>
  <c r="O97" i="17" s="1"/>
  <c r="S97" i="17" s="1"/>
  <c r="K96" i="17"/>
  <c r="L96" i="17"/>
  <c r="O96" i="17" s="1"/>
  <c r="S96" i="17" s="1"/>
  <c r="K95" i="17"/>
  <c r="L95" i="17"/>
  <c r="K100" i="16"/>
  <c r="L100" i="16" s="1"/>
  <c r="O100" i="16" s="1"/>
  <c r="S100" i="16" s="1"/>
  <c r="K99" i="16"/>
  <c r="L99" i="16" s="1"/>
  <c r="O99" i="16" s="1"/>
  <c r="S99" i="16" s="1"/>
  <c r="K98" i="16"/>
  <c r="L98" i="16" s="1"/>
  <c r="O98" i="16" s="1"/>
  <c r="S98" i="16" s="1"/>
  <c r="K97" i="16"/>
  <c r="L97" i="16" s="1"/>
  <c r="O97" i="16" s="1"/>
  <c r="S97" i="16" s="1"/>
  <c r="K96" i="16"/>
  <c r="L96" i="16" s="1"/>
  <c r="O96" i="16" s="1"/>
  <c r="S96" i="16" s="1"/>
  <c r="K95" i="16"/>
  <c r="L95" i="16" s="1"/>
  <c r="K97" i="11"/>
  <c r="L97" i="11" s="1"/>
  <c r="O97" i="11" s="1"/>
  <c r="S97" i="11" s="1"/>
  <c r="K97" i="14"/>
  <c r="L97" i="14" s="1"/>
  <c r="O97" i="14" s="1"/>
  <c r="S97" i="14" s="1"/>
  <c r="K96" i="14"/>
  <c r="L96" i="14" s="1"/>
  <c r="O96" i="14" s="1"/>
  <c r="S96" i="14" s="1"/>
  <c r="K95" i="14"/>
  <c r="L95" i="14"/>
  <c r="K95" i="11"/>
  <c r="L95" i="11" s="1"/>
  <c r="K100" i="13"/>
  <c r="L100" i="13"/>
  <c r="O100" i="13" s="1"/>
  <c r="S100" i="13" s="1"/>
  <c r="K99" i="13"/>
  <c r="L99" i="13"/>
  <c r="O99" i="13" s="1"/>
  <c r="S99" i="13" s="1"/>
  <c r="K98" i="13"/>
  <c r="L98" i="13" s="1"/>
  <c r="O98" i="13" s="1"/>
  <c r="S98" i="13" s="1"/>
  <c r="K97" i="13"/>
  <c r="L97" i="13" s="1"/>
  <c r="O97" i="13" s="1"/>
  <c r="S97" i="13" s="1"/>
  <c r="K96" i="13"/>
  <c r="L96" i="13" s="1"/>
  <c r="O96" i="13" s="1"/>
  <c r="S96" i="13" s="1"/>
  <c r="K95" i="13"/>
  <c r="L95" i="13" s="1"/>
  <c r="K96" i="11"/>
  <c r="L96" i="11"/>
  <c r="O96" i="11" s="1"/>
  <c r="S96" i="11" s="1"/>
  <c r="K100" i="10"/>
  <c r="L100" i="10" s="1"/>
  <c r="O100" i="10" s="1"/>
  <c r="S100" i="10" s="1"/>
  <c r="K99" i="10"/>
  <c r="L99" i="10" s="1"/>
  <c r="O99" i="10" s="1"/>
  <c r="S99" i="10" s="1"/>
  <c r="K98" i="10"/>
  <c r="L98" i="10" s="1"/>
  <c r="O98" i="10" s="1"/>
  <c r="S98" i="10" s="1"/>
  <c r="K97" i="10"/>
  <c r="L97" i="10" s="1"/>
  <c r="O97" i="10" s="1"/>
  <c r="S97" i="10" s="1"/>
  <c r="K96" i="10"/>
  <c r="L96" i="10" s="1"/>
  <c r="O96" i="10" s="1"/>
  <c r="S96" i="10" s="1"/>
  <c r="K95" i="10"/>
  <c r="L95" i="10"/>
  <c r="K81" i="11"/>
  <c r="L81" i="11" s="1"/>
  <c r="O81" i="11" s="1"/>
  <c r="S81" i="11" s="1"/>
  <c r="K82" i="17"/>
  <c r="L82" i="17"/>
  <c r="O82" i="17" s="1"/>
  <c r="S82" i="17" s="1"/>
  <c r="K81" i="17"/>
  <c r="L81" i="17"/>
  <c r="O81" i="17" s="1"/>
  <c r="S81" i="17" s="1"/>
  <c r="K80" i="17"/>
  <c r="L80" i="17" s="1"/>
  <c r="K82" i="11"/>
  <c r="L82" i="11"/>
  <c r="O82" i="11" s="1"/>
  <c r="S82" i="11" s="1"/>
  <c r="K82" i="14"/>
  <c r="L82" i="14" s="1"/>
  <c r="O82" i="14" s="1"/>
  <c r="S82" i="14" s="1"/>
  <c r="K81" i="14"/>
  <c r="L81" i="14"/>
  <c r="O81" i="14" s="1"/>
  <c r="S81" i="14" s="1"/>
  <c r="K80" i="14"/>
  <c r="L80" i="14"/>
  <c r="K80" i="11"/>
  <c r="L80" i="11"/>
  <c r="K82" i="12"/>
  <c r="L82" i="12" s="1"/>
  <c r="O82" i="12" s="1"/>
  <c r="S82" i="12" s="1"/>
  <c r="K81" i="12"/>
  <c r="L81" i="12"/>
  <c r="O81" i="12" s="1"/>
  <c r="S81" i="12" s="1"/>
  <c r="K80" i="12"/>
  <c r="L80" i="12"/>
  <c r="O80" i="12" s="1"/>
  <c r="S80" i="12" s="1"/>
  <c r="K79" i="12"/>
  <c r="L79" i="12"/>
  <c r="O79" i="12" s="1"/>
  <c r="S79" i="12" s="1"/>
  <c r="K78" i="12"/>
  <c r="L78" i="12"/>
  <c r="O78" i="12" s="1"/>
  <c r="S78" i="12" s="1"/>
  <c r="K77" i="12"/>
  <c r="L77" i="12"/>
  <c r="K79" i="11"/>
  <c r="L79" i="11" s="1"/>
  <c r="O79" i="11" s="1"/>
  <c r="S79" i="11" s="1"/>
  <c r="K78" i="11"/>
  <c r="L78" i="11"/>
  <c r="O78" i="11" s="1"/>
  <c r="S78" i="11" s="1"/>
  <c r="K77" i="11"/>
  <c r="L77" i="11" s="1"/>
  <c r="K82" i="10"/>
  <c r="L82" i="10"/>
  <c r="O82" i="10" s="1"/>
  <c r="S82" i="10" s="1"/>
  <c r="K81" i="10"/>
  <c r="L81" i="10" s="1"/>
  <c r="O81" i="10" s="1"/>
  <c r="S81" i="10" s="1"/>
  <c r="K80" i="10"/>
  <c r="L80" i="10"/>
  <c r="O80" i="10" s="1"/>
  <c r="S80" i="10" s="1"/>
  <c r="K79" i="10"/>
  <c r="L79" i="10"/>
  <c r="O79" i="10" s="1"/>
  <c r="S79" i="10" s="1"/>
  <c r="K78" i="10"/>
  <c r="L78" i="10"/>
  <c r="O78" i="10" s="1"/>
  <c r="S78" i="10" s="1"/>
  <c r="K77" i="10"/>
  <c r="L77" i="10" s="1"/>
  <c r="K88" i="9"/>
  <c r="L88" i="9" s="1"/>
  <c r="O88" i="9" s="1"/>
  <c r="S88" i="9" s="1"/>
  <c r="K87" i="9"/>
  <c r="L87" i="9"/>
  <c r="O87" i="9" s="1"/>
  <c r="S87" i="9" s="1"/>
  <c r="K86" i="9"/>
  <c r="L86" i="9"/>
  <c r="O86" i="9" s="1"/>
  <c r="S86" i="9" s="1"/>
  <c r="K85" i="9"/>
  <c r="L85" i="9"/>
  <c r="O85" i="9" s="1"/>
  <c r="S85" i="9" s="1"/>
  <c r="K84" i="9"/>
  <c r="L84" i="9"/>
  <c r="O84" i="9" s="1"/>
  <c r="S84" i="9" s="1"/>
  <c r="K83" i="9"/>
  <c r="L83" i="9" s="1"/>
  <c r="O83" i="9" s="1"/>
  <c r="S83" i="9" s="1"/>
  <c r="K82" i="9"/>
  <c r="L82" i="9" s="1"/>
  <c r="O82" i="9" s="1"/>
  <c r="S82" i="9" s="1"/>
  <c r="K81" i="9"/>
  <c r="L81" i="9"/>
  <c r="O81" i="9" s="1"/>
  <c r="S81" i="9" s="1"/>
  <c r="K80" i="9"/>
  <c r="L80" i="9" s="1"/>
  <c r="O80" i="9" s="1"/>
  <c r="S80" i="9" s="1"/>
  <c r="K79" i="9"/>
  <c r="L79" i="9"/>
  <c r="O79" i="9" s="1"/>
  <c r="S79" i="9" s="1"/>
  <c r="K78" i="9"/>
  <c r="L78" i="9"/>
  <c r="O78" i="9" s="1"/>
  <c r="S78" i="9" s="1"/>
  <c r="K77" i="9"/>
  <c r="L77" i="9"/>
  <c r="K70" i="17"/>
  <c r="L70" i="17" s="1"/>
  <c r="O70" i="17" s="1"/>
  <c r="S70" i="17" s="1"/>
  <c r="K69" i="17"/>
  <c r="L69" i="17"/>
  <c r="O69" i="17" s="1"/>
  <c r="S69" i="17" s="1"/>
  <c r="K68" i="17"/>
  <c r="L68" i="17"/>
  <c r="K70" i="14"/>
  <c r="L70" i="14" s="1"/>
  <c r="O70" i="14" s="1"/>
  <c r="S70" i="14" s="1"/>
  <c r="K69" i="14"/>
  <c r="L69" i="14" s="1"/>
  <c r="O69" i="14" s="1"/>
  <c r="S69" i="14" s="1"/>
  <c r="K68" i="14"/>
  <c r="L68" i="14" s="1"/>
  <c r="K70" i="11"/>
  <c r="L70" i="11"/>
  <c r="O70" i="11" s="1"/>
  <c r="S70" i="11" s="1"/>
  <c r="K69" i="11"/>
  <c r="L69" i="11" s="1"/>
  <c r="O69" i="11" s="1"/>
  <c r="S69" i="11" s="1"/>
  <c r="K68" i="11"/>
  <c r="L68" i="11"/>
  <c r="K58" i="17"/>
  <c r="L58" i="17"/>
  <c r="O58" i="17" s="1"/>
  <c r="S58" i="17" s="1"/>
  <c r="K57" i="17"/>
  <c r="L57" i="17" s="1"/>
  <c r="O57" i="17" s="1"/>
  <c r="S57" i="17" s="1"/>
  <c r="K56" i="17"/>
  <c r="L56" i="17" s="1"/>
  <c r="K58" i="14"/>
  <c r="L58" i="14"/>
  <c r="O58" i="14" s="1"/>
  <c r="S58" i="14" s="1"/>
  <c r="K57" i="14"/>
  <c r="L57" i="14"/>
  <c r="O57" i="14" s="1"/>
  <c r="S57" i="14" s="1"/>
  <c r="K56" i="14"/>
  <c r="L56" i="14"/>
  <c r="K58" i="11"/>
  <c r="L58" i="11" s="1"/>
  <c r="O58" i="11" s="1"/>
  <c r="S58" i="11" s="1"/>
  <c r="K57" i="11"/>
  <c r="L57" i="11"/>
  <c r="O57" i="11" s="1"/>
  <c r="S57" i="11" s="1"/>
  <c r="K56" i="11"/>
  <c r="L56" i="11" s="1"/>
  <c r="K34" i="16"/>
  <c r="L34" i="16"/>
  <c r="O34" i="16" s="1"/>
  <c r="S34" i="16" s="1"/>
  <c r="K33" i="16"/>
  <c r="L33" i="16"/>
  <c r="O33" i="16" s="1"/>
  <c r="S33" i="16" s="1"/>
  <c r="K32" i="16"/>
  <c r="L32" i="16" s="1"/>
  <c r="O32" i="16" s="1"/>
  <c r="S32" i="16" s="1"/>
  <c r="K30" i="16"/>
  <c r="L30" i="16"/>
  <c r="O30" i="16" s="1"/>
  <c r="S30" i="16" s="1"/>
  <c r="K37" i="12"/>
  <c r="L37" i="12"/>
  <c r="O37" i="12" s="1"/>
  <c r="S37" i="12" s="1"/>
  <c r="K31" i="17"/>
  <c r="L31" i="17" s="1"/>
  <c r="O31" i="17" s="1"/>
  <c r="S31" i="17" s="1"/>
  <c r="K30" i="17"/>
  <c r="L30" i="17"/>
  <c r="O30" i="17" s="1"/>
  <c r="S30" i="17" s="1"/>
  <c r="K29" i="17"/>
  <c r="L29" i="17" s="1"/>
  <c r="K31" i="16"/>
  <c r="L31" i="16"/>
  <c r="O31" i="16" s="1"/>
  <c r="S31" i="16" s="1"/>
  <c r="K29" i="16"/>
  <c r="L29" i="16" s="1"/>
  <c r="K38" i="12"/>
  <c r="L38" i="12" s="1"/>
  <c r="O38" i="12" s="1"/>
  <c r="S38" i="12" s="1"/>
  <c r="K30" i="12"/>
  <c r="L30" i="12"/>
  <c r="O30" i="12" s="1"/>
  <c r="S30" i="12" s="1"/>
  <c r="K40" i="15"/>
  <c r="L40" i="15" s="1"/>
  <c r="O40" i="15" s="1"/>
  <c r="S40" i="15" s="1"/>
  <c r="K39" i="15"/>
  <c r="L39" i="15"/>
  <c r="O39" i="15" s="1"/>
  <c r="S39" i="15" s="1"/>
  <c r="K38" i="15"/>
  <c r="L38" i="15"/>
  <c r="O38" i="15" s="1"/>
  <c r="S38" i="15" s="1"/>
  <c r="K37" i="15"/>
  <c r="L37" i="15"/>
  <c r="O37" i="15" s="1"/>
  <c r="S37" i="15" s="1"/>
  <c r="K36" i="15"/>
  <c r="L36" i="15"/>
  <c r="O36" i="15" s="1"/>
  <c r="S36" i="15" s="1"/>
  <c r="K35" i="15"/>
  <c r="L35" i="15" s="1"/>
  <c r="O35" i="15" s="1"/>
  <c r="S35" i="15" s="1"/>
  <c r="K34" i="15"/>
  <c r="L34" i="15" s="1"/>
  <c r="O34" i="15" s="1"/>
  <c r="S34" i="15" s="1"/>
  <c r="K33" i="15"/>
  <c r="L33" i="15"/>
  <c r="O33" i="15" s="1"/>
  <c r="S33" i="15" s="1"/>
  <c r="K32" i="15"/>
  <c r="L32" i="15" s="1"/>
  <c r="O32" i="15" s="1"/>
  <c r="S32" i="15" s="1"/>
  <c r="K31" i="15"/>
  <c r="L31" i="15" s="1"/>
  <c r="O31" i="15" s="1"/>
  <c r="S31" i="15" s="1"/>
  <c r="K30" i="15"/>
  <c r="L30" i="15"/>
  <c r="O30" i="15" s="1"/>
  <c r="S30" i="15" s="1"/>
  <c r="K29" i="15"/>
  <c r="L29" i="15"/>
  <c r="K36" i="12"/>
  <c r="L36" i="12"/>
  <c r="O36" i="12" s="1"/>
  <c r="S36" i="12" s="1"/>
  <c r="K33" i="12"/>
  <c r="L33" i="12" s="1"/>
  <c r="O33" i="12" s="1"/>
  <c r="S33" i="12" s="1"/>
  <c r="K29" i="12"/>
  <c r="L29" i="12" s="1"/>
  <c r="K31" i="14"/>
  <c r="L31" i="14"/>
  <c r="O31" i="14" s="1"/>
  <c r="S31" i="14" s="1"/>
  <c r="K30" i="14"/>
  <c r="L30" i="14" s="1"/>
  <c r="O30" i="14" s="1"/>
  <c r="S30" i="14" s="1"/>
  <c r="K29" i="14"/>
  <c r="L29" i="14" s="1"/>
  <c r="K34" i="13"/>
  <c r="L34" i="13" s="1"/>
  <c r="O34" i="13" s="1"/>
  <c r="S34" i="13" s="1"/>
  <c r="K33" i="13"/>
  <c r="L33" i="13"/>
  <c r="O33" i="13" s="1"/>
  <c r="S33" i="13" s="1"/>
  <c r="K32" i="13"/>
  <c r="L32" i="13" s="1"/>
  <c r="O32" i="13" s="1"/>
  <c r="S32" i="13" s="1"/>
  <c r="K31" i="13"/>
  <c r="L31" i="13" s="1"/>
  <c r="O31" i="13" s="1"/>
  <c r="S31" i="13" s="1"/>
  <c r="K30" i="13"/>
  <c r="L30" i="13"/>
  <c r="O30" i="13" s="1"/>
  <c r="S30" i="13" s="1"/>
  <c r="K29" i="13"/>
  <c r="L29" i="13"/>
  <c r="K35" i="12"/>
  <c r="L35" i="12" s="1"/>
  <c r="O35" i="12" s="1"/>
  <c r="S35" i="12" s="1"/>
  <c r="K34" i="12"/>
  <c r="L34" i="12"/>
  <c r="O34" i="12" s="1"/>
  <c r="S34" i="12" s="1"/>
  <c r="K31" i="12"/>
  <c r="L31" i="12" s="1"/>
  <c r="O31" i="12" s="1"/>
  <c r="S31" i="12" s="1"/>
  <c r="K40" i="12"/>
  <c r="L40" i="12" s="1"/>
  <c r="O40" i="12" s="1"/>
  <c r="S40" i="12" s="1"/>
  <c r="L39" i="12"/>
  <c r="O39" i="12" s="1"/>
  <c r="S39" i="12" s="1"/>
  <c r="K39" i="12"/>
  <c r="K31" i="11"/>
  <c r="L31" i="11"/>
  <c r="O31" i="11" s="1"/>
  <c r="S31" i="11" s="1"/>
  <c r="K30" i="11"/>
  <c r="L30" i="11" s="1"/>
  <c r="O30" i="11" s="1"/>
  <c r="S30" i="11" s="1"/>
  <c r="K29" i="11"/>
  <c r="L29" i="11" s="1"/>
  <c r="K34" i="10"/>
  <c r="L34" i="10"/>
  <c r="O34" i="10" s="1"/>
  <c r="S34" i="10" s="1"/>
  <c r="K33" i="10"/>
  <c r="L33" i="10"/>
  <c r="O33" i="10" s="1"/>
  <c r="S33" i="10" s="1"/>
  <c r="K32" i="10"/>
  <c r="L32" i="10" s="1"/>
  <c r="O32" i="10" s="1"/>
  <c r="S32" i="10" s="1"/>
  <c r="K31" i="10"/>
  <c r="L31" i="10"/>
  <c r="O31" i="10" s="1"/>
  <c r="S31" i="10" s="1"/>
  <c r="K30" i="10"/>
  <c r="L30" i="10"/>
  <c r="O30" i="10" s="1"/>
  <c r="S30" i="10" s="1"/>
  <c r="K29" i="10"/>
  <c r="L29" i="10"/>
  <c r="K40" i="9"/>
  <c r="L40" i="9"/>
  <c r="O40" i="9" s="1"/>
  <c r="S40" i="9" s="1"/>
  <c r="K39" i="9"/>
  <c r="L39" i="9"/>
  <c r="O39" i="9" s="1"/>
  <c r="S39" i="9" s="1"/>
  <c r="K38" i="9"/>
  <c r="L38" i="9"/>
  <c r="O38" i="9" s="1"/>
  <c r="S38" i="9" s="1"/>
  <c r="K37" i="9"/>
  <c r="L37" i="9" s="1"/>
  <c r="O37" i="9" s="1"/>
  <c r="S37" i="9" s="1"/>
  <c r="K36" i="9"/>
  <c r="L36" i="9" s="1"/>
  <c r="O36" i="9" s="1"/>
  <c r="S36" i="9" s="1"/>
  <c r="K35" i="9"/>
  <c r="L35" i="9" s="1"/>
  <c r="O35" i="9" s="1"/>
  <c r="S35" i="9" s="1"/>
  <c r="K34" i="9"/>
  <c r="L34" i="9" s="1"/>
  <c r="O34" i="9" s="1"/>
  <c r="S34" i="9" s="1"/>
  <c r="K33" i="9"/>
  <c r="L33" i="9"/>
  <c r="O33" i="9" s="1"/>
  <c r="S33" i="9" s="1"/>
  <c r="K32" i="9"/>
  <c r="L32" i="9"/>
  <c r="O32" i="9" s="1"/>
  <c r="S32" i="9" s="1"/>
  <c r="K31" i="9"/>
  <c r="L31" i="9" s="1"/>
  <c r="O31" i="9" s="1"/>
  <c r="S31" i="9" s="1"/>
  <c r="K30" i="9"/>
  <c r="L30" i="9"/>
  <c r="O30" i="9" s="1"/>
  <c r="S30" i="9" s="1"/>
  <c r="K29" i="9"/>
  <c r="L29" i="9" s="1"/>
  <c r="K32" i="12"/>
  <c r="L32" i="12"/>
  <c r="O32" i="12" s="1"/>
  <c r="S32" i="12" s="1"/>
  <c r="K10" i="17"/>
  <c r="L10" i="17"/>
  <c r="O10" i="17" s="1"/>
  <c r="S10" i="17" s="1"/>
  <c r="K9" i="17"/>
  <c r="L9" i="17" s="1"/>
  <c r="O9" i="17" s="1"/>
  <c r="S9" i="17" s="1"/>
  <c r="K8" i="17"/>
  <c r="L8" i="17"/>
  <c r="K10" i="14"/>
  <c r="L10" i="14"/>
  <c r="O10" i="14" s="1"/>
  <c r="S10" i="14" s="1"/>
  <c r="K9" i="14"/>
  <c r="L9" i="14"/>
  <c r="O9" i="14" s="1"/>
  <c r="S9" i="14" s="1"/>
  <c r="K8" i="14"/>
  <c r="L8" i="14"/>
  <c r="K10" i="11"/>
  <c r="L10" i="11" s="1"/>
  <c r="O10" i="11" s="1"/>
  <c r="S10" i="11" s="1"/>
  <c r="K9" i="11"/>
  <c r="L9" i="11" s="1"/>
  <c r="O9" i="11" s="1"/>
  <c r="S9" i="11" s="1"/>
  <c r="K8" i="11"/>
  <c r="L8" i="11"/>
  <c r="K13" i="12"/>
  <c r="L13" i="12" s="1"/>
  <c r="O13" i="12" s="1"/>
  <c r="S13" i="12" s="1"/>
  <c r="K8" i="12"/>
  <c r="L8" i="12" s="1"/>
  <c r="O8" i="12" s="1"/>
  <c r="S8" i="12" s="1"/>
  <c r="K14" i="15"/>
  <c r="L14" i="15"/>
  <c r="O14" i="15" s="1"/>
  <c r="S14" i="15" s="1"/>
  <c r="K13" i="15"/>
  <c r="L13" i="15" s="1"/>
  <c r="O13" i="15" s="1"/>
  <c r="S13" i="15" s="1"/>
  <c r="K12" i="15"/>
  <c r="L12" i="15" s="1"/>
  <c r="O12" i="15" s="1"/>
  <c r="S12" i="15" s="1"/>
  <c r="K11" i="15"/>
  <c r="L11" i="15" s="1"/>
  <c r="O11" i="15" s="1"/>
  <c r="S11" i="15" s="1"/>
  <c r="K10" i="15"/>
  <c r="L10" i="15" s="1"/>
  <c r="O10" i="15" s="1"/>
  <c r="S10" i="15" s="1"/>
  <c r="K9" i="15"/>
  <c r="L9" i="15"/>
  <c r="O9" i="15" s="1"/>
  <c r="S9" i="15" s="1"/>
  <c r="K8" i="15"/>
  <c r="L8" i="15"/>
  <c r="O8" i="15" s="1"/>
  <c r="S8" i="15" s="1"/>
  <c r="K7" i="15"/>
  <c r="L7" i="15"/>
  <c r="O7" i="15" s="1"/>
  <c r="S7" i="15" s="1"/>
  <c r="K6" i="15"/>
  <c r="L6" i="15" s="1"/>
  <c r="O6" i="15" s="1"/>
  <c r="S6" i="15" s="1"/>
  <c r="K5" i="15"/>
  <c r="L5" i="15" s="1"/>
  <c r="O5" i="15" s="1"/>
  <c r="K7" i="14"/>
  <c r="L7" i="14"/>
  <c r="O7" i="14" s="1"/>
  <c r="S7" i="14" s="1"/>
  <c r="K6" i="14"/>
  <c r="L6" i="14" s="1"/>
  <c r="O6" i="14" s="1"/>
  <c r="S6" i="14" s="1"/>
  <c r="K5" i="14"/>
  <c r="L5" i="14" s="1"/>
  <c r="O5" i="14" s="1"/>
  <c r="K7" i="12"/>
  <c r="L7" i="12"/>
  <c r="O7" i="12" s="1"/>
  <c r="S7" i="12" s="1"/>
  <c r="K6" i="12"/>
  <c r="L6" i="12"/>
  <c r="O6" i="12" s="1"/>
  <c r="S6" i="12" s="1"/>
  <c r="K10" i="13"/>
  <c r="L10" i="13" s="1"/>
  <c r="O10" i="13" s="1"/>
  <c r="S10" i="13" s="1"/>
  <c r="K9" i="13"/>
  <c r="L9" i="13" s="1"/>
  <c r="O9" i="13" s="1"/>
  <c r="S9" i="13" s="1"/>
  <c r="K8" i="13"/>
  <c r="L8" i="13" s="1"/>
  <c r="O8" i="13" s="1"/>
  <c r="S8" i="13" s="1"/>
  <c r="K7" i="13"/>
  <c r="L7" i="13" s="1"/>
  <c r="O7" i="13" s="1"/>
  <c r="S7" i="13" s="1"/>
  <c r="K6" i="13"/>
  <c r="L6" i="13" s="1"/>
  <c r="O6" i="13" s="1"/>
  <c r="S6" i="13" s="1"/>
  <c r="K5" i="13"/>
  <c r="L5" i="13" s="1"/>
  <c r="O5" i="13" s="1"/>
  <c r="K15" i="12"/>
  <c r="L15" i="12" s="1"/>
  <c r="O15" i="12" s="1"/>
  <c r="S15" i="12" s="1"/>
  <c r="K14" i="12"/>
  <c r="L14" i="12" s="1"/>
  <c r="O14" i="12" s="1"/>
  <c r="S14" i="12" s="1"/>
  <c r="K5" i="12"/>
  <c r="L5" i="12"/>
  <c r="O5" i="12" s="1"/>
  <c r="K7" i="11"/>
  <c r="L7" i="11"/>
  <c r="O7" i="11" s="1"/>
  <c r="S7" i="11" s="1"/>
  <c r="K6" i="11"/>
  <c r="L6" i="11" s="1"/>
  <c r="O6" i="11" s="1"/>
  <c r="S6" i="11" s="1"/>
  <c r="K5" i="11"/>
  <c r="L5" i="11"/>
  <c r="O5" i="11" s="1"/>
  <c r="K10" i="12"/>
  <c r="L10" i="12" s="1"/>
  <c r="O10" i="12" s="1"/>
  <c r="S10" i="12" s="1"/>
  <c r="K10" i="10"/>
  <c r="L10" i="10"/>
  <c r="O10" i="10" s="1"/>
  <c r="S10" i="10" s="1"/>
  <c r="K9" i="10"/>
  <c r="L9" i="10"/>
  <c r="O9" i="10" s="1"/>
  <c r="S9" i="10" s="1"/>
  <c r="K8" i="10"/>
  <c r="L8" i="10"/>
  <c r="O8" i="10" s="1"/>
  <c r="S8" i="10" s="1"/>
  <c r="K7" i="10"/>
  <c r="L7" i="10" s="1"/>
  <c r="O7" i="10" s="1"/>
  <c r="S7" i="10" s="1"/>
  <c r="K6" i="10"/>
  <c r="L6" i="10" s="1"/>
  <c r="O6" i="10" s="1"/>
  <c r="S6" i="10" s="1"/>
  <c r="K5" i="10"/>
  <c r="L5" i="10"/>
  <c r="O5" i="10" s="1"/>
  <c r="K16" i="9"/>
  <c r="L16" i="9"/>
  <c r="O16" i="9" s="1"/>
  <c r="S16" i="9" s="1"/>
  <c r="K15" i="9"/>
  <c r="L15" i="9" s="1"/>
  <c r="O15" i="9" s="1"/>
  <c r="S15" i="9" s="1"/>
  <c r="K14" i="9"/>
  <c r="L14" i="9" s="1"/>
  <c r="O14" i="9" s="1"/>
  <c r="S14" i="9" s="1"/>
  <c r="K13" i="9"/>
  <c r="L13" i="9"/>
  <c r="O13" i="9" s="1"/>
  <c r="S13" i="9" s="1"/>
  <c r="K12" i="9"/>
  <c r="L12" i="9" s="1"/>
  <c r="O12" i="9" s="1"/>
  <c r="S12" i="9" s="1"/>
  <c r="K11" i="9"/>
  <c r="L11" i="9"/>
  <c r="O11" i="9" s="1"/>
  <c r="S11" i="9" s="1"/>
  <c r="K10" i="9"/>
  <c r="L10" i="9" s="1"/>
  <c r="O10" i="9" s="1"/>
  <c r="S10" i="9" s="1"/>
  <c r="K9" i="9"/>
  <c r="L9" i="9"/>
  <c r="O9" i="9" s="1"/>
  <c r="S9" i="9" s="1"/>
  <c r="K8" i="9"/>
  <c r="L8" i="9" s="1"/>
  <c r="O8" i="9" s="1"/>
  <c r="S8" i="9" s="1"/>
  <c r="K7" i="9"/>
  <c r="L7" i="9" s="1"/>
  <c r="O7" i="9" s="1"/>
  <c r="S7" i="9" s="1"/>
  <c r="K6" i="9"/>
  <c r="L6" i="9" s="1"/>
  <c r="O6" i="9" s="1"/>
  <c r="S6" i="9" s="1"/>
  <c r="K5" i="9"/>
  <c r="L5" i="9"/>
  <c r="O5" i="9" s="1"/>
  <c r="K16" i="12"/>
  <c r="L16" i="12" s="1"/>
  <c r="O16" i="12" s="1"/>
  <c r="S16" i="12" s="1"/>
  <c r="K115" i="17"/>
  <c r="L115" i="17" s="1"/>
  <c r="O115" i="17" s="1"/>
  <c r="S115" i="17" s="1"/>
  <c r="K114" i="17"/>
  <c r="L114" i="17" s="1"/>
  <c r="O114" i="17" s="1"/>
  <c r="S114" i="17" s="1"/>
  <c r="K113" i="17"/>
  <c r="L113" i="17" s="1"/>
  <c r="L117" i="16"/>
  <c r="O117" i="16" s="1"/>
  <c r="S117" i="16" s="1"/>
  <c r="K117" i="16"/>
  <c r="K116" i="16"/>
  <c r="L116" i="16"/>
  <c r="O116" i="16" s="1"/>
  <c r="S116" i="16" s="1"/>
  <c r="K115" i="16"/>
  <c r="L115" i="16"/>
  <c r="O115" i="16" s="1"/>
  <c r="S115" i="16" s="1"/>
  <c r="K114" i="16"/>
  <c r="L114" i="16"/>
  <c r="O114" i="16" s="1"/>
  <c r="S114" i="16" s="1"/>
  <c r="K113" i="16"/>
  <c r="L113" i="16" s="1"/>
  <c r="K114" i="11"/>
  <c r="L114" i="11"/>
  <c r="O114" i="11" s="1"/>
  <c r="S114" i="11" s="1"/>
  <c r="K113" i="11"/>
  <c r="L113" i="11"/>
  <c r="L117" i="15"/>
  <c r="O117" i="15" s="1"/>
  <c r="S117" i="15" s="1"/>
  <c r="K117" i="15"/>
  <c r="L116" i="15"/>
  <c r="O116" i="15" s="1"/>
  <c r="S116" i="15" s="1"/>
  <c r="K116" i="15"/>
  <c r="L115" i="15"/>
  <c r="O115" i="15" s="1"/>
  <c r="S115" i="15" s="1"/>
  <c r="K115" i="15"/>
  <c r="L114" i="15"/>
  <c r="O114" i="15" s="1"/>
  <c r="S114" i="15" s="1"/>
  <c r="K114" i="15"/>
  <c r="L113" i="15"/>
  <c r="K113" i="15"/>
  <c r="K115" i="14"/>
  <c r="L115" i="14"/>
  <c r="O115" i="14" s="1"/>
  <c r="S115" i="14" s="1"/>
  <c r="L114" i="14"/>
  <c r="O114" i="14" s="1"/>
  <c r="S114" i="14" s="1"/>
  <c r="K114" i="14"/>
  <c r="L113" i="14"/>
  <c r="K113" i="14"/>
  <c r="K117" i="13"/>
  <c r="L117" i="13"/>
  <c r="O117" i="13" s="1"/>
  <c r="S117" i="13" s="1"/>
  <c r="L116" i="13"/>
  <c r="O116" i="13" s="1"/>
  <c r="S116" i="13" s="1"/>
  <c r="K116" i="13"/>
  <c r="K115" i="13"/>
  <c r="L115" i="13"/>
  <c r="O115" i="13" s="1"/>
  <c r="S115" i="13" s="1"/>
  <c r="K114" i="13"/>
  <c r="L114" i="13"/>
  <c r="O114" i="13" s="1"/>
  <c r="S114" i="13" s="1"/>
  <c r="K113" i="13"/>
  <c r="L113" i="13"/>
  <c r="L115" i="11"/>
  <c r="O115" i="11" s="1"/>
  <c r="S115" i="11" s="1"/>
  <c r="K115" i="11"/>
  <c r="L117" i="12"/>
  <c r="O117" i="12" s="1"/>
  <c r="S117" i="12" s="1"/>
  <c r="K117" i="12"/>
  <c r="K116" i="12"/>
  <c r="L116" i="12"/>
  <c r="O116" i="12" s="1"/>
  <c r="S116" i="12" s="1"/>
  <c r="K115" i="12"/>
  <c r="L115" i="12"/>
  <c r="O115" i="12" s="1"/>
  <c r="S115" i="12" s="1"/>
  <c r="K114" i="12"/>
  <c r="L114" i="12"/>
  <c r="O114" i="12" s="1"/>
  <c r="S114" i="12" s="1"/>
  <c r="K113" i="12"/>
  <c r="L113" i="12"/>
  <c r="L117" i="10"/>
  <c r="O117" i="10" s="1"/>
  <c r="S117" i="10" s="1"/>
  <c r="K117" i="10"/>
  <c r="L116" i="10"/>
  <c r="O116" i="10" s="1"/>
  <c r="S116" i="10" s="1"/>
  <c r="K116" i="10"/>
  <c r="L115" i="10"/>
  <c r="O115" i="10" s="1"/>
  <c r="S115" i="10" s="1"/>
  <c r="K115" i="10"/>
  <c r="L114" i="10"/>
  <c r="O114" i="10" s="1"/>
  <c r="S114" i="10" s="1"/>
  <c r="K114" i="10"/>
  <c r="K113" i="10"/>
  <c r="L113" i="10"/>
  <c r="K117" i="9"/>
  <c r="L117" i="9"/>
  <c r="O117" i="9" s="1"/>
  <c r="S117" i="9" s="1"/>
  <c r="K116" i="9"/>
  <c r="L116" i="9"/>
  <c r="O116" i="9" s="1"/>
  <c r="S116" i="9" s="1"/>
  <c r="K115" i="9"/>
  <c r="L115" i="9"/>
  <c r="O115" i="9" s="1"/>
  <c r="S115" i="9" s="1"/>
  <c r="K114" i="9"/>
  <c r="L114" i="9"/>
  <c r="O114" i="9" s="1"/>
  <c r="S114" i="9" s="1"/>
  <c r="L113" i="9"/>
  <c r="K113" i="9"/>
  <c r="L103" i="17"/>
  <c r="O103" i="17" s="1"/>
  <c r="S103" i="17" s="1"/>
  <c r="K103" i="17"/>
  <c r="L102" i="17"/>
  <c r="O102" i="17" s="1"/>
  <c r="S102" i="17" s="1"/>
  <c r="K102" i="17"/>
  <c r="L101" i="17"/>
  <c r="K101" i="17"/>
  <c r="K106" i="16"/>
  <c r="L106" i="16"/>
  <c r="O106" i="16" s="1"/>
  <c r="S106" i="16" s="1"/>
  <c r="L105" i="16"/>
  <c r="O105" i="16" s="1"/>
  <c r="S105" i="16" s="1"/>
  <c r="K105" i="16"/>
  <c r="L104" i="16"/>
  <c r="O104" i="16" s="1"/>
  <c r="S104" i="16" s="1"/>
  <c r="K104" i="16"/>
  <c r="K103" i="16"/>
  <c r="L103" i="16"/>
  <c r="O103" i="16" s="1"/>
  <c r="S103" i="16" s="1"/>
  <c r="L102" i="16"/>
  <c r="O102" i="16" s="1"/>
  <c r="S102" i="16" s="1"/>
  <c r="K102" i="16"/>
  <c r="K101" i="16"/>
  <c r="L101" i="16"/>
  <c r="L102" i="11"/>
  <c r="O102" i="11" s="1"/>
  <c r="S102" i="11" s="1"/>
  <c r="K102" i="11"/>
  <c r="L112" i="15"/>
  <c r="O112" i="15" s="1"/>
  <c r="S112" i="15" s="1"/>
  <c r="K112" i="15"/>
  <c r="L111" i="15"/>
  <c r="O111" i="15" s="1"/>
  <c r="S111" i="15" s="1"/>
  <c r="K111" i="15"/>
  <c r="L110" i="15"/>
  <c r="O110" i="15" s="1"/>
  <c r="S110" i="15" s="1"/>
  <c r="K110" i="15"/>
  <c r="L109" i="15"/>
  <c r="O109" i="15" s="1"/>
  <c r="S109" i="15" s="1"/>
  <c r="K109" i="15"/>
  <c r="L108" i="15"/>
  <c r="O108" i="15" s="1"/>
  <c r="S108" i="15" s="1"/>
  <c r="K108" i="15"/>
  <c r="L107" i="15"/>
  <c r="O107" i="15" s="1"/>
  <c r="S107" i="15" s="1"/>
  <c r="K107" i="15"/>
  <c r="L106" i="15"/>
  <c r="O106" i="15" s="1"/>
  <c r="S106" i="15" s="1"/>
  <c r="K106" i="15"/>
  <c r="L105" i="15"/>
  <c r="O105" i="15" s="1"/>
  <c r="S105" i="15" s="1"/>
  <c r="K105" i="15"/>
  <c r="L104" i="15"/>
  <c r="O104" i="15" s="1"/>
  <c r="S104" i="15" s="1"/>
  <c r="K104" i="15"/>
  <c r="K103" i="15"/>
  <c r="L103" i="15"/>
  <c r="O103" i="15" s="1"/>
  <c r="S103" i="15" s="1"/>
  <c r="K102" i="15"/>
  <c r="L102" i="15"/>
  <c r="O102" i="15" s="1"/>
  <c r="S102" i="15" s="1"/>
  <c r="K101" i="15"/>
  <c r="L101" i="15"/>
  <c r="K103" i="14"/>
  <c r="L103" i="14"/>
  <c r="O103" i="14" s="1"/>
  <c r="S103" i="14" s="1"/>
  <c r="L102" i="14"/>
  <c r="O102" i="14" s="1"/>
  <c r="S102" i="14" s="1"/>
  <c r="K102" i="14"/>
  <c r="K101" i="14"/>
  <c r="L101" i="14"/>
  <c r="K106" i="13"/>
  <c r="L106" i="13"/>
  <c r="O106" i="13" s="1"/>
  <c r="S106" i="13" s="1"/>
  <c r="L105" i="13"/>
  <c r="O105" i="13" s="1"/>
  <c r="S105" i="13" s="1"/>
  <c r="K105" i="13"/>
  <c r="L104" i="13"/>
  <c r="O104" i="13" s="1"/>
  <c r="S104" i="13" s="1"/>
  <c r="K104" i="13"/>
  <c r="K103" i="13"/>
  <c r="L103" i="13"/>
  <c r="O103" i="13" s="1"/>
  <c r="S103" i="13" s="1"/>
  <c r="L102" i="13"/>
  <c r="O102" i="13" s="1"/>
  <c r="S102" i="13" s="1"/>
  <c r="K102" i="13"/>
  <c r="L101" i="13"/>
  <c r="K101" i="13"/>
  <c r="K112" i="12"/>
  <c r="L112" i="12"/>
  <c r="O112" i="12" s="1"/>
  <c r="S112" i="12" s="1"/>
  <c r="L111" i="12"/>
  <c r="O111" i="12" s="1"/>
  <c r="S111" i="12" s="1"/>
  <c r="K111" i="12"/>
  <c r="L110" i="12"/>
  <c r="O110" i="12" s="1"/>
  <c r="S110" i="12" s="1"/>
  <c r="K110" i="12"/>
  <c r="K109" i="12"/>
  <c r="L109" i="12"/>
  <c r="O109" i="12" s="1"/>
  <c r="S109" i="12" s="1"/>
  <c r="L108" i="12"/>
  <c r="O108" i="12" s="1"/>
  <c r="S108" i="12" s="1"/>
  <c r="K108" i="12"/>
  <c r="L107" i="12"/>
  <c r="O107" i="12" s="1"/>
  <c r="S107" i="12" s="1"/>
  <c r="K107" i="12"/>
  <c r="L106" i="12"/>
  <c r="O106" i="12" s="1"/>
  <c r="S106" i="12" s="1"/>
  <c r="K106" i="12"/>
  <c r="L105" i="12"/>
  <c r="O105" i="12" s="1"/>
  <c r="S105" i="12" s="1"/>
  <c r="K105" i="12"/>
  <c r="L104" i="12"/>
  <c r="O104" i="12" s="1"/>
  <c r="S104" i="12" s="1"/>
  <c r="K104" i="12"/>
  <c r="K103" i="12"/>
  <c r="L103" i="12"/>
  <c r="O103" i="12" s="1"/>
  <c r="S103" i="12" s="1"/>
  <c r="L102" i="12"/>
  <c r="O102" i="12" s="1"/>
  <c r="S102" i="12" s="1"/>
  <c r="K102" i="12"/>
  <c r="K101" i="12"/>
  <c r="L101" i="12"/>
  <c r="K103" i="11"/>
  <c r="L103" i="11"/>
  <c r="O103" i="11" s="1"/>
  <c r="S103" i="11" s="1"/>
  <c r="K106" i="10"/>
  <c r="L106" i="10"/>
  <c r="O106" i="10" s="1"/>
  <c r="S106" i="10" s="1"/>
  <c r="K101" i="11"/>
  <c r="L101" i="11"/>
  <c r="K85" i="17"/>
  <c r="L85" i="17"/>
  <c r="O85" i="17" s="1"/>
  <c r="S85" i="17" s="1"/>
  <c r="K84" i="17"/>
  <c r="L84" i="17"/>
  <c r="O84" i="17" s="1"/>
  <c r="S84" i="17" s="1"/>
  <c r="K83" i="17"/>
  <c r="L83" i="17"/>
  <c r="L88" i="16"/>
  <c r="O88" i="16" s="1"/>
  <c r="S88" i="16" s="1"/>
  <c r="K88" i="16"/>
  <c r="K87" i="16"/>
  <c r="L87" i="16"/>
  <c r="O87" i="16" s="1"/>
  <c r="S87" i="16" s="1"/>
  <c r="L86" i="16"/>
  <c r="O86" i="16" s="1"/>
  <c r="S86" i="16" s="1"/>
  <c r="K86" i="16"/>
  <c r="K85" i="16"/>
  <c r="L85" i="16"/>
  <c r="O85" i="16" s="1"/>
  <c r="S85" i="16" s="1"/>
  <c r="L84" i="16"/>
  <c r="O84" i="16" s="1"/>
  <c r="S84" i="16" s="1"/>
  <c r="K84" i="16"/>
  <c r="K83" i="16"/>
  <c r="L83" i="16"/>
  <c r="K85" i="14"/>
  <c r="L85" i="14"/>
  <c r="O85" i="14" s="1"/>
  <c r="S85" i="14" s="1"/>
  <c r="K84" i="14"/>
  <c r="L84" i="14"/>
  <c r="O84" i="14" s="1"/>
  <c r="S84" i="14" s="1"/>
  <c r="L83" i="14"/>
  <c r="K83" i="14"/>
  <c r="K84" i="11"/>
  <c r="L84" i="11"/>
  <c r="O84" i="11" s="1"/>
  <c r="S84" i="11" s="1"/>
  <c r="L83" i="11"/>
  <c r="K83" i="11"/>
  <c r="L88" i="13"/>
  <c r="O88" i="13" s="1"/>
  <c r="S88" i="13" s="1"/>
  <c r="K88" i="13"/>
  <c r="K87" i="13"/>
  <c r="L87" i="13"/>
  <c r="O87" i="13" s="1"/>
  <c r="S87" i="13" s="1"/>
  <c r="K86" i="13"/>
  <c r="L86" i="13"/>
  <c r="O86" i="13" s="1"/>
  <c r="S86" i="13" s="1"/>
  <c r="K85" i="13"/>
  <c r="L85" i="13"/>
  <c r="O85" i="13" s="1"/>
  <c r="S85" i="13" s="1"/>
  <c r="L84" i="13"/>
  <c r="O84" i="13" s="1"/>
  <c r="S84" i="13" s="1"/>
  <c r="K84" i="13"/>
  <c r="K83" i="13"/>
  <c r="L83" i="13"/>
  <c r="L85" i="11"/>
  <c r="O85" i="11" s="1"/>
  <c r="S85" i="11" s="1"/>
  <c r="K85" i="11"/>
  <c r="K88" i="10"/>
  <c r="L88" i="10"/>
  <c r="O88" i="10" s="1"/>
  <c r="S88" i="10" s="1"/>
  <c r="L87" i="10"/>
  <c r="O87" i="10" s="1"/>
  <c r="S87" i="10" s="1"/>
  <c r="K87" i="10"/>
  <c r="L86" i="10"/>
  <c r="O86" i="10" s="1"/>
  <c r="S86" i="10" s="1"/>
  <c r="K86" i="10"/>
  <c r="L85" i="10"/>
  <c r="O85" i="10" s="1"/>
  <c r="S85" i="10" s="1"/>
  <c r="K85" i="10"/>
  <c r="L84" i="10"/>
  <c r="O84" i="10" s="1"/>
  <c r="S84" i="10" s="1"/>
  <c r="K84" i="10"/>
  <c r="K83" i="10"/>
  <c r="L83" i="10"/>
  <c r="K117" i="11"/>
  <c r="L117" i="11"/>
  <c r="O117" i="11" s="1"/>
  <c r="S117" i="11" s="1"/>
  <c r="L117" i="17"/>
  <c r="O117" i="17" s="1"/>
  <c r="S117" i="17" s="1"/>
  <c r="K117" i="17"/>
  <c r="K116" i="17"/>
  <c r="L116" i="17"/>
  <c r="K117" i="14"/>
  <c r="L117" i="14"/>
  <c r="O117" i="14" s="1"/>
  <c r="S117" i="14" s="1"/>
  <c r="L116" i="14"/>
  <c r="K116" i="14"/>
  <c r="K116" i="11"/>
  <c r="L116" i="11"/>
  <c r="L67" i="16"/>
  <c r="O67" i="16" s="1"/>
  <c r="S67" i="16" s="1"/>
  <c r="K67" i="16"/>
  <c r="K66" i="16"/>
  <c r="L66" i="16"/>
  <c r="O66" i="16" s="1"/>
  <c r="S66" i="16" s="1"/>
  <c r="K67" i="17"/>
  <c r="L67" i="17"/>
  <c r="O67" i="17" s="1"/>
  <c r="S67" i="17" s="1"/>
  <c r="L66" i="17"/>
  <c r="O66" i="17" s="1"/>
  <c r="S66" i="17" s="1"/>
  <c r="K66" i="17"/>
  <c r="L65" i="17"/>
  <c r="K65" i="17"/>
  <c r="L70" i="16"/>
  <c r="O70" i="16" s="1"/>
  <c r="S70" i="16" s="1"/>
  <c r="K70" i="16"/>
  <c r="L69" i="16"/>
  <c r="O69" i="16" s="1"/>
  <c r="S69" i="16" s="1"/>
  <c r="K69" i="16"/>
  <c r="K68" i="16"/>
  <c r="L68" i="16"/>
  <c r="O68" i="16" s="1"/>
  <c r="S68" i="16" s="1"/>
  <c r="L65" i="16"/>
  <c r="K65" i="16"/>
  <c r="L76" i="15"/>
  <c r="O76" i="15" s="1"/>
  <c r="S76" i="15" s="1"/>
  <c r="K76" i="15"/>
  <c r="L75" i="15"/>
  <c r="O75" i="15" s="1"/>
  <c r="S75" i="15" s="1"/>
  <c r="K75" i="15"/>
  <c r="K74" i="15"/>
  <c r="L74" i="15"/>
  <c r="O74" i="15" s="1"/>
  <c r="S74" i="15" s="1"/>
  <c r="K73" i="15"/>
  <c r="L73" i="15"/>
  <c r="O73" i="15" s="1"/>
  <c r="S73" i="15" s="1"/>
  <c r="K72" i="15"/>
  <c r="L72" i="15"/>
  <c r="O72" i="15" s="1"/>
  <c r="S72" i="15" s="1"/>
  <c r="K71" i="15"/>
  <c r="L71" i="15"/>
  <c r="O71" i="15" s="1"/>
  <c r="S71" i="15" s="1"/>
  <c r="L70" i="15"/>
  <c r="O70" i="15" s="1"/>
  <c r="S70" i="15" s="1"/>
  <c r="K70" i="15"/>
  <c r="L69" i="15"/>
  <c r="O69" i="15" s="1"/>
  <c r="S69" i="15" s="1"/>
  <c r="K69" i="15"/>
  <c r="L68" i="15"/>
  <c r="O68" i="15" s="1"/>
  <c r="S68" i="15" s="1"/>
  <c r="K68" i="15"/>
  <c r="L67" i="15"/>
  <c r="O67" i="15" s="1"/>
  <c r="S67" i="15" s="1"/>
  <c r="K67" i="15"/>
  <c r="L66" i="15"/>
  <c r="O66" i="15" s="1"/>
  <c r="S66" i="15" s="1"/>
  <c r="K66" i="15"/>
  <c r="K65" i="15"/>
  <c r="L65" i="15"/>
  <c r="L67" i="14"/>
  <c r="O67" i="14" s="1"/>
  <c r="S67" i="14" s="1"/>
  <c r="K67" i="14"/>
  <c r="L66" i="14"/>
  <c r="O66" i="14" s="1"/>
  <c r="S66" i="14" s="1"/>
  <c r="K66" i="14"/>
  <c r="L65" i="14"/>
  <c r="K65" i="14"/>
  <c r="K70" i="13"/>
  <c r="L70" i="13"/>
  <c r="O70" i="13" s="1"/>
  <c r="S70" i="13" s="1"/>
  <c r="L69" i="13"/>
  <c r="O69" i="13" s="1"/>
  <c r="S69" i="13" s="1"/>
  <c r="K69" i="13"/>
  <c r="L68" i="13"/>
  <c r="O68" i="13" s="1"/>
  <c r="S68" i="13" s="1"/>
  <c r="K68" i="13"/>
  <c r="K67" i="13"/>
  <c r="L67" i="13"/>
  <c r="O67" i="13" s="1"/>
  <c r="S67" i="13" s="1"/>
  <c r="L66" i="13"/>
  <c r="O66" i="13" s="1"/>
  <c r="S66" i="13" s="1"/>
  <c r="K66" i="13"/>
  <c r="L65" i="13"/>
  <c r="K65" i="13"/>
  <c r="L76" i="12"/>
  <c r="O76" i="12" s="1"/>
  <c r="S76" i="12" s="1"/>
  <c r="K76" i="12"/>
  <c r="K75" i="12"/>
  <c r="L75" i="12"/>
  <c r="O75" i="12" s="1"/>
  <c r="S75" i="12" s="1"/>
  <c r="L74" i="12"/>
  <c r="O74" i="12" s="1"/>
  <c r="S74" i="12" s="1"/>
  <c r="K74" i="12"/>
  <c r="L73" i="12"/>
  <c r="O73" i="12" s="1"/>
  <c r="S73" i="12" s="1"/>
  <c r="K73" i="12"/>
  <c r="L72" i="12"/>
  <c r="O72" i="12" s="1"/>
  <c r="S72" i="12" s="1"/>
  <c r="K72" i="12"/>
  <c r="L71" i="12"/>
  <c r="O71" i="12" s="1"/>
  <c r="S71" i="12" s="1"/>
  <c r="K71" i="12"/>
  <c r="K70" i="12"/>
  <c r="L70" i="12"/>
  <c r="O70" i="12" s="1"/>
  <c r="S70" i="12" s="1"/>
  <c r="K69" i="12"/>
  <c r="L69" i="12"/>
  <c r="O69" i="12" s="1"/>
  <c r="S69" i="12" s="1"/>
  <c r="L68" i="12"/>
  <c r="O68" i="12" s="1"/>
  <c r="S68" i="12" s="1"/>
  <c r="K68" i="12"/>
  <c r="L67" i="12"/>
  <c r="O67" i="12" s="1"/>
  <c r="S67" i="12" s="1"/>
  <c r="K67" i="12"/>
  <c r="K66" i="12"/>
  <c r="L66" i="12"/>
  <c r="O66" i="12" s="1"/>
  <c r="S66" i="12" s="1"/>
  <c r="K65" i="12"/>
  <c r="L65" i="12"/>
  <c r="K67" i="11"/>
  <c r="L67" i="11"/>
  <c r="O67" i="11" s="1"/>
  <c r="S67" i="11" s="1"/>
  <c r="K66" i="11"/>
  <c r="L66" i="11"/>
  <c r="O66" i="11" s="1"/>
  <c r="S66" i="11" s="1"/>
  <c r="K65" i="11"/>
  <c r="L65" i="11" s="1"/>
  <c r="K70" i="10"/>
  <c r="L70" i="10" s="1"/>
  <c r="O70" i="10" s="1"/>
  <c r="S70" i="10" s="1"/>
  <c r="K69" i="10"/>
  <c r="L69" i="10"/>
  <c r="O69" i="10" s="1"/>
  <c r="S69" i="10" s="1"/>
  <c r="K68" i="10"/>
  <c r="L68" i="10" s="1"/>
  <c r="O68" i="10" s="1"/>
  <c r="S68" i="10" s="1"/>
  <c r="K67" i="10"/>
  <c r="L67" i="10" s="1"/>
  <c r="O67" i="10" s="1"/>
  <c r="S67" i="10" s="1"/>
  <c r="K66" i="10"/>
  <c r="L66" i="10"/>
  <c r="O66" i="10" s="1"/>
  <c r="S66" i="10" s="1"/>
  <c r="K65" i="10"/>
  <c r="L65" i="10"/>
  <c r="K76" i="9"/>
  <c r="L76" i="9"/>
  <c r="O76" i="9" s="1"/>
  <c r="S76" i="9" s="1"/>
  <c r="K75" i="9"/>
  <c r="L75" i="9"/>
  <c r="O75" i="9" s="1"/>
  <c r="S75" i="9" s="1"/>
  <c r="K74" i="9"/>
  <c r="L74" i="9"/>
  <c r="O74" i="9" s="1"/>
  <c r="S74" i="9" s="1"/>
  <c r="K73" i="9"/>
  <c r="L73" i="9"/>
  <c r="O73" i="9" s="1"/>
  <c r="S73" i="9" s="1"/>
  <c r="K72" i="9"/>
  <c r="L72" i="9"/>
  <c r="O72" i="9" s="1"/>
  <c r="S72" i="9" s="1"/>
  <c r="K71" i="9"/>
  <c r="L71" i="9"/>
  <c r="O71" i="9" s="1"/>
  <c r="S71" i="9" s="1"/>
  <c r="K70" i="9"/>
  <c r="L70" i="9" s="1"/>
  <c r="O70" i="9" s="1"/>
  <c r="S70" i="9" s="1"/>
  <c r="K69" i="9"/>
  <c r="L69" i="9"/>
  <c r="O69" i="9" s="1"/>
  <c r="S69" i="9" s="1"/>
  <c r="K68" i="9"/>
  <c r="L68" i="9"/>
  <c r="O68" i="9" s="1"/>
  <c r="S68" i="9" s="1"/>
  <c r="K67" i="9"/>
  <c r="L67" i="9"/>
  <c r="O67" i="9" s="1"/>
  <c r="S67" i="9" s="1"/>
  <c r="K66" i="9"/>
  <c r="L66" i="9"/>
  <c r="O66" i="9" s="1"/>
  <c r="S66" i="9" s="1"/>
  <c r="K65" i="9"/>
  <c r="L65" i="9"/>
  <c r="K64" i="16"/>
  <c r="L64" i="16" s="1"/>
  <c r="O64" i="16" s="1"/>
  <c r="S64" i="16" s="1"/>
  <c r="K62" i="16"/>
  <c r="L62" i="16"/>
  <c r="O62" i="16" s="1"/>
  <c r="S62" i="16" s="1"/>
  <c r="K60" i="16"/>
  <c r="L60" i="16" s="1"/>
  <c r="O60" i="16" s="1"/>
  <c r="S60" i="16" s="1"/>
  <c r="K59" i="16"/>
  <c r="L59" i="16" s="1"/>
  <c r="K61" i="17"/>
  <c r="L61" i="17" s="1"/>
  <c r="O61" i="17" s="1"/>
  <c r="S61" i="17" s="1"/>
  <c r="K60" i="17"/>
  <c r="L60" i="17" s="1"/>
  <c r="O60" i="17" s="1"/>
  <c r="S60" i="17" s="1"/>
  <c r="K59" i="17"/>
  <c r="L59" i="17" s="1"/>
  <c r="K63" i="16"/>
  <c r="L63" i="16" s="1"/>
  <c r="O63" i="16" s="1"/>
  <c r="S63" i="16" s="1"/>
  <c r="K61" i="16"/>
  <c r="L61" i="16" s="1"/>
  <c r="O61" i="16" s="1"/>
  <c r="S61" i="16" s="1"/>
  <c r="K61" i="14"/>
  <c r="L61" i="14"/>
  <c r="O61" i="14" s="1"/>
  <c r="S61" i="14" s="1"/>
  <c r="K60" i="14"/>
  <c r="L60" i="14"/>
  <c r="O60" i="14" s="1"/>
  <c r="S60" i="14" s="1"/>
  <c r="K59" i="14"/>
  <c r="L59" i="14"/>
  <c r="K64" i="13"/>
  <c r="L64" i="13"/>
  <c r="O64" i="13" s="1"/>
  <c r="S64" i="13" s="1"/>
  <c r="K63" i="13"/>
  <c r="L63" i="13" s="1"/>
  <c r="O63" i="13" s="1"/>
  <c r="S63" i="13" s="1"/>
  <c r="K62" i="13"/>
  <c r="L62" i="13"/>
  <c r="O62" i="13" s="1"/>
  <c r="S62" i="13" s="1"/>
  <c r="K61" i="13"/>
  <c r="L61" i="13"/>
  <c r="O61" i="13" s="1"/>
  <c r="S61" i="13" s="1"/>
  <c r="K60" i="13"/>
  <c r="L60" i="13" s="1"/>
  <c r="O60" i="13" s="1"/>
  <c r="S60" i="13" s="1"/>
  <c r="K59" i="13"/>
  <c r="L59" i="13" s="1"/>
  <c r="K61" i="11"/>
  <c r="L61" i="11" s="1"/>
  <c r="O61" i="11" s="1"/>
  <c r="S61" i="11" s="1"/>
  <c r="K60" i="11"/>
  <c r="L60" i="11" s="1"/>
  <c r="O60" i="11" s="1"/>
  <c r="S60" i="11" s="1"/>
  <c r="K59" i="11"/>
  <c r="L59" i="11" s="1"/>
  <c r="K64" i="10"/>
  <c r="L64" i="10" s="1"/>
  <c r="O64" i="10" s="1"/>
  <c r="S64" i="10" s="1"/>
  <c r="K63" i="10"/>
  <c r="L63" i="10" s="1"/>
  <c r="O63" i="10" s="1"/>
  <c r="S63" i="10" s="1"/>
  <c r="K62" i="10"/>
  <c r="L62" i="10" s="1"/>
  <c r="O62" i="10" s="1"/>
  <c r="S62" i="10" s="1"/>
  <c r="K61" i="10"/>
  <c r="L61" i="10" s="1"/>
  <c r="O61" i="10" s="1"/>
  <c r="S61" i="10" s="1"/>
  <c r="K60" i="10"/>
  <c r="L60" i="10"/>
  <c r="O60" i="10" s="1"/>
  <c r="S60" i="10" s="1"/>
  <c r="K59" i="10"/>
  <c r="L59" i="10" s="1"/>
  <c r="K56" i="16"/>
  <c r="L56" i="16" s="1"/>
  <c r="O56" i="16" s="1"/>
  <c r="S56" i="16" s="1"/>
  <c r="K55" i="16"/>
  <c r="L55" i="16"/>
  <c r="O55" i="16" s="1"/>
  <c r="S55" i="16" s="1"/>
  <c r="K53" i="16"/>
  <c r="L53" i="16" s="1"/>
  <c r="K55" i="17"/>
  <c r="L55" i="17"/>
  <c r="O55" i="17" s="1"/>
  <c r="S55" i="17" s="1"/>
  <c r="K54" i="17"/>
  <c r="L54" i="17" s="1"/>
  <c r="O54" i="17" s="1"/>
  <c r="S54" i="17" s="1"/>
  <c r="K53" i="17"/>
  <c r="L53" i="17"/>
  <c r="K58" i="16"/>
  <c r="L58" i="16"/>
  <c r="O58" i="16" s="1"/>
  <c r="S58" i="16" s="1"/>
  <c r="K57" i="16"/>
  <c r="L57" i="16" s="1"/>
  <c r="O57" i="16" s="1"/>
  <c r="S57" i="16" s="1"/>
  <c r="K54" i="16"/>
  <c r="L54" i="16"/>
  <c r="O54" i="16" s="1"/>
  <c r="S54" i="16" s="1"/>
  <c r="K64" i="15"/>
  <c r="L64" i="15"/>
  <c r="O64" i="15" s="1"/>
  <c r="S64" i="15" s="1"/>
  <c r="K63" i="15"/>
  <c r="L63" i="15"/>
  <c r="O63" i="15" s="1"/>
  <c r="S63" i="15" s="1"/>
  <c r="K62" i="15"/>
  <c r="L62" i="15" s="1"/>
  <c r="O62" i="15" s="1"/>
  <c r="S62" i="15" s="1"/>
  <c r="K61" i="15"/>
  <c r="L61" i="15" s="1"/>
  <c r="O61" i="15" s="1"/>
  <c r="S61" i="15" s="1"/>
  <c r="K60" i="15"/>
  <c r="L60" i="15"/>
  <c r="O60" i="15" s="1"/>
  <c r="S60" i="15" s="1"/>
  <c r="K59" i="15"/>
  <c r="L59" i="15"/>
  <c r="O59" i="15" s="1"/>
  <c r="S59" i="15" s="1"/>
  <c r="K58" i="15"/>
  <c r="L58" i="15" s="1"/>
  <c r="O58" i="15" s="1"/>
  <c r="S58" i="15" s="1"/>
  <c r="K57" i="15"/>
  <c r="L57" i="15"/>
  <c r="O57" i="15" s="1"/>
  <c r="S57" i="15" s="1"/>
  <c r="K56" i="15"/>
  <c r="L56" i="15"/>
  <c r="O56" i="15" s="1"/>
  <c r="S56" i="15" s="1"/>
  <c r="K55" i="15"/>
  <c r="L55" i="15"/>
  <c r="O55" i="15" s="1"/>
  <c r="S55" i="15" s="1"/>
  <c r="K54" i="15"/>
  <c r="L54" i="15"/>
  <c r="O54" i="15" s="1"/>
  <c r="S54" i="15" s="1"/>
  <c r="K53" i="15"/>
  <c r="L53" i="15"/>
  <c r="K55" i="14"/>
  <c r="L55" i="14"/>
  <c r="O55" i="14" s="1"/>
  <c r="S55" i="14" s="1"/>
  <c r="K54" i="14"/>
  <c r="L54" i="14"/>
  <c r="O54" i="14" s="1"/>
  <c r="S54" i="14" s="1"/>
  <c r="K53" i="14"/>
  <c r="L53" i="14" s="1"/>
  <c r="K58" i="13"/>
  <c r="L58" i="13"/>
  <c r="O58" i="13" s="1"/>
  <c r="S58" i="13" s="1"/>
  <c r="K57" i="13"/>
  <c r="L57" i="13" s="1"/>
  <c r="O57" i="13" s="1"/>
  <c r="S57" i="13" s="1"/>
  <c r="K56" i="13"/>
  <c r="L56" i="13"/>
  <c r="O56" i="13" s="1"/>
  <c r="S56" i="13" s="1"/>
  <c r="K55" i="13"/>
  <c r="L55" i="13" s="1"/>
  <c r="O55" i="13" s="1"/>
  <c r="S55" i="13" s="1"/>
  <c r="K54" i="13"/>
  <c r="L54" i="13" s="1"/>
  <c r="O54" i="13" s="1"/>
  <c r="S54" i="13" s="1"/>
  <c r="K53" i="13"/>
  <c r="L53" i="13" s="1"/>
  <c r="K64" i="12"/>
  <c r="L64" i="12" s="1"/>
  <c r="O64" i="12" s="1"/>
  <c r="S64" i="12" s="1"/>
  <c r="K63" i="12"/>
  <c r="L63" i="12"/>
  <c r="O63" i="12" s="1"/>
  <c r="S63" i="12" s="1"/>
  <c r="L62" i="12"/>
  <c r="O62" i="12" s="1"/>
  <c r="S62" i="12" s="1"/>
  <c r="K62" i="12"/>
  <c r="K61" i="12"/>
  <c r="L61" i="12" s="1"/>
  <c r="O61" i="12" s="1"/>
  <c r="S61" i="12" s="1"/>
  <c r="K60" i="12"/>
  <c r="L60" i="12" s="1"/>
  <c r="O60" i="12" s="1"/>
  <c r="S60" i="12" s="1"/>
  <c r="K59" i="12"/>
  <c r="L59" i="12"/>
  <c r="O59" i="12" s="1"/>
  <c r="S59" i="12" s="1"/>
  <c r="K58" i="12"/>
  <c r="L58" i="12" s="1"/>
  <c r="O58" i="12" s="1"/>
  <c r="S58" i="12" s="1"/>
  <c r="K57" i="12"/>
  <c r="L57" i="12" s="1"/>
  <c r="O57" i="12" s="1"/>
  <c r="S57" i="12" s="1"/>
  <c r="K56" i="12"/>
  <c r="L56" i="12" s="1"/>
  <c r="O56" i="12" s="1"/>
  <c r="S56" i="12" s="1"/>
  <c r="K55" i="12"/>
  <c r="L55" i="12" s="1"/>
  <c r="O55" i="12" s="1"/>
  <c r="S55" i="12" s="1"/>
  <c r="K54" i="12"/>
  <c r="L54" i="12" s="1"/>
  <c r="O54" i="12" s="1"/>
  <c r="S54" i="12" s="1"/>
  <c r="K53" i="12"/>
  <c r="L53" i="12" s="1"/>
  <c r="K55" i="11"/>
  <c r="L55" i="11"/>
  <c r="O55" i="11" s="1"/>
  <c r="S55" i="11" s="1"/>
  <c r="K54" i="11"/>
  <c r="L54" i="11"/>
  <c r="O54" i="11" s="1"/>
  <c r="S54" i="11" s="1"/>
  <c r="K53" i="11"/>
  <c r="L53" i="11"/>
  <c r="K58" i="10"/>
  <c r="L58" i="10"/>
  <c r="O58" i="10" s="1"/>
  <c r="S58" i="10" s="1"/>
  <c r="K57" i="10"/>
  <c r="L57" i="10"/>
  <c r="O57" i="10" s="1"/>
  <c r="S57" i="10" s="1"/>
  <c r="K56" i="10"/>
  <c r="L56" i="10"/>
  <c r="O56" i="10" s="1"/>
  <c r="S56" i="10" s="1"/>
  <c r="K55" i="10"/>
  <c r="L55" i="10"/>
  <c r="O55" i="10" s="1"/>
  <c r="S55" i="10" s="1"/>
  <c r="K54" i="10"/>
  <c r="L54" i="10"/>
  <c r="O54" i="10" s="1"/>
  <c r="S54" i="10" s="1"/>
  <c r="K53" i="10"/>
  <c r="L53" i="10"/>
  <c r="K64" i="9"/>
  <c r="L64" i="9" s="1"/>
  <c r="O64" i="9" s="1"/>
  <c r="S64" i="9" s="1"/>
  <c r="K63" i="9"/>
  <c r="L63" i="9"/>
  <c r="O63" i="9" s="1"/>
  <c r="S63" i="9" s="1"/>
  <c r="K62" i="9"/>
  <c r="L62" i="9"/>
  <c r="O62" i="9" s="1"/>
  <c r="S62" i="9" s="1"/>
  <c r="K61" i="9"/>
  <c r="L61" i="9"/>
  <c r="O61" i="9" s="1"/>
  <c r="S61" i="9" s="1"/>
  <c r="K60" i="9"/>
  <c r="L60" i="9"/>
  <c r="O60" i="9" s="1"/>
  <c r="S60" i="9" s="1"/>
  <c r="K59" i="9"/>
  <c r="L59" i="9"/>
  <c r="O59" i="9" s="1"/>
  <c r="S59" i="9" s="1"/>
  <c r="K58" i="9"/>
  <c r="L58" i="9"/>
  <c r="O58" i="9" s="1"/>
  <c r="S58" i="9" s="1"/>
  <c r="K57" i="9"/>
  <c r="L57" i="9" s="1"/>
  <c r="O57" i="9" s="1"/>
  <c r="S57" i="9" s="1"/>
  <c r="K56" i="9"/>
  <c r="L56" i="9" s="1"/>
  <c r="O56" i="9" s="1"/>
  <c r="S56" i="9" s="1"/>
  <c r="K55" i="9"/>
  <c r="L55" i="9" s="1"/>
  <c r="O55" i="9" s="1"/>
  <c r="S55" i="9" s="1"/>
  <c r="K54" i="9"/>
  <c r="L54" i="9" s="1"/>
  <c r="O54" i="9" s="1"/>
  <c r="S54" i="9" s="1"/>
  <c r="K53" i="9"/>
  <c r="L53" i="9"/>
  <c r="K52" i="17"/>
  <c r="L52" i="17" s="1"/>
  <c r="O52" i="17" s="1"/>
  <c r="S52" i="17" s="1"/>
  <c r="K51" i="17"/>
  <c r="L51" i="17"/>
  <c r="O51" i="17" s="1"/>
  <c r="S51" i="17" s="1"/>
  <c r="K50" i="17"/>
  <c r="L50" i="17"/>
  <c r="K52" i="14"/>
  <c r="L52" i="14"/>
  <c r="O52" i="14" s="1"/>
  <c r="S52" i="14" s="1"/>
  <c r="K51" i="14"/>
  <c r="L51" i="14"/>
  <c r="O51" i="14" s="1"/>
  <c r="S51" i="14" s="1"/>
  <c r="K50" i="14"/>
  <c r="L50" i="14"/>
  <c r="K52" i="11"/>
  <c r="L52" i="11"/>
  <c r="O52" i="11" s="1"/>
  <c r="S52" i="11" s="1"/>
  <c r="K51" i="11"/>
  <c r="L51" i="11" s="1"/>
  <c r="O51" i="11" s="1"/>
  <c r="S51" i="11" s="1"/>
  <c r="K50" i="11"/>
  <c r="L50" i="11" s="1"/>
  <c r="K72" i="10"/>
  <c r="L72" i="10" s="1"/>
  <c r="O72" i="10" s="1"/>
  <c r="S72" i="10" s="1"/>
  <c r="K71" i="10"/>
  <c r="L71" i="10"/>
  <c r="K73" i="17"/>
  <c r="L73" i="17"/>
  <c r="O73" i="17" s="1"/>
  <c r="S73" i="17" s="1"/>
  <c r="K72" i="17"/>
  <c r="L72" i="17"/>
  <c r="O72" i="17" s="1"/>
  <c r="S72" i="17" s="1"/>
  <c r="K71" i="17"/>
  <c r="L71" i="17" s="1"/>
  <c r="K76" i="16"/>
  <c r="L76" i="16" s="1"/>
  <c r="O76" i="16" s="1"/>
  <c r="S76" i="16" s="1"/>
  <c r="K75" i="16"/>
  <c r="L75" i="16"/>
  <c r="O75" i="16" s="1"/>
  <c r="S75" i="16" s="1"/>
  <c r="K74" i="16"/>
  <c r="L74" i="16"/>
  <c r="O74" i="16" s="1"/>
  <c r="S74" i="16" s="1"/>
  <c r="K73" i="16"/>
  <c r="L73" i="16"/>
  <c r="O73" i="16" s="1"/>
  <c r="S73" i="16" s="1"/>
  <c r="K72" i="16"/>
  <c r="L72" i="16" s="1"/>
  <c r="O72" i="16" s="1"/>
  <c r="S72" i="16" s="1"/>
  <c r="K71" i="16"/>
  <c r="L71" i="16"/>
  <c r="K73" i="14"/>
  <c r="L73" i="14" s="1"/>
  <c r="O73" i="14" s="1"/>
  <c r="S73" i="14" s="1"/>
  <c r="K72" i="14"/>
  <c r="L72" i="14"/>
  <c r="O72" i="14" s="1"/>
  <c r="S72" i="14" s="1"/>
  <c r="K71" i="14"/>
  <c r="L71" i="14" s="1"/>
  <c r="K76" i="13"/>
  <c r="L76" i="13" s="1"/>
  <c r="O76" i="13" s="1"/>
  <c r="S76" i="13" s="1"/>
  <c r="K75" i="13"/>
  <c r="L75" i="13" s="1"/>
  <c r="O75" i="13" s="1"/>
  <c r="S75" i="13" s="1"/>
  <c r="K74" i="13"/>
  <c r="L74" i="13"/>
  <c r="O74" i="13" s="1"/>
  <c r="S74" i="13" s="1"/>
  <c r="K73" i="13"/>
  <c r="L73" i="13"/>
  <c r="O73" i="13" s="1"/>
  <c r="S73" i="13" s="1"/>
  <c r="K72" i="13"/>
  <c r="L72" i="13"/>
  <c r="O72" i="13" s="1"/>
  <c r="S72" i="13" s="1"/>
  <c r="K71" i="13"/>
  <c r="L71" i="13"/>
  <c r="K73" i="11"/>
  <c r="L73" i="11"/>
  <c r="O73" i="11" s="1"/>
  <c r="S73" i="11" s="1"/>
  <c r="K72" i="11"/>
  <c r="L72" i="11"/>
  <c r="O72" i="11" s="1"/>
  <c r="S72" i="11" s="1"/>
  <c r="K71" i="11"/>
  <c r="L71" i="11" s="1"/>
  <c r="K76" i="10"/>
  <c r="L76" i="10" s="1"/>
  <c r="O76" i="10" s="1"/>
  <c r="S76" i="10" s="1"/>
  <c r="K75" i="10"/>
  <c r="L75" i="10"/>
  <c r="O75" i="10" s="1"/>
  <c r="S75" i="10" s="1"/>
  <c r="K74" i="10"/>
  <c r="L74" i="10"/>
  <c r="O74" i="10" s="1"/>
  <c r="S74" i="10" s="1"/>
  <c r="K73" i="10"/>
  <c r="L73" i="10" s="1"/>
  <c r="O73" i="10" s="1"/>
  <c r="S73" i="10" s="1"/>
  <c r="K9" i="12"/>
  <c r="L9" i="12" s="1"/>
  <c r="O9" i="12" s="1"/>
  <c r="S9" i="12" s="1"/>
  <c r="K7" i="17"/>
  <c r="L7" i="17" s="1"/>
  <c r="O7" i="17" s="1"/>
  <c r="S7" i="17" s="1"/>
  <c r="K6" i="17"/>
  <c r="L6" i="17" s="1"/>
  <c r="O6" i="17" s="1"/>
  <c r="S6" i="17" s="1"/>
  <c r="K5" i="17"/>
  <c r="L5" i="17" s="1"/>
  <c r="O5" i="17" s="1"/>
  <c r="K10" i="16"/>
  <c r="L10" i="16" s="1"/>
  <c r="O10" i="16" s="1"/>
  <c r="S10" i="16" s="1"/>
  <c r="K9" i="16"/>
  <c r="L9" i="16" s="1"/>
  <c r="O9" i="16" s="1"/>
  <c r="S9" i="16" s="1"/>
  <c r="K8" i="16"/>
  <c r="L8" i="16" s="1"/>
  <c r="O8" i="16" s="1"/>
  <c r="S8" i="16" s="1"/>
  <c r="K7" i="16"/>
  <c r="L7" i="16" s="1"/>
  <c r="O7" i="16" s="1"/>
  <c r="S7" i="16" s="1"/>
  <c r="K6" i="16"/>
  <c r="L6" i="16" s="1"/>
  <c r="O6" i="16" s="1"/>
  <c r="S6" i="16" s="1"/>
  <c r="K5" i="16"/>
  <c r="L5" i="16" s="1"/>
  <c r="O5" i="16" s="1"/>
  <c r="K16" i="15"/>
  <c r="L16" i="15" s="1"/>
  <c r="O16" i="15" s="1"/>
  <c r="S16" i="15" s="1"/>
  <c r="K15" i="15"/>
  <c r="L15" i="15" s="1"/>
  <c r="O15" i="15" s="1"/>
  <c r="S15" i="15" s="1"/>
  <c r="K11" i="12"/>
  <c r="L11" i="12"/>
  <c r="O11" i="12" s="1"/>
  <c r="S11" i="12" s="1"/>
  <c r="K12" i="12"/>
  <c r="L12" i="12"/>
  <c r="O12" i="12" s="1"/>
  <c r="S12" i="12" s="1"/>
  <c r="L83" i="12"/>
  <c r="O83" i="12" s="1"/>
  <c r="S83" i="12" s="1"/>
  <c r="F8" i="18" l="1"/>
  <c r="N17" i="15"/>
  <c r="O17" i="15" s="1"/>
  <c r="S5" i="15"/>
  <c r="P5" i="15"/>
  <c r="N8" i="14"/>
  <c r="O8" i="14" s="1"/>
  <c r="S5" i="14"/>
  <c r="P5" i="14"/>
  <c r="N11" i="13"/>
  <c r="O11" i="13" s="1"/>
  <c r="S5" i="13"/>
  <c r="P5" i="13"/>
  <c r="S5" i="12"/>
  <c r="N17" i="12"/>
  <c r="O17" i="12" s="1"/>
  <c r="P5" i="12"/>
  <c r="N8" i="11"/>
  <c r="O8" i="11" s="1"/>
  <c r="S5" i="11"/>
  <c r="P5" i="11"/>
  <c r="N11" i="10"/>
  <c r="O11" i="10" s="1"/>
  <c r="S5" i="10"/>
  <c r="P5" i="10"/>
  <c r="N17" i="9"/>
  <c r="O17" i="9" s="1"/>
  <c r="S5" i="9"/>
  <c r="P5" i="9"/>
  <c r="N8" i="17"/>
  <c r="O8" i="17" s="1"/>
  <c r="S5" i="17"/>
  <c r="P5" i="17"/>
  <c r="N11" i="16"/>
  <c r="O11" i="16" s="1"/>
  <c r="S5" i="16"/>
  <c r="P5" i="16"/>
  <c r="F9" i="18" l="1"/>
  <c r="N29" i="15"/>
  <c r="O29" i="15" s="1"/>
  <c r="S17" i="15"/>
  <c r="Q5" i="15"/>
  <c r="R5" i="15"/>
  <c r="P6" i="15"/>
  <c r="Q6" i="15"/>
  <c r="S8" i="14"/>
  <c r="N11" i="14"/>
  <c r="O11" i="14" s="1"/>
  <c r="Q5" i="14"/>
  <c r="R5" i="14"/>
  <c r="P6" i="14"/>
  <c r="Q6" i="14"/>
  <c r="N17" i="13"/>
  <c r="O17" i="13" s="1"/>
  <c r="S11" i="13"/>
  <c r="Q5" i="13"/>
  <c r="R5" i="13" s="1"/>
  <c r="P6" i="13"/>
  <c r="Q6" i="13"/>
  <c r="S17" i="12"/>
  <c r="N29" i="12"/>
  <c r="O29" i="12" s="1"/>
  <c r="P6" i="12"/>
  <c r="R5" i="12"/>
  <c r="Q5" i="12"/>
  <c r="S8" i="11"/>
  <c r="N11" i="11"/>
  <c r="O11" i="11" s="1"/>
  <c r="Q5" i="11"/>
  <c r="R5" i="11"/>
  <c r="P6" i="11"/>
  <c r="Q6" i="11"/>
  <c r="N17" i="10"/>
  <c r="O17" i="10" s="1"/>
  <c r="S11" i="10"/>
  <c r="Q5" i="10"/>
  <c r="R5" i="10"/>
  <c r="P6" i="10"/>
  <c r="Q6" i="10"/>
  <c r="N29" i="9"/>
  <c r="O29" i="9" s="1"/>
  <c r="S17" i="9"/>
  <c r="Q5" i="9"/>
  <c r="R5" i="9"/>
  <c r="P6" i="9"/>
  <c r="Q6" i="9"/>
  <c r="S8" i="17"/>
  <c r="N11" i="17"/>
  <c r="O11" i="17" s="1"/>
  <c r="Q5" i="17"/>
  <c r="R5" i="17"/>
  <c r="P6" i="17"/>
  <c r="Q6" i="17"/>
  <c r="N17" i="16"/>
  <c r="O17" i="16" s="1"/>
  <c r="S11" i="16"/>
  <c r="Q5" i="16"/>
  <c r="R5" i="16"/>
  <c r="P6" i="16"/>
  <c r="Q6" i="16"/>
  <c r="F10" i="18" l="1"/>
  <c r="S29" i="15"/>
  <c r="N41" i="15"/>
  <c r="O41" i="15" s="1"/>
  <c r="R6" i="15"/>
  <c r="P7" i="15"/>
  <c r="N14" i="14"/>
  <c r="O14" i="14" s="1"/>
  <c r="S11" i="14"/>
  <c r="R6" i="14"/>
  <c r="P7" i="14"/>
  <c r="N23" i="13"/>
  <c r="O23" i="13" s="1"/>
  <c r="S17" i="13"/>
  <c r="R6" i="13"/>
  <c r="P7" i="13"/>
  <c r="S29" i="12"/>
  <c r="N41" i="12"/>
  <c r="O41" i="12" s="1"/>
  <c r="P7" i="12"/>
  <c r="N14" i="11"/>
  <c r="O14" i="11" s="1"/>
  <c r="S11" i="11"/>
  <c r="R6" i="11"/>
  <c r="P7" i="11"/>
  <c r="N23" i="10"/>
  <c r="O23" i="10" s="1"/>
  <c r="S17" i="10"/>
  <c r="R6" i="10"/>
  <c r="P7" i="10"/>
  <c r="S29" i="9"/>
  <c r="N41" i="9"/>
  <c r="O41" i="9" s="1"/>
  <c r="R6" i="9"/>
  <c r="P7" i="9"/>
  <c r="N14" i="17"/>
  <c r="O14" i="17" s="1"/>
  <c r="S11" i="17"/>
  <c r="R6" i="17"/>
  <c r="P7" i="17"/>
  <c r="N23" i="16"/>
  <c r="O23" i="16" s="1"/>
  <c r="S17" i="16"/>
  <c r="R6" i="16"/>
  <c r="P7" i="16"/>
  <c r="Q6" i="12"/>
  <c r="R6" i="12" s="1"/>
  <c r="F11" i="18" l="1"/>
  <c r="N53" i="15"/>
  <c r="O53" i="15" s="1"/>
  <c r="S41" i="15"/>
  <c r="Q7" i="15"/>
  <c r="R7" i="15" s="1"/>
  <c r="P8" i="15"/>
  <c r="N17" i="14"/>
  <c r="O17" i="14" s="1"/>
  <c r="S14" i="14"/>
  <c r="Q8" i="14"/>
  <c r="Q7" i="14"/>
  <c r="R7" i="14"/>
  <c r="P8" i="14"/>
  <c r="N29" i="13"/>
  <c r="O29" i="13" s="1"/>
  <c r="S23" i="13"/>
  <c r="Q7" i="13"/>
  <c r="R7" i="13"/>
  <c r="P8" i="13"/>
  <c r="N53" i="12"/>
  <c r="O53" i="12" s="1"/>
  <c r="S41" i="12"/>
  <c r="Q7" i="12"/>
  <c r="R7" i="12"/>
  <c r="P8" i="12"/>
  <c r="N17" i="11"/>
  <c r="O17" i="11" s="1"/>
  <c r="S14" i="11"/>
  <c r="Q7" i="11"/>
  <c r="R7" i="11" s="1"/>
  <c r="P8" i="11"/>
  <c r="N29" i="10"/>
  <c r="O29" i="10" s="1"/>
  <c r="S23" i="10"/>
  <c r="Q7" i="10"/>
  <c r="R7" i="10"/>
  <c r="P8" i="10"/>
  <c r="N53" i="9"/>
  <c r="O53" i="9" s="1"/>
  <c r="S41" i="9"/>
  <c r="Q7" i="9"/>
  <c r="R7" i="9" s="1"/>
  <c r="P8" i="9"/>
  <c r="N17" i="17"/>
  <c r="O17" i="17" s="1"/>
  <c r="S14" i="17"/>
  <c r="Q7" i="17"/>
  <c r="R7" i="17" s="1"/>
  <c r="P8" i="17"/>
  <c r="N29" i="16"/>
  <c r="O29" i="16" s="1"/>
  <c r="S23" i="16"/>
  <c r="Q7" i="16"/>
  <c r="R7" i="16"/>
  <c r="P8" i="16"/>
  <c r="F12" i="18" l="1"/>
  <c r="S53" i="15"/>
  <c r="N65" i="15"/>
  <c r="O65" i="15" s="1"/>
  <c r="R8" i="15"/>
  <c r="P9" i="15"/>
  <c r="N20" i="14"/>
  <c r="O20" i="14" s="1"/>
  <c r="S17" i="14"/>
  <c r="R8" i="14"/>
  <c r="P9" i="14"/>
  <c r="S29" i="13"/>
  <c r="N35" i="13"/>
  <c r="O35" i="13" s="1"/>
  <c r="P9" i="13"/>
  <c r="S53" i="12"/>
  <c r="N65" i="12"/>
  <c r="O65" i="12" s="1"/>
  <c r="R8" i="12"/>
  <c r="P9" i="12"/>
  <c r="N20" i="11"/>
  <c r="O20" i="11" s="1"/>
  <c r="S17" i="11"/>
  <c r="P9" i="11"/>
  <c r="S29" i="10"/>
  <c r="N35" i="10"/>
  <c r="O35" i="10" s="1"/>
  <c r="P9" i="10"/>
  <c r="S53" i="9"/>
  <c r="N65" i="9"/>
  <c r="O65" i="9" s="1"/>
  <c r="R8" i="9"/>
  <c r="P9" i="9"/>
  <c r="N20" i="17"/>
  <c r="O20" i="17" s="1"/>
  <c r="S17" i="17"/>
  <c r="R8" i="17"/>
  <c r="P9" i="17"/>
  <c r="S29" i="16"/>
  <c r="N35" i="16"/>
  <c r="O35" i="16" s="1"/>
  <c r="R8" i="16"/>
  <c r="P9" i="16"/>
  <c r="Q8" i="15"/>
  <c r="Q9" i="13"/>
  <c r="Q8" i="13"/>
  <c r="R8" i="13" s="1"/>
  <c r="Q8" i="12"/>
  <c r="Q8" i="11"/>
  <c r="R8" i="11" s="1"/>
  <c r="Q9" i="11"/>
  <c r="Q9" i="10"/>
  <c r="Q8" i="10"/>
  <c r="R8" i="10" s="1"/>
  <c r="Q8" i="9"/>
  <c r="Q8" i="17"/>
  <c r="Q8" i="16"/>
  <c r="F13" i="18" l="1"/>
  <c r="S65" i="15"/>
  <c r="N77" i="15"/>
  <c r="O77" i="15" s="1"/>
  <c r="Q9" i="15"/>
  <c r="R9" i="15" s="1"/>
  <c r="P10" i="15"/>
  <c r="N23" i="14"/>
  <c r="O23" i="14" s="1"/>
  <c r="S20" i="14"/>
  <c r="Q9" i="14"/>
  <c r="R9" i="14"/>
  <c r="P10" i="14"/>
  <c r="N41" i="13"/>
  <c r="O41" i="13" s="1"/>
  <c r="S35" i="13"/>
  <c r="R9" i="13"/>
  <c r="P10" i="13"/>
  <c r="S65" i="12"/>
  <c r="N77" i="12"/>
  <c r="O77" i="12" s="1"/>
  <c r="P10" i="12"/>
  <c r="N23" i="11"/>
  <c r="O23" i="11" s="1"/>
  <c r="S20" i="11"/>
  <c r="R9" i="11"/>
  <c r="P10" i="11"/>
  <c r="N41" i="10"/>
  <c r="O41" i="10" s="1"/>
  <c r="S35" i="10"/>
  <c r="R9" i="10"/>
  <c r="P10" i="10"/>
  <c r="S65" i="9"/>
  <c r="N77" i="9"/>
  <c r="O77" i="9" s="1"/>
  <c r="R9" i="9"/>
  <c r="P10" i="9"/>
  <c r="N23" i="17"/>
  <c r="O23" i="17" s="1"/>
  <c r="S20" i="17"/>
  <c r="R9" i="17"/>
  <c r="P10" i="17"/>
  <c r="N41" i="16"/>
  <c r="O41" i="16" s="1"/>
  <c r="S35" i="16"/>
  <c r="P10" i="16"/>
  <c r="Q10" i="16" s="1"/>
  <c r="Q10" i="15"/>
  <c r="Q9" i="12"/>
  <c r="R9" i="12" s="1"/>
  <c r="Q10" i="12"/>
  <c r="Q9" i="9"/>
  <c r="Q10" i="9"/>
  <c r="Q9" i="17"/>
  <c r="Q9" i="16"/>
  <c r="R9" i="16" s="1"/>
  <c r="F14" i="18" l="1"/>
  <c r="S77" i="15"/>
  <c r="N89" i="15"/>
  <c r="O89" i="15" s="1"/>
  <c r="R10" i="15"/>
  <c r="P11" i="15"/>
  <c r="N26" i="14"/>
  <c r="O26" i="14" s="1"/>
  <c r="S23" i="14"/>
  <c r="P11" i="14"/>
  <c r="N47" i="13"/>
  <c r="O47" i="13" s="1"/>
  <c r="S41" i="13"/>
  <c r="Q10" i="13"/>
  <c r="R10" i="13" s="1"/>
  <c r="Q11" i="13"/>
  <c r="P11" i="13"/>
  <c r="S77" i="12"/>
  <c r="N89" i="12"/>
  <c r="O89" i="12" s="1"/>
  <c r="P11" i="12"/>
  <c r="R10" i="12"/>
  <c r="N26" i="11"/>
  <c r="O26" i="11" s="1"/>
  <c r="S23" i="11"/>
  <c r="Q10" i="11"/>
  <c r="R10" i="11"/>
  <c r="P11" i="11"/>
  <c r="N47" i="10"/>
  <c r="O47" i="10" s="1"/>
  <c r="S41" i="10"/>
  <c r="Q10" i="10"/>
  <c r="R10" i="10" s="1"/>
  <c r="Q11" i="10"/>
  <c r="P11" i="10"/>
  <c r="S77" i="9"/>
  <c r="N89" i="9"/>
  <c r="O89" i="9" s="1"/>
  <c r="R10" i="9"/>
  <c r="P11" i="9"/>
  <c r="N26" i="17"/>
  <c r="O26" i="17" s="1"/>
  <c r="S23" i="17"/>
  <c r="P11" i="17"/>
  <c r="N47" i="16"/>
  <c r="O47" i="16" s="1"/>
  <c r="S41" i="16"/>
  <c r="R10" i="16"/>
  <c r="P11" i="16"/>
  <c r="Q11" i="14"/>
  <c r="Q10" i="14"/>
  <c r="R10" i="14" s="1"/>
  <c r="Q11" i="17"/>
  <c r="Q10" i="17"/>
  <c r="R10" i="17" s="1"/>
  <c r="F15" i="18" l="1"/>
  <c r="N101" i="15"/>
  <c r="O101" i="15" s="1"/>
  <c r="S89" i="15"/>
  <c r="Q11" i="15"/>
  <c r="R11" i="15"/>
  <c r="P12" i="15"/>
  <c r="Q12" i="15" s="1"/>
  <c r="N29" i="14"/>
  <c r="O29" i="14" s="1"/>
  <c r="S26" i="14"/>
  <c r="R11" i="14"/>
  <c r="P12" i="14"/>
  <c r="N53" i="13"/>
  <c r="O53" i="13" s="1"/>
  <c r="S47" i="13"/>
  <c r="R11" i="13"/>
  <c r="P12" i="13"/>
  <c r="N101" i="12"/>
  <c r="O101" i="12" s="1"/>
  <c r="S89" i="12"/>
  <c r="Q11" i="12"/>
  <c r="P12" i="12"/>
  <c r="Q12" i="12" s="1"/>
  <c r="R11" i="12"/>
  <c r="N29" i="11"/>
  <c r="O29" i="11" s="1"/>
  <c r="S26" i="11"/>
  <c r="P12" i="11"/>
  <c r="N53" i="10"/>
  <c r="O53" i="10" s="1"/>
  <c r="S47" i="10"/>
  <c r="R11" i="10"/>
  <c r="P12" i="10"/>
  <c r="N101" i="9"/>
  <c r="O101" i="9" s="1"/>
  <c r="S89" i="9"/>
  <c r="Q11" i="9"/>
  <c r="R11" i="9"/>
  <c r="P12" i="9"/>
  <c r="Q12" i="9" s="1"/>
  <c r="N29" i="17"/>
  <c r="O29" i="17" s="1"/>
  <c r="S26" i="17"/>
  <c r="R11" i="17"/>
  <c r="P12" i="17"/>
  <c r="Q12" i="17" s="1"/>
  <c r="N53" i="16"/>
  <c r="O53" i="16" s="1"/>
  <c r="S47" i="16"/>
  <c r="Q11" i="16"/>
  <c r="R11" i="16"/>
  <c r="P12" i="16"/>
  <c r="Q12" i="16" s="1"/>
  <c r="Q12" i="11"/>
  <c r="Q11" i="11"/>
  <c r="R11" i="11" s="1"/>
  <c r="F16" i="18" l="1"/>
  <c r="S101" i="15"/>
  <c r="N113" i="15"/>
  <c r="O113" i="15" s="1"/>
  <c r="R12" i="15"/>
  <c r="P13" i="15"/>
  <c r="Q13" i="15" s="1"/>
  <c r="S29" i="14"/>
  <c r="N32" i="14"/>
  <c r="O32" i="14" s="1"/>
  <c r="Q12" i="14"/>
  <c r="R12" i="14"/>
  <c r="P13" i="14"/>
  <c r="Q13" i="14" s="1"/>
  <c r="S53" i="13"/>
  <c r="N59" i="13"/>
  <c r="O59" i="13" s="1"/>
  <c r="Q12" i="13"/>
  <c r="R12" i="13"/>
  <c r="P13" i="13"/>
  <c r="Q13" i="13" s="1"/>
  <c r="S101" i="12"/>
  <c r="N113" i="12"/>
  <c r="O113" i="12" s="1"/>
  <c r="R12" i="12"/>
  <c r="P13" i="12"/>
  <c r="Q13" i="12" s="1"/>
  <c r="S29" i="11"/>
  <c r="N32" i="11"/>
  <c r="O32" i="11" s="1"/>
  <c r="R12" i="11"/>
  <c r="P13" i="11"/>
  <c r="Q13" i="11" s="1"/>
  <c r="S53" i="10"/>
  <c r="N59" i="10"/>
  <c r="O59" i="10" s="1"/>
  <c r="Q13" i="10"/>
  <c r="Q12" i="10"/>
  <c r="R12" i="10"/>
  <c r="P13" i="10"/>
  <c r="S101" i="9"/>
  <c r="N113" i="9"/>
  <c r="O113" i="9" s="1"/>
  <c r="R12" i="9"/>
  <c r="P13" i="9"/>
  <c r="Q13" i="9" s="1"/>
  <c r="S29" i="17"/>
  <c r="N32" i="17"/>
  <c r="O32" i="17" s="1"/>
  <c r="R12" i="17"/>
  <c r="P13" i="17"/>
  <c r="Q13" i="17" s="1"/>
  <c r="S53" i="16"/>
  <c r="N59" i="16"/>
  <c r="O59" i="16" s="1"/>
  <c r="R12" i="16"/>
  <c r="P13" i="16"/>
  <c r="Q13" i="16" s="1"/>
  <c r="F17" i="18" l="1"/>
  <c r="F11" i="19"/>
  <c r="E11" i="19"/>
  <c r="S113" i="15"/>
  <c r="R13" i="15"/>
  <c r="P14" i="15"/>
  <c r="Q14" i="15" s="1"/>
  <c r="N35" i="14"/>
  <c r="O35" i="14" s="1"/>
  <c r="S32" i="14"/>
  <c r="Q14" i="14"/>
  <c r="R13" i="14"/>
  <c r="P14" i="14"/>
  <c r="S59" i="13"/>
  <c r="N65" i="13"/>
  <c r="O65" i="13" s="1"/>
  <c r="Q14" i="13"/>
  <c r="R13" i="13"/>
  <c r="P14" i="13"/>
  <c r="H8" i="19"/>
  <c r="I8" i="19"/>
  <c r="E8" i="19"/>
  <c r="F8" i="19"/>
  <c r="S113" i="12"/>
  <c r="P14" i="12"/>
  <c r="Q14" i="12" s="1"/>
  <c r="R13" i="12"/>
  <c r="N35" i="11"/>
  <c r="O35" i="11" s="1"/>
  <c r="S32" i="11"/>
  <c r="R13" i="11"/>
  <c r="P14" i="11"/>
  <c r="Q14" i="11" s="1"/>
  <c r="S59" i="10"/>
  <c r="N65" i="10"/>
  <c r="O65" i="10" s="1"/>
  <c r="R13" i="10"/>
  <c r="P14" i="10"/>
  <c r="Q14" i="10" s="1"/>
  <c r="F5" i="19"/>
  <c r="E5" i="19"/>
  <c r="S113" i="9"/>
  <c r="Q14" i="9"/>
  <c r="R13" i="9"/>
  <c r="P14" i="9"/>
  <c r="N35" i="17"/>
  <c r="O35" i="17" s="1"/>
  <c r="S32" i="17"/>
  <c r="R13" i="17"/>
  <c r="P14" i="17"/>
  <c r="Q14" i="17" s="1"/>
  <c r="S59" i="16"/>
  <c r="N65" i="16"/>
  <c r="O65" i="16" s="1"/>
  <c r="R13" i="16"/>
  <c r="P14" i="16"/>
  <c r="Q14" i="16" s="1"/>
  <c r="F18" i="18" l="1"/>
  <c r="I11" i="19"/>
  <c r="H11" i="19"/>
  <c r="R14" i="15"/>
  <c r="P15" i="15"/>
  <c r="Q15" i="15" s="1"/>
  <c r="N38" i="14"/>
  <c r="O38" i="14" s="1"/>
  <c r="S35" i="14"/>
  <c r="R14" i="14"/>
  <c r="P15" i="14"/>
  <c r="Q15" i="14" s="1"/>
  <c r="S65" i="13"/>
  <c r="N71" i="13"/>
  <c r="O71" i="13" s="1"/>
  <c r="R14" i="13"/>
  <c r="P15" i="13"/>
  <c r="Q15" i="13" s="1"/>
  <c r="R14" i="12"/>
  <c r="P15" i="12"/>
  <c r="Q15" i="12" s="1"/>
  <c r="N38" i="11"/>
  <c r="O38" i="11" s="1"/>
  <c r="S35" i="11"/>
  <c r="R14" i="11"/>
  <c r="P15" i="11"/>
  <c r="Q15" i="11" s="1"/>
  <c r="S65" i="10"/>
  <c r="N71" i="10"/>
  <c r="O71" i="10" s="1"/>
  <c r="R14" i="10"/>
  <c r="P15" i="10"/>
  <c r="Q15" i="10" s="1"/>
  <c r="R14" i="9"/>
  <c r="P15" i="9"/>
  <c r="Q15" i="9" s="1"/>
  <c r="N38" i="17"/>
  <c r="O38" i="17" s="1"/>
  <c r="S35" i="17"/>
  <c r="R14" i="17"/>
  <c r="P15" i="17"/>
  <c r="Q15" i="17" s="1"/>
  <c r="N71" i="16"/>
  <c r="O71" i="16" s="1"/>
  <c r="S65" i="16"/>
  <c r="P15" i="16"/>
  <c r="Q15" i="16" s="1"/>
  <c r="R14" i="16"/>
  <c r="I5" i="19"/>
  <c r="H5" i="19"/>
  <c r="F19" i="18" l="1"/>
  <c r="R15" i="15"/>
  <c r="P16" i="15"/>
  <c r="Q16" i="15" s="1"/>
  <c r="N41" i="14"/>
  <c r="O41" i="14" s="1"/>
  <c r="S38" i="14"/>
  <c r="R15" i="14"/>
  <c r="P16" i="14"/>
  <c r="Q16" i="14" s="1"/>
  <c r="S71" i="13"/>
  <c r="N77" i="13"/>
  <c r="O77" i="13" s="1"/>
  <c r="R15" i="13"/>
  <c r="P16" i="13"/>
  <c r="Q16" i="13" s="1"/>
  <c r="Q16" i="12"/>
  <c r="P16" i="12"/>
  <c r="R15" i="12"/>
  <c r="N41" i="11"/>
  <c r="O41" i="11" s="1"/>
  <c r="S38" i="11"/>
  <c r="Q16" i="11"/>
  <c r="R15" i="11"/>
  <c r="P16" i="11"/>
  <c r="S71" i="10"/>
  <c r="N77" i="10"/>
  <c r="O77" i="10" s="1"/>
  <c r="Q16" i="10"/>
  <c r="R15" i="10"/>
  <c r="P16" i="10"/>
  <c r="R15" i="9"/>
  <c r="P16" i="9"/>
  <c r="Q16" i="9" s="1"/>
  <c r="N41" i="17"/>
  <c r="O41" i="17" s="1"/>
  <c r="S38" i="17"/>
  <c r="R15" i="17"/>
  <c r="P16" i="17"/>
  <c r="Q16" i="17" s="1"/>
  <c r="S71" i="16"/>
  <c r="N77" i="16"/>
  <c r="O77" i="16" s="1"/>
  <c r="R15" i="16"/>
  <c r="P16" i="16"/>
  <c r="Q16" i="16" s="1"/>
  <c r="F20" i="18" l="1"/>
  <c r="R16" i="15"/>
  <c r="P17" i="15"/>
  <c r="Q17" i="15" s="1"/>
  <c r="N44" i="14"/>
  <c r="O44" i="14" s="1"/>
  <c r="S41" i="14"/>
  <c r="R16" i="14"/>
  <c r="P17" i="14"/>
  <c r="Q17" i="14" s="1"/>
  <c r="S77" i="13"/>
  <c r="N83" i="13"/>
  <c r="O83" i="13" s="1"/>
  <c r="R16" i="13"/>
  <c r="P17" i="13"/>
  <c r="Q17" i="13" s="1"/>
  <c r="R16" i="12"/>
  <c r="P17" i="12"/>
  <c r="Q17" i="12" s="1"/>
  <c r="N44" i="11"/>
  <c r="O44" i="11" s="1"/>
  <c r="S41" i="11"/>
  <c r="R16" i="11"/>
  <c r="P17" i="11"/>
  <c r="Q17" i="11" s="1"/>
  <c r="S77" i="10"/>
  <c r="N83" i="10"/>
  <c r="O83" i="10" s="1"/>
  <c r="Q17" i="10"/>
  <c r="R16" i="10"/>
  <c r="P17" i="10"/>
  <c r="R16" i="9"/>
  <c r="P17" i="9"/>
  <c r="Q17" i="9" s="1"/>
  <c r="N44" i="17"/>
  <c r="O44" i="17" s="1"/>
  <c r="S41" i="17"/>
  <c r="R16" i="17"/>
  <c r="P17" i="17"/>
  <c r="Q17" i="17" s="1"/>
  <c r="S77" i="16"/>
  <c r="N83" i="16"/>
  <c r="O83" i="16" s="1"/>
  <c r="R16" i="16"/>
  <c r="P17" i="16"/>
  <c r="Q17" i="16" s="1"/>
  <c r="F21" i="18" l="1"/>
  <c r="R17" i="15"/>
  <c r="P18" i="15"/>
  <c r="Q18" i="15" s="1"/>
  <c r="N47" i="14"/>
  <c r="O47" i="14" s="1"/>
  <c r="S44" i="14"/>
  <c r="R17" i="14"/>
  <c r="P18" i="14"/>
  <c r="Q18" i="14" s="1"/>
  <c r="S83" i="13"/>
  <c r="N89" i="13"/>
  <c r="O89" i="13" s="1"/>
  <c r="R17" i="13"/>
  <c r="P18" i="13"/>
  <c r="Q18" i="13" s="1"/>
  <c r="Q18" i="12"/>
  <c r="R17" i="12"/>
  <c r="P18" i="12"/>
  <c r="N47" i="11"/>
  <c r="O47" i="11" s="1"/>
  <c r="S44" i="11"/>
  <c r="R17" i="11"/>
  <c r="P18" i="11"/>
  <c r="Q18" i="11" s="1"/>
  <c r="S83" i="10"/>
  <c r="N89" i="10"/>
  <c r="O89" i="10" s="1"/>
  <c r="R17" i="10"/>
  <c r="P18" i="10"/>
  <c r="Q18" i="10" s="1"/>
  <c r="R17" i="9"/>
  <c r="P18" i="9"/>
  <c r="Q18" i="9" s="1"/>
  <c r="N47" i="17"/>
  <c r="O47" i="17" s="1"/>
  <c r="S44" i="17"/>
  <c r="Q18" i="17"/>
  <c r="R17" i="17"/>
  <c r="P18" i="17"/>
  <c r="S83" i="16"/>
  <c r="N89" i="16"/>
  <c r="O89" i="16" s="1"/>
  <c r="Q18" i="16"/>
  <c r="R17" i="16"/>
  <c r="P18" i="16"/>
  <c r="F22" i="18" l="1"/>
  <c r="R18" i="15"/>
  <c r="P19" i="15"/>
  <c r="Q19" i="15" s="1"/>
  <c r="N50" i="14"/>
  <c r="O50" i="14" s="1"/>
  <c r="S47" i="14"/>
  <c r="R18" i="14"/>
  <c r="P19" i="14"/>
  <c r="Q19" i="14" s="1"/>
  <c r="N95" i="13"/>
  <c r="O95" i="13" s="1"/>
  <c r="S89" i="13"/>
  <c r="Q19" i="13"/>
  <c r="R18" i="13"/>
  <c r="P19" i="13"/>
  <c r="Q19" i="12"/>
  <c r="P19" i="12"/>
  <c r="R18" i="12"/>
  <c r="N50" i="11"/>
  <c r="O50" i="11" s="1"/>
  <c r="S47" i="11"/>
  <c r="Q19" i="11"/>
  <c r="R18" i="11"/>
  <c r="P19" i="11"/>
  <c r="N95" i="10"/>
  <c r="O95" i="10" s="1"/>
  <c r="S89" i="10"/>
  <c r="Q19" i="10"/>
  <c r="R18" i="10"/>
  <c r="P19" i="10"/>
  <c r="R18" i="9"/>
  <c r="P19" i="9"/>
  <c r="Q19" i="9" s="1"/>
  <c r="N50" i="17"/>
  <c r="O50" i="17" s="1"/>
  <c r="S47" i="17"/>
  <c r="R18" i="17"/>
  <c r="P19" i="17"/>
  <c r="Q19" i="17" s="1"/>
  <c r="N95" i="16"/>
  <c r="O95" i="16" s="1"/>
  <c r="S89" i="16"/>
  <c r="P19" i="16"/>
  <c r="Q19" i="16" s="1"/>
  <c r="R18" i="16"/>
  <c r="F23" i="18" l="1"/>
  <c r="R19" i="15"/>
  <c r="P20" i="15"/>
  <c r="Q20" i="15" s="1"/>
  <c r="S50" i="14"/>
  <c r="N53" i="14"/>
  <c r="O53" i="14" s="1"/>
  <c r="R19" i="14"/>
  <c r="P20" i="14"/>
  <c r="Q20" i="14" s="1"/>
  <c r="S95" i="13"/>
  <c r="N101" i="13"/>
  <c r="O101" i="13" s="1"/>
  <c r="R19" i="13"/>
  <c r="P20" i="13"/>
  <c r="Q20" i="13" s="1"/>
  <c r="Q20" i="12"/>
  <c r="P20" i="12"/>
  <c r="R19" i="12"/>
  <c r="S50" i="11"/>
  <c r="N53" i="11"/>
  <c r="O53" i="11" s="1"/>
  <c r="Q20" i="11"/>
  <c r="R19" i="11"/>
  <c r="P20" i="11"/>
  <c r="S95" i="10"/>
  <c r="N101" i="10"/>
  <c r="O101" i="10" s="1"/>
  <c r="Q20" i="10"/>
  <c r="R19" i="10"/>
  <c r="P20" i="10"/>
  <c r="R19" i="9"/>
  <c r="P20" i="9"/>
  <c r="Q20" i="9" s="1"/>
  <c r="S50" i="17"/>
  <c r="N53" i="17"/>
  <c r="O53" i="17" s="1"/>
  <c r="R19" i="17"/>
  <c r="P20" i="17"/>
  <c r="Q20" i="17" s="1"/>
  <c r="S95" i="16"/>
  <c r="N101" i="16"/>
  <c r="O101" i="16" s="1"/>
  <c r="R19" i="16"/>
  <c r="P20" i="16"/>
  <c r="Q20" i="16" s="1"/>
  <c r="F24" i="18" l="1"/>
  <c r="R20" i="15"/>
  <c r="P21" i="15"/>
  <c r="Q21" i="15" s="1"/>
  <c r="S53" i="14"/>
  <c r="N56" i="14"/>
  <c r="O56" i="14" s="1"/>
  <c r="R20" i="14"/>
  <c r="P21" i="14"/>
  <c r="Q21" i="14" s="1"/>
  <c r="S101" i="13"/>
  <c r="N107" i="13"/>
  <c r="O107" i="13" s="1"/>
  <c r="R20" i="13"/>
  <c r="P21" i="13"/>
  <c r="Q21" i="13" s="1"/>
  <c r="R20" i="12"/>
  <c r="P21" i="12"/>
  <c r="Q21" i="12" s="1"/>
  <c r="S53" i="11"/>
  <c r="N56" i="11"/>
  <c r="O56" i="11" s="1"/>
  <c r="Q21" i="11"/>
  <c r="R20" i="11"/>
  <c r="P21" i="11"/>
  <c r="S101" i="10"/>
  <c r="N107" i="10"/>
  <c r="O107" i="10" s="1"/>
  <c r="Q21" i="10"/>
  <c r="R20" i="10"/>
  <c r="P21" i="10"/>
  <c r="R20" i="9"/>
  <c r="P21" i="9"/>
  <c r="Q21" i="9" s="1"/>
  <c r="S53" i="17"/>
  <c r="N56" i="17"/>
  <c r="O56" i="17" s="1"/>
  <c r="R20" i="17"/>
  <c r="P21" i="17"/>
  <c r="Q21" i="17" s="1"/>
  <c r="S101" i="16"/>
  <c r="N107" i="16"/>
  <c r="O107" i="16" s="1"/>
  <c r="Q21" i="16"/>
  <c r="R20" i="16"/>
  <c r="P21" i="16"/>
  <c r="F25" i="18" l="1"/>
  <c r="Q22" i="15"/>
  <c r="R21" i="15"/>
  <c r="P22" i="15"/>
  <c r="S56" i="14"/>
  <c r="N59" i="14"/>
  <c r="O59" i="14" s="1"/>
  <c r="R21" i="14"/>
  <c r="P22" i="14"/>
  <c r="Q22" i="14" s="1"/>
  <c r="S107" i="13"/>
  <c r="N113" i="13"/>
  <c r="O113" i="13" s="1"/>
  <c r="R21" i="13"/>
  <c r="P22" i="13"/>
  <c r="Q22" i="13" s="1"/>
  <c r="Q22" i="12"/>
  <c r="R21" i="12"/>
  <c r="P22" i="12"/>
  <c r="S56" i="11"/>
  <c r="N59" i="11"/>
  <c r="O59" i="11" s="1"/>
  <c r="R21" i="11"/>
  <c r="P22" i="11"/>
  <c r="Q22" i="11" s="1"/>
  <c r="S107" i="10"/>
  <c r="N113" i="10"/>
  <c r="O113" i="10" s="1"/>
  <c r="R21" i="10"/>
  <c r="P22" i="10"/>
  <c r="Q22" i="10" s="1"/>
  <c r="R21" i="9"/>
  <c r="P22" i="9"/>
  <c r="Q22" i="9" s="1"/>
  <c r="S56" i="17"/>
  <c r="N59" i="17"/>
  <c r="O59" i="17" s="1"/>
  <c r="R21" i="17"/>
  <c r="P22" i="17"/>
  <c r="Q22" i="17" s="1"/>
  <c r="S107" i="16"/>
  <c r="N113" i="16"/>
  <c r="O113" i="16" s="1"/>
  <c r="Q22" i="16"/>
  <c r="R21" i="16"/>
  <c r="P22" i="16"/>
  <c r="F26" i="18" l="1"/>
  <c r="R22" i="15"/>
  <c r="P23" i="15"/>
  <c r="Q23" i="15" s="1"/>
  <c r="S59" i="14"/>
  <c r="N62" i="14"/>
  <c r="O62" i="14" s="1"/>
  <c r="R22" i="14"/>
  <c r="P23" i="14"/>
  <c r="Q23" i="14" s="1"/>
  <c r="E9" i="19"/>
  <c r="F9" i="19"/>
  <c r="S113" i="13"/>
  <c r="P23" i="13"/>
  <c r="Q23" i="13" s="1"/>
  <c r="R22" i="13"/>
  <c r="Q23" i="12"/>
  <c r="R22" i="12"/>
  <c r="P23" i="12"/>
  <c r="S59" i="11"/>
  <c r="N62" i="11"/>
  <c r="O62" i="11" s="1"/>
  <c r="R22" i="11"/>
  <c r="P23" i="11"/>
  <c r="Q23" i="11" s="1"/>
  <c r="E6" i="19"/>
  <c r="F6" i="19"/>
  <c r="S113" i="10"/>
  <c r="R22" i="10"/>
  <c r="P23" i="10"/>
  <c r="Q23" i="10" s="1"/>
  <c r="R22" i="9"/>
  <c r="P23" i="9"/>
  <c r="Q23" i="9" s="1"/>
  <c r="S59" i="17"/>
  <c r="N62" i="17"/>
  <c r="O62" i="17" s="1"/>
  <c r="Q23" i="17"/>
  <c r="R22" i="17"/>
  <c r="P23" i="17"/>
  <c r="F12" i="19"/>
  <c r="E12" i="19"/>
  <c r="S113" i="16"/>
  <c r="R22" i="16"/>
  <c r="P23" i="16"/>
  <c r="Q23" i="16" s="1"/>
  <c r="F27" i="18" l="1"/>
  <c r="Q24" i="15"/>
  <c r="R23" i="15"/>
  <c r="P24" i="15"/>
  <c r="S62" i="14"/>
  <c r="N65" i="14"/>
  <c r="O65" i="14" s="1"/>
  <c r="R23" i="14"/>
  <c r="P24" i="14"/>
  <c r="Q24" i="14" s="1"/>
  <c r="Q24" i="13"/>
  <c r="P24" i="13"/>
  <c r="R23" i="13"/>
  <c r="R23" i="12"/>
  <c r="P24" i="12"/>
  <c r="Q24" i="12" s="1"/>
  <c r="S62" i="11"/>
  <c r="N65" i="11"/>
  <c r="O65" i="11" s="1"/>
  <c r="Q24" i="11"/>
  <c r="R23" i="11"/>
  <c r="P24" i="11"/>
  <c r="H6" i="19"/>
  <c r="I6" i="19"/>
  <c r="R23" i="10"/>
  <c r="P24" i="10"/>
  <c r="Q24" i="10" s="1"/>
  <c r="R23" i="9"/>
  <c r="P24" i="9"/>
  <c r="Q24" i="9" s="1"/>
  <c r="S62" i="17"/>
  <c r="N65" i="17"/>
  <c r="O65" i="17" s="1"/>
  <c r="R23" i="17"/>
  <c r="P24" i="17"/>
  <c r="Q24" i="17" s="1"/>
  <c r="R23" i="16"/>
  <c r="P24" i="16"/>
  <c r="Q24" i="16" s="1"/>
  <c r="I9" i="19"/>
  <c r="H9" i="19"/>
  <c r="H12" i="19"/>
  <c r="I12" i="19"/>
  <c r="F28" i="18" l="1"/>
  <c r="R24" i="15"/>
  <c r="P25" i="15"/>
  <c r="Q25" i="15" s="1"/>
  <c r="S65" i="14"/>
  <c r="N68" i="14"/>
  <c r="O68" i="14" s="1"/>
  <c r="Q25" i="14"/>
  <c r="R24" i="14"/>
  <c r="P25" i="14"/>
  <c r="R24" i="13"/>
  <c r="P25" i="13"/>
  <c r="Q25" i="13" s="1"/>
  <c r="R24" i="12"/>
  <c r="P25" i="12"/>
  <c r="Q25" i="12" s="1"/>
  <c r="S65" i="11"/>
  <c r="N68" i="11"/>
  <c r="O68" i="11" s="1"/>
  <c r="R24" i="11"/>
  <c r="P25" i="11"/>
  <c r="Q25" i="11" s="1"/>
  <c r="Q25" i="10"/>
  <c r="R24" i="10"/>
  <c r="P25" i="10"/>
  <c r="Q25" i="9"/>
  <c r="R24" i="9"/>
  <c r="P25" i="9"/>
  <c r="S65" i="17"/>
  <c r="N68" i="17"/>
  <c r="O68" i="17" s="1"/>
  <c r="R24" i="17"/>
  <c r="P25" i="17"/>
  <c r="Q25" i="17" s="1"/>
  <c r="R24" i="16"/>
  <c r="P25" i="16"/>
  <c r="Q25" i="16" s="1"/>
  <c r="F29" i="18" l="1"/>
  <c r="R25" i="15"/>
  <c r="P26" i="15"/>
  <c r="Q26" i="15" s="1"/>
  <c r="S68" i="14"/>
  <c r="N71" i="14"/>
  <c r="O71" i="14" s="1"/>
  <c r="R25" i="14"/>
  <c r="P26" i="14"/>
  <c r="Q26" i="14" s="1"/>
  <c r="Q26" i="13"/>
  <c r="P26" i="13"/>
  <c r="R25" i="13"/>
  <c r="Q26" i="12"/>
  <c r="R25" i="12"/>
  <c r="P26" i="12"/>
  <c r="S68" i="11"/>
  <c r="N71" i="11"/>
  <c r="O71" i="11" s="1"/>
  <c r="R25" i="11"/>
  <c r="P26" i="11"/>
  <c r="Q26" i="11" s="1"/>
  <c r="R25" i="10"/>
  <c r="P26" i="10"/>
  <c r="Q26" i="10" s="1"/>
  <c r="R25" i="9"/>
  <c r="P26" i="9"/>
  <c r="Q26" i="9" s="1"/>
  <c r="S68" i="17"/>
  <c r="N71" i="17"/>
  <c r="O71" i="17" s="1"/>
  <c r="Q26" i="17"/>
  <c r="R25" i="17"/>
  <c r="P26" i="17"/>
  <c r="Q26" i="16"/>
  <c r="R25" i="16"/>
  <c r="P26" i="16"/>
  <c r="F30" i="18" l="1"/>
  <c r="R26" i="15"/>
  <c r="P27" i="15"/>
  <c r="Q27" i="15" s="1"/>
  <c r="S71" i="14"/>
  <c r="N74" i="14"/>
  <c r="O74" i="14" s="1"/>
  <c r="Q27" i="14"/>
  <c r="R26" i="14"/>
  <c r="P27" i="14"/>
  <c r="R26" i="13"/>
  <c r="P27" i="13"/>
  <c r="Q27" i="13" s="1"/>
  <c r="P27" i="12"/>
  <c r="Q27" i="12" s="1"/>
  <c r="R26" i="12"/>
  <c r="S71" i="11"/>
  <c r="N74" i="11"/>
  <c r="O74" i="11" s="1"/>
  <c r="R26" i="11"/>
  <c r="P27" i="11"/>
  <c r="Q27" i="11" s="1"/>
  <c r="Q27" i="10"/>
  <c r="R26" i="10"/>
  <c r="P27" i="10"/>
  <c r="R26" i="9"/>
  <c r="P27" i="9"/>
  <c r="Q27" i="9" s="1"/>
  <c r="S71" i="17"/>
  <c r="N74" i="17"/>
  <c r="O74" i="17" s="1"/>
  <c r="Q27" i="17"/>
  <c r="R26" i="17"/>
  <c r="P27" i="17"/>
  <c r="Q27" i="16"/>
  <c r="R26" i="16"/>
  <c r="P27" i="16"/>
  <c r="F31" i="18" l="1"/>
  <c r="R27" i="15"/>
  <c r="P28" i="15"/>
  <c r="Q28" i="15" s="1"/>
  <c r="S74" i="14"/>
  <c r="N77" i="14"/>
  <c r="O77" i="14" s="1"/>
  <c r="Q28" i="14"/>
  <c r="R27" i="14"/>
  <c r="P28" i="14"/>
  <c r="R27" i="13"/>
  <c r="P28" i="13"/>
  <c r="Q28" i="13" s="1"/>
  <c r="R27" i="12"/>
  <c r="P28" i="12"/>
  <c r="Q28" i="12" s="1"/>
  <c r="S74" i="11"/>
  <c r="N77" i="11"/>
  <c r="O77" i="11" s="1"/>
  <c r="R27" i="11"/>
  <c r="P28" i="11"/>
  <c r="Q28" i="11" s="1"/>
  <c r="R27" i="10"/>
  <c r="P28" i="10"/>
  <c r="Q28" i="10" s="1"/>
  <c r="R27" i="9"/>
  <c r="P28" i="9"/>
  <c r="Q28" i="9" s="1"/>
  <c r="S74" i="17"/>
  <c r="N77" i="17"/>
  <c r="O77" i="17" s="1"/>
  <c r="R27" i="17"/>
  <c r="P28" i="17"/>
  <c r="Q28" i="17" s="1"/>
  <c r="R27" i="16"/>
  <c r="P28" i="16"/>
  <c r="Q28" i="16" s="1"/>
  <c r="F32" i="18" l="1"/>
  <c r="R28" i="15"/>
  <c r="P29" i="15"/>
  <c r="Q29" i="15" s="1"/>
  <c r="S77" i="14"/>
  <c r="N80" i="14"/>
  <c r="O80" i="14" s="1"/>
  <c r="R28" i="14"/>
  <c r="P29" i="14"/>
  <c r="Q29" i="14" s="1"/>
  <c r="R28" i="13"/>
  <c r="P29" i="13"/>
  <c r="Q29" i="13" s="1"/>
  <c r="R28" i="12"/>
  <c r="P29" i="12"/>
  <c r="Q29" i="12" s="1"/>
  <c r="S77" i="11"/>
  <c r="N80" i="11"/>
  <c r="O80" i="11" s="1"/>
  <c r="Q29" i="11"/>
  <c r="R28" i="11"/>
  <c r="P29" i="11"/>
  <c r="R28" i="10"/>
  <c r="P29" i="10"/>
  <c r="Q29" i="10" s="1"/>
  <c r="R28" i="9"/>
  <c r="P29" i="9"/>
  <c r="Q29" i="9" s="1"/>
  <c r="S77" i="17"/>
  <c r="N80" i="17"/>
  <c r="O80" i="17" s="1"/>
  <c r="R28" i="17"/>
  <c r="P29" i="17"/>
  <c r="Q29" i="17" s="1"/>
  <c r="R28" i="16"/>
  <c r="P29" i="16"/>
  <c r="Q29" i="16" s="1"/>
  <c r="F33" i="18" l="1"/>
  <c r="R29" i="15"/>
  <c r="P30" i="15"/>
  <c r="Q30" i="15" s="1"/>
  <c r="S80" i="14"/>
  <c r="N83" i="14"/>
  <c r="O83" i="14" s="1"/>
  <c r="Q30" i="14"/>
  <c r="R29" i="14"/>
  <c r="P30" i="14"/>
  <c r="Q30" i="13"/>
  <c r="R29" i="13"/>
  <c r="P30" i="13"/>
  <c r="R29" i="12"/>
  <c r="P30" i="12"/>
  <c r="Q30" i="12" s="1"/>
  <c r="N83" i="11"/>
  <c r="O83" i="11" s="1"/>
  <c r="S80" i="11"/>
  <c r="R29" i="11"/>
  <c r="P30" i="11"/>
  <c r="Q30" i="11" s="1"/>
  <c r="R29" i="10"/>
  <c r="P30" i="10"/>
  <c r="Q30" i="10" s="1"/>
  <c r="R29" i="9"/>
  <c r="P30" i="9"/>
  <c r="Q30" i="9" s="1"/>
  <c r="S80" i="17"/>
  <c r="N83" i="17"/>
  <c r="O83" i="17" s="1"/>
  <c r="R29" i="17"/>
  <c r="P30" i="17"/>
  <c r="Q30" i="17" s="1"/>
  <c r="Q30" i="16"/>
  <c r="R29" i="16"/>
  <c r="P30" i="16"/>
  <c r="F34" i="18" l="1"/>
  <c r="Q31" i="15"/>
  <c r="R30" i="15"/>
  <c r="P31" i="15"/>
  <c r="S83" i="14"/>
  <c r="N86" i="14"/>
  <c r="O86" i="14" s="1"/>
  <c r="R30" i="14"/>
  <c r="P31" i="14"/>
  <c r="Q31" i="14" s="1"/>
  <c r="R30" i="13"/>
  <c r="P31" i="13"/>
  <c r="Q31" i="13" s="1"/>
  <c r="P31" i="12"/>
  <c r="Q31" i="12" s="1"/>
  <c r="R30" i="12"/>
  <c r="N86" i="11"/>
  <c r="O86" i="11" s="1"/>
  <c r="S83" i="11"/>
  <c r="Q31" i="11"/>
  <c r="R30" i="11"/>
  <c r="P31" i="11"/>
  <c r="Q31" i="10"/>
  <c r="R30" i="10"/>
  <c r="P31" i="10"/>
  <c r="Q31" i="9"/>
  <c r="R30" i="9"/>
  <c r="P31" i="9"/>
  <c r="S83" i="17"/>
  <c r="N86" i="17"/>
  <c r="O86" i="17" s="1"/>
  <c r="Q31" i="17"/>
  <c r="R30" i="17"/>
  <c r="P31" i="17"/>
  <c r="R30" i="16"/>
  <c r="P31" i="16"/>
  <c r="Q31" i="16" s="1"/>
  <c r="F35" i="18" l="1"/>
  <c r="R31" i="15"/>
  <c r="P32" i="15"/>
  <c r="Q32" i="15" s="1"/>
  <c r="N89" i="14"/>
  <c r="O89" i="14" s="1"/>
  <c r="S86" i="14"/>
  <c r="Q32" i="14"/>
  <c r="R31" i="14"/>
  <c r="P32" i="14"/>
  <c r="Q32" i="13"/>
  <c r="R31" i="13"/>
  <c r="P32" i="13"/>
  <c r="Q32" i="12"/>
  <c r="P32" i="12"/>
  <c r="R31" i="12"/>
  <c r="N89" i="11"/>
  <c r="O89" i="11" s="1"/>
  <c r="S86" i="11"/>
  <c r="R31" i="11"/>
  <c r="P32" i="11"/>
  <c r="Q32" i="11" s="1"/>
  <c r="R31" i="10"/>
  <c r="P32" i="10"/>
  <c r="Q32" i="10" s="1"/>
  <c r="Q32" i="9"/>
  <c r="R31" i="9"/>
  <c r="P32" i="9"/>
  <c r="N89" i="17"/>
  <c r="O89" i="17" s="1"/>
  <c r="S86" i="17"/>
  <c r="Q32" i="17"/>
  <c r="R31" i="17"/>
  <c r="P32" i="17"/>
  <c r="R31" i="16"/>
  <c r="P32" i="16"/>
  <c r="Q32" i="16" s="1"/>
  <c r="F36" i="18" l="1"/>
  <c r="R32" i="15"/>
  <c r="P33" i="15"/>
  <c r="Q33" i="15" s="1"/>
  <c r="N92" i="14"/>
  <c r="O92" i="14" s="1"/>
  <c r="S89" i="14"/>
  <c r="R32" i="14"/>
  <c r="P33" i="14"/>
  <c r="Q33" i="14" s="1"/>
  <c r="R32" i="13"/>
  <c r="P33" i="13"/>
  <c r="Q33" i="13" s="1"/>
  <c r="Q33" i="12"/>
  <c r="R32" i="12"/>
  <c r="P33" i="12"/>
  <c r="S89" i="11"/>
  <c r="N92" i="11"/>
  <c r="O92" i="11" s="1"/>
  <c r="Q33" i="11"/>
  <c r="R32" i="11"/>
  <c r="P33" i="11"/>
  <c r="Q33" i="10"/>
  <c r="R32" i="10"/>
  <c r="P33" i="10"/>
  <c r="R32" i="9"/>
  <c r="P33" i="9"/>
  <c r="Q33" i="9" s="1"/>
  <c r="N92" i="17"/>
  <c r="O92" i="17" s="1"/>
  <c r="S89" i="17"/>
  <c r="Q33" i="17"/>
  <c r="R32" i="17"/>
  <c r="P33" i="17"/>
  <c r="R32" i="16"/>
  <c r="P33" i="16"/>
  <c r="Q33" i="16" s="1"/>
  <c r="F37" i="18" l="1"/>
  <c r="R33" i="15"/>
  <c r="P34" i="15"/>
  <c r="Q34" i="15" s="1"/>
  <c r="N95" i="14"/>
  <c r="O95" i="14" s="1"/>
  <c r="S92" i="14"/>
  <c r="Q34" i="14"/>
  <c r="R33" i="14"/>
  <c r="P34" i="14"/>
  <c r="Q34" i="13"/>
  <c r="R33" i="13"/>
  <c r="P34" i="13"/>
  <c r="P34" i="12"/>
  <c r="Q34" i="12" s="1"/>
  <c r="R33" i="12"/>
  <c r="N95" i="11"/>
  <c r="O95" i="11" s="1"/>
  <c r="S92" i="11"/>
  <c r="R33" i="11"/>
  <c r="P34" i="11"/>
  <c r="Q34" i="11" s="1"/>
  <c r="R33" i="10"/>
  <c r="P34" i="10"/>
  <c r="Q34" i="10" s="1"/>
  <c r="Q34" i="9"/>
  <c r="R33" i="9"/>
  <c r="P34" i="9"/>
  <c r="N95" i="17"/>
  <c r="O95" i="17" s="1"/>
  <c r="S92" i="17"/>
  <c r="Q34" i="17"/>
  <c r="R33" i="17"/>
  <c r="P34" i="17"/>
  <c r="P34" i="16"/>
  <c r="Q34" i="16" s="1"/>
  <c r="R33" i="16"/>
  <c r="F38" i="18" l="1"/>
  <c r="R34" i="15"/>
  <c r="P35" i="15"/>
  <c r="Q35" i="15" s="1"/>
  <c r="S95" i="14"/>
  <c r="N98" i="14"/>
  <c r="O98" i="14" s="1"/>
  <c r="R34" i="14"/>
  <c r="P35" i="14"/>
  <c r="Q35" i="14" s="1"/>
  <c r="R34" i="13"/>
  <c r="P35" i="13"/>
  <c r="Q35" i="13" s="1"/>
  <c r="P35" i="12"/>
  <c r="Q35" i="12" s="1"/>
  <c r="R34" i="12"/>
  <c r="S95" i="11"/>
  <c r="N98" i="11"/>
  <c r="O98" i="11" s="1"/>
  <c r="R34" i="11"/>
  <c r="P35" i="11"/>
  <c r="Q35" i="11" s="1"/>
  <c r="R34" i="10"/>
  <c r="P35" i="10"/>
  <c r="Q35" i="10" s="1"/>
  <c r="R34" i="9"/>
  <c r="P35" i="9"/>
  <c r="Q35" i="9" s="1"/>
  <c r="S95" i="17"/>
  <c r="N98" i="17"/>
  <c r="O98" i="17" s="1"/>
  <c r="Q35" i="17"/>
  <c r="R34" i="17"/>
  <c r="P35" i="17"/>
  <c r="R34" i="16"/>
  <c r="P35" i="16"/>
  <c r="Q35" i="16" s="1"/>
  <c r="F39" i="18" l="1"/>
  <c r="R35" i="15"/>
  <c r="P36" i="15"/>
  <c r="Q36" i="15" s="1"/>
  <c r="S98" i="14"/>
  <c r="N101" i="14"/>
  <c r="O101" i="14" s="1"/>
  <c r="R35" i="14"/>
  <c r="P36" i="14"/>
  <c r="Q36" i="14" s="1"/>
  <c r="Q36" i="13"/>
  <c r="R35" i="13"/>
  <c r="P36" i="13"/>
  <c r="Q36" i="12"/>
  <c r="R35" i="12"/>
  <c r="P36" i="12"/>
  <c r="S98" i="11"/>
  <c r="N101" i="11"/>
  <c r="O101" i="11" s="1"/>
  <c r="Q36" i="11"/>
  <c r="R35" i="11"/>
  <c r="P36" i="11"/>
  <c r="Q36" i="10"/>
  <c r="R35" i="10"/>
  <c r="P36" i="10"/>
  <c r="Q36" i="9"/>
  <c r="R35" i="9"/>
  <c r="P36" i="9"/>
  <c r="S98" i="17"/>
  <c r="N101" i="17"/>
  <c r="O101" i="17" s="1"/>
  <c r="Q36" i="17"/>
  <c r="R35" i="17"/>
  <c r="P36" i="17"/>
  <c r="R35" i="16"/>
  <c r="P36" i="16"/>
  <c r="Q36" i="16" s="1"/>
  <c r="F40" i="18" l="1"/>
  <c r="R36" i="15"/>
  <c r="P37" i="15"/>
  <c r="Q37" i="15" s="1"/>
  <c r="S101" i="14"/>
  <c r="N104" i="14"/>
  <c r="O104" i="14" s="1"/>
  <c r="R36" i="14"/>
  <c r="P37" i="14"/>
  <c r="Q37" i="14" s="1"/>
  <c r="R36" i="13"/>
  <c r="P37" i="13"/>
  <c r="Q37" i="13" s="1"/>
  <c r="R36" i="12"/>
  <c r="P37" i="12"/>
  <c r="Q37" i="12" s="1"/>
  <c r="N104" i="11"/>
  <c r="O104" i="11" s="1"/>
  <c r="S101" i="11"/>
  <c r="R36" i="11"/>
  <c r="P37" i="11"/>
  <c r="Q37" i="11" s="1"/>
  <c r="R36" i="10"/>
  <c r="P37" i="10"/>
  <c r="Q37" i="10" s="1"/>
  <c r="R36" i="9"/>
  <c r="P37" i="9"/>
  <c r="Q37" i="9" s="1"/>
  <c r="S101" i="17"/>
  <c r="N104" i="17"/>
  <c r="O104" i="17" s="1"/>
  <c r="R36" i="17"/>
  <c r="P37" i="17"/>
  <c r="Q37" i="17" s="1"/>
  <c r="R36" i="16"/>
  <c r="P37" i="16"/>
  <c r="Q37" i="16" s="1"/>
  <c r="F41" i="18" l="1"/>
  <c r="R37" i="15"/>
  <c r="P38" i="15"/>
  <c r="Q38" i="15" s="1"/>
  <c r="S104" i="14"/>
  <c r="N107" i="14"/>
  <c r="O107" i="14" s="1"/>
  <c r="R37" i="14"/>
  <c r="P38" i="14"/>
  <c r="Q38" i="14" s="1"/>
  <c r="Q38" i="13"/>
  <c r="R37" i="13"/>
  <c r="P38" i="13"/>
  <c r="P38" i="12"/>
  <c r="Q38" i="12" s="1"/>
  <c r="R37" i="12"/>
  <c r="N107" i="11"/>
  <c r="O107" i="11" s="1"/>
  <c r="S104" i="11"/>
  <c r="Q38" i="11"/>
  <c r="R37" i="11"/>
  <c r="P38" i="11"/>
  <c r="R37" i="10"/>
  <c r="P38" i="10"/>
  <c r="Q38" i="10" s="1"/>
  <c r="Q38" i="9"/>
  <c r="R37" i="9"/>
  <c r="P38" i="9"/>
  <c r="S104" i="17"/>
  <c r="N107" i="17"/>
  <c r="O107" i="17" s="1"/>
  <c r="R37" i="17"/>
  <c r="P38" i="17"/>
  <c r="Q38" i="17" s="1"/>
  <c r="Q38" i="16"/>
  <c r="R37" i="16"/>
  <c r="P38" i="16"/>
  <c r="F42" i="18" l="1"/>
  <c r="Q39" i="15"/>
  <c r="R38" i="15"/>
  <c r="P39" i="15"/>
  <c r="S107" i="14"/>
  <c r="N110" i="14"/>
  <c r="O110" i="14" s="1"/>
  <c r="Q39" i="14"/>
  <c r="R38" i="14"/>
  <c r="P39" i="14"/>
  <c r="R38" i="13"/>
  <c r="P39" i="13"/>
  <c r="Q39" i="13" s="1"/>
  <c r="P39" i="12"/>
  <c r="Q39" i="12" s="1"/>
  <c r="R38" i="12"/>
  <c r="N110" i="11"/>
  <c r="O110" i="11" s="1"/>
  <c r="S107" i="11"/>
  <c r="R38" i="11"/>
  <c r="P39" i="11"/>
  <c r="Q39" i="11" s="1"/>
  <c r="R38" i="10"/>
  <c r="P39" i="10"/>
  <c r="Q39" i="10" s="1"/>
  <c r="Q39" i="9"/>
  <c r="R38" i="9"/>
  <c r="P39" i="9"/>
  <c r="S107" i="17"/>
  <c r="N110" i="17"/>
  <c r="O110" i="17" s="1"/>
  <c r="Q39" i="17"/>
  <c r="R38" i="17"/>
  <c r="P39" i="17"/>
  <c r="Q39" i="16"/>
  <c r="R38" i="16"/>
  <c r="P39" i="16"/>
  <c r="F43" i="18" l="1"/>
  <c r="R39" i="15"/>
  <c r="P40" i="15"/>
  <c r="Q40" i="15" s="1"/>
  <c r="S110" i="14"/>
  <c r="N113" i="14"/>
  <c r="O113" i="14" s="1"/>
  <c r="R39" i="14"/>
  <c r="P40" i="14"/>
  <c r="Q40" i="14" s="1"/>
  <c r="R39" i="13"/>
  <c r="P40" i="13"/>
  <c r="Q40" i="13" s="1"/>
  <c r="Q40" i="12"/>
  <c r="P40" i="12"/>
  <c r="R39" i="12"/>
  <c r="N113" i="11"/>
  <c r="O113" i="11" s="1"/>
  <c r="S110" i="11"/>
  <c r="Q40" i="11"/>
  <c r="R39" i="11"/>
  <c r="P40" i="11"/>
  <c r="Q40" i="10"/>
  <c r="R39" i="10"/>
  <c r="P40" i="10"/>
  <c r="R39" i="9"/>
  <c r="P40" i="9"/>
  <c r="Q40" i="9" s="1"/>
  <c r="S110" i="17"/>
  <c r="N113" i="17"/>
  <c r="O113" i="17" s="1"/>
  <c r="Q40" i="17"/>
  <c r="R39" i="17"/>
  <c r="P40" i="17"/>
  <c r="R39" i="16"/>
  <c r="P40" i="16"/>
  <c r="Q40" i="16" s="1"/>
  <c r="F44" i="18" l="1"/>
  <c r="R40" i="15"/>
  <c r="P41" i="15"/>
  <c r="Q41" i="15" s="1"/>
  <c r="S113" i="14"/>
  <c r="N116" i="14"/>
  <c r="O116" i="14" s="1"/>
  <c r="Q41" i="14"/>
  <c r="R40" i="14"/>
  <c r="P41" i="14"/>
  <c r="R40" i="13"/>
  <c r="P41" i="13"/>
  <c r="Q41" i="13" s="1"/>
  <c r="R40" i="12"/>
  <c r="P41" i="12"/>
  <c r="Q41" i="12" s="1"/>
  <c r="N116" i="11"/>
  <c r="O116" i="11" s="1"/>
  <c r="S113" i="11"/>
  <c r="Q41" i="11"/>
  <c r="R40" i="11"/>
  <c r="P41" i="11"/>
  <c r="Q41" i="10"/>
  <c r="R40" i="10"/>
  <c r="P41" i="10"/>
  <c r="R40" i="9"/>
  <c r="P41" i="9"/>
  <c r="Q41" i="9" s="1"/>
  <c r="S113" i="17"/>
  <c r="N116" i="17"/>
  <c r="O116" i="17" s="1"/>
  <c r="Q41" i="17"/>
  <c r="R40" i="17"/>
  <c r="P41" i="17"/>
  <c r="R40" i="16"/>
  <c r="P41" i="16"/>
  <c r="Q41" i="16" s="1"/>
  <c r="F45" i="18" l="1"/>
  <c r="R41" i="15"/>
  <c r="P42" i="15"/>
  <c r="Q42" i="15" s="1"/>
  <c r="F10" i="19"/>
  <c r="E10" i="19"/>
  <c r="S116" i="14"/>
  <c r="R41" i="14"/>
  <c r="P42" i="14"/>
  <c r="Q42" i="14" s="1"/>
  <c r="R41" i="13"/>
  <c r="P42" i="13"/>
  <c r="Q42" i="13" s="1"/>
  <c r="Q42" i="12"/>
  <c r="R41" i="12"/>
  <c r="P42" i="12"/>
  <c r="E7" i="19"/>
  <c r="F7" i="19"/>
  <c r="S116" i="11"/>
  <c r="R41" i="11"/>
  <c r="P42" i="11"/>
  <c r="Q42" i="11" s="1"/>
  <c r="Q42" i="10"/>
  <c r="R41" i="10"/>
  <c r="P42" i="10"/>
  <c r="R41" i="9"/>
  <c r="P42" i="9"/>
  <c r="Q42" i="9" s="1"/>
  <c r="E13" i="19"/>
  <c r="F13" i="19"/>
  <c r="S116" i="17"/>
  <c r="Q42" i="17"/>
  <c r="R41" i="17"/>
  <c r="P42" i="17"/>
  <c r="Q42" i="16"/>
  <c r="R41" i="16"/>
  <c r="P42" i="16"/>
  <c r="I10" i="19"/>
  <c r="H10" i="19"/>
  <c r="F46" i="18" l="1"/>
  <c r="R42" i="15"/>
  <c r="P43" i="15"/>
  <c r="Q43" i="15" s="1"/>
  <c r="R42" i="14"/>
  <c r="P43" i="14"/>
  <c r="Q43" i="14" s="1"/>
  <c r="R42" i="13"/>
  <c r="P43" i="13"/>
  <c r="Q43" i="13" s="1"/>
  <c r="R42" i="12"/>
  <c r="P43" i="12"/>
  <c r="Q43" i="12" s="1"/>
  <c r="H7" i="19"/>
  <c r="I7" i="19"/>
  <c r="Q43" i="11"/>
  <c r="R42" i="11"/>
  <c r="P43" i="11"/>
  <c r="R42" i="10"/>
  <c r="P43" i="10"/>
  <c r="Q43" i="10" s="1"/>
  <c r="R42" i="9"/>
  <c r="P43" i="9"/>
  <c r="Q43" i="9" s="1"/>
  <c r="I13" i="19"/>
  <c r="H13" i="19"/>
  <c r="Q43" i="17"/>
  <c r="R42" i="17"/>
  <c r="P43" i="17"/>
  <c r="Q43" i="16"/>
  <c r="R42" i="16"/>
  <c r="P43" i="16"/>
  <c r="F47" i="18" l="1"/>
  <c r="Q44" i="15"/>
  <c r="R43" i="15"/>
  <c r="P44" i="15"/>
  <c r="R43" i="14"/>
  <c r="P44" i="14"/>
  <c r="Q44" i="14" s="1"/>
  <c r="R43" i="13"/>
  <c r="P44" i="13"/>
  <c r="Q44" i="13" s="1"/>
  <c r="R43" i="12"/>
  <c r="P44" i="12"/>
  <c r="Q44" i="12" s="1"/>
  <c r="Q44" i="11"/>
  <c r="R43" i="11"/>
  <c r="P44" i="11"/>
  <c r="Q44" i="10"/>
  <c r="R43" i="10"/>
  <c r="P44" i="10"/>
  <c r="Q44" i="9"/>
  <c r="R43" i="9"/>
  <c r="P44" i="9"/>
  <c r="Q44" i="17"/>
  <c r="R43" i="17"/>
  <c r="P44" i="17"/>
  <c r="R43" i="16"/>
  <c r="P44" i="16"/>
  <c r="Q44" i="16" s="1"/>
  <c r="F48" i="18" l="1"/>
  <c r="R44" i="15"/>
  <c r="P45" i="15"/>
  <c r="Q45" i="15" s="1"/>
  <c r="Q45" i="14"/>
  <c r="R44" i="14"/>
  <c r="P45" i="14"/>
  <c r="Q45" i="13"/>
  <c r="R44" i="13"/>
  <c r="P45" i="13"/>
  <c r="R44" i="12"/>
  <c r="P45" i="12"/>
  <c r="Q45" i="12" s="1"/>
  <c r="R44" i="11"/>
  <c r="P45" i="11"/>
  <c r="Q45" i="11" s="1"/>
  <c r="Q45" i="10"/>
  <c r="R44" i="10"/>
  <c r="P45" i="10"/>
  <c r="Q45" i="9"/>
  <c r="R44" i="9"/>
  <c r="P45" i="9"/>
  <c r="R44" i="17"/>
  <c r="P45" i="17"/>
  <c r="Q45" i="17" s="1"/>
  <c r="R44" i="16"/>
  <c r="P45" i="16"/>
  <c r="Q45" i="16" s="1"/>
  <c r="F49" i="18" l="1"/>
  <c r="Q46" i="15"/>
  <c r="R45" i="15"/>
  <c r="P46" i="15"/>
  <c r="Q46" i="14"/>
  <c r="R45" i="14"/>
  <c r="P46" i="14"/>
  <c r="R45" i="13"/>
  <c r="P46" i="13"/>
  <c r="Q46" i="13" s="1"/>
  <c r="R45" i="12"/>
  <c r="P46" i="12"/>
  <c r="Q46" i="12" s="1"/>
  <c r="Q46" i="11"/>
  <c r="R45" i="11"/>
  <c r="P46" i="11"/>
  <c r="Q46" i="10"/>
  <c r="R45" i="10"/>
  <c r="P46" i="10"/>
  <c r="Q46" i="9"/>
  <c r="R45" i="9"/>
  <c r="P46" i="9"/>
  <c r="R45" i="17"/>
  <c r="P46" i="17"/>
  <c r="Q46" i="17" s="1"/>
  <c r="R45" i="16"/>
  <c r="P46" i="16"/>
  <c r="Q46" i="16" s="1"/>
  <c r="F50" i="18" l="1"/>
  <c r="Q47" i="15"/>
  <c r="R46" i="15"/>
  <c r="P47" i="15"/>
  <c r="R46" i="14"/>
  <c r="P47" i="14"/>
  <c r="Q47" i="14" s="1"/>
  <c r="R46" i="13"/>
  <c r="P47" i="13"/>
  <c r="Q47" i="13" s="1"/>
  <c r="R46" i="12"/>
  <c r="P47" i="12"/>
  <c r="Q47" i="12" s="1"/>
  <c r="Q47" i="11"/>
  <c r="R46" i="11"/>
  <c r="P47" i="11"/>
  <c r="Q47" i="10"/>
  <c r="R46" i="10"/>
  <c r="P47" i="10"/>
  <c r="Q47" i="9"/>
  <c r="R46" i="9"/>
  <c r="P47" i="9"/>
  <c r="Q47" i="17"/>
  <c r="R46" i="17"/>
  <c r="P47" i="17"/>
  <c r="Q47" i="16"/>
  <c r="R46" i="16"/>
  <c r="P47" i="16"/>
  <c r="F51" i="18" l="1"/>
  <c r="Q48" i="15"/>
  <c r="R47" i="15"/>
  <c r="P48" i="15"/>
  <c r="R47" i="14"/>
  <c r="P48" i="14"/>
  <c r="Q48" i="14" s="1"/>
  <c r="R47" i="13"/>
  <c r="P48" i="13"/>
  <c r="Q48" i="13" s="1"/>
  <c r="Q48" i="12"/>
  <c r="R47" i="12"/>
  <c r="P48" i="12"/>
  <c r="Q48" i="11"/>
  <c r="R47" i="11"/>
  <c r="P48" i="11"/>
  <c r="Q48" i="10"/>
  <c r="R47" i="10"/>
  <c r="P48" i="10"/>
  <c r="R47" i="9"/>
  <c r="P48" i="9"/>
  <c r="Q48" i="9" s="1"/>
  <c r="R47" i="17"/>
  <c r="P48" i="17"/>
  <c r="Q48" i="17" s="1"/>
  <c r="R47" i="16"/>
  <c r="P48" i="16"/>
  <c r="Q48" i="16" s="1"/>
  <c r="F52" i="18" l="1"/>
  <c r="Q49" i="15"/>
  <c r="R48" i="15"/>
  <c r="P49" i="15"/>
  <c r="Q49" i="14"/>
  <c r="R48" i="14"/>
  <c r="P49" i="14"/>
  <c r="R48" i="13"/>
  <c r="P49" i="13"/>
  <c r="Q49" i="13" s="1"/>
  <c r="R48" i="12"/>
  <c r="P49" i="12"/>
  <c r="Q49" i="12" s="1"/>
  <c r="Q49" i="11"/>
  <c r="R48" i="11"/>
  <c r="P49" i="11"/>
  <c r="Q49" i="10"/>
  <c r="R48" i="10"/>
  <c r="P49" i="10"/>
  <c r="Q49" i="9"/>
  <c r="R48" i="9"/>
  <c r="P49" i="9"/>
  <c r="Q49" i="17"/>
  <c r="R48" i="17"/>
  <c r="P49" i="17"/>
  <c r="Q49" i="16"/>
  <c r="R48" i="16"/>
  <c r="P49" i="16"/>
  <c r="F53" i="18" l="1"/>
  <c r="Q50" i="15"/>
  <c r="R49" i="15"/>
  <c r="P50" i="15"/>
  <c r="Q50" i="14"/>
  <c r="R49" i="14"/>
  <c r="P50" i="14"/>
  <c r="Q50" i="13"/>
  <c r="R49" i="13"/>
  <c r="P50" i="13"/>
  <c r="R49" i="12"/>
  <c r="P50" i="12"/>
  <c r="Q50" i="12" s="1"/>
  <c r="Q50" i="11"/>
  <c r="R49" i="11"/>
  <c r="P50" i="11"/>
  <c r="Q50" i="10"/>
  <c r="R49" i="10"/>
  <c r="P50" i="10"/>
  <c r="R49" i="9"/>
  <c r="P50" i="9"/>
  <c r="Q50" i="9" s="1"/>
  <c r="Q50" i="17"/>
  <c r="R49" i="17"/>
  <c r="P50" i="17"/>
  <c r="R49" i="16"/>
  <c r="P50" i="16"/>
  <c r="Q50" i="16" s="1"/>
  <c r="F54" i="18" l="1"/>
  <c r="R50" i="15"/>
  <c r="P51" i="15"/>
  <c r="Q51" i="15" s="1"/>
  <c r="Q51" i="14"/>
  <c r="R50" i="14"/>
  <c r="P51" i="14"/>
  <c r="R50" i="13"/>
  <c r="P51" i="13"/>
  <c r="Q51" i="13" s="1"/>
  <c r="R50" i="12"/>
  <c r="P51" i="12"/>
  <c r="Q51" i="12" s="1"/>
  <c r="Q51" i="11"/>
  <c r="R50" i="11"/>
  <c r="P51" i="11"/>
  <c r="Q51" i="10"/>
  <c r="R50" i="10"/>
  <c r="P51" i="10"/>
  <c r="R50" i="9"/>
  <c r="P51" i="9"/>
  <c r="Q51" i="9" s="1"/>
  <c r="R50" i="17"/>
  <c r="P51" i="17"/>
  <c r="Q51" i="17" s="1"/>
  <c r="R50" i="16"/>
  <c r="P51" i="16"/>
  <c r="Q51" i="16" s="1"/>
  <c r="F55" i="18" l="1"/>
  <c r="R51" i="15"/>
  <c r="P52" i="15"/>
  <c r="Q52" i="15" s="1"/>
  <c r="R51" i="14"/>
  <c r="P52" i="14"/>
  <c r="Q52" i="14" s="1"/>
  <c r="Q52" i="13"/>
  <c r="R51" i="13"/>
  <c r="P52" i="13"/>
  <c r="Q52" i="12"/>
  <c r="R51" i="12"/>
  <c r="P52" i="12"/>
  <c r="Q52" i="11"/>
  <c r="R51" i="11"/>
  <c r="P52" i="11"/>
  <c r="Q52" i="10"/>
  <c r="R51" i="10"/>
  <c r="P52" i="10"/>
  <c r="R51" i="9"/>
  <c r="P52" i="9"/>
  <c r="Q52" i="9" s="1"/>
  <c r="R51" i="17"/>
  <c r="P52" i="17"/>
  <c r="Q52" i="17" s="1"/>
  <c r="R51" i="16"/>
  <c r="P52" i="16"/>
  <c r="Q52" i="16" s="1"/>
  <c r="F56" i="18" l="1"/>
  <c r="Q53" i="15"/>
  <c r="R52" i="15"/>
  <c r="P53" i="15"/>
  <c r="R52" i="14"/>
  <c r="P53" i="14"/>
  <c r="Q53" i="14" s="1"/>
  <c r="R52" i="13"/>
  <c r="P53" i="13"/>
  <c r="Q53" i="13" s="1"/>
  <c r="R52" i="12"/>
  <c r="P53" i="12"/>
  <c r="Q53" i="12" s="1"/>
  <c r="Q53" i="11"/>
  <c r="R52" i="11"/>
  <c r="P53" i="11"/>
  <c r="Q53" i="10"/>
  <c r="R52" i="10"/>
  <c r="P53" i="10"/>
  <c r="R52" i="9"/>
  <c r="P53" i="9"/>
  <c r="Q53" i="9" s="1"/>
  <c r="R52" i="17"/>
  <c r="P53" i="17"/>
  <c r="Q53" i="17" s="1"/>
  <c r="Q53" i="16"/>
  <c r="R52" i="16"/>
  <c r="P53" i="16"/>
  <c r="F57" i="18" l="1"/>
  <c r="Q54" i="15"/>
  <c r="R53" i="15"/>
  <c r="P54" i="15"/>
  <c r="R53" i="14"/>
  <c r="P54" i="14"/>
  <c r="Q54" i="14" s="1"/>
  <c r="R53" i="13"/>
  <c r="P54" i="13"/>
  <c r="Q54" i="13" s="1"/>
  <c r="R53" i="12"/>
  <c r="P54" i="12"/>
  <c r="Q54" i="12" s="1"/>
  <c r="Q54" i="11"/>
  <c r="R53" i="11"/>
  <c r="P54" i="11"/>
  <c r="R53" i="10"/>
  <c r="P54" i="10"/>
  <c r="Q54" i="10" s="1"/>
  <c r="Q54" i="9"/>
  <c r="R53" i="9"/>
  <c r="P54" i="9"/>
  <c r="R53" i="17"/>
  <c r="P54" i="17"/>
  <c r="Q54" i="17" s="1"/>
  <c r="R53" i="16"/>
  <c r="P54" i="16"/>
  <c r="Q54" i="16" s="1"/>
  <c r="F58" i="18" l="1"/>
  <c r="Q55" i="15"/>
  <c r="R54" i="15"/>
  <c r="P55" i="15"/>
  <c r="R54" i="14"/>
  <c r="P55" i="14"/>
  <c r="Q55" i="14" s="1"/>
  <c r="R54" i="13"/>
  <c r="P55" i="13"/>
  <c r="Q55" i="13" s="1"/>
  <c r="R54" i="12"/>
  <c r="P55" i="12"/>
  <c r="Q55" i="12" s="1"/>
  <c r="R54" i="11"/>
  <c r="P55" i="11"/>
  <c r="Q55" i="11" s="1"/>
  <c r="Q55" i="10"/>
  <c r="R54" i="10"/>
  <c r="P55" i="10"/>
  <c r="R54" i="9"/>
  <c r="P55" i="9"/>
  <c r="Q55" i="9" s="1"/>
  <c r="R54" i="17"/>
  <c r="P55" i="17"/>
  <c r="Q55" i="17" s="1"/>
  <c r="R54" i="16"/>
  <c r="P55" i="16"/>
  <c r="Q55" i="16" s="1"/>
  <c r="F59" i="18" l="1"/>
  <c r="Q56" i="15"/>
  <c r="R55" i="15"/>
  <c r="P56" i="15"/>
  <c r="R55" i="14"/>
  <c r="P56" i="14"/>
  <c r="Q56" i="14" s="1"/>
  <c r="R55" i="13"/>
  <c r="P56" i="13"/>
  <c r="Q56" i="13" s="1"/>
  <c r="R55" i="12"/>
  <c r="P56" i="12"/>
  <c r="Q56" i="12" s="1"/>
  <c r="Q56" i="11"/>
  <c r="R55" i="11"/>
  <c r="P56" i="11"/>
  <c r="Q56" i="10"/>
  <c r="R55" i="10"/>
  <c r="P56" i="10"/>
  <c r="Q56" i="9"/>
  <c r="R55" i="9"/>
  <c r="P56" i="9"/>
  <c r="Q56" i="17"/>
  <c r="R55" i="17"/>
  <c r="P56" i="17"/>
  <c r="Q56" i="16"/>
  <c r="R55" i="16"/>
  <c r="P56" i="16"/>
  <c r="F60" i="18" l="1"/>
  <c r="Q57" i="15"/>
  <c r="R56" i="15"/>
  <c r="P57" i="15"/>
  <c r="R56" i="14"/>
  <c r="P57" i="14"/>
  <c r="Q57" i="14" s="1"/>
  <c r="R56" i="13"/>
  <c r="P57" i="13"/>
  <c r="Q57" i="13" s="1"/>
  <c r="Q57" i="12"/>
  <c r="R56" i="12"/>
  <c r="P57" i="12"/>
  <c r="Q57" i="11"/>
  <c r="R56" i="11"/>
  <c r="P57" i="11"/>
  <c r="R56" i="10"/>
  <c r="P57" i="10"/>
  <c r="Q57" i="10" s="1"/>
  <c r="Q57" i="9"/>
  <c r="R56" i="9"/>
  <c r="P57" i="9"/>
  <c r="Q57" i="17"/>
  <c r="R56" i="17"/>
  <c r="P57" i="17"/>
  <c r="Q57" i="16"/>
  <c r="R56" i="16"/>
  <c r="P57" i="16"/>
  <c r="F61" i="18" l="1"/>
  <c r="Q58" i="15"/>
  <c r="R57" i="15"/>
  <c r="P58" i="15"/>
  <c r="R57" i="14"/>
  <c r="P58" i="14"/>
  <c r="Q58" i="14" s="1"/>
  <c r="R57" i="13"/>
  <c r="P58" i="13"/>
  <c r="Q58" i="13" s="1"/>
  <c r="Q58" i="12"/>
  <c r="R57" i="12"/>
  <c r="P58" i="12"/>
  <c r="Q58" i="11"/>
  <c r="R57" i="11"/>
  <c r="P58" i="11"/>
  <c r="Q58" i="10"/>
  <c r="R57" i="10"/>
  <c r="P58" i="10"/>
  <c r="Q58" i="9"/>
  <c r="R57" i="9"/>
  <c r="P58" i="9"/>
  <c r="R57" i="17"/>
  <c r="P58" i="17"/>
  <c r="Q58" i="17" s="1"/>
  <c r="R57" i="16"/>
  <c r="P58" i="16"/>
  <c r="Q58" i="16" s="1"/>
  <c r="F62" i="18" l="1"/>
  <c r="R58" i="15"/>
  <c r="P59" i="15"/>
  <c r="Q59" i="15" s="1"/>
  <c r="R58" i="14"/>
  <c r="P59" i="14"/>
  <c r="Q59" i="14" s="1"/>
  <c r="R58" i="13"/>
  <c r="P59" i="13"/>
  <c r="Q59" i="13" s="1"/>
  <c r="Q59" i="12"/>
  <c r="R58" i="12"/>
  <c r="P59" i="12"/>
  <c r="Q59" i="11"/>
  <c r="R58" i="11"/>
  <c r="P59" i="11"/>
  <c r="R58" i="10"/>
  <c r="P59" i="10"/>
  <c r="Q59" i="10" s="1"/>
  <c r="R58" i="9"/>
  <c r="P59" i="9"/>
  <c r="Q59" i="9" s="1"/>
  <c r="Q59" i="17"/>
  <c r="R58" i="17"/>
  <c r="P59" i="17"/>
  <c r="R58" i="16"/>
  <c r="P59" i="16"/>
  <c r="Q59" i="16" s="1"/>
  <c r="F63" i="18" l="1"/>
  <c r="R59" i="15"/>
  <c r="P60" i="15"/>
  <c r="Q60" i="15" s="1"/>
  <c r="R59" i="14"/>
  <c r="P60" i="14"/>
  <c r="Q60" i="14" s="1"/>
  <c r="R59" i="13"/>
  <c r="P60" i="13"/>
  <c r="Q60" i="13" s="1"/>
  <c r="Q60" i="12"/>
  <c r="R59" i="12"/>
  <c r="P60" i="12"/>
  <c r="Q60" i="11"/>
  <c r="R59" i="11"/>
  <c r="P60" i="11"/>
  <c r="Q60" i="10"/>
  <c r="R59" i="10"/>
  <c r="P60" i="10"/>
  <c r="Q60" i="9"/>
  <c r="R59" i="9"/>
  <c r="P60" i="9"/>
  <c r="R59" i="17"/>
  <c r="P60" i="17"/>
  <c r="Q60" i="17" s="1"/>
  <c r="R59" i="16"/>
  <c r="P60" i="16"/>
  <c r="Q60" i="16" s="1"/>
  <c r="F64" i="18" l="1"/>
  <c r="Q61" i="15"/>
  <c r="R60" i="15"/>
  <c r="P61" i="15"/>
  <c r="R60" i="14"/>
  <c r="P61" i="14"/>
  <c r="Q61" i="14" s="1"/>
  <c r="Q61" i="13"/>
  <c r="R60" i="13"/>
  <c r="P61" i="13"/>
  <c r="Q61" i="12"/>
  <c r="R60" i="12"/>
  <c r="P61" i="12"/>
  <c r="Q61" i="11"/>
  <c r="R60" i="11"/>
  <c r="P61" i="11"/>
  <c r="Q61" i="10"/>
  <c r="R60" i="10"/>
  <c r="P61" i="10"/>
  <c r="Q61" i="9"/>
  <c r="R60" i="9"/>
  <c r="P61" i="9"/>
  <c r="R60" i="17"/>
  <c r="P61" i="17"/>
  <c r="Q61" i="17" s="1"/>
  <c r="Q61" i="16"/>
  <c r="R60" i="16"/>
  <c r="P61" i="16"/>
  <c r="F65" i="18" l="1"/>
  <c r="Q62" i="15"/>
  <c r="R61" i="15"/>
  <c r="P62" i="15"/>
  <c r="R61" i="14"/>
  <c r="P62" i="14"/>
  <c r="Q62" i="14" s="1"/>
  <c r="R61" i="13"/>
  <c r="P62" i="13"/>
  <c r="Q62" i="13" s="1"/>
  <c r="R61" i="12"/>
  <c r="P62" i="12"/>
  <c r="Q62" i="12" s="1"/>
  <c r="Q62" i="11"/>
  <c r="R61" i="11"/>
  <c r="P62" i="11"/>
  <c r="R61" i="10"/>
  <c r="P62" i="10"/>
  <c r="Q62" i="10" s="1"/>
  <c r="Q62" i="9"/>
  <c r="R61" i="9"/>
  <c r="P62" i="9"/>
  <c r="Q62" i="17"/>
  <c r="R61" i="17"/>
  <c r="P62" i="17"/>
  <c r="R61" i="16"/>
  <c r="P62" i="16"/>
  <c r="Q62" i="16" s="1"/>
  <c r="F66" i="18" l="1"/>
  <c r="Q63" i="15"/>
  <c r="R62" i="15"/>
  <c r="P63" i="15"/>
  <c r="R62" i="14"/>
  <c r="P63" i="14"/>
  <c r="Q63" i="14" s="1"/>
  <c r="R62" i="13"/>
  <c r="P63" i="13"/>
  <c r="Q63" i="13" s="1"/>
  <c r="R62" i="12"/>
  <c r="P63" i="12"/>
  <c r="Q63" i="12" s="1"/>
  <c r="Q63" i="11"/>
  <c r="R62" i="11"/>
  <c r="P63" i="11"/>
  <c r="R62" i="10"/>
  <c r="P63" i="10"/>
  <c r="Q63" i="10" s="1"/>
  <c r="Q63" i="9"/>
  <c r="R62" i="9"/>
  <c r="P63" i="9"/>
  <c r="R62" i="17"/>
  <c r="P63" i="17"/>
  <c r="Q63" i="17" s="1"/>
  <c r="R62" i="16"/>
  <c r="P63" i="16"/>
  <c r="Q63" i="16" s="1"/>
  <c r="F67" i="18" l="1"/>
  <c r="Q64" i="15"/>
  <c r="R63" i="15"/>
  <c r="P64" i="15"/>
  <c r="Q64" i="14"/>
  <c r="R63" i="14"/>
  <c r="P64" i="14"/>
  <c r="R63" i="13"/>
  <c r="P64" i="13"/>
  <c r="Q64" i="13" s="1"/>
  <c r="R63" i="12"/>
  <c r="P64" i="12"/>
  <c r="Q64" i="12" s="1"/>
  <c r="Q64" i="11"/>
  <c r="R63" i="11"/>
  <c r="P64" i="11"/>
  <c r="Q64" i="10"/>
  <c r="R63" i="10"/>
  <c r="P64" i="10"/>
  <c r="Q64" i="9"/>
  <c r="R63" i="9"/>
  <c r="P64" i="9"/>
  <c r="Q64" i="17"/>
  <c r="R63" i="17"/>
  <c r="P64" i="17"/>
  <c r="R63" i="16"/>
  <c r="P64" i="16"/>
  <c r="Q64" i="16" s="1"/>
  <c r="F68" i="18" l="1"/>
  <c r="Q65" i="15"/>
  <c r="R64" i="15"/>
  <c r="P65" i="15"/>
  <c r="Q65" i="14"/>
  <c r="R64" i="14"/>
  <c r="P65" i="14"/>
  <c r="R64" i="13"/>
  <c r="P65" i="13"/>
  <c r="Q65" i="13" s="1"/>
  <c r="R64" i="12"/>
  <c r="P65" i="12"/>
  <c r="Q65" i="12" s="1"/>
  <c r="Q65" i="11"/>
  <c r="R64" i="11"/>
  <c r="P65" i="11"/>
  <c r="R64" i="10"/>
  <c r="P65" i="10"/>
  <c r="Q65" i="10" s="1"/>
  <c r="Q65" i="9"/>
  <c r="R64" i="9"/>
  <c r="P65" i="9"/>
  <c r="R64" i="17"/>
  <c r="P65" i="17"/>
  <c r="Q65" i="17" s="1"/>
  <c r="Q65" i="16"/>
  <c r="R64" i="16"/>
  <c r="P65" i="16"/>
  <c r="F69" i="18" l="1"/>
  <c r="Q66" i="15"/>
  <c r="R65" i="15"/>
  <c r="P66" i="15"/>
  <c r="Q66" i="14"/>
  <c r="R65" i="14"/>
  <c r="P66" i="14"/>
  <c r="Q66" i="13"/>
  <c r="R65" i="13"/>
  <c r="P66" i="13"/>
  <c r="Q66" i="12"/>
  <c r="R65" i="12"/>
  <c r="P66" i="12"/>
  <c r="Q66" i="11"/>
  <c r="R65" i="11"/>
  <c r="P66" i="11"/>
  <c r="Q66" i="10"/>
  <c r="R65" i="10"/>
  <c r="P66" i="10"/>
  <c r="R65" i="9"/>
  <c r="P66" i="9"/>
  <c r="Q66" i="9" s="1"/>
  <c r="R65" i="17"/>
  <c r="P66" i="17"/>
  <c r="Q66" i="17" s="1"/>
  <c r="Q66" i="16"/>
  <c r="P66" i="16"/>
  <c r="R65" i="16"/>
  <c r="F70" i="18" l="1"/>
  <c r="R66" i="15"/>
  <c r="P67" i="15"/>
  <c r="Q67" i="15" s="1"/>
  <c r="Q67" i="14"/>
  <c r="R66" i="14"/>
  <c r="P67" i="14"/>
  <c r="Q67" i="13"/>
  <c r="R66" i="13"/>
  <c r="P67" i="13"/>
  <c r="Q67" i="12"/>
  <c r="R66" i="12"/>
  <c r="P67" i="12"/>
  <c r="Q67" i="11"/>
  <c r="R66" i="11"/>
  <c r="P67" i="11"/>
  <c r="Q67" i="10"/>
  <c r="R66" i="10"/>
  <c r="P67" i="10"/>
  <c r="Q67" i="9"/>
  <c r="R66" i="9"/>
  <c r="P67" i="9"/>
  <c r="Q67" i="17"/>
  <c r="R66" i="17"/>
  <c r="P67" i="17"/>
  <c r="R66" i="16"/>
  <c r="P67" i="16"/>
  <c r="Q67" i="16" s="1"/>
  <c r="F71" i="18" l="1"/>
  <c r="R67" i="15"/>
  <c r="P68" i="15"/>
  <c r="Q68" i="15" s="1"/>
  <c r="R67" i="14"/>
  <c r="P68" i="14"/>
  <c r="Q68" i="14" s="1"/>
  <c r="R67" i="13"/>
  <c r="P68" i="13"/>
  <c r="Q68" i="13" s="1"/>
  <c r="Q68" i="12"/>
  <c r="R67" i="12"/>
  <c r="P68" i="12"/>
  <c r="Q68" i="11"/>
  <c r="R67" i="11"/>
  <c r="P68" i="11"/>
  <c r="Q68" i="10"/>
  <c r="R67" i="10"/>
  <c r="P68" i="10"/>
  <c r="Q68" i="9"/>
  <c r="R67" i="9"/>
  <c r="P68" i="9"/>
  <c r="Q68" i="17"/>
  <c r="R67" i="17"/>
  <c r="P68" i="17"/>
  <c r="R67" i="16"/>
  <c r="P68" i="16"/>
  <c r="Q68" i="16" s="1"/>
  <c r="F72" i="18" l="1"/>
  <c r="Q69" i="15"/>
  <c r="R68" i="15"/>
  <c r="P69" i="15"/>
  <c r="R68" i="14"/>
  <c r="P69" i="14"/>
  <c r="Q69" i="14" s="1"/>
  <c r="Q69" i="13"/>
  <c r="R68" i="13"/>
  <c r="P69" i="13"/>
  <c r="Q69" i="12"/>
  <c r="R68" i="12"/>
  <c r="P69" i="12"/>
  <c r="Q69" i="11"/>
  <c r="R68" i="11"/>
  <c r="P69" i="11"/>
  <c r="Q69" i="10"/>
  <c r="R68" i="10"/>
  <c r="P69" i="10"/>
  <c r="R68" i="9"/>
  <c r="P69" i="9"/>
  <c r="Q69" i="9" s="1"/>
  <c r="Q69" i="17"/>
  <c r="R68" i="17"/>
  <c r="P69" i="17"/>
  <c r="R68" i="16"/>
  <c r="P69" i="16"/>
  <c r="Q69" i="16" s="1"/>
  <c r="F73" i="18" l="1"/>
  <c r="Q70" i="15"/>
  <c r="R69" i="15"/>
  <c r="P70" i="15"/>
  <c r="R69" i="14"/>
  <c r="P70" i="14"/>
  <c r="Q70" i="14" s="1"/>
  <c r="R69" i="13"/>
  <c r="P70" i="13"/>
  <c r="Q70" i="13" s="1"/>
  <c r="Q70" i="12"/>
  <c r="R69" i="12"/>
  <c r="P70" i="12"/>
  <c r="Q70" i="11"/>
  <c r="R69" i="11"/>
  <c r="P70" i="11"/>
  <c r="R69" i="10"/>
  <c r="P70" i="10"/>
  <c r="Q70" i="10" s="1"/>
  <c r="Q70" i="9"/>
  <c r="R69" i="9"/>
  <c r="P70" i="9"/>
  <c r="R69" i="17"/>
  <c r="P70" i="17"/>
  <c r="Q70" i="17" s="1"/>
  <c r="Q70" i="16"/>
  <c r="R69" i="16"/>
  <c r="P70" i="16"/>
  <c r="F74" i="18" l="1"/>
  <c r="Q71" i="15"/>
  <c r="R70" i="15"/>
  <c r="P71" i="15"/>
  <c r="Q71" i="14"/>
  <c r="R70" i="14"/>
  <c r="P71" i="14"/>
  <c r="R70" i="13"/>
  <c r="P71" i="13"/>
  <c r="Q71" i="13" s="1"/>
  <c r="R70" i="12"/>
  <c r="P71" i="12"/>
  <c r="Q71" i="12" s="1"/>
  <c r="Q71" i="11"/>
  <c r="R70" i="11"/>
  <c r="P71" i="11"/>
  <c r="R70" i="10"/>
  <c r="P71" i="10"/>
  <c r="Q71" i="10" s="1"/>
  <c r="Q71" i="9"/>
  <c r="R70" i="9"/>
  <c r="P71" i="9"/>
  <c r="R70" i="17"/>
  <c r="P71" i="17"/>
  <c r="Q71" i="17" s="1"/>
  <c r="Q71" i="16"/>
  <c r="R70" i="16"/>
  <c r="P71" i="16"/>
  <c r="F75" i="18" l="1"/>
  <c r="R71" i="15"/>
  <c r="P72" i="15"/>
  <c r="Q72" i="15" s="1"/>
  <c r="Q72" i="14"/>
  <c r="R71" i="14"/>
  <c r="P72" i="14"/>
  <c r="Q72" i="13"/>
  <c r="R71" i="13"/>
  <c r="P72" i="13"/>
  <c r="R71" i="12"/>
  <c r="P72" i="12"/>
  <c r="Q72" i="12" s="1"/>
  <c r="R71" i="11"/>
  <c r="P72" i="11"/>
  <c r="Q72" i="11" s="1"/>
  <c r="Q72" i="10"/>
  <c r="R71" i="10"/>
  <c r="P72" i="10"/>
  <c r="R71" i="9"/>
  <c r="P72" i="9"/>
  <c r="Q72" i="9" s="1"/>
  <c r="R71" i="17"/>
  <c r="P72" i="17"/>
  <c r="Q72" i="17" s="1"/>
  <c r="R71" i="16"/>
  <c r="P72" i="16"/>
  <c r="Q72" i="16" s="1"/>
  <c r="F76" i="18" l="1"/>
  <c r="R72" i="15"/>
  <c r="P73" i="15"/>
  <c r="Q73" i="15" s="1"/>
  <c r="R72" i="14"/>
  <c r="P73" i="14"/>
  <c r="Q73" i="14" s="1"/>
  <c r="R72" i="13"/>
  <c r="P73" i="13"/>
  <c r="Q73" i="13" s="1"/>
  <c r="R72" i="12"/>
  <c r="P73" i="12"/>
  <c r="Q73" i="12" s="1"/>
  <c r="Q73" i="11"/>
  <c r="R72" i="11"/>
  <c r="P73" i="11"/>
  <c r="Q73" i="10"/>
  <c r="R72" i="10"/>
  <c r="P73" i="10"/>
  <c r="Q73" i="9"/>
  <c r="R72" i="9"/>
  <c r="P73" i="9"/>
  <c r="Q73" i="17"/>
  <c r="R72" i="17"/>
  <c r="P73" i="17"/>
  <c r="R72" i="16"/>
  <c r="P73" i="16"/>
  <c r="Q73" i="16" s="1"/>
  <c r="F77" i="18" l="1"/>
  <c r="Q74" i="15"/>
  <c r="R73" i="15"/>
  <c r="P74" i="15"/>
  <c r="P74" i="14"/>
  <c r="Q74" i="14" s="1"/>
  <c r="R73" i="14"/>
  <c r="R73" i="13"/>
  <c r="P74" i="13"/>
  <c r="Q74" i="13" s="1"/>
  <c r="Q74" i="12"/>
  <c r="R73" i="12"/>
  <c r="P74" i="12"/>
  <c r="Q74" i="11"/>
  <c r="R73" i="11"/>
  <c r="P74" i="11"/>
  <c r="Q74" i="10"/>
  <c r="R73" i="10"/>
  <c r="P74" i="10"/>
  <c r="R73" i="9"/>
  <c r="P74" i="9"/>
  <c r="Q74" i="9" s="1"/>
  <c r="Q74" i="17"/>
  <c r="R73" i="17"/>
  <c r="P74" i="17"/>
  <c r="R73" i="16"/>
  <c r="P74" i="16"/>
  <c r="Q74" i="16" s="1"/>
  <c r="F78" i="18" l="1"/>
  <c r="R74" i="15"/>
  <c r="P75" i="15"/>
  <c r="Q75" i="15" s="1"/>
  <c r="R74" i="14"/>
  <c r="P75" i="14"/>
  <c r="Q75" i="14" s="1"/>
  <c r="R74" i="13"/>
  <c r="P75" i="13"/>
  <c r="Q75" i="13" s="1"/>
  <c r="R74" i="12"/>
  <c r="P75" i="12"/>
  <c r="Q75" i="12" s="1"/>
  <c r="Q75" i="11"/>
  <c r="R74" i="11"/>
  <c r="P75" i="11"/>
  <c r="Q75" i="10"/>
  <c r="R74" i="10"/>
  <c r="P75" i="10"/>
  <c r="Q75" i="9"/>
  <c r="R74" i="9"/>
  <c r="P75" i="9"/>
  <c r="Q75" i="17"/>
  <c r="R74" i="17"/>
  <c r="P75" i="17"/>
  <c r="R74" i="16"/>
  <c r="P75" i="16"/>
  <c r="Q75" i="16" s="1"/>
  <c r="F79" i="18" l="1"/>
  <c r="Q76" i="15"/>
  <c r="R75" i="15"/>
  <c r="P76" i="15"/>
  <c r="Q76" i="14"/>
  <c r="P76" i="14"/>
  <c r="R75" i="14"/>
  <c r="R75" i="13"/>
  <c r="P76" i="13"/>
  <c r="Q76" i="13" s="1"/>
  <c r="R75" i="12"/>
  <c r="P76" i="12"/>
  <c r="Q76" i="12" s="1"/>
  <c r="Q76" i="11"/>
  <c r="R75" i="11"/>
  <c r="P76" i="11"/>
  <c r="R75" i="10"/>
  <c r="P76" i="10"/>
  <c r="Q76" i="10" s="1"/>
  <c r="Q76" i="9"/>
  <c r="R75" i="9"/>
  <c r="P76" i="9"/>
  <c r="Q76" i="17"/>
  <c r="R75" i="17"/>
  <c r="P76" i="17"/>
  <c r="R75" i="16"/>
  <c r="P76" i="16"/>
  <c r="Q76" i="16" s="1"/>
  <c r="F80" i="18" l="1"/>
  <c r="Q77" i="15"/>
  <c r="R76" i="15"/>
  <c r="P77" i="15"/>
  <c r="Q77" i="14"/>
  <c r="R76" i="14"/>
  <c r="P77" i="14"/>
  <c r="R76" i="13"/>
  <c r="P77" i="13"/>
  <c r="Q77" i="13" s="1"/>
  <c r="R76" i="12"/>
  <c r="P77" i="12"/>
  <c r="Q77" i="12" s="1"/>
  <c r="Q77" i="11"/>
  <c r="R76" i="11"/>
  <c r="P77" i="11"/>
  <c r="Q77" i="10"/>
  <c r="R76" i="10"/>
  <c r="P77" i="10"/>
  <c r="R76" i="9"/>
  <c r="P77" i="9"/>
  <c r="Q77" i="9" s="1"/>
  <c r="Q77" i="17"/>
  <c r="R76" i="17"/>
  <c r="P77" i="17"/>
  <c r="R76" i="16"/>
  <c r="P77" i="16"/>
  <c r="Q77" i="16" s="1"/>
  <c r="F81" i="18" l="1"/>
  <c r="Q78" i="15"/>
  <c r="R77" i="15"/>
  <c r="P78" i="15"/>
  <c r="R77" i="14"/>
  <c r="P78" i="14"/>
  <c r="Q78" i="14" s="1"/>
  <c r="Q78" i="13"/>
  <c r="R77" i="13"/>
  <c r="P78" i="13"/>
  <c r="Q78" i="12"/>
  <c r="R77" i="12"/>
  <c r="P78" i="12"/>
  <c r="Q78" i="11"/>
  <c r="R77" i="11"/>
  <c r="P78" i="11"/>
  <c r="Q78" i="10"/>
  <c r="R77" i="10"/>
  <c r="P78" i="10"/>
  <c r="Q78" i="9"/>
  <c r="R77" i="9"/>
  <c r="P78" i="9"/>
  <c r="Q78" i="17"/>
  <c r="R77" i="17"/>
  <c r="P78" i="17"/>
  <c r="R77" i="16"/>
  <c r="P78" i="16"/>
  <c r="Q78" i="16" s="1"/>
  <c r="F82" i="18" l="1"/>
  <c r="Q79" i="15"/>
  <c r="R78" i="15"/>
  <c r="P79" i="15"/>
  <c r="Q79" i="14"/>
  <c r="R78" i="14"/>
  <c r="P79" i="14"/>
  <c r="R78" i="13"/>
  <c r="P79" i="13"/>
  <c r="Q79" i="13" s="1"/>
  <c r="R78" i="12"/>
  <c r="P79" i="12"/>
  <c r="Q79" i="12" s="1"/>
  <c r="Q79" i="11"/>
  <c r="R78" i="11"/>
  <c r="P79" i="11"/>
  <c r="R78" i="10"/>
  <c r="P79" i="10"/>
  <c r="Q79" i="10" s="1"/>
  <c r="Q79" i="9"/>
  <c r="R78" i="9"/>
  <c r="P79" i="9"/>
  <c r="Q79" i="17"/>
  <c r="R78" i="17"/>
  <c r="P79" i="17"/>
  <c r="R78" i="16"/>
  <c r="P79" i="16"/>
  <c r="Q79" i="16" s="1"/>
  <c r="F83" i="18" l="1"/>
  <c r="Q80" i="15"/>
  <c r="R79" i="15"/>
  <c r="P80" i="15"/>
  <c r="R79" i="14"/>
  <c r="P80" i="14"/>
  <c r="Q80" i="14" s="1"/>
  <c r="R79" i="13"/>
  <c r="P80" i="13"/>
  <c r="Q80" i="13" s="1"/>
  <c r="Q80" i="12"/>
  <c r="R79" i="12"/>
  <c r="P80" i="12"/>
  <c r="Q80" i="11"/>
  <c r="R79" i="11"/>
  <c r="P80" i="11"/>
  <c r="Q80" i="10"/>
  <c r="R79" i="10"/>
  <c r="P80" i="10"/>
  <c r="Q80" i="9"/>
  <c r="R79" i="9"/>
  <c r="P80" i="9"/>
  <c r="Q80" i="17"/>
  <c r="R79" i="17"/>
  <c r="P80" i="17"/>
  <c r="R79" i="16"/>
  <c r="P80" i="16"/>
  <c r="Q80" i="16" s="1"/>
  <c r="F84" i="18" l="1"/>
  <c r="Q81" i="15"/>
  <c r="R80" i="15"/>
  <c r="P81" i="15"/>
  <c r="Q81" i="14"/>
  <c r="R80" i="14"/>
  <c r="P81" i="14"/>
  <c r="Q81" i="13"/>
  <c r="R80" i="13"/>
  <c r="P81" i="13"/>
  <c r="Q81" i="12"/>
  <c r="R80" i="12"/>
  <c r="P81" i="12"/>
  <c r="Q81" i="11"/>
  <c r="P81" i="11"/>
  <c r="R80" i="11"/>
  <c r="Q81" i="10"/>
  <c r="R80" i="10"/>
  <c r="P81" i="10"/>
  <c r="Q81" i="9"/>
  <c r="R80" i="9"/>
  <c r="P81" i="9"/>
  <c r="R80" i="17"/>
  <c r="P81" i="17"/>
  <c r="Q81" i="17" s="1"/>
  <c r="R80" i="16"/>
  <c r="P81" i="16"/>
  <c r="Q81" i="16" s="1"/>
  <c r="F85" i="18" l="1"/>
  <c r="Q82" i="15"/>
  <c r="R81" i="15"/>
  <c r="P82" i="15"/>
  <c r="Q82" i="14"/>
  <c r="R81" i="14"/>
  <c r="P82" i="14"/>
  <c r="R81" i="13"/>
  <c r="P82" i="13"/>
  <c r="Q82" i="13" s="1"/>
  <c r="R81" i="12"/>
  <c r="P82" i="12"/>
  <c r="Q82" i="12" s="1"/>
  <c r="Q82" i="11"/>
  <c r="R81" i="11"/>
  <c r="P82" i="11"/>
  <c r="R81" i="10"/>
  <c r="P82" i="10"/>
  <c r="Q82" i="10" s="1"/>
  <c r="Q82" i="9"/>
  <c r="R81" i="9"/>
  <c r="P82" i="9"/>
  <c r="R81" i="17"/>
  <c r="P82" i="17"/>
  <c r="Q82" i="17" s="1"/>
  <c r="Q82" i="16"/>
  <c r="R81" i="16"/>
  <c r="P82" i="16"/>
  <c r="F86" i="18" l="1"/>
  <c r="Q83" i="15"/>
  <c r="R82" i="15"/>
  <c r="P83" i="15"/>
  <c r="Q83" i="14"/>
  <c r="R82" i="14"/>
  <c r="P83" i="14"/>
  <c r="R82" i="13"/>
  <c r="P83" i="13"/>
  <c r="Q83" i="13" s="1"/>
  <c r="R82" i="12"/>
  <c r="P83" i="12"/>
  <c r="Q83" i="12" s="1"/>
  <c r="P83" i="11"/>
  <c r="Q83" i="11" s="1"/>
  <c r="R82" i="11"/>
  <c r="R82" i="10"/>
  <c r="P83" i="10"/>
  <c r="Q83" i="10" s="1"/>
  <c r="Q83" i="9"/>
  <c r="R82" i="9"/>
  <c r="P83" i="9"/>
  <c r="R82" i="17"/>
  <c r="P83" i="17"/>
  <c r="Q83" i="17" s="1"/>
  <c r="R82" i="16"/>
  <c r="P83" i="16"/>
  <c r="Q83" i="16" s="1"/>
  <c r="F87" i="18" l="1"/>
  <c r="Q84" i="15"/>
  <c r="R83" i="15"/>
  <c r="P84" i="15"/>
  <c r="R83" i="14"/>
  <c r="P84" i="14"/>
  <c r="Q84" i="14" s="1"/>
  <c r="R83" i="13"/>
  <c r="P84" i="13"/>
  <c r="Q84" i="13" s="1"/>
  <c r="Q84" i="12"/>
  <c r="R83" i="12"/>
  <c r="P84" i="12"/>
  <c r="Q84" i="11"/>
  <c r="P84" i="11"/>
  <c r="R83" i="11"/>
  <c r="Q84" i="10"/>
  <c r="R83" i="10"/>
  <c r="P84" i="10"/>
  <c r="Q84" i="9"/>
  <c r="R83" i="9"/>
  <c r="P84" i="9"/>
  <c r="Q84" i="17"/>
  <c r="R83" i="17"/>
  <c r="P84" i="17"/>
  <c r="Q84" i="16"/>
  <c r="R83" i="16"/>
  <c r="P84" i="16"/>
  <c r="F88" i="18" l="1"/>
  <c r="Q85" i="15"/>
  <c r="R84" i="15"/>
  <c r="P85" i="15"/>
  <c r="R84" i="14"/>
  <c r="P85" i="14"/>
  <c r="Q85" i="14" s="1"/>
  <c r="R84" i="13"/>
  <c r="P85" i="13"/>
  <c r="Q85" i="13" s="1"/>
  <c r="R84" i="12"/>
  <c r="P85" i="12"/>
  <c r="Q85" i="12" s="1"/>
  <c r="Q85" i="11"/>
  <c r="P85" i="11"/>
  <c r="R84" i="11"/>
  <c r="R84" i="10"/>
  <c r="P85" i="10"/>
  <c r="Q85" i="10" s="1"/>
  <c r="Q85" i="9"/>
  <c r="R84" i="9"/>
  <c r="P85" i="9"/>
  <c r="Q85" i="17"/>
  <c r="R84" i="17"/>
  <c r="P85" i="17"/>
  <c r="Q85" i="16"/>
  <c r="R84" i="16"/>
  <c r="P85" i="16"/>
  <c r="F89" i="18" l="1"/>
  <c r="Q86" i="15"/>
  <c r="R85" i="15"/>
  <c r="P86" i="15"/>
  <c r="Q86" i="14"/>
  <c r="R85" i="14"/>
  <c r="P86" i="14"/>
  <c r="R85" i="13"/>
  <c r="P86" i="13"/>
  <c r="Q86" i="13" s="1"/>
  <c r="R85" i="12"/>
  <c r="P86" i="12"/>
  <c r="Q86" i="12" s="1"/>
  <c r="Q86" i="11"/>
  <c r="R85" i="11"/>
  <c r="P86" i="11"/>
  <c r="Q86" i="10"/>
  <c r="R85" i="10"/>
  <c r="P86" i="10"/>
  <c r="Q86" i="9"/>
  <c r="R85" i="9"/>
  <c r="P86" i="9"/>
  <c r="R85" i="17"/>
  <c r="P86" i="17"/>
  <c r="Q86" i="17" s="1"/>
  <c r="R85" i="16"/>
  <c r="P86" i="16"/>
  <c r="Q86" i="16" s="1"/>
  <c r="F90" i="18" l="1"/>
  <c r="R86" i="15"/>
  <c r="P87" i="15"/>
  <c r="Q87" i="15" s="1"/>
  <c r="Q87" i="14"/>
  <c r="R86" i="14"/>
  <c r="P87" i="14"/>
  <c r="R86" i="13"/>
  <c r="P87" i="13"/>
  <c r="Q87" i="13" s="1"/>
  <c r="R86" i="12"/>
  <c r="P87" i="12"/>
  <c r="Q87" i="12" s="1"/>
  <c r="Q87" i="11"/>
  <c r="P87" i="11"/>
  <c r="R86" i="11"/>
  <c r="R86" i="10"/>
  <c r="P87" i="10"/>
  <c r="Q87" i="10" s="1"/>
  <c r="Q87" i="9"/>
  <c r="R86" i="9"/>
  <c r="P87" i="9"/>
  <c r="Q87" i="17"/>
  <c r="R86" i="17"/>
  <c r="P87" i="17"/>
  <c r="R86" i="16"/>
  <c r="P87" i="16"/>
  <c r="Q87" i="16" s="1"/>
  <c r="F91" i="18" l="1"/>
  <c r="Q88" i="15"/>
  <c r="R87" i="15"/>
  <c r="P88" i="15"/>
  <c r="Q88" i="14"/>
  <c r="R87" i="14"/>
  <c r="P88" i="14"/>
  <c r="R87" i="13"/>
  <c r="P88" i="13"/>
  <c r="Q88" i="13" s="1"/>
  <c r="R87" i="12"/>
  <c r="P88" i="12"/>
  <c r="Q88" i="12" s="1"/>
  <c r="R87" i="11"/>
  <c r="P88" i="11"/>
  <c r="Q88" i="11" s="1"/>
  <c r="Q88" i="10"/>
  <c r="R87" i="10"/>
  <c r="P88" i="10"/>
  <c r="Q88" i="9"/>
  <c r="R87" i="9"/>
  <c r="P88" i="9"/>
  <c r="Q88" i="17"/>
  <c r="R87" i="17"/>
  <c r="P88" i="17"/>
  <c r="Q88" i="16"/>
  <c r="R87" i="16"/>
  <c r="P88" i="16"/>
  <c r="F92" i="18" l="1"/>
  <c r="Q89" i="15"/>
  <c r="R88" i="15"/>
  <c r="P89" i="15"/>
  <c r="Q89" i="14"/>
  <c r="R88" i="14"/>
  <c r="P89" i="14"/>
  <c r="R88" i="13"/>
  <c r="P89" i="13"/>
  <c r="Q89" i="13" s="1"/>
  <c r="R88" i="12"/>
  <c r="P89" i="12"/>
  <c r="Q89" i="12" s="1"/>
  <c r="Q89" i="11"/>
  <c r="R88" i="11"/>
  <c r="P89" i="11"/>
  <c r="Q89" i="10"/>
  <c r="R88" i="10"/>
  <c r="P89" i="10"/>
  <c r="R88" i="9"/>
  <c r="P89" i="9"/>
  <c r="Q89" i="9" s="1"/>
  <c r="Q89" i="17"/>
  <c r="R88" i="17"/>
  <c r="P89" i="17"/>
  <c r="R88" i="16"/>
  <c r="P89" i="16"/>
  <c r="Q89" i="16" s="1"/>
  <c r="F93" i="18" l="1"/>
  <c r="Q90" i="15"/>
  <c r="R89" i="15"/>
  <c r="P90" i="15"/>
  <c r="R89" i="14"/>
  <c r="P90" i="14"/>
  <c r="Q90" i="14" s="1"/>
  <c r="Q90" i="13"/>
  <c r="R89" i="13"/>
  <c r="P90" i="13"/>
  <c r="R89" i="12"/>
  <c r="P90" i="12"/>
  <c r="Q90" i="12" s="1"/>
  <c r="Q90" i="11"/>
  <c r="P90" i="11"/>
  <c r="R89" i="11"/>
  <c r="R89" i="10"/>
  <c r="P90" i="10"/>
  <c r="Q90" i="10" s="1"/>
  <c r="Q90" i="9"/>
  <c r="R89" i="9"/>
  <c r="P90" i="9"/>
  <c r="R89" i="17"/>
  <c r="P90" i="17"/>
  <c r="Q90" i="17" s="1"/>
  <c r="R89" i="16"/>
  <c r="P90" i="16"/>
  <c r="Q90" i="16" s="1"/>
  <c r="F94" i="18" l="1"/>
  <c r="Q91" i="15"/>
  <c r="R90" i="15"/>
  <c r="P91" i="15"/>
  <c r="Q91" i="14"/>
  <c r="R90" i="14"/>
  <c r="P91" i="14"/>
  <c r="Q91" i="13"/>
  <c r="R90" i="13"/>
  <c r="P91" i="13"/>
  <c r="R90" i="12"/>
  <c r="P91" i="12"/>
  <c r="Q91" i="12" s="1"/>
  <c r="Q91" i="11"/>
  <c r="R90" i="11"/>
  <c r="P91" i="11"/>
  <c r="Q91" i="10"/>
  <c r="R90" i="10"/>
  <c r="P91" i="10"/>
  <c r="Q91" i="9"/>
  <c r="R90" i="9"/>
  <c r="P91" i="9"/>
  <c r="R90" i="17"/>
  <c r="P91" i="17"/>
  <c r="Q91" i="17" s="1"/>
  <c r="Q91" i="16"/>
  <c r="R90" i="16"/>
  <c r="P91" i="16"/>
  <c r="F95" i="18" l="1"/>
  <c r="Q92" i="15"/>
  <c r="R91" i="15"/>
  <c r="P92" i="15"/>
  <c r="Q92" i="14"/>
  <c r="R91" i="14"/>
  <c r="P92" i="14"/>
  <c r="Q92" i="13"/>
  <c r="R91" i="13"/>
  <c r="P92" i="13"/>
  <c r="R91" i="12"/>
  <c r="P92" i="12"/>
  <c r="Q92" i="12" s="1"/>
  <c r="Q92" i="11"/>
  <c r="R91" i="11"/>
  <c r="P92" i="11"/>
  <c r="R91" i="10"/>
  <c r="P92" i="10"/>
  <c r="Q92" i="10" s="1"/>
  <c r="Q92" i="9"/>
  <c r="R91" i="9"/>
  <c r="P92" i="9"/>
  <c r="Q92" i="17"/>
  <c r="R91" i="17"/>
  <c r="P92" i="17"/>
  <c r="Q92" i="16"/>
  <c r="R91" i="16"/>
  <c r="P92" i="16"/>
  <c r="F96" i="18" l="1"/>
  <c r="R92" i="15"/>
  <c r="P93" i="15"/>
  <c r="Q93" i="15" s="1"/>
  <c r="R92" i="14"/>
  <c r="P93" i="14"/>
  <c r="Q93" i="14" s="1"/>
  <c r="R92" i="13"/>
  <c r="P93" i="13"/>
  <c r="Q93" i="13" s="1"/>
  <c r="Q93" i="12"/>
  <c r="R92" i="12"/>
  <c r="P93" i="12"/>
  <c r="Q93" i="11"/>
  <c r="R92" i="11"/>
  <c r="P93" i="11"/>
  <c r="Q93" i="10"/>
  <c r="R92" i="10"/>
  <c r="P93" i="10"/>
  <c r="R92" i="9"/>
  <c r="P93" i="9"/>
  <c r="Q93" i="9" s="1"/>
  <c r="R92" i="17"/>
  <c r="P93" i="17"/>
  <c r="Q93" i="17" s="1"/>
  <c r="R92" i="16"/>
  <c r="P93" i="16"/>
  <c r="Q93" i="16" s="1"/>
  <c r="F97" i="18" l="1"/>
  <c r="R93" i="15"/>
  <c r="P94" i="15"/>
  <c r="Q94" i="15" s="1"/>
  <c r="Q94" i="14"/>
  <c r="R93" i="14"/>
  <c r="P94" i="14"/>
  <c r="Q94" i="13"/>
  <c r="R93" i="13"/>
  <c r="P94" i="13"/>
  <c r="R93" i="12"/>
  <c r="P94" i="12"/>
  <c r="Q94" i="12" s="1"/>
  <c r="R93" i="11"/>
  <c r="P94" i="11"/>
  <c r="Q94" i="11" s="1"/>
  <c r="Q94" i="10"/>
  <c r="R93" i="10"/>
  <c r="P94" i="10"/>
  <c r="R93" i="9"/>
  <c r="P94" i="9"/>
  <c r="Q94" i="9" s="1"/>
  <c r="R93" i="17"/>
  <c r="P94" i="17"/>
  <c r="Q94" i="17" s="1"/>
  <c r="Q94" i="16"/>
  <c r="R93" i="16"/>
  <c r="P94" i="16"/>
  <c r="F98" i="18" l="1"/>
  <c r="Q95" i="15"/>
  <c r="R94" i="15"/>
  <c r="P95" i="15"/>
  <c r="Q95" i="14"/>
  <c r="R94" i="14"/>
  <c r="P95" i="14"/>
  <c r="R94" i="13"/>
  <c r="P95" i="13"/>
  <c r="Q95" i="13" s="1"/>
  <c r="Q95" i="12"/>
  <c r="R94" i="12"/>
  <c r="P95" i="12"/>
  <c r="Q95" i="11"/>
  <c r="R94" i="11"/>
  <c r="P95" i="11"/>
  <c r="Q95" i="10"/>
  <c r="R94" i="10"/>
  <c r="P95" i="10"/>
  <c r="R94" i="9"/>
  <c r="P95" i="9"/>
  <c r="Q95" i="9" s="1"/>
  <c r="R94" i="17"/>
  <c r="P95" i="17"/>
  <c r="Q95" i="17" s="1"/>
  <c r="Q95" i="16"/>
  <c r="R94" i="16"/>
  <c r="P95" i="16"/>
  <c r="F99" i="18" l="1"/>
  <c r="Q96" i="15"/>
  <c r="R95" i="15"/>
  <c r="P96" i="15"/>
  <c r="Q96" i="14"/>
  <c r="R95" i="14"/>
  <c r="P96" i="14"/>
  <c r="R95" i="13"/>
  <c r="P96" i="13"/>
  <c r="Q96" i="13" s="1"/>
  <c r="R95" i="12"/>
  <c r="P96" i="12"/>
  <c r="Q96" i="12" s="1"/>
  <c r="Q96" i="11"/>
  <c r="P96" i="11"/>
  <c r="R95" i="11"/>
  <c r="Q96" i="10"/>
  <c r="R95" i="10"/>
  <c r="P96" i="10"/>
  <c r="Q96" i="9"/>
  <c r="R95" i="9"/>
  <c r="P96" i="9"/>
  <c r="R95" i="17"/>
  <c r="P96" i="17"/>
  <c r="Q96" i="17" s="1"/>
  <c r="R95" i="16"/>
  <c r="P96" i="16"/>
  <c r="Q96" i="16" s="1"/>
  <c r="F100" i="18" l="1"/>
  <c r="Q97" i="15"/>
  <c r="R96" i="15"/>
  <c r="P97" i="15"/>
  <c r="Q97" i="14"/>
  <c r="R96" i="14"/>
  <c r="P97" i="14"/>
  <c r="Q97" i="13"/>
  <c r="R96" i="13"/>
  <c r="P97" i="13"/>
  <c r="R96" i="12"/>
  <c r="P97" i="12"/>
  <c r="Q97" i="12" s="1"/>
  <c r="R96" i="11"/>
  <c r="P97" i="11"/>
  <c r="Q97" i="11" s="1"/>
  <c r="Q97" i="10"/>
  <c r="R96" i="10"/>
  <c r="P97" i="10"/>
  <c r="Q97" i="9"/>
  <c r="R96" i="9"/>
  <c r="P97" i="9"/>
  <c r="Q97" i="17"/>
  <c r="R96" i="17"/>
  <c r="P97" i="17"/>
  <c r="Q97" i="16"/>
  <c r="R96" i="16"/>
  <c r="P97" i="16"/>
  <c r="F101" i="18" l="1"/>
  <c r="R97" i="15"/>
  <c r="P98" i="15"/>
  <c r="Q98" i="15" s="1"/>
  <c r="Q98" i="14"/>
  <c r="R97" i="14"/>
  <c r="P98" i="14"/>
  <c r="R97" i="13"/>
  <c r="P98" i="13"/>
  <c r="Q98" i="13" s="1"/>
  <c r="R97" i="12"/>
  <c r="P98" i="12"/>
  <c r="Q98" i="12" s="1"/>
  <c r="Q98" i="11"/>
  <c r="R97" i="11"/>
  <c r="P98" i="11"/>
  <c r="Q98" i="10"/>
  <c r="R97" i="10"/>
  <c r="P98" i="10"/>
  <c r="R97" i="9"/>
  <c r="P98" i="9"/>
  <c r="Q98" i="9" s="1"/>
  <c r="Q98" i="17"/>
  <c r="R97" i="17"/>
  <c r="P98" i="17"/>
  <c r="Q98" i="16"/>
  <c r="R97" i="16"/>
  <c r="P98" i="16"/>
  <c r="F102" i="18" l="1"/>
  <c r="R98" i="15"/>
  <c r="P99" i="15"/>
  <c r="Q99" i="15" s="1"/>
  <c r="Q99" i="14"/>
  <c r="R98" i="14"/>
  <c r="P99" i="14"/>
  <c r="R98" i="13"/>
  <c r="P99" i="13"/>
  <c r="Q99" i="13" s="1"/>
  <c r="Q99" i="12"/>
  <c r="R98" i="12"/>
  <c r="P99" i="12"/>
  <c r="Q99" i="11"/>
  <c r="P99" i="11"/>
  <c r="R98" i="11"/>
  <c r="Q99" i="10"/>
  <c r="R98" i="10"/>
  <c r="P99" i="10"/>
  <c r="R98" i="9"/>
  <c r="P99" i="9"/>
  <c r="Q99" i="9" s="1"/>
  <c r="Q99" i="17"/>
  <c r="R98" i="17"/>
  <c r="P99" i="17"/>
  <c r="R98" i="16"/>
  <c r="P99" i="16"/>
  <c r="Q99" i="16" s="1"/>
  <c r="F103" i="18" l="1"/>
  <c r="Q100" i="15"/>
  <c r="R99" i="15"/>
  <c r="P100" i="15"/>
  <c r="Q100" i="14"/>
  <c r="R99" i="14"/>
  <c r="P100" i="14"/>
  <c r="Q100" i="13"/>
  <c r="R99" i="13"/>
  <c r="P100" i="13"/>
  <c r="Q100" i="12"/>
  <c r="R99" i="12"/>
  <c r="P100" i="12"/>
  <c r="Q100" i="11"/>
  <c r="R99" i="11"/>
  <c r="P100" i="11"/>
  <c r="Q100" i="10"/>
  <c r="R99" i="10"/>
  <c r="P100" i="10"/>
  <c r="R99" i="9"/>
  <c r="P100" i="9"/>
  <c r="Q100" i="9" s="1"/>
  <c r="R99" i="17"/>
  <c r="P100" i="17"/>
  <c r="Q100" i="17" s="1"/>
  <c r="R99" i="16"/>
  <c r="P100" i="16"/>
  <c r="Q100" i="16" s="1"/>
  <c r="F104" i="18" l="1"/>
  <c r="Q101" i="15"/>
  <c r="R100" i="15"/>
  <c r="P101" i="15"/>
  <c r="R100" i="14"/>
  <c r="P101" i="14"/>
  <c r="Q101" i="14" s="1"/>
  <c r="R100" i="13"/>
  <c r="P101" i="13"/>
  <c r="Q101" i="13" s="1"/>
  <c r="Q101" i="12"/>
  <c r="R100" i="12"/>
  <c r="P101" i="12"/>
  <c r="Q101" i="11"/>
  <c r="P101" i="11"/>
  <c r="R100" i="11"/>
  <c r="Q101" i="10"/>
  <c r="R100" i="10"/>
  <c r="P101" i="10"/>
  <c r="Q101" i="9"/>
  <c r="R100" i="9"/>
  <c r="P101" i="9"/>
  <c r="Q101" i="17"/>
  <c r="R100" i="17"/>
  <c r="P101" i="17"/>
  <c r="Q101" i="16"/>
  <c r="R100" i="16"/>
  <c r="P101" i="16"/>
  <c r="F105" i="18" l="1"/>
  <c r="Q102" i="15"/>
  <c r="R101" i="15"/>
  <c r="P102" i="15"/>
  <c r="Q102" i="14"/>
  <c r="R101" i="14"/>
  <c r="P102" i="14"/>
  <c r="Q102" i="13"/>
  <c r="R101" i="13"/>
  <c r="P102" i="13"/>
  <c r="R101" i="12"/>
  <c r="P102" i="12"/>
  <c r="Q102" i="12" s="1"/>
  <c r="Q102" i="11"/>
  <c r="P102" i="11"/>
  <c r="R101" i="11"/>
  <c r="Q102" i="10"/>
  <c r="R101" i="10"/>
  <c r="P102" i="10"/>
  <c r="Q102" i="9"/>
  <c r="R101" i="9"/>
  <c r="P102" i="9"/>
  <c r="R101" i="17"/>
  <c r="P102" i="17"/>
  <c r="Q102" i="17" s="1"/>
  <c r="R101" i="16"/>
  <c r="P102" i="16"/>
  <c r="Q102" i="16" s="1"/>
  <c r="F106" i="18" l="1"/>
  <c r="Q103" i="15"/>
  <c r="R102" i="15"/>
  <c r="P103" i="15"/>
  <c r="R102" i="14"/>
  <c r="P103" i="14"/>
  <c r="Q103" i="14" s="1"/>
  <c r="Q103" i="13"/>
  <c r="R102" i="13"/>
  <c r="P103" i="13"/>
  <c r="R102" i="12"/>
  <c r="P103" i="12"/>
  <c r="Q103" i="12" s="1"/>
  <c r="Q103" i="11"/>
  <c r="R102" i="11"/>
  <c r="P103" i="11"/>
  <c r="Q103" i="10"/>
  <c r="R102" i="10"/>
  <c r="P103" i="10"/>
  <c r="Q103" i="9"/>
  <c r="R102" i="9"/>
  <c r="P103" i="9"/>
  <c r="R102" i="17"/>
  <c r="P103" i="17"/>
  <c r="Q103" i="17" s="1"/>
  <c r="R102" i="16"/>
  <c r="P103" i="16"/>
  <c r="Q103" i="16" s="1"/>
  <c r="F107" i="18" l="1"/>
  <c r="R103" i="15"/>
  <c r="P104" i="15"/>
  <c r="Q104" i="15" s="1"/>
  <c r="Q104" i="14"/>
  <c r="R103" i="14"/>
  <c r="P104" i="14"/>
  <c r="R103" i="13"/>
  <c r="P104" i="13"/>
  <c r="Q104" i="13" s="1"/>
  <c r="R103" i="12"/>
  <c r="P104" i="12"/>
  <c r="Q104" i="12" s="1"/>
  <c r="Q104" i="11"/>
  <c r="R103" i="11"/>
  <c r="P104" i="11"/>
  <c r="R103" i="10"/>
  <c r="P104" i="10"/>
  <c r="Q104" i="10" s="1"/>
  <c r="Q104" i="9"/>
  <c r="R103" i="9"/>
  <c r="P104" i="9"/>
  <c r="Q104" i="17"/>
  <c r="R103" i="17"/>
  <c r="P104" i="17"/>
  <c r="R103" i="16"/>
  <c r="P104" i="16"/>
  <c r="Q104" i="16" s="1"/>
  <c r="F108" i="18" l="1"/>
  <c r="Q105" i="15"/>
  <c r="R104" i="15"/>
  <c r="P105" i="15"/>
  <c r="Q105" i="14"/>
  <c r="R104" i="14"/>
  <c r="P105" i="14"/>
  <c r="Q105" i="13"/>
  <c r="R104" i="13"/>
  <c r="P105" i="13"/>
  <c r="R104" i="12"/>
  <c r="P105" i="12"/>
  <c r="Q105" i="12" s="1"/>
  <c r="Q105" i="11"/>
  <c r="R104" i="11"/>
  <c r="P105" i="11"/>
  <c r="Q105" i="10"/>
  <c r="R104" i="10"/>
  <c r="P105" i="10"/>
  <c r="R104" i="9"/>
  <c r="P105" i="9"/>
  <c r="Q105" i="9" s="1"/>
  <c r="R104" i="17"/>
  <c r="P105" i="17"/>
  <c r="Q105" i="17" s="1"/>
  <c r="R104" i="16"/>
  <c r="P105" i="16"/>
  <c r="Q105" i="16" s="1"/>
  <c r="F109" i="18" l="1"/>
  <c r="Q106" i="15"/>
  <c r="R105" i="15"/>
  <c r="P106" i="15"/>
  <c r="R105" i="14"/>
  <c r="P106" i="14"/>
  <c r="Q106" i="14" s="1"/>
  <c r="Q106" i="13"/>
  <c r="R105" i="13"/>
  <c r="P106" i="13"/>
  <c r="R105" i="12"/>
  <c r="P106" i="12"/>
  <c r="Q106" i="12" s="1"/>
  <c r="Q106" i="11"/>
  <c r="P106" i="11"/>
  <c r="R105" i="11"/>
  <c r="Q106" i="10"/>
  <c r="R105" i="10"/>
  <c r="P106" i="10"/>
  <c r="Q106" i="9"/>
  <c r="R105" i="9"/>
  <c r="P106" i="9"/>
  <c r="Q106" i="17"/>
  <c r="R105" i="17"/>
  <c r="P106" i="17"/>
  <c r="R105" i="16"/>
  <c r="P106" i="16"/>
  <c r="Q106" i="16" s="1"/>
  <c r="F110" i="18" l="1"/>
  <c r="Q107" i="15"/>
  <c r="R106" i="15"/>
  <c r="P107" i="15"/>
  <c r="R106" i="14"/>
  <c r="P107" i="14"/>
  <c r="Q107" i="14" s="1"/>
  <c r="R106" i="13"/>
  <c r="P107" i="13"/>
  <c r="Q107" i="13" s="1"/>
  <c r="Q107" i="12"/>
  <c r="R106" i="12"/>
  <c r="P107" i="12"/>
  <c r="Q107" i="11"/>
  <c r="P107" i="11"/>
  <c r="R106" i="11"/>
  <c r="Q107" i="10"/>
  <c r="R106" i="10"/>
  <c r="P107" i="10"/>
  <c r="Q107" i="9"/>
  <c r="R106" i="9"/>
  <c r="P107" i="9"/>
  <c r="R106" i="17"/>
  <c r="P107" i="17"/>
  <c r="Q107" i="17" s="1"/>
  <c r="R106" i="16"/>
  <c r="P107" i="16"/>
  <c r="Q107" i="16" s="1"/>
  <c r="F111" i="18" l="1"/>
  <c r="Q108" i="15"/>
  <c r="R107" i="15"/>
  <c r="P108" i="15"/>
  <c r="Q108" i="14"/>
  <c r="R107" i="14"/>
  <c r="P108" i="14"/>
  <c r="Q108" i="13"/>
  <c r="R107" i="13"/>
  <c r="P108" i="13"/>
  <c r="R107" i="12"/>
  <c r="P108" i="12"/>
  <c r="Q108" i="12" s="1"/>
  <c r="Q108" i="11"/>
  <c r="R107" i="11"/>
  <c r="P108" i="11"/>
  <c r="Q108" i="10"/>
  <c r="R107" i="10"/>
  <c r="P108" i="10"/>
  <c r="Q108" i="9"/>
  <c r="R107" i="9"/>
  <c r="P108" i="9"/>
  <c r="R107" i="17"/>
  <c r="P108" i="17"/>
  <c r="Q108" i="17" s="1"/>
  <c r="R107" i="16"/>
  <c r="P108" i="16"/>
  <c r="Q108" i="16" s="1"/>
  <c r="F112" i="18" l="1"/>
  <c r="Q109" i="15"/>
  <c r="R108" i="15"/>
  <c r="P109" i="15"/>
  <c r="Q109" i="14"/>
  <c r="R108" i="14"/>
  <c r="P109" i="14"/>
  <c r="Q109" i="13"/>
  <c r="R108" i="13"/>
  <c r="P109" i="13"/>
  <c r="R108" i="12"/>
  <c r="P109" i="12"/>
  <c r="Q109" i="12" s="1"/>
  <c r="Q109" i="11"/>
  <c r="R108" i="11"/>
  <c r="P109" i="11"/>
  <c r="Q109" i="10"/>
  <c r="R108" i="10"/>
  <c r="P109" i="10"/>
  <c r="Q109" i="9"/>
  <c r="R108" i="9"/>
  <c r="P109" i="9"/>
  <c r="R108" i="17"/>
  <c r="P109" i="17"/>
  <c r="Q109" i="17" s="1"/>
  <c r="Q109" i="16"/>
  <c r="R108" i="16"/>
  <c r="P109" i="16"/>
  <c r="F113" i="18" l="1"/>
  <c r="Q110" i="15"/>
  <c r="R109" i="15"/>
  <c r="P110" i="15"/>
  <c r="Q110" i="14"/>
  <c r="R109" i="14"/>
  <c r="P110" i="14"/>
  <c r="Q110" i="13"/>
  <c r="R109" i="13"/>
  <c r="P110" i="13"/>
  <c r="R109" i="12"/>
  <c r="P110" i="12"/>
  <c r="Q110" i="12" s="1"/>
  <c r="P110" i="11"/>
  <c r="Q110" i="11" s="1"/>
  <c r="R109" i="11"/>
  <c r="Q110" i="10"/>
  <c r="R109" i="10"/>
  <c r="P110" i="10"/>
  <c r="R109" i="9"/>
  <c r="P110" i="9"/>
  <c r="Q110" i="9" s="1"/>
  <c r="R109" i="17"/>
  <c r="P110" i="17"/>
  <c r="Q110" i="17" s="1"/>
  <c r="Q110" i="16"/>
  <c r="R109" i="16"/>
  <c r="P110" i="16"/>
  <c r="F114" i="18" l="1"/>
  <c r="R110" i="15"/>
  <c r="P111" i="15"/>
  <c r="Q111" i="15" s="1"/>
  <c r="R110" i="14"/>
  <c r="P111" i="14"/>
  <c r="Q111" i="14" s="1"/>
  <c r="Q111" i="13"/>
  <c r="R110" i="13"/>
  <c r="P111" i="13"/>
  <c r="Q111" i="12"/>
  <c r="R110" i="12"/>
  <c r="P111" i="12"/>
  <c r="Q111" i="11"/>
  <c r="P111" i="11"/>
  <c r="R110" i="11"/>
  <c r="Q111" i="10"/>
  <c r="R110" i="10"/>
  <c r="P111" i="10"/>
  <c r="Q111" i="9"/>
  <c r="R110" i="9"/>
  <c r="P111" i="9"/>
  <c r="R110" i="17"/>
  <c r="P111" i="17"/>
  <c r="Q111" i="17" s="1"/>
  <c r="R110" i="16"/>
  <c r="P111" i="16"/>
  <c r="Q111" i="16" s="1"/>
  <c r="F115" i="18" l="1"/>
  <c r="Q112" i="15"/>
  <c r="R111" i="15"/>
  <c r="P112" i="15"/>
  <c r="Q112" i="14"/>
  <c r="R111" i="14"/>
  <c r="P112" i="14"/>
  <c r="R111" i="13"/>
  <c r="P112" i="13"/>
  <c r="Q112" i="13" s="1"/>
  <c r="R111" i="12"/>
  <c r="P112" i="12"/>
  <c r="Q112" i="12" s="1"/>
  <c r="Q112" i="11"/>
  <c r="R111" i="11"/>
  <c r="P112" i="11"/>
  <c r="Q112" i="10"/>
  <c r="R111" i="10"/>
  <c r="P112" i="10"/>
  <c r="Q112" i="9"/>
  <c r="R111" i="9"/>
  <c r="P112" i="9"/>
  <c r="Q112" i="17"/>
  <c r="R111" i="17"/>
  <c r="P112" i="17"/>
  <c r="R111" i="16"/>
  <c r="P112" i="16"/>
  <c r="Q112" i="16" s="1"/>
  <c r="F116" i="18" l="1"/>
  <c r="R112" i="15"/>
  <c r="P113" i="15"/>
  <c r="Q113" i="15" s="1"/>
  <c r="Q113" i="14"/>
  <c r="R112" i="14"/>
  <c r="P113" i="14"/>
  <c r="R112" i="13"/>
  <c r="P113" i="13"/>
  <c r="Q113" i="13" s="1"/>
  <c r="R112" i="12"/>
  <c r="P113" i="12"/>
  <c r="Q113" i="12" s="1"/>
  <c r="P113" i="11"/>
  <c r="Q113" i="11" s="1"/>
  <c r="R112" i="11"/>
  <c r="R112" i="10"/>
  <c r="P113" i="10"/>
  <c r="Q113" i="10" s="1"/>
  <c r="Q113" i="9"/>
  <c r="R112" i="9"/>
  <c r="P113" i="9"/>
  <c r="Q113" i="17"/>
  <c r="R112" i="17"/>
  <c r="P113" i="17"/>
  <c r="Q113" i="16"/>
  <c r="R112" i="16"/>
  <c r="P113" i="16"/>
  <c r="F117" i="18" l="1"/>
  <c r="Q114" i="15"/>
  <c r="R113" i="15"/>
  <c r="P114" i="15"/>
  <c r="Q114" i="14"/>
  <c r="R113" i="14"/>
  <c r="P114" i="14"/>
  <c r="R113" i="13"/>
  <c r="P114" i="13"/>
  <c r="Q114" i="13" s="1"/>
  <c r="R113" i="12"/>
  <c r="P114" i="12"/>
  <c r="Q114" i="12" s="1"/>
  <c r="Q114" i="11"/>
  <c r="P114" i="11"/>
  <c r="R113" i="11"/>
  <c r="Q114" i="10"/>
  <c r="R113" i="10"/>
  <c r="P114" i="10"/>
  <c r="Q114" i="9"/>
  <c r="R113" i="9"/>
  <c r="P114" i="9"/>
  <c r="Q114" i="17"/>
  <c r="R113" i="17"/>
  <c r="P114" i="17"/>
  <c r="Q114" i="16"/>
  <c r="R113" i="16"/>
  <c r="P114" i="16"/>
  <c r="C14" i="19" l="1"/>
  <c r="D14" i="19"/>
  <c r="Q115" i="15"/>
  <c r="R114" i="15"/>
  <c r="P115" i="15"/>
  <c r="R114" i="14"/>
  <c r="P115" i="14"/>
  <c r="Q115" i="14" s="1"/>
  <c r="R114" i="13"/>
  <c r="P115" i="13"/>
  <c r="Q115" i="13" s="1"/>
  <c r="Q115" i="12"/>
  <c r="R114" i="12"/>
  <c r="P115" i="12"/>
  <c r="P115" i="11"/>
  <c r="Q115" i="11" s="1"/>
  <c r="R114" i="11"/>
  <c r="Q115" i="10"/>
  <c r="R114" i="10"/>
  <c r="P115" i="10"/>
  <c r="Q115" i="9"/>
  <c r="R114" i="9"/>
  <c r="P115" i="9"/>
  <c r="R114" i="17"/>
  <c r="P115" i="17"/>
  <c r="Q115" i="17" s="1"/>
  <c r="R114" i="16"/>
  <c r="P115" i="16"/>
  <c r="Q115" i="16" s="1"/>
  <c r="R115" i="15" l="1"/>
  <c r="P116" i="15"/>
  <c r="Q116" i="15" s="1"/>
  <c r="Q116" i="14"/>
  <c r="R115" i="14"/>
  <c r="P116" i="14"/>
  <c r="Q116" i="13"/>
  <c r="R115" i="13"/>
  <c r="P116" i="13"/>
  <c r="Q116" i="12"/>
  <c r="R115" i="12"/>
  <c r="P116" i="12"/>
  <c r="Q116" i="11"/>
  <c r="P116" i="11"/>
  <c r="R115" i="11"/>
  <c r="R115" i="10"/>
  <c r="P116" i="10"/>
  <c r="Q116" i="10" s="1"/>
  <c r="Q116" i="9"/>
  <c r="R115" i="9"/>
  <c r="P116" i="9"/>
  <c r="Q116" i="17"/>
  <c r="R115" i="17"/>
  <c r="P116" i="17"/>
  <c r="Q116" i="16"/>
  <c r="R115" i="16"/>
  <c r="P116" i="16"/>
  <c r="R116" i="15" l="1"/>
  <c r="P117" i="15"/>
  <c r="Q117" i="15" s="1"/>
  <c r="R116" i="14"/>
  <c r="P117" i="14"/>
  <c r="Q117" i="14" s="1"/>
  <c r="Q117" i="13"/>
  <c r="R116" i="13"/>
  <c r="P117" i="13"/>
  <c r="R116" i="12"/>
  <c r="P117" i="12"/>
  <c r="Q117" i="12" s="1"/>
  <c r="Q117" i="11"/>
  <c r="R116" i="11"/>
  <c r="P117" i="11"/>
  <c r="Q117" i="10"/>
  <c r="R116" i="10"/>
  <c r="P117" i="10"/>
  <c r="Q117" i="9"/>
  <c r="R116" i="9"/>
  <c r="P117" i="9"/>
  <c r="Q117" i="17"/>
  <c r="R116" i="17"/>
  <c r="P117" i="17"/>
  <c r="Q117" i="16"/>
  <c r="R116" i="16"/>
  <c r="P117" i="16"/>
  <c r="R117" i="15" l="1"/>
  <c r="G11" i="19" s="1"/>
  <c r="C11" i="19"/>
  <c r="D11" i="19" s="1"/>
  <c r="J11" i="19" s="1"/>
  <c r="R117" i="14"/>
  <c r="G10" i="19" s="1"/>
  <c r="C10" i="19"/>
  <c r="D10" i="19" s="1"/>
  <c r="J10" i="19" s="1"/>
  <c r="R117" i="13"/>
  <c r="G9" i="19" s="1"/>
  <c r="C9" i="19"/>
  <c r="D9" i="19" s="1"/>
  <c r="J9" i="19" s="1"/>
  <c r="R117" i="12"/>
  <c r="G8" i="19" s="1"/>
  <c r="C8" i="19"/>
  <c r="D8" i="19" s="1"/>
  <c r="J8" i="19" s="1"/>
  <c r="C7" i="19"/>
  <c r="D7" i="19" s="1"/>
  <c r="J7" i="19" s="1"/>
  <c r="R117" i="11"/>
  <c r="G7" i="19" s="1"/>
  <c r="R117" i="10"/>
  <c r="G6" i="19" s="1"/>
  <c r="C6" i="19"/>
  <c r="D6" i="19" s="1"/>
  <c r="J6" i="19" s="1"/>
  <c r="R117" i="9"/>
  <c r="G5" i="19" s="1"/>
  <c r="C5" i="19"/>
  <c r="D5" i="19" s="1"/>
  <c r="J5" i="19" s="1"/>
  <c r="R117" i="17"/>
  <c r="G13" i="19" s="1"/>
  <c r="C13" i="19"/>
  <c r="D13" i="19" s="1"/>
  <c r="J13" i="19" s="1"/>
  <c r="R117" i="16"/>
  <c r="G12" i="19" s="1"/>
  <c r="C12" i="19"/>
  <c r="D12" i="19" s="1"/>
  <c r="J12" i="19" s="1"/>
</calcChain>
</file>

<file path=xl/sharedStrings.xml><?xml version="1.0" encoding="utf-8"?>
<sst xmlns="http://schemas.openxmlformats.org/spreadsheetml/2006/main" count="329" uniqueCount="111">
  <si>
    <t>PSX Momentum Investing Case Study — Workbook</t>
  </si>
  <si>
    <t>A Case Study of Momentum Investing on Selected PSX Stocks: Evaluating Rebalancing Frequency for Pakistani Retail Investors</t>
  </si>
  <si>
    <t>Data period: Jan 2015 – Dec 2024 (120 months). Original instructions stated Jan 2014; corrected after data review — no 2014 data exists in any source.</t>
  </si>
  <si>
    <t>Sheet guide:</t>
  </si>
  <si>
    <t xml:space="preserve">  Raw_Prices       Monthly close prices for 8 PSX stocks (source: FYP.xlsx, "Mutual Fund" placeholder column removed — out of scope)</t>
  </si>
  <si>
    <t xml:space="preserve">  KSE100_Benchmark  Monthly KSE-100 index level (source: Karachi_100_Historical_Data_1.csv, cleaned)</t>
  </si>
  <si>
    <t xml:space="preserve">  RiskFree          Monthly 3-Month T-Bill yield (source: data_series.csv, originally bi-weekly auction data)</t>
  </si>
  <si>
    <t xml:space="preserve">  Returns           Monthly simple returns for all 8 stocks + KSE-100, computed via formula from Raw_Prices/KSE100_Benchmark</t>
  </si>
  <si>
    <t xml:space="preserve">  Assumptions       All model assumptions: costs, CGT brackets, strategy parameters (single source of truth — referenced by formula in later sheets, not retyped)</t>
  </si>
  <si>
    <t>Data cleaning notes (see also project report, Data &amp; Methodology section):</t>
  </si>
  <si>
    <t xml:space="preserve">  1. Raw_Prices dates: the source file stored the calendar month number in the "day" field of the date (a data entry artifact). Corrected so each row maps to the correct Year-Month.</t>
  </si>
  <si>
    <t xml:space="preserve">  2. KSE100_Benchmark: prices were stored as text with thousand-separator commas; converted to numeric.</t>
  </si>
  <si>
    <t xml:space="preserve">  3. RiskFree: T-Bill auction data is irregular/bi-weekly. Converted to monthly by taking the last auction yield observed within each calendar month (documented assumption).</t>
  </si>
  <si>
    <t xml:space="preserve">  4. "Mutual fund" column in original FYP.xlsx was an empty placeholder for an out-of-scope dataset; removed entirely.</t>
  </si>
  <si>
    <t>Model Assumptions</t>
  </si>
  <si>
    <t>Strategy Parameters</t>
  </si>
  <si>
    <t>Formation Period (months)</t>
  </si>
  <si>
    <t>Holding Period (months)</t>
  </si>
  <si>
    <t>Portfolio Sizes (Top N)</t>
  </si>
  <si>
    <t>2 / 3 / 5</t>
  </si>
  <si>
    <t>Tested as separate scenarios</t>
  </si>
  <si>
    <t>Rebalancing Frequencies</t>
  </si>
  <si>
    <t>Annual / Semi-Annual / Quarterly</t>
  </si>
  <si>
    <t>Weighting Scheme</t>
  </si>
  <si>
    <t>Equal-weighted</t>
  </si>
  <si>
    <t>Trading Costs</t>
  </si>
  <si>
    <t>Brokerage (per trade, one-way)</t>
  </si>
  <si>
    <t>%</t>
  </si>
  <si>
    <t>CDC Charges (per trade, one-way)</t>
  </si>
  <si>
    <t>Total Transaction Cost (per trade)</t>
  </si>
  <si>
    <t>Applied on buy and sell</t>
  </si>
  <si>
    <t>Capital Gains Tax (CGT)</t>
  </si>
  <si>
    <t>CGT — Holding &lt; 1 year</t>
  </si>
  <si>
    <t>Applies to positions closed before 12 full months</t>
  </si>
  <si>
    <t>CGT — Holding 1–2 years</t>
  </si>
  <si>
    <t>CGT — Holding &gt; 2 years</t>
  </si>
  <si>
    <t>CGT convention for exactly 12-month holds</t>
  </si>
  <si>
    <t>Treated as &lt; 1 year (15%)</t>
  </si>
  <si>
    <t>Documented assumption — strategy holding period is exactly 12 months, so this bracket choice is applied consistently across all scenarios</t>
  </si>
  <si>
    <t>Benchmark &amp; Risk-Free</t>
  </si>
  <si>
    <t>Benchmark</t>
  </si>
  <si>
    <t>KSE-100 Index</t>
  </si>
  <si>
    <t>Risk-Free Rate</t>
  </si>
  <si>
    <t>3-Month T-Bill (monthly, see RiskFree sheet)</t>
  </si>
  <si>
    <t>Sample Period</t>
  </si>
  <si>
    <t>Start</t>
  </si>
  <si>
    <t>Jan-2015</t>
  </si>
  <si>
    <t>Corrected from Jan-2014 — no 2014 data available in source files</t>
  </si>
  <si>
    <t>End</t>
  </si>
  <si>
    <t>Dec-2024</t>
  </si>
  <si>
    <t>Number of months</t>
  </si>
  <si>
    <t>Date</t>
  </si>
  <si>
    <t>OGDC</t>
  </si>
  <si>
    <t>MEBL</t>
  </si>
  <si>
    <t>EFERT</t>
  </si>
  <si>
    <t>MCB</t>
  </si>
  <si>
    <t>LUCK</t>
  </si>
  <si>
    <t>FFC</t>
  </si>
  <si>
    <t>SAZEW</t>
  </si>
  <si>
    <t>MARI</t>
  </si>
  <si>
    <t>KSE-100</t>
  </si>
  <si>
    <t>T-Bill 3M Yield (Annualized %)</t>
  </si>
  <si>
    <t>Note: converted from bi-weekly auction data — last observed yield per calendar month.</t>
  </si>
  <si>
    <t>Row 2 (Jan-2015) is blank — no prior month to compute return from.</t>
  </si>
  <si>
    <t>6-Month Trailing Formation Return (Momentum Signal)</t>
  </si>
  <si>
    <t>Signal at month i = cumulative return over months (i-5) to i. First available i=7 (Jul-2015), needs 6 prior monthly returns.</t>
  </si>
  <si>
    <t>Month (i)</t>
  </si>
  <si>
    <t>Momentum Rank (1 = strongest 6-month trailing return)</t>
  </si>
  <si>
    <t>Scenario: Top 2 stocks, Annual rebalancing (hold 12 months)</t>
  </si>
  <si>
    <t>Holdings flag in each row = lookup of Rankings at the governing formation-month (decision row), held constant until next rebalance. Decision i -&gt; holding starts month i+1.</t>
  </si>
  <si>
    <t>Month (j)</t>
  </si>
  <si>
    <t>Held N</t>
  </si>
  <si>
    <t>Gross Return</t>
  </si>
  <si>
    <t>Txn Cost</t>
  </si>
  <si>
    <t>CGT</t>
  </si>
  <si>
    <t>Net Return</t>
  </si>
  <si>
    <t>Growth of Rs.1</t>
  </si>
  <si>
    <t>Running Max</t>
  </si>
  <si>
    <t>Drawdown</t>
  </si>
  <si>
    <t>Excess Return</t>
  </si>
  <si>
    <t>Scenario: Top 2 stocks, SemiAnnual rebalancing (hold 6 months)</t>
  </si>
  <si>
    <t>Scenario: Top 2 stocks, Quarterly rebalancing (hold 3 months)</t>
  </si>
  <si>
    <t>Scenario: Top 3 stocks, Annual rebalancing (hold 12 months)</t>
  </si>
  <si>
    <t>Scenario: Top 3 stocks, SemiAnnual rebalancing (hold 6 months)</t>
  </si>
  <si>
    <t>Scenario: Top 3 stocks, Quarterly rebalancing (hold 3 months)</t>
  </si>
  <si>
    <t>Scenario: Top 5 stocks, Annual rebalancing (hold 12 months)</t>
  </si>
  <si>
    <t>Scenario: Top 5 stocks, SemiAnnual rebalancing (hold 6 months)</t>
  </si>
  <si>
    <t>Scenario: Top 5 stocks, Quarterly rebalancing (hold 3 months)</t>
  </si>
  <si>
    <t>Benchmark (KSE-100) and Risk-Free Series, aligned to portfolio holding months (j = 8 .. 120)</t>
  </si>
  <si>
    <t>KSE-100 Return</t>
  </si>
  <si>
    <t>RF Monthly (from annual T-Bill)</t>
  </si>
  <si>
    <t>KSE-100 Excess</t>
  </si>
  <si>
    <t>Growth of Rs.1 (KSE-100)</t>
  </si>
  <si>
    <t>Risk-Adjusted Performance Summary — All 9 Momentum Scenarios</t>
  </si>
  <si>
    <t>All metrics computed by formula directly from each scenario engine sheet (S_TopN_Frequency) and the Benchmark_RF sheet. Period: Aug-2015 to Dec-2024 (113 holding months).</t>
  </si>
  <si>
    <t>Portfolio Size</t>
  </si>
  <si>
    <t>Rebalancing</t>
  </si>
  <si>
    <t>Final Growth (Rs.1)</t>
  </si>
  <si>
    <t>Annualized Return</t>
  </si>
  <si>
    <t>Annualized Volatility</t>
  </si>
  <si>
    <t>Sharpe Ratio</t>
  </si>
  <si>
    <t>Max Drawdown</t>
  </si>
  <si>
    <t>CAPM Beta</t>
  </si>
  <si>
    <t>CAPM Alpha (annualized)</t>
  </si>
  <si>
    <t>Excess Return vs KSE-100</t>
  </si>
  <si>
    <t>Top 2</t>
  </si>
  <si>
    <t>Annual</t>
  </si>
  <si>
    <t>Semi-Annual</t>
  </si>
  <si>
    <t>Quarterly</t>
  </si>
  <si>
    <t>Top 3</t>
  </si>
  <si>
    <t>Top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</si>
</sst>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000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0"/>
      <color rgb="FFFFFFFF"/>
      <name val="Arial"/>
      <charset val="1"/>
    </font>
    <font>
      <b/>
      <sz val="13"/>
      <color rgb="FF1F3864"/>
      <name val="Arial"/>
      <charset val="1"/>
    </font>
    <font>
      <i/>
      <sz val="11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0" fontId="7" fillId="0" borderId="0" xfId="0" applyNumberFormat="1" applyFont="1"/>
    <xf numFmtId="10" fontId="8" fillId="0" borderId="0" xfId="0" applyNumberFormat="1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7" fillId="0" borderId="1" xfId="0" applyNumberFormat="1" applyFont="1" applyBorder="1"/>
    <xf numFmtId="10" fontId="7" fillId="0" borderId="1" xfId="0" applyNumberFormat="1" applyFont="1" applyBorder="1"/>
    <xf numFmtId="10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0" xfId="0" applyFont="1"/>
    <xf numFmtId="0" fontId="9" fillId="2" borderId="0" xfId="0" applyFont="1" applyFill="1"/>
    <xf numFmtId="0" fontId="8" fillId="0" borderId="1" xfId="0" applyFont="1" applyBorder="1"/>
    <xf numFmtId="165" fontId="8" fillId="0" borderId="1" xfId="0" applyNumberFormat="1" applyFont="1" applyBorder="1"/>
    <xf numFmtId="164" fontId="8" fillId="0" borderId="1" xfId="0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0" fontId="11" fillId="0" borderId="0" xfId="0" applyFont="1"/>
    <xf numFmtId="2" fontId="11" fillId="0" borderId="0" xfId="0" applyNumberFormat="1" applyFont="1"/>
    <xf numFmtId="10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showGridLines="0" topLeftCell="AV1" zoomScaleNormal="100" workbookViewId="0"/>
  </sheetViews>
  <sheetFormatPr defaultColWidth="8.7109375" defaultRowHeight="15" x14ac:dyDescent="0.25"/>
  <cols>
    <col min="1" max="1" width="130" customWidth="1"/>
  </cols>
  <sheetData>
    <row r="1" spans="1:1" ht="17.25" customHeight="1" x14ac:dyDescent="0.25">
      <c r="A1" s="1" t="s">
        <v>0</v>
      </c>
    </row>
    <row r="2" spans="1:1" ht="15" customHeight="1" x14ac:dyDescent="0.25">
      <c r="A2" s="2" t="s">
        <v>1</v>
      </c>
    </row>
    <row r="4" spans="1:1" ht="15" customHeight="1" x14ac:dyDescent="0.25">
      <c r="A4" s="3"/>
    </row>
    <row r="5" spans="1:1" ht="15" customHeight="1" x14ac:dyDescent="0.25">
      <c r="A5" s="4" t="s">
        <v>2</v>
      </c>
    </row>
    <row r="6" spans="1:1" ht="15" customHeight="1" x14ac:dyDescent="0.25">
      <c r="A6" s="3"/>
    </row>
    <row r="7" spans="1:1" ht="15" customHeight="1" x14ac:dyDescent="0.25">
      <c r="A7" s="3" t="s">
        <v>3</v>
      </c>
    </row>
    <row r="8" spans="1:1" ht="15" customHeight="1" x14ac:dyDescent="0.25">
      <c r="A8" s="3" t="s">
        <v>4</v>
      </c>
    </row>
    <row r="9" spans="1:1" ht="15" customHeight="1" x14ac:dyDescent="0.25">
      <c r="A9" s="3" t="s">
        <v>5</v>
      </c>
    </row>
    <row r="10" spans="1:1" ht="15" customHeight="1" x14ac:dyDescent="0.25">
      <c r="A10" s="3" t="s">
        <v>6</v>
      </c>
    </row>
    <row r="11" spans="1:1" ht="15" customHeight="1" x14ac:dyDescent="0.25">
      <c r="A11" s="3" t="s">
        <v>7</v>
      </c>
    </row>
    <row r="12" spans="1:1" ht="15" customHeight="1" x14ac:dyDescent="0.25">
      <c r="A12" s="3" t="s">
        <v>8</v>
      </c>
    </row>
    <row r="13" spans="1:1" ht="15" customHeight="1" x14ac:dyDescent="0.25">
      <c r="A13" s="3"/>
    </row>
    <row r="14" spans="1:1" ht="15" customHeight="1" x14ac:dyDescent="0.25">
      <c r="A14" s="3" t="s">
        <v>9</v>
      </c>
    </row>
    <row r="15" spans="1:1" ht="15" customHeight="1" x14ac:dyDescent="0.25">
      <c r="A15" s="4" t="s">
        <v>10</v>
      </c>
    </row>
    <row r="16" spans="1:1" ht="15" customHeight="1" x14ac:dyDescent="0.25">
      <c r="A16" s="4" t="s">
        <v>11</v>
      </c>
    </row>
    <row r="17" spans="1:1" ht="15" customHeight="1" x14ac:dyDescent="0.25">
      <c r="A17" s="4" t="s">
        <v>12</v>
      </c>
    </row>
    <row r="18" spans="1:1" ht="15" customHeight="1" x14ac:dyDescent="0.25">
      <c r="A18" s="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showGridLines="0" tabSelected="1" zoomScaleNormal="100" workbookViewId="0">
      <selection activeCell="I30" sqref="I30"/>
    </sheetView>
  </sheetViews>
  <sheetFormatPr defaultColWidth="8.7109375" defaultRowHeight="15" x14ac:dyDescent="0.25"/>
  <cols>
    <col min="1" max="1" width="38" customWidth="1"/>
    <col min="2" max="2" width="40" customWidth="1"/>
    <col min="3" max="3" width="70" customWidth="1"/>
  </cols>
  <sheetData>
    <row r="1" spans="1:3" ht="17.25" customHeight="1" x14ac:dyDescent="0.25">
      <c r="A1" s="1" t="s">
        <v>14</v>
      </c>
    </row>
    <row r="3" spans="1:3" ht="15" customHeight="1" x14ac:dyDescent="0.25">
      <c r="A3" s="5" t="s">
        <v>15</v>
      </c>
    </row>
    <row r="4" spans="1:3" ht="15" customHeight="1" x14ac:dyDescent="0.25">
      <c r="A4" s="6" t="s">
        <v>16</v>
      </c>
      <c r="B4" s="7">
        <v>6</v>
      </c>
    </row>
    <row r="5" spans="1:3" ht="15" customHeight="1" x14ac:dyDescent="0.25">
      <c r="A5" s="6" t="s">
        <v>17</v>
      </c>
      <c r="B5" s="7">
        <v>12</v>
      </c>
    </row>
    <row r="6" spans="1:3" ht="15" customHeight="1" x14ac:dyDescent="0.25">
      <c r="A6" s="6" t="s">
        <v>18</v>
      </c>
      <c r="B6" s="7" t="s">
        <v>19</v>
      </c>
      <c r="C6" s="4" t="s">
        <v>20</v>
      </c>
    </row>
    <row r="7" spans="1:3" ht="15" customHeight="1" x14ac:dyDescent="0.25">
      <c r="A7" s="6" t="s">
        <v>21</v>
      </c>
      <c r="B7" s="7" t="s">
        <v>22</v>
      </c>
      <c r="C7" s="4" t="s">
        <v>20</v>
      </c>
    </row>
    <row r="8" spans="1:3" ht="15" customHeight="1" x14ac:dyDescent="0.25">
      <c r="A8" s="6" t="s">
        <v>23</v>
      </c>
      <c r="B8" s="7" t="s">
        <v>24</v>
      </c>
    </row>
    <row r="9" spans="1:3" ht="15" customHeight="1" x14ac:dyDescent="0.25">
      <c r="A9" s="6"/>
    </row>
    <row r="10" spans="1:3" ht="15" customHeight="1" x14ac:dyDescent="0.25">
      <c r="A10" s="5" t="s">
        <v>25</v>
      </c>
    </row>
    <row r="11" spans="1:3" ht="15" customHeight="1" x14ac:dyDescent="0.25">
      <c r="A11" s="6" t="s">
        <v>26</v>
      </c>
      <c r="B11" s="8">
        <v>2.5000000000000001E-3</v>
      </c>
      <c r="C11" s="4" t="s">
        <v>27</v>
      </c>
    </row>
    <row r="12" spans="1:3" ht="15" customHeight="1" x14ac:dyDescent="0.25">
      <c r="A12" s="6" t="s">
        <v>28</v>
      </c>
      <c r="B12" s="8">
        <v>1E-3</v>
      </c>
      <c r="C12" s="4" t="s">
        <v>27</v>
      </c>
    </row>
    <row r="13" spans="1:3" ht="15" customHeight="1" x14ac:dyDescent="0.25">
      <c r="A13" s="6" t="s">
        <v>29</v>
      </c>
      <c r="B13" s="9">
        <f>B11+B12</f>
        <v>3.5000000000000001E-3</v>
      </c>
      <c r="C13" s="4" t="s">
        <v>30</v>
      </c>
    </row>
    <row r="14" spans="1:3" ht="15" customHeight="1" x14ac:dyDescent="0.25">
      <c r="A14" s="6"/>
    </row>
    <row r="15" spans="1:3" ht="15" customHeight="1" x14ac:dyDescent="0.25">
      <c r="A15" s="5" t="s">
        <v>31</v>
      </c>
    </row>
    <row r="16" spans="1:3" ht="15" customHeight="1" x14ac:dyDescent="0.25">
      <c r="A16" s="6" t="s">
        <v>32</v>
      </c>
      <c r="B16" s="8">
        <v>0.15</v>
      </c>
      <c r="C16" s="4" t="s">
        <v>33</v>
      </c>
    </row>
    <row r="17" spans="1:3" ht="15" customHeight="1" x14ac:dyDescent="0.25">
      <c r="A17" s="6" t="s">
        <v>34</v>
      </c>
      <c r="B17" s="8">
        <v>0.125</v>
      </c>
    </row>
    <row r="18" spans="1:3" ht="15" customHeight="1" x14ac:dyDescent="0.25">
      <c r="A18" s="6" t="s">
        <v>35</v>
      </c>
      <c r="B18" s="8">
        <v>0</v>
      </c>
    </row>
    <row r="19" spans="1:3" ht="15" customHeight="1" x14ac:dyDescent="0.25">
      <c r="A19" s="6" t="s">
        <v>36</v>
      </c>
      <c r="B19" s="7" t="s">
        <v>37</v>
      </c>
      <c r="C19" s="4" t="s">
        <v>38</v>
      </c>
    </row>
    <row r="20" spans="1:3" ht="15" customHeight="1" x14ac:dyDescent="0.25">
      <c r="A20" s="6"/>
    </row>
    <row r="21" spans="1:3" ht="15" customHeight="1" x14ac:dyDescent="0.25">
      <c r="A21" s="5" t="s">
        <v>39</v>
      </c>
    </row>
    <row r="22" spans="1:3" ht="15" customHeight="1" x14ac:dyDescent="0.25">
      <c r="A22" s="6" t="s">
        <v>40</v>
      </c>
      <c r="B22" s="7" t="s">
        <v>41</v>
      </c>
    </row>
    <row r="23" spans="1:3" ht="15" customHeight="1" x14ac:dyDescent="0.25">
      <c r="A23" s="6" t="s">
        <v>42</v>
      </c>
      <c r="B23" s="7" t="s">
        <v>43</v>
      </c>
    </row>
    <row r="24" spans="1:3" ht="15" customHeight="1" x14ac:dyDescent="0.25">
      <c r="A24" s="6"/>
    </row>
    <row r="25" spans="1:3" ht="15" customHeight="1" x14ac:dyDescent="0.25">
      <c r="A25" s="5" t="s">
        <v>44</v>
      </c>
    </row>
    <row r="26" spans="1:3" ht="15" customHeight="1" x14ac:dyDescent="0.25">
      <c r="A26" s="6" t="s">
        <v>45</v>
      </c>
      <c r="B26" s="7" t="s">
        <v>46</v>
      </c>
      <c r="C26" s="4" t="s">
        <v>47</v>
      </c>
    </row>
    <row r="27" spans="1:3" ht="15" customHeight="1" x14ac:dyDescent="0.25">
      <c r="A27" s="6" t="s">
        <v>48</v>
      </c>
      <c r="B27" s="7" t="s">
        <v>49</v>
      </c>
    </row>
    <row r="28" spans="1:3" ht="15" customHeight="1" x14ac:dyDescent="0.25">
      <c r="A28" s="6" t="s">
        <v>50</v>
      </c>
      <c r="B28" s="10">
        <f>COUNT(Raw_Prices!A2:A121)</f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2" customWidth="1"/>
    <col min="2" max="9" width="11" customWidth="1"/>
  </cols>
  <sheetData>
    <row r="1" spans="1:9" ht="15" customHeight="1" x14ac:dyDescent="0.25">
      <c r="A1" s="11" t="s">
        <v>51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</row>
    <row r="2" spans="1:9" ht="15" customHeight="1" x14ac:dyDescent="0.25">
      <c r="A2" s="12">
        <v>42005</v>
      </c>
      <c r="B2" s="13">
        <v>210.51</v>
      </c>
      <c r="C2" s="13">
        <v>29.09</v>
      </c>
      <c r="D2" s="13">
        <v>85.49</v>
      </c>
      <c r="E2" s="13">
        <v>333.1</v>
      </c>
      <c r="F2" s="13">
        <v>521.99</v>
      </c>
      <c r="G2" s="13">
        <v>132.22999999999999</v>
      </c>
      <c r="H2" s="13">
        <v>11.84</v>
      </c>
      <c r="I2" s="13">
        <v>55.37</v>
      </c>
    </row>
    <row r="3" spans="1:9" ht="15" customHeight="1" x14ac:dyDescent="0.25">
      <c r="A3" s="12">
        <v>42036</v>
      </c>
      <c r="B3" s="13">
        <v>210.8</v>
      </c>
      <c r="C3" s="13">
        <v>28.45</v>
      </c>
      <c r="D3" s="13">
        <v>85.77</v>
      </c>
      <c r="E3" s="13">
        <v>307.97000000000003</v>
      </c>
      <c r="F3" s="13">
        <v>502.95</v>
      </c>
      <c r="G3" s="13">
        <v>141.44</v>
      </c>
      <c r="H3" s="13">
        <v>15.14</v>
      </c>
      <c r="I3" s="13">
        <v>48.85</v>
      </c>
    </row>
    <row r="4" spans="1:9" ht="15" customHeight="1" x14ac:dyDescent="0.25">
      <c r="A4" s="12">
        <v>42064</v>
      </c>
      <c r="B4" s="13">
        <v>181.5</v>
      </c>
      <c r="C4" s="13">
        <v>25.65</v>
      </c>
      <c r="D4" s="13">
        <v>77.14</v>
      </c>
      <c r="E4" s="13">
        <v>246.5</v>
      </c>
      <c r="F4" s="13">
        <v>446.04</v>
      </c>
      <c r="G4" s="13">
        <v>133.25</v>
      </c>
      <c r="H4" s="13">
        <v>13.35</v>
      </c>
      <c r="I4" s="13">
        <v>47.37</v>
      </c>
    </row>
    <row r="5" spans="1:9" ht="15" customHeight="1" x14ac:dyDescent="0.25">
      <c r="A5" s="12">
        <v>42095</v>
      </c>
      <c r="B5" s="13">
        <v>182.25</v>
      </c>
      <c r="C5" s="13">
        <v>25.6</v>
      </c>
      <c r="D5" s="13">
        <v>86.6</v>
      </c>
      <c r="E5" s="13">
        <v>276.10000000000002</v>
      </c>
      <c r="F5" s="13">
        <v>488</v>
      </c>
      <c r="G5" s="13">
        <v>142.5</v>
      </c>
      <c r="H5" s="13">
        <v>13.79</v>
      </c>
      <c r="I5" s="13">
        <v>50.14</v>
      </c>
    </row>
    <row r="6" spans="1:9" ht="15" customHeight="1" x14ac:dyDescent="0.25">
      <c r="A6" s="12">
        <v>42125</v>
      </c>
      <c r="B6" s="13">
        <v>184.5</v>
      </c>
      <c r="C6" s="13">
        <v>24.37</v>
      </c>
      <c r="D6" s="13">
        <v>84.15</v>
      </c>
      <c r="E6" s="13">
        <v>268.73</v>
      </c>
      <c r="F6" s="13">
        <v>448.65</v>
      </c>
      <c r="G6" s="13">
        <v>140.4</v>
      </c>
      <c r="H6" s="13">
        <v>12.75</v>
      </c>
      <c r="I6" s="13">
        <v>43</v>
      </c>
    </row>
    <row r="7" spans="1:9" ht="15" customHeight="1" x14ac:dyDescent="0.25">
      <c r="A7" s="12">
        <v>42156</v>
      </c>
      <c r="B7" s="13">
        <v>179.25</v>
      </c>
      <c r="C7" s="13">
        <v>23.85</v>
      </c>
      <c r="D7" s="13">
        <v>88.5</v>
      </c>
      <c r="E7" s="13">
        <v>248.75</v>
      </c>
      <c r="F7" s="13">
        <v>517.85</v>
      </c>
      <c r="G7" s="13">
        <v>150</v>
      </c>
      <c r="H7" s="13">
        <v>12.95</v>
      </c>
      <c r="I7" s="13">
        <v>43.16</v>
      </c>
    </row>
    <row r="8" spans="1:9" ht="15" customHeight="1" x14ac:dyDescent="0.25">
      <c r="A8" s="12">
        <v>42186</v>
      </c>
      <c r="B8" s="13">
        <v>163</v>
      </c>
      <c r="C8" s="13">
        <v>26.93</v>
      </c>
      <c r="D8" s="13">
        <v>92.8</v>
      </c>
      <c r="E8" s="13">
        <v>280</v>
      </c>
      <c r="F8" s="13">
        <v>555.5</v>
      </c>
      <c r="G8" s="13">
        <v>146.88999999999999</v>
      </c>
      <c r="H8" s="13">
        <v>13.56</v>
      </c>
      <c r="I8" s="13">
        <v>41.05</v>
      </c>
    </row>
    <row r="9" spans="1:9" ht="15" customHeight="1" x14ac:dyDescent="0.25">
      <c r="A9" s="12">
        <v>42217</v>
      </c>
      <c r="B9" s="13">
        <v>142.36000000000001</v>
      </c>
      <c r="C9" s="13">
        <v>28.85</v>
      </c>
      <c r="D9" s="13">
        <v>95.19</v>
      </c>
      <c r="E9" s="13">
        <v>253</v>
      </c>
      <c r="F9" s="13">
        <v>528</v>
      </c>
      <c r="G9" s="13">
        <v>137.51</v>
      </c>
      <c r="H9" s="13">
        <v>13.12</v>
      </c>
      <c r="I9" s="13">
        <v>37.380000000000003</v>
      </c>
    </row>
    <row r="10" spans="1:9" ht="15" customHeight="1" x14ac:dyDescent="0.25">
      <c r="A10" s="12">
        <v>42248</v>
      </c>
      <c r="B10" s="13">
        <v>125</v>
      </c>
      <c r="C10" s="13">
        <v>29.09</v>
      </c>
      <c r="D10" s="13">
        <v>89.49</v>
      </c>
      <c r="E10" s="13">
        <v>228</v>
      </c>
      <c r="F10" s="13">
        <v>525</v>
      </c>
      <c r="G10" s="13">
        <v>124.3</v>
      </c>
      <c r="H10" s="13">
        <v>10.83</v>
      </c>
      <c r="I10" s="13">
        <v>33.54</v>
      </c>
    </row>
    <row r="11" spans="1:9" ht="15" customHeight="1" x14ac:dyDescent="0.25">
      <c r="A11" s="12">
        <v>42278</v>
      </c>
      <c r="B11" s="13">
        <v>138</v>
      </c>
      <c r="C11" s="13">
        <v>27.4</v>
      </c>
      <c r="D11" s="13">
        <v>91.5</v>
      </c>
      <c r="E11" s="13">
        <v>245</v>
      </c>
      <c r="F11" s="13">
        <v>539.84</v>
      </c>
      <c r="G11" s="13">
        <v>125.7</v>
      </c>
      <c r="H11" s="13">
        <v>11.2</v>
      </c>
      <c r="I11" s="13">
        <v>38.700000000000003</v>
      </c>
    </row>
    <row r="12" spans="1:9" ht="15" customHeight="1" x14ac:dyDescent="0.25">
      <c r="A12" s="12">
        <v>42309</v>
      </c>
      <c r="B12" s="13">
        <v>121.4</v>
      </c>
      <c r="C12" s="13">
        <v>26.76</v>
      </c>
      <c r="D12" s="13">
        <v>81.5</v>
      </c>
      <c r="E12" s="13">
        <v>204.15</v>
      </c>
      <c r="F12" s="13">
        <v>480.5</v>
      </c>
      <c r="G12" s="13">
        <v>120.25</v>
      </c>
      <c r="H12" s="13">
        <v>10.11</v>
      </c>
      <c r="I12" s="13">
        <v>47.06</v>
      </c>
    </row>
    <row r="13" spans="1:9" ht="15" customHeight="1" x14ac:dyDescent="0.25">
      <c r="A13" s="12">
        <v>42339</v>
      </c>
      <c r="B13" s="13">
        <v>117.3</v>
      </c>
      <c r="C13" s="13">
        <v>26.61</v>
      </c>
      <c r="D13" s="13">
        <v>84.24</v>
      </c>
      <c r="E13" s="13">
        <v>217.95</v>
      </c>
      <c r="F13" s="13">
        <v>493</v>
      </c>
      <c r="G13" s="13">
        <v>118</v>
      </c>
      <c r="H13" s="13">
        <v>10.77</v>
      </c>
      <c r="I13" s="13">
        <v>64</v>
      </c>
    </row>
    <row r="14" spans="1:9" ht="15" customHeight="1" x14ac:dyDescent="0.25">
      <c r="A14" s="12">
        <v>42370</v>
      </c>
      <c r="B14" s="13">
        <v>109</v>
      </c>
      <c r="C14" s="13">
        <v>25.3</v>
      </c>
      <c r="D14" s="13">
        <v>79.760000000000005</v>
      </c>
      <c r="E14" s="13">
        <v>193</v>
      </c>
      <c r="F14" s="13">
        <v>483.01</v>
      </c>
      <c r="G14" s="13">
        <v>111.11</v>
      </c>
      <c r="H14" s="13">
        <v>9.92</v>
      </c>
      <c r="I14" s="13">
        <v>56.38</v>
      </c>
    </row>
    <row r="15" spans="1:9" ht="15" customHeight="1" x14ac:dyDescent="0.25">
      <c r="A15" s="12">
        <v>42401</v>
      </c>
      <c r="B15" s="13">
        <v>107.31</v>
      </c>
      <c r="C15" s="13">
        <v>24.34</v>
      </c>
      <c r="D15" s="13">
        <v>75.38</v>
      </c>
      <c r="E15" s="13">
        <v>195.6</v>
      </c>
      <c r="F15" s="13">
        <v>490.6</v>
      </c>
      <c r="G15" s="13">
        <v>108.6</v>
      </c>
      <c r="H15" s="13">
        <v>9.57</v>
      </c>
      <c r="I15" s="13">
        <v>53.28</v>
      </c>
    </row>
    <row r="16" spans="1:9" ht="15" customHeight="1" x14ac:dyDescent="0.25">
      <c r="A16" s="12">
        <v>42430</v>
      </c>
      <c r="B16" s="13">
        <v>114.69</v>
      </c>
      <c r="C16" s="13">
        <v>24.43</v>
      </c>
      <c r="D16" s="13">
        <v>69.400000000000006</v>
      </c>
      <c r="E16" s="13">
        <v>206.01</v>
      </c>
      <c r="F16" s="13">
        <v>537</v>
      </c>
      <c r="G16" s="13">
        <v>106.36</v>
      </c>
      <c r="H16" s="13">
        <v>10.33</v>
      </c>
      <c r="I16" s="13">
        <v>64.53</v>
      </c>
    </row>
    <row r="17" spans="1:9" ht="15" customHeight="1" x14ac:dyDescent="0.25">
      <c r="A17" s="12">
        <v>42461</v>
      </c>
      <c r="B17" s="13">
        <v>131.4</v>
      </c>
      <c r="C17" s="13">
        <v>24.4</v>
      </c>
      <c r="D17" s="13">
        <v>69.8</v>
      </c>
      <c r="E17" s="13">
        <v>211.83</v>
      </c>
      <c r="F17" s="13">
        <v>552.5</v>
      </c>
      <c r="G17" s="13">
        <v>107.01</v>
      </c>
      <c r="H17" s="13">
        <v>11.44</v>
      </c>
      <c r="I17" s="13">
        <v>69.599999999999994</v>
      </c>
    </row>
    <row r="18" spans="1:9" ht="15" customHeight="1" x14ac:dyDescent="0.25">
      <c r="A18" s="12">
        <v>42491</v>
      </c>
      <c r="B18" s="13">
        <v>139.5</v>
      </c>
      <c r="C18" s="13">
        <v>24.14</v>
      </c>
      <c r="D18" s="13">
        <v>70.06</v>
      </c>
      <c r="E18" s="13">
        <v>207</v>
      </c>
      <c r="F18" s="13">
        <v>594</v>
      </c>
      <c r="G18" s="13">
        <v>113.75</v>
      </c>
      <c r="H18" s="13">
        <v>10.55</v>
      </c>
      <c r="I18" s="13">
        <v>80.81</v>
      </c>
    </row>
    <row r="19" spans="1:9" ht="15" customHeight="1" x14ac:dyDescent="0.25">
      <c r="A19" s="12">
        <v>42522</v>
      </c>
      <c r="B19" s="13">
        <v>138.5</v>
      </c>
      <c r="C19" s="13">
        <v>24.72</v>
      </c>
      <c r="D19" s="13">
        <v>64.5</v>
      </c>
      <c r="E19" s="13">
        <v>218.22</v>
      </c>
      <c r="F19" s="13">
        <v>647</v>
      </c>
      <c r="G19" s="13">
        <v>115</v>
      </c>
      <c r="H19" s="13">
        <v>10.51</v>
      </c>
      <c r="I19" s="13">
        <v>83.2</v>
      </c>
    </row>
    <row r="20" spans="1:9" ht="15" customHeight="1" x14ac:dyDescent="0.25">
      <c r="A20" s="12">
        <v>42552</v>
      </c>
      <c r="B20" s="13">
        <v>136.85</v>
      </c>
      <c r="C20" s="13">
        <v>27.34</v>
      </c>
      <c r="D20" s="13">
        <v>68.599999999999994</v>
      </c>
      <c r="E20" s="13">
        <v>220.01</v>
      </c>
      <c r="F20" s="13">
        <v>741.5</v>
      </c>
      <c r="G20" s="13">
        <v>113.8</v>
      </c>
      <c r="H20" s="13">
        <v>11.1</v>
      </c>
      <c r="I20" s="13">
        <v>89.26</v>
      </c>
    </row>
    <row r="21" spans="1:9" ht="15" customHeight="1" x14ac:dyDescent="0.25">
      <c r="A21" s="12">
        <v>42583</v>
      </c>
      <c r="B21" s="13">
        <v>140.9</v>
      </c>
      <c r="C21" s="13">
        <v>30.84</v>
      </c>
      <c r="D21" s="13">
        <v>67.52</v>
      </c>
      <c r="E21" s="13">
        <v>209.25</v>
      </c>
      <c r="F21" s="13">
        <v>693.5</v>
      </c>
      <c r="G21" s="13">
        <v>110.86</v>
      </c>
      <c r="H21" s="13">
        <v>12.59</v>
      </c>
      <c r="I21" s="13">
        <v>88.61</v>
      </c>
    </row>
    <row r="22" spans="1:9" ht="15" customHeight="1" x14ac:dyDescent="0.25">
      <c r="A22" s="12">
        <v>42614</v>
      </c>
      <c r="B22" s="13">
        <v>141.01</v>
      </c>
      <c r="C22" s="13">
        <v>31.99</v>
      </c>
      <c r="D22" s="13">
        <v>61.52</v>
      </c>
      <c r="E22" s="13">
        <v>220.5</v>
      </c>
      <c r="F22" s="13">
        <v>677</v>
      </c>
      <c r="G22" s="13">
        <v>103.9</v>
      </c>
      <c r="H22" s="13">
        <v>19.52</v>
      </c>
      <c r="I22" s="13">
        <v>87.37</v>
      </c>
    </row>
    <row r="23" spans="1:9" ht="15" customHeight="1" x14ac:dyDescent="0.25">
      <c r="A23" s="12">
        <v>42644</v>
      </c>
      <c r="B23" s="13">
        <v>140.5</v>
      </c>
      <c r="C23" s="13">
        <v>30.45</v>
      </c>
      <c r="D23" s="13">
        <v>63.45</v>
      </c>
      <c r="E23" s="13">
        <v>214.5</v>
      </c>
      <c r="F23" s="13">
        <v>673</v>
      </c>
      <c r="G23" s="13">
        <v>104.5</v>
      </c>
      <c r="H23" s="13">
        <v>24.12</v>
      </c>
      <c r="I23" s="13">
        <v>90.08</v>
      </c>
    </row>
    <row r="24" spans="1:9" ht="15" customHeight="1" x14ac:dyDescent="0.25">
      <c r="A24" s="12">
        <v>42675</v>
      </c>
      <c r="B24" s="13">
        <v>141</v>
      </c>
      <c r="C24" s="13">
        <v>33.299999999999997</v>
      </c>
      <c r="D24" s="13">
        <v>64.459999999999994</v>
      </c>
      <c r="E24" s="13">
        <v>222.5</v>
      </c>
      <c r="F24" s="13">
        <v>733</v>
      </c>
      <c r="G24" s="13">
        <v>105.1</v>
      </c>
      <c r="H24" s="13">
        <v>33.93</v>
      </c>
      <c r="I24" s="13">
        <v>95.96</v>
      </c>
    </row>
    <row r="25" spans="1:9" ht="15" customHeight="1" x14ac:dyDescent="0.25">
      <c r="A25" s="12">
        <v>42705</v>
      </c>
      <c r="B25" s="13">
        <v>165.5</v>
      </c>
      <c r="C25" s="13">
        <v>38.99</v>
      </c>
      <c r="D25" s="13">
        <v>68</v>
      </c>
      <c r="E25" s="13">
        <v>238.11</v>
      </c>
      <c r="F25" s="13">
        <v>863.9</v>
      </c>
      <c r="G25" s="13">
        <v>104.4</v>
      </c>
      <c r="H25" s="13">
        <v>32.130000000000003</v>
      </c>
      <c r="I25" s="13">
        <v>127.46</v>
      </c>
    </row>
    <row r="26" spans="1:9" ht="15" customHeight="1" x14ac:dyDescent="0.25">
      <c r="A26" s="12">
        <v>42736</v>
      </c>
      <c r="B26" s="13">
        <v>160.5</v>
      </c>
      <c r="C26" s="13">
        <v>38.35</v>
      </c>
      <c r="D26" s="13">
        <v>71.48</v>
      </c>
      <c r="E26" s="13">
        <v>243.51</v>
      </c>
      <c r="F26" s="13">
        <v>839.9</v>
      </c>
      <c r="G26" s="13">
        <v>115.81</v>
      </c>
      <c r="H26" s="13">
        <v>31.09</v>
      </c>
      <c r="I26" s="13">
        <v>118.5</v>
      </c>
    </row>
    <row r="27" spans="1:9" ht="15" customHeight="1" x14ac:dyDescent="0.25">
      <c r="A27" s="12">
        <v>42767</v>
      </c>
      <c r="B27" s="13">
        <v>157</v>
      </c>
      <c r="C27" s="13">
        <v>37.17</v>
      </c>
      <c r="D27" s="13">
        <v>68</v>
      </c>
      <c r="E27" s="13">
        <v>227.21</v>
      </c>
      <c r="F27" s="13">
        <v>871</v>
      </c>
      <c r="G27" s="13">
        <v>108</v>
      </c>
      <c r="H27" s="13">
        <v>30.26</v>
      </c>
      <c r="I27" s="13">
        <v>123.05</v>
      </c>
    </row>
    <row r="28" spans="1:9" ht="15" customHeight="1" x14ac:dyDescent="0.25">
      <c r="A28" s="12">
        <v>42795</v>
      </c>
      <c r="B28" s="13">
        <v>148.65</v>
      </c>
      <c r="C28" s="13">
        <v>41.59</v>
      </c>
      <c r="D28" s="13">
        <v>62.56</v>
      </c>
      <c r="E28" s="13">
        <v>228</v>
      </c>
      <c r="F28" s="13">
        <v>835.02</v>
      </c>
      <c r="G28" s="13">
        <v>103.9</v>
      </c>
      <c r="H28" s="13">
        <v>31.12</v>
      </c>
      <c r="I28" s="13">
        <v>139.62</v>
      </c>
    </row>
    <row r="29" spans="1:9" ht="15" customHeight="1" x14ac:dyDescent="0.25">
      <c r="A29" s="12">
        <v>42826</v>
      </c>
      <c r="B29" s="13">
        <v>155</v>
      </c>
      <c r="C29" s="13">
        <v>46.54</v>
      </c>
      <c r="D29" s="13">
        <v>59.15</v>
      </c>
      <c r="E29" s="13">
        <v>216</v>
      </c>
      <c r="F29" s="13">
        <v>885</v>
      </c>
      <c r="G29" s="13">
        <v>96</v>
      </c>
      <c r="H29" s="13">
        <v>39.93</v>
      </c>
      <c r="I29" s="13">
        <v>145.09</v>
      </c>
    </row>
    <row r="30" spans="1:9" ht="15" customHeight="1" x14ac:dyDescent="0.25">
      <c r="A30" s="12">
        <v>42856</v>
      </c>
      <c r="B30" s="13">
        <v>176.83</v>
      </c>
      <c r="C30" s="13">
        <v>48.28</v>
      </c>
      <c r="D30" s="13">
        <v>60.8</v>
      </c>
      <c r="E30" s="13">
        <v>220.3</v>
      </c>
      <c r="F30" s="13">
        <v>859.22</v>
      </c>
      <c r="G30" s="13">
        <v>96.28</v>
      </c>
      <c r="H30" s="13">
        <v>68.77</v>
      </c>
      <c r="I30" s="13">
        <v>155.21</v>
      </c>
    </row>
    <row r="31" spans="1:9" ht="15" customHeight="1" x14ac:dyDescent="0.25">
      <c r="A31" s="12">
        <v>42887</v>
      </c>
      <c r="B31" s="13">
        <v>140.69</v>
      </c>
      <c r="C31" s="13">
        <v>45.96</v>
      </c>
      <c r="D31" s="13">
        <v>55.15</v>
      </c>
      <c r="E31" s="13">
        <v>210.75</v>
      </c>
      <c r="F31" s="13">
        <v>841</v>
      </c>
      <c r="G31" s="13">
        <v>82.5</v>
      </c>
      <c r="H31" s="13">
        <v>92.16</v>
      </c>
      <c r="I31" s="13">
        <v>144.63</v>
      </c>
    </row>
    <row r="32" spans="1:9" ht="15" customHeight="1" x14ac:dyDescent="0.25">
      <c r="A32" s="12">
        <v>42917</v>
      </c>
      <c r="B32" s="13">
        <v>156.26</v>
      </c>
      <c r="C32" s="13">
        <v>46.54</v>
      </c>
      <c r="D32" s="13">
        <v>58.11</v>
      </c>
      <c r="E32" s="13">
        <v>206.58</v>
      </c>
      <c r="F32" s="13">
        <v>707.85</v>
      </c>
      <c r="G32" s="13">
        <v>80.27</v>
      </c>
      <c r="H32" s="13">
        <v>75.98</v>
      </c>
      <c r="I32" s="13">
        <v>160.69999999999999</v>
      </c>
    </row>
    <row r="33" spans="1:9" ht="15" customHeight="1" x14ac:dyDescent="0.25">
      <c r="A33" s="12">
        <v>42948</v>
      </c>
      <c r="B33" s="13">
        <v>141.1</v>
      </c>
      <c r="C33" s="13">
        <v>43.77</v>
      </c>
      <c r="D33" s="13">
        <v>57.89</v>
      </c>
      <c r="E33" s="13">
        <v>193.46</v>
      </c>
      <c r="F33" s="13">
        <v>597</v>
      </c>
      <c r="G33" s="13">
        <v>70.86</v>
      </c>
      <c r="H33" s="13">
        <v>52.49</v>
      </c>
      <c r="I33" s="13">
        <v>136.36000000000001</v>
      </c>
    </row>
    <row r="34" spans="1:9" ht="15" customHeight="1" x14ac:dyDescent="0.25">
      <c r="A34" s="12">
        <v>42979</v>
      </c>
      <c r="B34" s="13">
        <v>148.30000000000001</v>
      </c>
      <c r="C34" s="13">
        <v>44.25</v>
      </c>
      <c r="D34" s="13">
        <v>62.85</v>
      </c>
      <c r="E34" s="13">
        <v>206.99</v>
      </c>
      <c r="F34" s="13">
        <v>565</v>
      </c>
      <c r="G34" s="13">
        <v>83.14</v>
      </c>
      <c r="H34" s="13">
        <v>54.17</v>
      </c>
      <c r="I34" s="13">
        <v>137.74</v>
      </c>
    </row>
    <row r="35" spans="1:9" ht="15" customHeight="1" x14ac:dyDescent="0.25">
      <c r="A35" s="12">
        <v>43009</v>
      </c>
      <c r="B35" s="13">
        <v>143.25</v>
      </c>
      <c r="C35" s="13">
        <v>38.9</v>
      </c>
      <c r="D35" s="13">
        <v>65</v>
      </c>
      <c r="E35" s="13">
        <v>200</v>
      </c>
      <c r="F35" s="13">
        <v>486</v>
      </c>
      <c r="G35" s="13">
        <v>80</v>
      </c>
      <c r="H35" s="13">
        <v>51.27</v>
      </c>
      <c r="I35" s="13">
        <v>133.15</v>
      </c>
    </row>
    <row r="36" spans="1:9" ht="15" customHeight="1" x14ac:dyDescent="0.25">
      <c r="A36" s="12">
        <v>43040</v>
      </c>
      <c r="B36" s="13">
        <v>155.49</v>
      </c>
      <c r="C36" s="13">
        <v>39.5</v>
      </c>
      <c r="D36" s="13">
        <v>65.739999999999995</v>
      </c>
      <c r="E36" s="13">
        <v>204.31</v>
      </c>
      <c r="F36" s="13">
        <v>492</v>
      </c>
      <c r="G36" s="13">
        <v>81.069999999999993</v>
      </c>
      <c r="H36" s="13">
        <v>76.760000000000005</v>
      </c>
      <c r="I36" s="13">
        <v>136.82</v>
      </c>
    </row>
    <row r="37" spans="1:9" ht="15" customHeight="1" x14ac:dyDescent="0.25">
      <c r="A37" s="12">
        <v>43070</v>
      </c>
      <c r="B37" s="13">
        <v>162</v>
      </c>
      <c r="C37" s="13">
        <v>40.090000000000003</v>
      </c>
      <c r="D37" s="13">
        <v>67.89</v>
      </c>
      <c r="E37" s="13">
        <v>211</v>
      </c>
      <c r="F37" s="13">
        <v>515.5</v>
      </c>
      <c r="G37" s="13">
        <v>79</v>
      </c>
      <c r="H37" s="13">
        <v>74.260000000000005</v>
      </c>
      <c r="I37" s="13">
        <v>133.97999999999999</v>
      </c>
    </row>
    <row r="38" spans="1:9" ht="15" customHeight="1" x14ac:dyDescent="0.25">
      <c r="A38" s="12">
        <v>43101</v>
      </c>
      <c r="B38" s="13">
        <v>164.26</v>
      </c>
      <c r="C38" s="13">
        <v>45.73</v>
      </c>
      <c r="D38" s="13">
        <v>69.7</v>
      </c>
      <c r="E38" s="13">
        <v>226.35</v>
      </c>
      <c r="F38" s="13">
        <v>615.21</v>
      </c>
      <c r="G38" s="13">
        <v>90.3</v>
      </c>
      <c r="H38" s="13">
        <v>72.38</v>
      </c>
      <c r="I38" s="13">
        <v>143.72999999999999</v>
      </c>
    </row>
    <row r="39" spans="1:9" ht="15" customHeight="1" x14ac:dyDescent="0.25">
      <c r="A39" s="12">
        <v>43132</v>
      </c>
      <c r="B39" s="13">
        <v>163.97</v>
      </c>
      <c r="C39" s="13">
        <v>44.54</v>
      </c>
      <c r="D39" s="13">
        <v>69.290000000000006</v>
      </c>
      <c r="E39" s="13">
        <v>218</v>
      </c>
      <c r="F39" s="13">
        <v>600.75</v>
      </c>
      <c r="G39" s="13">
        <v>88.7</v>
      </c>
      <c r="H39" s="13">
        <v>75.180000000000007</v>
      </c>
      <c r="I39" s="13">
        <v>134.07</v>
      </c>
    </row>
    <row r="40" spans="1:9" ht="15" customHeight="1" x14ac:dyDescent="0.25">
      <c r="A40" s="12">
        <v>43160</v>
      </c>
      <c r="B40" s="13">
        <v>173.98</v>
      </c>
      <c r="C40" s="13">
        <v>47.16</v>
      </c>
      <c r="D40" s="13">
        <v>69.09</v>
      </c>
      <c r="E40" s="13">
        <v>220.13</v>
      </c>
      <c r="F40" s="13">
        <v>689.62</v>
      </c>
      <c r="G40" s="13">
        <v>93.75</v>
      </c>
      <c r="H40" s="13">
        <v>102.98</v>
      </c>
      <c r="I40" s="13">
        <v>136.72999999999999</v>
      </c>
    </row>
    <row r="41" spans="1:9" ht="15" customHeight="1" x14ac:dyDescent="0.25">
      <c r="A41" s="12">
        <v>43191</v>
      </c>
      <c r="B41" s="13">
        <v>166.73</v>
      </c>
      <c r="C41" s="13">
        <v>46.92</v>
      </c>
      <c r="D41" s="13">
        <v>72.2</v>
      </c>
      <c r="E41" s="13">
        <v>208.8</v>
      </c>
      <c r="F41" s="13">
        <v>656</v>
      </c>
      <c r="G41" s="13">
        <v>99.65</v>
      </c>
      <c r="H41" s="13">
        <v>101.33</v>
      </c>
      <c r="I41" s="13">
        <v>140.94999999999999</v>
      </c>
    </row>
    <row r="42" spans="1:9" ht="15" customHeight="1" x14ac:dyDescent="0.25">
      <c r="A42" s="12">
        <v>43221</v>
      </c>
      <c r="B42" s="13">
        <v>162.88999999999999</v>
      </c>
      <c r="C42" s="13">
        <v>44.54</v>
      </c>
      <c r="D42" s="13">
        <v>74.47</v>
      </c>
      <c r="E42" s="13">
        <v>203.89</v>
      </c>
      <c r="F42" s="13">
        <v>547</v>
      </c>
      <c r="G42" s="13">
        <v>98.1</v>
      </c>
      <c r="H42" s="13">
        <v>106.92</v>
      </c>
      <c r="I42" s="13">
        <v>138.66999999999999</v>
      </c>
    </row>
    <row r="43" spans="1:9" ht="15" customHeight="1" x14ac:dyDescent="0.25">
      <c r="A43" s="12">
        <v>43252</v>
      </c>
      <c r="B43" s="13">
        <v>155.62</v>
      </c>
      <c r="C43" s="13">
        <v>48.54</v>
      </c>
      <c r="D43" s="13">
        <v>74.91</v>
      </c>
      <c r="E43" s="13">
        <v>197.77</v>
      </c>
      <c r="F43" s="13">
        <v>507.93</v>
      </c>
      <c r="G43" s="13">
        <v>98.89</v>
      </c>
      <c r="H43" s="13">
        <v>115.05</v>
      </c>
      <c r="I43" s="13">
        <v>138.31</v>
      </c>
    </row>
    <row r="44" spans="1:9" ht="15" customHeight="1" x14ac:dyDescent="0.25">
      <c r="A44" s="12">
        <v>43282</v>
      </c>
      <c r="B44" s="13">
        <v>150.75</v>
      </c>
      <c r="C44" s="13">
        <v>53.28</v>
      </c>
      <c r="D44" s="13">
        <v>79</v>
      </c>
      <c r="E44" s="13">
        <v>207</v>
      </c>
      <c r="F44" s="13">
        <v>550.98</v>
      </c>
      <c r="G44" s="13">
        <v>99.56</v>
      </c>
      <c r="H44" s="13">
        <v>130.07</v>
      </c>
      <c r="I44" s="13">
        <v>133.79</v>
      </c>
    </row>
    <row r="45" spans="1:9" ht="15" customHeight="1" x14ac:dyDescent="0.25">
      <c r="A45" s="12">
        <v>43313</v>
      </c>
      <c r="B45" s="13">
        <v>152.02000000000001</v>
      </c>
      <c r="C45" s="13">
        <v>55.62</v>
      </c>
      <c r="D45" s="13">
        <v>78.989999999999995</v>
      </c>
      <c r="E45" s="13">
        <v>200</v>
      </c>
      <c r="F45" s="13">
        <v>540.78</v>
      </c>
      <c r="G45" s="13">
        <v>97.84</v>
      </c>
      <c r="H45" s="13">
        <v>112.64</v>
      </c>
      <c r="I45" s="13">
        <v>140.94999999999999</v>
      </c>
    </row>
    <row r="46" spans="1:9" ht="15" customHeight="1" x14ac:dyDescent="0.25">
      <c r="A46" s="12">
        <v>43344</v>
      </c>
      <c r="B46" s="13">
        <v>153</v>
      </c>
      <c r="C46" s="13">
        <v>58.15</v>
      </c>
      <c r="D46" s="13">
        <v>75.599999999999994</v>
      </c>
      <c r="E46" s="13">
        <v>199.02</v>
      </c>
      <c r="F46" s="13">
        <v>514</v>
      </c>
      <c r="G46" s="13">
        <v>97.75</v>
      </c>
      <c r="H46" s="13">
        <v>118.09</v>
      </c>
      <c r="I46" s="13">
        <v>143.25</v>
      </c>
    </row>
    <row r="47" spans="1:9" ht="15" customHeight="1" x14ac:dyDescent="0.25">
      <c r="A47" s="12">
        <v>43374</v>
      </c>
      <c r="B47" s="13">
        <v>158.01</v>
      </c>
      <c r="C47" s="13">
        <v>65.27</v>
      </c>
      <c r="D47" s="13">
        <v>80.7</v>
      </c>
      <c r="E47" s="13">
        <v>197</v>
      </c>
      <c r="F47" s="13">
        <v>495</v>
      </c>
      <c r="G47" s="13">
        <v>98.5</v>
      </c>
      <c r="H47" s="13">
        <v>113.05</v>
      </c>
      <c r="I47" s="13">
        <v>148.99</v>
      </c>
    </row>
    <row r="48" spans="1:9" ht="15" customHeight="1" x14ac:dyDescent="0.25">
      <c r="A48" s="12">
        <v>43405</v>
      </c>
      <c r="B48" s="13">
        <v>147.54</v>
      </c>
      <c r="C48" s="13">
        <v>64.28</v>
      </c>
      <c r="D48" s="13">
        <v>76.37</v>
      </c>
      <c r="E48" s="13">
        <v>206.1</v>
      </c>
      <c r="F48" s="13">
        <v>493.92</v>
      </c>
      <c r="G48" s="13">
        <v>98.75</v>
      </c>
      <c r="H48" s="13">
        <v>99.72</v>
      </c>
      <c r="I48" s="13">
        <v>140.56</v>
      </c>
    </row>
    <row r="49" spans="1:9" ht="15" customHeight="1" x14ac:dyDescent="0.25">
      <c r="A49" s="12">
        <v>43435</v>
      </c>
      <c r="B49" s="13">
        <v>128.05000000000001</v>
      </c>
      <c r="C49" s="13">
        <v>59.16</v>
      </c>
      <c r="D49" s="13">
        <v>69.64</v>
      </c>
      <c r="E49" s="13">
        <v>194</v>
      </c>
      <c r="F49" s="13">
        <v>434.67</v>
      </c>
      <c r="G49" s="13">
        <v>93</v>
      </c>
      <c r="H49" s="13">
        <v>92.09</v>
      </c>
      <c r="I49" s="13">
        <v>121.33</v>
      </c>
    </row>
    <row r="50" spans="1:9" ht="15" customHeight="1" x14ac:dyDescent="0.25">
      <c r="A50" s="12">
        <v>43466</v>
      </c>
      <c r="B50" s="13">
        <v>150.44</v>
      </c>
      <c r="C50" s="13">
        <v>59.39</v>
      </c>
      <c r="D50" s="13">
        <v>75.849999999999994</v>
      </c>
      <c r="E50" s="13">
        <v>208.34</v>
      </c>
      <c r="F50" s="13">
        <v>469.27</v>
      </c>
      <c r="G50" s="13">
        <v>106.5</v>
      </c>
      <c r="H50" s="13">
        <v>93.26</v>
      </c>
      <c r="I50" s="13">
        <v>130.30000000000001</v>
      </c>
    </row>
    <row r="51" spans="1:9" ht="15" customHeight="1" x14ac:dyDescent="0.25">
      <c r="A51" s="12">
        <v>43497</v>
      </c>
      <c r="B51" s="13">
        <v>149.49</v>
      </c>
      <c r="C51" s="13">
        <v>63.37</v>
      </c>
      <c r="D51" s="13">
        <v>73.489999999999995</v>
      </c>
      <c r="E51" s="13">
        <v>205.13</v>
      </c>
      <c r="F51" s="13">
        <v>466.74</v>
      </c>
      <c r="G51" s="13">
        <v>107.14</v>
      </c>
      <c r="H51" s="13">
        <v>93.66</v>
      </c>
      <c r="I51" s="13">
        <v>131.53</v>
      </c>
    </row>
    <row r="52" spans="1:9" ht="15" customHeight="1" x14ac:dyDescent="0.25">
      <c r="A52" s="12">
        <v>43525</v>
      </c>
      <c r="B52" s="13">
        <v>147.65</v>
      </c>
      <c r="C52" s="13">
        <v>64.03</v>
      </c>
      <c r="D52" s="13">
        <v>71.52</v>
      </c>
      <c r="E52" s="13">
        <v>196.5</v>
      </c>
      <c r="F52" s="13">
        <v>428.24</v>
      </c>
      <c r="G52" s="13">
        <v>104.5</v>
      </c>
      <c r="H52" s="13">
        <v>96.82</v>
      </c>
      <c r="I52" s="13">
        <v>125.25</v>
      </c>
    </row>
    <row r="53" spans="1:9" ht="15" customHeight="1" x14ac:dyDescent="0.25">
      <c r="A53" s="12">
        <v>43556</v>
      </c>
      <c r="B53" s="13">
        <v>140.5</v>
      </c>
      <c r="C53" s="13">
        <v>62.07</v>
      </c>
      <c r="D53" s="13">
        <v>69.5</v>
      </c>
      <c r="E53" s="13">
        <v>190</v>
      </c>
      <c r="F53" s="13">
        <v>385.35</v>
      </c>
      <c r="G53" s="13">
        <v>104</v>
      </c>
      <c r="H53" s="13">
        <v>96.89</v>
      </c>
      <c r="I53" s="13">
        <v>117.78</v>
      </c>
    </row>
    <row r="54" spans="1:9" ht="15" customHeight="1" x14ac:dyDescent="0.25">
      <c r="A54" s="12">
        <v>43586</v>
      </c>
      <c r="B54" s="13">
        <v>136.51</v>
      </c>
      <c r="C54" s="13">
        <v>67.37</v>
      </c>
      <c r="D54" s="13">
        <v>69</v>
      </c>
      <c r="E54" s="13">
        <v>176.1</v>
      </c>
      <c r="F54" s="13">
        <v>423.81</v>
      </c>
      <c r="G54" s="13">
        <v>93</v>
      </c>
      <c r="H54" s="13">
        <v>96.08</v>
      </c>
      <c r="I54" s="13">
        <v>116.16</v>
      </c>
    </row>
    <row r="55" spans="1:9" ht="15" customHeight="1" x14ac:dyDescent="0.25">
      <c r="A55" s="12">
        <v>43617</v>
      </c>
      <c r="B55" s="13">
        <v>131.49</v>
      </c>
      <c r="C55" s="13">
        <v>62.64</v>
      </c>
      <c r="D55" s="13">
        <v>63.67</v>
      </c>
      <c r="E55" s="13">
        <v>174.45</v>
      </c>
      <c r="F55" s="13">
        <v>377.5</v>
      </c>
      <c r="G55" s="13">
        <v>86.52</v>
      </c>
      <c r="H55" s="13">
        <v>88.5</v>
      </c>
      <c r="I55" s="13">
        <v>103.54</v>
      </c>
    </row>
    <row r="56" spans="1:9" ht="15" customHeight="1" x14ac:dyDescent="0.25">
      <c r="A56" s="12">
        <v>43647</v>
      </c>
      <c r="B56" s="13">
        <v>126.75</v>
      </c>
      <c r="C56" s="13">
        <v>58.92</v>
      </c>
      <c r="D56" s="13">
        <v>64.099999999999994</v>
      </c>
      <c r="E56" s="13">
        <v>174.56</v>
      </c>
      <c r="F56" s="13">
        <v>379</v>
      </c>
      <c r="G56" s="13">
        <v>95.05</v>
      </c>
      <c r="H56" s="13">
        <v>78.52</v>
      </c>
      <c r="I56" s="13">
        <v>94.95</v>
      </c>
    </row>
    <row r="57" spans="1:9" ht="15" customHeight="1" x14ac:dyDescent="0.25">
      <c r="A57" s="12">
        <v>43678</v>
      </c>
      <c r="B57" s="13">
        <v>104.56</v>
      </c>
      <c r="C57" s="13">
        <v>54.18</v>
      </c>
      <c r="D57" s="13">
        <v>65.8</v>
      </c>
      <c r="E57" s="13">
        <v>168.51</v>
      </c>
      <c r="F57" s="13">
        <v>350.03</v>
      </c>
      <c r="G57" s="13">
        <v>91.31</v>
      </c>
      <c r="H57" s="13">
        <v>85.64</v>
      </c>
      <c r="I57" s="13">
        <v>84.6</v>
      </c>
    </row>
    <row r="58" spans="1:9" ht="15" customHeight="1" x14ac:dyDescent="0.25">
      <c r="A58" s="12">
        <v>43709</v>
      </c>
      <c r="B58" s="13">
        <v>123.99</v>
      </c>
      <c r="C58" s="13">
        <v>51.96</v>
      </c>
      <c r="D58" s="13">
        <v>68</v>
      </c>
      <c r="E58" s="13">
        <v>171</v>
      </c>
      <c r="F58" s="13">
        <v>341.89</v>
      </c>
      <c r="G58" s="13">
        <v>93.45</v>
      </c>
      <c r="H58" s="13">
        <v>79.13</v>
      </c>
      <c r="I58" s="13">
        <v>90.91</v>
      </c>
    </row>
    <row r="59" spans="1:9" ht="15" customHeight="1" x14ac:dyDescent="0.25">
      <c r="A59" s="12">
        <v>43739</v>
      </c>
      <c r="B59" s="13">
        <v>128.55000000000001</v>
      </c>
      <c r="C59" s="13">
        <v>56.06</v>
      </c>
      <c r="D59" s="13">
        <v>71.34</v>
      </c>
      <c r="E59" s="13">
        <v>174.9</v>
      </c>
      <c r="F59" s="13">
        <v>350</v>
      </c>
      <c r="G59" s="13">
        <v>94</v>
      </c>
      <c r="H59" s="13">
        <v>80.739999999999995</v>
      </c>
      <c r="I59" s="13">
        <v>121.86</v>
      </c>
    </row>
    <row r="60" spans="1:9" ht="15" customHeight="1" x14ac:dyDescent="0.25">
      <c r="A60" s="12">
        <v>43770</v>
      </c>
      <c r="B60" s="13">
        <v>131.75</v>
      </c>
      <c r="C60" s="13">
        <v>62.54</v>
      </c>
      <c r="D60" s="13">
        <v>68.98</v>
      </c>
      <c r="E60" s="13">
        <v>199</v>
      </c>
      <c r="F60" s="13">
        <v>420.29</v>
      </c>
      <c r="G60" s="13">
        <v>106.01</v>
      </c>
      <c r="H60" s="13">
        <v>80.739999999999995</v>
      </c>
      <c r="I60" s="13">
        <v>135.66999999999999</v>
      </c>
    </row>
    <row r="61" spans="1:9" ht="15" customHeight="1" x14ac:dyDescent="0.25">
      <c r="A61" s="12">
        <v>43800</v>
      </c>
      <c r="B61" s="13">
        <v>142.19999999999999</v>
      </c>
      <c r="C61" s="13">
        <v>68.28</v>
      </c>
      <c r="D61" s="13">
        <v>73</v>
      </c>
      <c r="E61" s="13">
        <v>211</v>
      </c>
      <c r="F61" s="13">
        <v>426.26</v>
      </c>
      <c r="G61" s="13">
        <v>101.54</v>
      </c>
      <c r="H61" s="13">
        <v>96.49</v>
      </c>
      <c r="I61" s="13">
        <v>147.22</v>
      </c>
    </row>
    <row r="62" spans="1:9" ht="15" customHeight="1" x14ac:dyDescent="0.25">
      <c r="A62" s="12">
        <v>43831</v>
      </c>
      <c r="B62" s="13">
        <v>137.97999999999999</v>
      </c>
      <c r="C62" s="13">
        <v>74.02</v>
      </c>
      <c r="D62" s="13">
        <v>67.67</v>
      </c>
      <c r="E62" s="13">
        <v>211</v>
      </c>
      <c r="F62" s="13">
        <v>476</v>
      </c>
      <c r="G62" s="13">
        <v>105.14</v>
      </c>
      <c r="H62" s="13">
        <v>95.27</v>
      </c>
      <c r="I62" s="13">
        <v>151</v>
      </c>
    </row>
    <row r="63" spans="1:9" ht="15" customHeight="1" x14ac:dyDescent="0.25">
      <c r="A63" s="12">
        <v>43862</v>
      </c>
      <c r="B63" s="13">
        <v>117.62</v>
      </c>
      <c r="C63" s="13">
        <v>71.790000000000006</v>
      </c>
      <c r="D63" s="13">
        <v>63.15</v>
      </c>
      <c r="E63" s="13">
        <v>198.9</v>
      </c>
      <c r="F63" s="13">
        <v>489.09</v>
      </c>
      <c r="G63" s="13">
        <v>103.4</v>
      </c>
      <c r="H63" s="13">
        <v>103.74</v>
      </c>
      <c r="I63" s="13">
        <v>134.44</v>
      </c>
    </row>
    <row r="64" spans="1:9" ht="15" customHeight="1" x14ac:dyDescent="0.25">
      <c r="A64" s="12">
        <v>43891</v>
      </c>
      <c r="B64" s="13">
        <v>77.09</v>
      </c>
      <c r="C64" s="13">
        <v>46.71</v>
      </c>
      <c r="D64" s="13">
        <v>57.51</v>
      </c>
      <c r="E64" s="13">
        <v>149.5</v>
      </c>
      <c r="F64" s="13">
        <v>369</v>
      </c>
      <c r="G64" s="13">
        <v>93.05</v>
      </c>
      <c r="H64" s="13">
        <v>58.58</v>
      </c>
      <c r="I64" s="13">
        <v>99.19</v>
      </c>
    </row>
    <row r="65" spans="1:9" ht="15" customHeight="1" x14ac:dyDescent="0.25">
      <c r="A65" s="12">
        <v>43922</v>
      </c>
      <c r="B65" s="13">
        <v>105.36</v>
      </c>
      <c r="C65" s="13">
        <v>47.08</v>
      </c>
      <c r="D65" s="13">
        <v>61.9</v>
      </c>
      <c r="E65" s="13">
        <v>163</v>
      </c>
      <c r="F65" s="13">
        <v>469.01</v>
      </c>
      <c r="G65" s="13">
        <v>111.8</v>
      </c>
      <c r="H65" s="13">
        <v>48.94</v>
      </c>
      <c r="I65" s="13">
        <v>130.28</v>
      </c>
    </row>
    <row r="66" spans="1:9" ht="15" customHeight="1" x14ac:dyDescent="0.25">
      <c r="A66" s="12">
        <v>43952</v>
      </c>
      <c r="B66" s="13">
        <v>115</v>
      </c>
      <c r="C66" s="13">
        <v>44.56</v>
      </c>
      <c r="D66" s="13">
        <v>60.2</v>
      </c>
      <c r="E66" s="13">
        <v>151</v>
      </c>
      <c r="F66" s="13">
        <v>457.1</v>
      </c>
      <c r="G66" s="13">
        <v>108.9</v>
      </c>
      <c r="H66" s="13">
        <v>66.27</v>
      </c>
      <c r="I66" s="13">
        <v>137.78</v>
      </c>
    </row>
    <row r="67" spans="1:9" ht="15" customHeight="1" x14ac:dyDescent="0.25">
      <c r="A67" s="12">
        <v>43983</v>
      </c>
      <c r="B67" s="13">
        <v>111.5</v>
      </c>
      <c r="C67" s="13">
        <v>49.56</v>
      </c>
      <c r="D67" s="13">
        <v>60.39</v>
      </c>
      <c r="E67" s="13">
        <v>161.5</v>
      </c>
      <c r="F67" s="13">
        <v>462.01</v>
      </c>
      <c r="G67" s="13">
        <v>110.05</v>
      </c>
      <c r="H67" s="13">
        <v>74.5</v>
      </c>
      <c r="I67" s="13">
        <v>138.32</v>
      </c>
    </row>
    <row r="68" spans="1:9" ht="15" customHeight="1" x14ac:dyDescent="0.25">
      <c r="A68" s="12">
        <v>44013</v>
      </c>
      <c r="B68" s="13">
        <v>114.5</v>
      </c>
      <c r="C68" s="13">
        <v>60.87</v>
      </c>
      <c r="D68" s="13">
        <v>66.8</v>
      </c>
      <c r="E68" s="13">
        <v>177.5</v>
      </c>
      <c r="F68" s="13">
        <v>582.01</v>
      </c>
      <c r="G68" s="13">
        <v>110.35</v>
      </c>
      <c r="H68" s="13">
        <v>87.22</v>
      </c>
      <c r="I68" s="13">
        <v>153.33000000000001</v>
      </c>
    </row>
    <row r="69" spans="1:9" ht="15" customHeight="1" x14ac:dyDescent="0.25">
      <c r="A69" s="12">
        <v>44044</v>
      </c>
      <c r="B69" s="13">
        <v>114.97</v>
      </c>
      <c r="C69" s="13">
        <v>64.97</v>
      </c>
      <c r="D69" s="13">
        <v>63.3</v>
      </c>
      <c r="E69" s="13">
        <v>170.99</v>
      </c>
      <c r="F69" s="13">
        <v>614</v>
      </c>
      <c r="G69" s="13">
        <v>108</v>
      </c>
      <c r="H69" s="13">
        <v>105.78</v>
      </c>
      <c r="I69" s="13">
        <v>160.44</v>
      </c>
    </row>
    <row r="70" spans="1:9" ht="15" customHeight="1" x14ac:dyDescent="0.25">
      <c r="A70" s="12">
        <v>44075</v>
      </c>
      <c r="B70" s="13">
        <v>97.63</v>
      </c>
      <c r="C70" s="13">
        <v>65.260000000000005</v>
      </c>
      <c r="D70" s="13">
        <v>61.1</v>
      </c>
      <c r="E70" s="13">
        <v>174.01</v>
      </c>
      <c r="F70" s="13">
        <v>648</v>
      </c>
      <c r="G70" s="13">
        <v>108</v>
      </c>
      <c r="H70" s="13">
        <v>101.18</v>
      </c>
      <c r="I70" s="13">
        <v>152.78</v>
      </c>
    </row>
    <row r="71" spans="1:9" ht="15" customHeight="1" x14ac:dyDescent="0.25">
      <c r="A71" s="12">
        <v>44105</v>
      </c>
      <c r="B71" s="13">
        <v>92.8</v>
      </c>
      <c r="C71" s="13">
        <v>68.42</v>
      </c>
      <c r="D71" s="13">
        <v>64.5</v>
      </c>
      <c r="E71" s="13">
        <v>165.51</v>
      </c>
      <c r="F71" s="13">
        <v>673</v>
      </c>
      <c r="G71" s="13">
        <v>105.98</v>
      </c>
      <c r="H71" s="13">
        <v>122.31</v>
      </c>
      <c r="I71" s="13">
        <v>138.72999999999999</v>
      </c>
    </row>
    <row r="72" spans="1:9" ht="15" customHeight="1" x14ac:dyDescent="0.25">
      <c r="A72" s="12">
        <v>44136</v>
      </c>
      <c r="B72" s="13">
        <v>99</v>
      </c>
      <c r="C72" s="13">
        <v>74.94</v>
      </c>
      <c r="D72" s="13">
        <v>60.61</v>
      </c>
      <c r="E72" s="13">
        <v>176.06</v>
      </c>
      <c r="F72" s="13">
        <v>654.35</v>
      </c>
      <c r="G72" s="13">
        <v>103.25</v>
      </c>
      <c r="H72" s="13">
        <v>119.62</v>
      </c>
      <c r="I72" s="13">
        <v>150.22</v>
      </c>
    </row>
    <row r="73" spans="1:9" ht="15" customHeight="1" x14ac:dyDescent="0.25">
      <c r="A73" s="12">
        <v>44166</v>
      </c>
      <c r="B73" s="13">
        <v>103.97</v>
      </c>
      <c r="C73" s="13">
        <v>83</v>
      </c>
      <c r="D73" s="13">
        <v>63.2</v>
      </c>
      <c r="E73" s="13">
        <v>187.7</v>
      </c>
      <c r="F73" s="13">
        <v>696</v>
      </c>
      <c r="G73" s="13">
        <v>108.85</v>
      </c>
      <c r="H73" s="13">
        <v>139.61000000000001</v>
      </c>
      <c r="I73" s="13">
        <v>149.88999999999999</v>
      </c>
    </row>
    <row r="74" spans="1:9" ht="15" customHeight="1" x14ac:dyDescent="0.25">
      <c r="A74" s="12">
        <v>44197</v>
      </c>
      <c r="B74" s="13">
        <v>106.75</v>
      </c>
      <c r="C74" s="13">
        <v>88.58</v>
      </c>
      <c r="D74" s="13">
        <v>64.989999999999995</v>
      </c>
      <c r="E74" s="13">
        <v>192.57</v>
      </c>
      <c r="F74" s="13">
        <v>727.29</v>
      </c>
      <c r="G74" s="13">
        <v>110.11</v>
      </c>
      <c r="H74" s="13">
        <v>144.55000000000001</v>
      </c>
      <c r="I74" s="13">
        <v>156.66999999999999</v>
      </c>
    </row>
    <row r="75" spans="1:9" ht="15" customHeight="1" x14ac:dyDescent="0.25">
      <c r="A75" s="12">
        <v>44228</v>
      </c>
      <c r="B75" s="13">
        <v>104.72</v>
      </c>
      <c r="C75" s="13">
        <v>85.85</v>
      </c>
      <c r="D75" s="13">
        <v>65.16</v>
      </c>
      <c r="E75" s="13">
        <v>183.1</v>
      </c>
      <c r="F75" s="13">
        <v>884.73</v>
      </c>
      <c r="G75" s="13">
        <v>110.75</v>
      </c>
      <c r="H75" s="13">
        <v>143.69</v>
      </c>
      <c r="I75" s="13">
        <v>177.78</v>
      </c>
    </row>
    <row r="76" spans="1:9" ht="15" customHeight="1" x14ac:dyDescent="0.25">
      <c r="A76" s="12">
        <v>44256</v>
      </c>
      <c r="B76" s="13">
        <v>101.5</v>
      </c>
      <c r="C76" s="13">
        <v>90.04</v>
      </c>
      <c r="D76" s="13">
        <v>62.45</v>
      </c>
      <c r="E76" s="13">
        <v>172</v>
      </c>
      <c r="F76" s="13">
        <v>819.5</v>
      </c>
      <c r="G76" s="13">
        <v>104</v>
      </c>
      <c r="H76" s="13">
        <v>137.31</v>
      </c>
      <c r="I76" s="13">
        <v>171.11</v>
      </c>
    </row>
    <row r="77" spans="1:9" ht="15" customHeight="1" x14ac:dyDescent="0.25">
      <c r="A77" s="12">
        <v>44287</v>
      </c>
      <c r="B77" s="13">
        <v>91</v>
      </c>
      <c r="C77" s="13">
        <v>85.38</v>
      </c>
      <c r="D77" s="13">
        <v>67</v>
      </c>
      <c r="E77" s="13">
        <v>163</v>
      </c>
      <c r="F77" s="13">
        <v>835.01</v>
      </c>
      <c r="G77" s="13">
        <v>105</v>
      </c>
      <c r="H77" s="13">
        <v>122.69</v>
      </c>
      <c r="I77" s="13">
        <v>168.33</v>
      </c>
    </row>
    <row r="78" spans="1:9" ht="15" customHeight="1" x14ac:dyDescent="0.25">
      <c r="A78" s="12">
        <v>44317</v>
      </c>
      <c r="B78" s="13">
        <v>97.4</v>
      </c>
      <c r="C78" s="13">
        <v>90.13</v>
      </c>
      <c r="D78" s="13">
        <v>71.25</v>
      </c>
      <c r="E78" s="13">
        <v>166</v>
      </c>
      <c r="F78" s="13">
        <v>932</v>
      </c>
      <c r="G78" s="13">
        <v>107.39</v>
      </c>
      <c r="H78" s="13">
        <v>131.91999999999999</v>
      </c>
      <c r="I78" s="13">
        <v>173.33</v>
      </c>
    </row>
    <row r="79" spans="1:9" ht="15" customHeight="1" x14ac:dyDescent="0.25">
      <c r="A79" s="12">
        <v>44348</v>
      </c>
      <c r="B79" s="13">
        <v>95.25</v>
      </c>
      <c r="C79" s="13">
        <v>90.97</v>
      </c>
      <c r="D79" s="13">
        <v>70.150000000000006</v>
      </c>
      <c r="E79" s="13">
        <v>161</v>
      </c>
      <c r="F79" s="13">
        <v>864.99</v>
      </c>
      <c r="G79" s="13">
        <v>106.03</v>
      </c>
      <c r="H79" s="13">
        <v>129.85</v>
      </c>
      <c r="I79" s="13">
        <v>169.44</v>
      </c>
    </row>
    <row r="80" spans="1:9" ht="15" customHeight="1" x14ac:dyDescent="0.25">
      <c r="A80" s="12">
        <v>44378</v>
      </c>
      <c r="B80" s="13">
        <v>93.39</v>
      </c>
      <c r="C80" s="13">
        <v>98.81</v>
      </c>
      <c r="D80" s="13">
        <v>76.099999999999994</v>
      </c>
      <c r="E80" s="13">
        <v>161.72999999999999</v>
      </c>
      <c r="F80" s="13">
        <v>884.5</v>
      </c>
      <c r="G80" s="13">
        <v>106.5</v>
      </c>
      <c r="H80" s="13">
        <v>123.38</v>
      </c>
      <c r="I80" s="13">
        <v>167.89</v>
      </c>
    </row>
    <row r="81" spans="1:9" ht="15" customHeight="1" x14ac:dyDescent="0.25">
      <c r="A81" s="12">
        <v>44409</v>
      </c>
      <c r="B81" s="13">
        <v>92.8</v>
      </c>
      <c r="C81" s="13">
        <v>122.13</v>
      </c>
      <c r="D81" s="13">
        <v>77.25</v>
      </c>
      <c r="E81" s="13">
        <v>164.51</v>
      </c>
      <c r="F81" s="13">
        <v>830</v>
      </c>
      <c r="G81" s="13">
        <v>105.95</v>
      </c>
      <c r="H81" s="13">
        <v>126.92</v>
      </c>
      <c r="I81" s="13">
        <v>171.11</v>
      </c>
    </row>
    <row r="82" spans="1:9" ht="15" customHeight="1" x14ac:dyDescent="0.25">
      <c r="A82" s="12">
        <v>44440</v>
      </c>
      <c r="B82" s="13">
        <v>83.6</v>
      </c>
      <c r="C82" s="13">
        <v>127.27</v>
      </c>
      <c r="D82" s="13">
        <v>69.989999999999995</v>
      </c>
      <c r="E82" s="13">
        <v>152.9</v>
      </c>
      <c r="F82" s="13">
        <v>721.1</v>
      </c>
      <c r="G82" s="13">
        <v>101.99</v>
      </c>
      <c r="H82" s="13">
        <v>101.54</v>
      </c>
      <c r="I82" s="13">
        <v>173.22</v>
      </c>
    </row>
    <row r="83" spans="1:9" ht="15" customHeight="1" x14ac:dyDescent="0.25">
      <c r="A83" s="12">
        <v>44470</v>
      </c>
      <c r="B83" s="13">
        <v>85.55</v>
      </c>
      <c r="C83" s="13">
        <v>120.91</v>
      </c>
      <c r="D83" s="13">
        <v>71.5</v>
      </c>
      <c r="E83" s="13">
        <v>164</v>
      </c>
      <c r="F83" s="13">
        <v>775</v>
      </c>
      <c r="G83" s="13">
        <v>103</v>
      </c>
      <c r="H83" s="13">
        <v>119</v>
      </c>
      <c r="I83" s="13">
        <v>188.89</v>
      </c>
    </row>
    <row r="84" spans="1:9" ht="15" customHeight="1" x14ac:dyDescent="0.25">
      <c r="A84" s="12">
        <v>44501</v>
      </c>
      <c r="B84" s="13">
        <v>84.9</v>
      </c>
      <c r="C84" s="13">
        <v>135.44999999999999</v>
      </c>
      <c r="D84" s="13">
        <v>74</v>
      </c>
      <c r="E84" s="13">
        <v>157</v>
      </c>
      <c r="F84" s="13">
        <v>719</v>
      </c>
      <c r="G84" s="13">
        <v>100.5</v>
      </c>
      <c r="H84" s="13">
        <v>102.5</v>
      </c>
      <c r="I84" s="13">
        <v>190</v>
      </c>
    </row>
    <row r="85" spans="1:9" ht="15" customHeight="1" x14ac:dyDescent="0.25">
      <c r="A85" s="12">
        <v>44531</v>
      </c>
      <c r="B85" s="13">
        <v>86.2</v>
      </c>
      <c r="C85" s="13">
        <v>121.92</v>
      </c>
      <c r="D85" s="13">
        <v>76.09</v>
      </c>
      <c r="E85" s="13">
        <v>153.35</v>
      </c>
      <c r="F85" s="13">
        <v>679.28</v>
      </c>
      <c r="G85" s="13">
        <v>100.26</v>
      </c>
      <c r="H85" s="13">
        <v>97.32</v>
      </c>
      <c r="I85" s="13">
        <v>183.89</v>
      </c>
    </row>
    <row r="86" spans="1:9" ht="15" customHeight="1" x14ac:dyDescent="0.25">
      <c r="A86" s="12">
        <v>44562</v>
      </c>
      <c r="B86" s="13">
        <v>87</v>
      </c>
      <c r="C86" s="13">
        <v>124.54</v>
      </c>
      <c r="D86" s="13">
        <v>82</v>
      </c>
      <c r="E86" s="13">
        <v>161.19999999999999</v>
      </c>
      <c r="F86" s="13">
        <v>681</v>
      </c>
      <c r="G86" s="13">
        <v>106.8</v>
      </c>
      <c r="H86" s="13">
        <v>92.65</v>
      </c>
      <c r="I86" s="13">
        <v>188.89</v>
      </c>
    </row>
    <row r="87" spans="1:9" ht="15" customHeight="1" x14ac:dyDescent="0.25">
      <c r="A87" s="12">
        <v>44593</v>
      </c>
      <c r="B87" s="13">
        <v>88.14</v>
      </c>
      <c r="C87" s="13">
        <v>126.73</v>
      </c>
      <c r="D87" s="13">
        <v>88.7</v>
      </c>
      <c r="E87" s="13">
        <v>157.55000000000001</v>
      </c>
      <c r="F87" s="13">
        <v>655</v>
      </c>
      <c r="G87" s="13">
        <v>109.89</v>
      </c>
      <c r="H87" s="13">
        <v>84.9</v>
      </c>
      <c r="I87" s="13">
        <v>198.89</v>
      </c>
    </row>
    <row r="88" spans="1:9" ht="15" customHeight="1" x14ac:dyDescent="0.25">
      <c r="A88" s="12">
        <v>44621</v>
      </c>
      <c r="B88" s="13">
        <v>83.13</v>
      </c>
      <c r="C88" s="13">
        <v>119.05</v>
      </c>
      <c r="D88" s="13">
        <v>91.77</v>
      </c>
      <c r="E88" s="13">
        <v>145.66</v>
      </c>
      <c r="F88" s="13">
        <v>636.35</v>
      </c>
      <c r="G88" s="13">
        <v>113.52</v>
      </c>
      <c r="H88" s="13">
        <v>76</v>
      </c>
      <c r="I88" s="13">
        <v>196.11</v>
      </c>
    </row>
    <row r="89" spans="1:9" ht="15" customHeight="1" x14ac:dyDescent="0.25">
      <c r="A89" s="12">
        <v>44652</v>
      </c>
      <c r="B89" s="13">
        <v>84.6</v>
      </c>
      <c r="C89" s="13">
        <v>127.27</v>
      </c>
      <c r="D89" s="13">
        <v>95</v>
      </c>
      <c r="E89" s="13">
        <v>151.38999999999999</v>
      </c>
      <c r="F89" s="13">
        <v>565.5</v>
      </c>
      <c r="G89" s="13">
        <v>121</v>
      </c>
      <c r="H89" s="13">
        <v>76.319999999999993</v>
      </c>
      <c r="I89" s="13">
        <v>190</v>
      </c>
    </row>
    <row r="90" spans="1:9" ht="15" customHeight="1" x14ac:dyDescent="0.25">
      <c r="A90" s="12">
        <v>44682</v>
      </c>
      <c r="B90" s="13">
        <v>80.67</v>
      </c>
      <c r="C90" s="13">
        <v>119.32</v>
      </c>
      <c r="D90" s="13">
        <v>86.6</v>
      </c>
      <c r="E90" s="13">
        <v>133.49</v>
      </c>
      <c r="F90" s="13">
        <v>473</v>
      </c>
      <c r="G90" s="13">
        <v>114</v>
      </c>
      <c r="H90" s="13">
        <v>67.45</v>
      </c>
      <c r="I90" s="13">
        <v>178.9</v>
      </c>
    </row>
    <row r="91" spans="1:9" ht="15" customHeight="1" x14ac:dyDescent="0.25">
      <c r="A91" s="12">
        <v>44713</v>
      </c>
      <c r="B91" s="13">
        <v>78.900000000000006</v>
      </c>
      <c r="C91" s="13">
        <v>102.27</v>
      </c>
      <c r="D91" s="13">
        <v>88.85</v>
      </c>
      <c r="E91" s="13">
        <v>123.5</v>
      </c>
      <c r="F91" s="13">
        <v>456</v>
      </c>
      <c r="G91" s="13">
        <v>110.2</v>
      </c>
      <c r="H91" s="13">
        <v>62</v>
      </c>
      <c r="I91" s="13">
        <v>193</v>
      </c>
    </row>
    <row r="92" spans="1:9" ht="15" customHeight="1" x14ac:dyDescent="0.25">
      <c r="A92" s="12">
        <v>44743</v>
      </c>
      <c r="B92" s="13">
        <v>80.42</v>
      </c>
      <c r="C92" s="13">
        <v>107.68</v>
      </c>
      <c r="D92" s="13">
        <v>79</v>
      </c>
      <c r="E92" s="13">
        <v>122.5</v>
      </c>
      <c r="F92" s="13">
        <v>411.93</v>
      </c>
      <c r="G92" s="13">
        <v>103.51</v>
      </c>
      <c r="H92" s="13">
        <v>60.5</v>
      </c>
      <c r="I92" s="13">
        <v>188.22</v>
      </c>
    </row>
    <row r="93" spans="1:9" ht="15" customHeight="1" x14ac:dyDescent="0.25">
      <c r="A93" s="12">
        <v>44774</v>
      </c>
      <c r="B93" s="13">
        <v>82.75</v>
      </c>
      <c r="C93" s="13">
        <v>121.2</v>
      </c>
      <c r="D93" s="13">
        <v>84.25</v>
      </c>
      <c r="E93" s="13">
        <v>119.8</v>
      </c>
      <c r="F93" s="13">
        <v>518.5</v>
      </c>
      <c r="G93" s="13">
        <v>104.11</v>
      </c>
      <c r="H93" s="13">
        <v>64.87</v>
      </c>
      <c r="I93" s="13">
        <v>187.78</v>
      </c>
    </row>
    <row r="94" spans="1:9" ht="15" customHeight="1" x14ac:dyDescent="0.25">
      <c r="A94" s="12">
        <v>44805</v>
      </c>
      <c r="B94" s="13">
        <v>75.72</v>
      </c>
      <c r="C94" s="13">
        <v>109.75</v>
      </c>
      <c r="D94" s="13">
        <v>78.02</v>
      </c>
      <c r="E94" s="13">
        <v>119</v>
      </c>
      <c r="F94" s="13">
        <v>496.56</v>
      </c>
      <c r="G94" s="13">
        <v>101.31</v>
      </c>
      <c r="H94" s="13">
        <v>59.5</v>
      </c>
      <c r="I94" s="13">
        <v>174.44</v>
      </c>
    </row>
    <row r="95" spans="1:9" ht="15" customHeight="1" x14ac:dyDescent="0.25">
      <c r="A95" s="12">
        <v>44835</v>
      </c>
      <c r="B95" s="13">
        <v>69.97</v>
      </c>
      <c r="C95" s="13">
        <v>106</v>
      </c>
      <c r="D95" s="13">
        <v>80.900000000000006</v>
      </c>
      <c r="E95" s="13">
        <v>121.99</v>
      </c>
      <c r="F95" s="13">
        <v>485.99</v>
      </c>
      <c r="G95" s="13">
        <v>103.35</v>
      </c>
      <c r="H95" s="13">
        <v>51.55</v>
      </c>
      <c r="I95" s="13">
        <v>186.67</v>
      </c>
    </row>
    <row r="96" spans="1:9" ht="15" customHeight="1" x14ac:dyDescent="0.25">
      <c r="A96" s="12">
        <v>44866</v>
      </c>
      <c r="B96" s="13">
        <v>72.3</v>
      </c>
      <c r="C96" s="13">
        <v>109.75</v>
      </c>
      <c r="D96" s="13">
        <v>81.099999999999994</v>
      </c>
      <c r="E96" s="13">
        <v>119.45</v>
      </c>
      <c r="F96" s="13">
        <v>473</v>
      </c>
      <c r="G96" s="13">
        <v>102.44</v>
      </c>
      <c r="H96" s="13">
        <v>58.55</v>
      </c>
      <c r="I96" s="13">
        <v>185.44</v>
      </c>
    </row>
    <row r="97" spans="1:9" ht="15" customHeight="1" x14ac:dyDescent="0.25">
      <c r="A97" s="12">
        <v>44896</v>
      </c>
      <c r="B97" s="13">
        <v>79.66</v>
      </c>
      <c r="C97" s="13">
        <v>99.54</v>
      </c>
      <c r="D97" s="13">
        <v>76.89</v>
      </c>
      <c r="E97" s="13">
        <v>115</v>
      </c>
      <c r="F97" s="13">
        <v>446</v>
      </c>
      <c r="G97" s="13">
        <v>98.71</v>
      </c>
      <c r="H97" s="13">
        <v>48.35</v>
      </c>
      <c r="I97" s="13">
        <v>175</v>
      </c>
    </row>
    <row r="98" spans="1:9" ht="15" customHeight="1" x14ac:dyDescent="0.25">
      <c r="A98" s="12">
        <v>44927</v>
      </c>
      <c r="B98" s="13">
        <v>87.94</v>
      </c>
      <c r="C98" s="13">
        <v>92.5</v>
      </c>
      <c r="D98" s="13">
        <v>81.7</v>
      </c>
      <c r="E98" s="13">
        <v>113.12</v>
      </c>
      <c r="F98" s="13">
        <v>409</v>
      </c>
      <c r="G98" s="13">
        <v>103.6</v>
      </c>
      <c r="H98" s="13">
        <v>48.05</v>
      </c>
      <c r="I98" s="13">
        <v>168.67</v>
      </c>
    </row>
    <row r="99" spans="1:9" ht="15" customHeight="1" x14ac:dyDescent="0.25">
      <c r="A99" s="12">
        <v>44958</v>
      </c>
      <c r="B99" s="13">
        <v>82</v>
      </c>
      <c r="C99" s="13">
        <v>94.95</v>
      </c>
      <c r="D99" s="13">
        <v>84.57</v>
      </c>
      <c r="E99" s="13">
        <v>116.8</v>
      </c>
      <c r="F99" s="13">
        <v>413.5</v>
      </c>
      <c r="G99" s="13">
        <v>101.75</v>
      </c>
      <c r="H99" s="13">
        <v>52.25</v>
      </c>
      <c r="I99" s="13">
        <v>159.61000000000001</v>
      </c>
    </row>
    <row r="100" spans="1:9" ht="15" customHeight="1" x14ac:dyDescent="0.25">
      <c r="A100" s="12">
        <v>44986</v>
      </c>
      <c r="B100" s="13">
        <v>82.75</v>
      </c>
      <c r="C100" s="13">
        <v>94.9</v>
      </c>
      <c r="D100" s="13">
        <v>84.85</v>
      </c>
      <c r="E100" s="13">
        <v>114.99</v>
      </c>
      <c r="F100" s="13">
        <v>405</v>
      </c>
      <c r="G100" s="13">
        <v>99.88</v>
      </c>
      <c r="H100" s="13">
        <v>45.5</v>
      </c>
      <c r="I100" s="13">
        <v>168.78</v>
      </c>
    </row>
    <row r="101" spans="1:9" ht="15" customHeight="1" x14ac:dyDescent="0.25">
      <c r="A101" s="12">
        <v>45017</v>
      </c>
      <c r="B101" s="13">
        <v>85.97</v>
      </c>
      <c r="C101" s="13">
        <v>99.31</v>
      </c>
      <c r="D101" s="13">
        <v>84.1</v>
      </c>
      <c r="E101" s="13">
        <v>120</v>
      </c>
      <c r="F101" s="13">
        <v>401.99</v>
      </c>
      <c r="G101" s="13">
        <v>103</v>
      </c>
      <c r="H101" s="13">
        <v>53.5</v>
      </c>
      <c r="I101" s="13">
        <v>176.65</v>
      </c>
    </row>
    <row r="102" spans="1:9" ht="15" customHeight="1" x14ac:dyDescent="0.25">
      <c r="A102" s="12">
        <v>45047</v>
      </c>
      <c r="B102" s="13">
        <v>74.819999999999993</v>
      </c>
      <c r="C102" s="13">
        <v>88.8</v>
      </c>
      <c r="D102" s="13">
        <v>86</v>
      </c>
      <c r="E102" s="13">
        <v>115.48</v>
      </c>
      <c r="F102" s="13">
        <v>516</v>
      </c>
      <c r="G102" s="13">
        <v>101.15</v>
      </c>
      <c r="H102" s="13">
        <v>48.66</v>
      </c>
      <c r="I102" s="13">
        <v>171.44</v>
      </c>
    </row>
    <row r="103" spans="1:9" ht="15" customHeight="1" x14ac:dyDescent="0.25">
      <c r="A103" s="12">
        <v>45078</v>
      </c>
      <c r="B103" s="13">
        <v>77.849999999999994</v>
      </c>
      <c r="C103" s="13">
        <v>86</v>
      </c>
      <c r="D103" s="13">
        <v>81.95</v>
      </c>
      <c r="E103" s="13">
        <v>113.75</v>
      </c>
      <c r="F103" s="13">
        <v>521.5</v>
      </c>
      <c r="G103" s="13">
        <v>98.4</v>
      </c>
      <c r="H103" s="13">
        <v>50.8</v>
      </c>
      <c r="I103" s="13">
        <v>167.78</v>
      </c>
    </row>
    <row r="104" spans="1:9" ht="15" customHeight="1" x14ac:dyDescent="0.25">
      <c r="A104" s="12">
        <v>45108</v>
      </c>
      <c r="B104" s="13">
        <v>95.35</v>
      </c>
      <c r="C104" s="13">
        <v>132.1</v>
      </c>
      <c r="D104" s="13">
        <v>82.1</v>
      </c>
      <c r="E104" s="13">
        <v>147.46</v>
      </c>
      <c r="F104" s="13">
        <v>589.5</v>
      </c>
      <c r="G104" s="13">
        <v>100.77</v>
      </c>
      <c r="H104" s="13">
        <v>70.75</v>
      </c>
      <c r="I104" s="13">
        <v>178.33</v>
      </c>
    </row>
    <row r="105" spans="1:9" ht="15" customHeight="1" x14ac:dyDescent="0.25">
      <c r="A105" s="12">
        <v>45139</v>
      </c>
      <c r="B105" s="13">
        <v>93.9</v>
      </c>
      <c r="C105" s="13">
        <v>116</v>
      </c>
      <c r="D105" s="13">
        <v>77.099999999999994</v>
      </c>
      <c r="E105" s="13">
        <v>129.26</v>
      </c>
      <c r="F105" s="13">
        <v>556.01</v>
      </c>
      <c r="G105" s="13">
        <v>94.75</v>
      </c>
      <c r="H105" s="13">
        <v>65</v>
      </c>
      <c r="I105" s="13">
        <v>177.77</v>
      </c>
    </row>
    <row r="106" spans="1:9" ht="15" customHeight="1" x14ac:dyDescent="0.25">
      <c r="A106" s="12">
        <v>45170</v>
      </c>
      <c r="B106" s="13">
        <v>96.5</v>
      </c>
      <c r="C106" s="13">
        <v>114.5</v>
      </c>
      <c r="D106" s="13">
        <v>76</v>
      </c>
      <c r="E106" s="13">
        <v>129.5</v>
      </c>
      <c r="F106" s="13">
        <v>563.1</v>
      </c>
      <c r="G106" s="13">
        <v>92.75</v>
      </c>
      <c r="H106" s="13">
        <v>92.98</v>
      </c>
      <c r="I106" s="13">
        <v>173.54</v>
      </c>
    </row>
    <row r="107" spans="1:9" ht="15" customHeight="1" x14ac:dyDescent="0.25">
      <c r="A107" s="12">
        <v>45200</v>
      </c>
      <c r="B107" s="13">
        <v>100.5</v>
      </c>
      <c r="C107" s="13">
        <v>137.49</v>
      </c>
      <c r="D107" s="13">
        <v>86.8</v>
      </c>
      <c r="E107" s="13">
        <v>152.49</v>
      </c>
      <c r="F107" s="13">
        <v>635</v>
      </c>
      <c r="G107" s="13">
        <v>103.25</v>
      </c>
      <c r="H107" s="13">
        <v>163.1</v>
      </c>
      <c r="I107" s="13">
        <v>174.87</v>
      </c>
    </row>
    <row r="108" spans="1:9" ht="15" customHeight="1" x14ac:dyDescent="0.25">
      <c r="A108" s="12">
        <v>45231</v>
      </c>
      <c r="B108" s="13">
        <v>109</v>
      </c>
      <c r="C108" s="13">
        <v>154.5</v>
      </c>
      <c r="D108" s="13">
        <v>100.97</v>
      </c>
      <c r="E108" s="13">
        <v>167.5</v>
      </c>
      <c r="F108" s="13">
        <v>789</v>
      </c>
      <c r="G108" s="13">
        <v>112.05</v>
      </c>
      <c r="H108" s="13">
        <v>186</v>
      </c>
      <c r="I108" s="13">
        <v>189.56</v>
      </c>
    </row>
    <row r="109" spans="1:9" ht="15" customHeight="1" x14ac:dyDescent="0.25">
      <c r="A109" s="12">
        <v>45261</v>
      </c>
      <c r="B109" s="13">
        <v>112.1</v>
      </c>
      <c r="C109" s="13">
        <v>160.99</v>
      </c>
      <c r="D109" s="13">
        <v>112.3</v>
      </c>
      <c r="E109" s="13">
        <v>172</v>
      </c>
      <c r="F109" s="13">
        <v>790</v>
      </c>
      <c r="G109" s="13">
        <v>113.3</v>
      </c>
      <c r="H109" s="13">
        <v>177.5</v>
      </c>
      <c r="I109" s="13">
        <v>232.22</v>
      </c>
    </row>
    <row r="110" spans="1:9" ht="15" customHeight="1" x14ac:dyDescent="0.25">
      <c r="A110" s="12">
        <v>45292</v>
      </c>
      <c r="B110" s="13">
        <v>135.02000000000001</v>
      </c>
      <c r="C110" s="13">
        <v>162</v>
      </c>
      <c r="D110" s="13">
        <v>122</v>
      </c>
      <c r="E110" s="13">
        <v>179.6</v>
      </c>
      <c r="F110" s="13">
        <v>736.95</v>
      </c>
      <c r="G110" s="13">
        <v>113</v>
      </c>
      <c r="H110" s="13">
        <v>211.2</v>
      </c>
      <c r="I110" s="13">
        <v>250.02</v>
      </c>
    </row>
    <row r="111" spans="1:9" ht="15" customHeight="1" x14ac:dyDescent="0.25">
      <c r="A111" s="12">
        <v>45323</v>
      </c>
      <c r="B111" s="13">
        <v>125.3</v>
      </c>
      <c r="C111" s="13">
        <v>187.5</v>
      </c>
      <c r="D111" s="13">
        <v>146.97999999999999</v>
      </c>
      <c r="E111" s="13">
        <v>199</v>
      </c>
      <c r="F111" s="13">
        <v>749.15</v>
      </c>
      <c r="G111" s="13">
        <v>119.4</v>
      </c>
      <c r="H111" s="13">
        <v>361</v>
      </c>
      <c r="I111" s="13">
        <v>260.89</v>
      </c>
    </row>
    <row r="112" spans="1:9" ht="15" customHeight="1" x14ac:dyDescent="0.25">
      <c r="A112" s="12">
        <v>45352</v>
      </c>
      <c r="B112" s="13">
        <v>121.35</v>
      </c>
      <c r="C112" s="13">
        <v>214.48</v>
      </c>
      <c r="D112" s="13">
        <v>147.79</v>
      </c>
      <c r="E112" s="13">
        <v>203</v>
      </c>
      <c r="F112" s="13">
        <v>765</v>
      </c>
      <c r="G112" s="13">
        <v>126.5</v>
      </c>
      <c r="H112" s="13">
        <v>388</v>
      </c>
      <c r="I112" s="13">
        <v>281.11</v>
      </c>
    </row>
    <row r="113" spans="1:9" ht="15" customHeight="1" x14ac:dyDescent="0.25">
      <c r="A113" s="12">
        <v>45383</v>
      </c>
      <c r="B113" s="13">
        <v>133.5</v>
      </c>
      <c r="C113" s="13">
        <v>213.49</v>
      </c>
      <c r="D113" s="13">
        <v>157.31</v>
      </c>
      <c r="E113" s="13">
        <v>209.54</v>
      </c>
      <c r="F113" s="13">
        <v>836</v>
      </c>
      <c r="G113" s="13">
        <v>145.5</v>
      </c>
      <c r="H113" s="13">
        <v>702</v>
      </c>
      <c r="I113" s="13">
        <v>303.11</v>
      </c>
    </row>
    <row r="114" spans="1:9" ht="15" customHeight="1" x14ac:dyDescent="0.25">
      <c r="A114" s="12">
        <v>45413</v>
      </c>
      <c r="B114" s="13">
        <v>133.69999999999999</v>
      </c>
      <c r="C114" s="13">
        <v>246.69</v>
      </c>
      <c r="D114" s="13">
        <v>160.1</v>
      </c>
      <c r="E114" s="13">
        <v>207</v>
      </c>
      <c r="F114" s="13">
        <v>897.5</v>
      </c>
      <c r="G114" s="13">
        <v>142</v>
      </c>
      <c r="H114" s="13">
        <v>786.14</v>
      </c>
      <c r="I114" s="13">
        <v>309.89</v>
      </c>
    </row>
    <row r="115" spans="1:9" ht="15" customHeight="1" x14ac:dyDescent="0.25">
      <c r="A115" s="12">
        <v>45444</v>
      </c>
      <c r="B115" s="13">
        <v>135.15</v>
      </c>
      <c r="C115" s="13">
        <v>239</v>
      </c>
      <c r="D115" s="13">
        <v>166.02</v>
      </c>
      <c r="E115" s="13">
        <v>227</v>
      </c>
      <c r="F115" s="13">
        <v>903.13</v>
      </c>
      <c r="G115" s="13">
        <v>163.19999999999999</v>
      </c>
      <c r="H115" s="13">
        <v>834.48</v>
      </c>
      <c r="I115" s="13">
        <v>300.33</v>
      </c>
    </row>
    <row r="116" spans="1:9" ht="15" customHeight="1" x14ac:dyDescent="0.25">
      <c r="A116" s="12">
        <v>45474</v>
      </c>
      <c r="B116" s="13">
        <v>129.06</v>
      </c>
      <c r="C116" s="13">
        <v>238.1</v>
      </c>
      <c r="D116" s="13">
        <v>167.5</v>
      </c>
      <c r="E116" s="13">
        <v>227.25</v>
      </c>
      <c r="F116" s="13">
        <v>872</v>
      </c>
      <c r="G116" s="13">
        <v>181.25</v>
      </c>
      <c r="H116" s="13">
        <v>1063</v>
      </c>
      <c r="I116" s="13">
        <v>294.56</v>
      </c>
    </row>
    <row r="117" spans="1:9" ht="15" customHeight="1" x14ac:dyDescent="0.25">
      <c r="A117" s="12">
        <v>45505</v>
      </c>
      <c r="B117" s="13">
        <v>132.69999999999999</v>
      </c>
      <c r="C117" s="13">
        <v>235</v>
      </c>
      <c r="D117" s="13">
        <v>161</v>
      </c>
      <c r="E117" s="13">
        <v>214.4</v>
      </c>
      <c r="F117" s="13">
        <v>831</v>
      </c>
      <c r="G117" s="13">
        <v>180.99</v>
      </c>
      <c r="H117" s="13">
        <v>1010.11</v>
      </c>
      <c r="I117" s="13">
        <v>377</v>
      </c>
    </row>
    <row r="118" spans="1:9" ht="15" customHeight="1" x14ac:dyDescent="0.25">
      <c r="A118" s="12">
        <v>45536</v>
      </c>
      <c r="B118" s="13">
        <v>143.43</v>
      </c>
      <c r="C118" s="13">
        <v>228.15</v>
      </c>
      <c r="D118" s="13">
        <v>190.26</v>
      </c>
      <c r="E118" s="13">
        <v>240.4</v>
      </c>
      <c r="F118" s="13">
        <v>884.04</v>
      </c>
      <c r="G118" s="13">
        <v>222.45</v>
      </c>
      <c r="H118" s="13">
        <v>962.59</v>
      </c>
      <c r="I118" s="13">
        <v>425.54</v>
      </c>
    </row>
    <row r="119" spans="1:9" ht="15" customHeight="1" x14ac:dyDescent="0.25">
      <c r="A119" s="12">
        <v>45566</v>
      </c>
      <c r="B119" s="13">
        <v>172.13</v>
      </c>
      <c r="C119" s="13">
        <v>231.88</v>
      </c>
      <c r="D119" s="13">
        <v>193.89</v>
      </c>
      <c r="E119" s="13">
        <v>244.13</v>
      </c>
      <c r="F119" s="13">
        <v>883.2</v>
      </c>
      <c r="G119" s="13">
        <v>281.41000000000003</v>
      </c>
      <c r="H119" s="13">
        <v>1045.1400000000001</v>
      </c>
      <c r="I119" s="13">
        <v>406.47</v>
      </c>
    </row>
    <row r="120" spans="1:9" ht="15" customHeight="1" x14ac:dyDescent="0.25">
      <c r="A120" s="12">
        <v>45597</v>
      </c>
      <c r="B120" s="13">
        <v>195.25</v>
      </c>
      <c r="C120" s="13">
        <v>227.38</v>
      </c>
      <c r="D120" s="13">
        <v>200.21</v>
      </c>
      <c r="E120" s="13">
        <v>271.26</v>
      </c>
      <c r="F120" s="13">
        <v>1019.55</v>
      </c>
      <c r="G120" s="13">
        <v>324.89</v>
      </c>
      <c r="H120" s="13">
        <v>1004.49</v>
      </c>
      <c r="I120" s="13">
        <v>462.22</v>
      </c>
    </row>
    <row r="121" spans="1:9" ht="15" customHeight="1" x14ac:dyDescent="0.25">
      <c r="A121" s="12">
        <v>45627</v>
      </c>
      <c r="B121" s="13">
        <v>227.26</v>
      </c>
      <c r="C121" s="13">
        <v>241.97</v>
      </c>
      <c r="D121" s="13">
        <v>204.19</v>
      </c>
      <c r="E121" s="13">
        <v>281.3</v>
      </c>
      <c r="F121" s="13">
        <v>1100.49</v>
      </c>
      <c r="G121" s="13">
        <v>366.32</v>
      </c>
      <c r="H121" s="13">
        <v>1118.3800000000001</v>
      </c>
      <c r="I121" s="13">
        <v>719.61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2" customWidth="1"/>
    <col min="2" max="2" width="14" customWidth="1"/>
  </cols>
  <sheetData>
    <row r="1" spans="1:2" ht="15" customHeight="1" x14ac:dyDescent="0.25">
      <c r="A1" s="11" t="s">
        <v>51</v>
      </c>
      <c r="B1" s="11" t="s">
        <v>60</v>
      </c>
    </row>
    <row r="2" spans="1:2" ht="15" customHeight="1" x14ac:dyDescent="0.25">
      <c r="A2" s="12">
        <v>42005</v>
      </c>
      <c r="B2" s="13">
        <v>34443.870000000003</v>
      </c>
    </row>
    <row r="3" spans="1:2" ht="15" customHeight="1" x14ac:dyDescent="0.25">
      <c r="A3" s="12">
        <v>42036</v>
      </c>
      <c r="B3" s="13">
        <v>33632.19</v>
      </c>
    </row>
    <row r="4" spans="1:2" ht="15" customHeight="1" x14ac:dyDescent="0.25">
      <c r="A4" s="12">
        <v>42064</v>
      </c>
      <c r="B4" s="13">
        <v>30233.87</v>
      </c>
    </row>
    <row r="5" spans="1:2" ht="15" customHeight="1" x14ac:dyDescent="0.25">
      <c r="A5" s="12">
        <v>42095</v>
      </c>
      <c r="B5" s="13">
        <v>33729.96</v>
      </c>
    </row>
    <row r="6" spans="1:2" ht="15" customHeight="1" x14ac:dyDescent="0.25">
      <c r="A6" s="12">
        <v>42125</v>
      </c>
      <c r="B6" s="13">
        <v>33056.79</v>
      </c>
    </row>
    <row r="7" spans="1:2" ht="15" customHeight="1" x14ac:dyDescent="0.25">
      <c r="A7" s="12">
        <v>42156</v>
      </c>
      <c r="B7" s="13">
        <v>34398.86</v>
      </c>
    </row>
    <row r="8" spans="1:2" ht="15" customHeight="1" x14ac:dyDescent="0.25">
      <c r="A8" s="12">
        <v>42186</v>
      </c>
      <c r="B8" s="13">
        <v>35741.519999999997</v>
      </c>
    </row>
    <row r="9" spans="1:2" ht="15" customHeight="1" x14ac:dyDescent="0.25">
      <c r="A9" s="12">
        <v>42217</v>
      </c>
      <c r="B9" s="13">
        <v>34726.51</v>
      </c>
    </row>
    <row r="10" spans="1:2" ht="15" customHeight="1" x14ac:dyDescent="0.25">
      <c r="A10" s="12">
        <v>42248</v>
      </c>
      <c r="B10" s="13">
        <v>32287.41</v>
      </c>
    </row>
    <row r="11" spans="1:2" ht="15" customHeight="1" x14ac:dyDescent="0.25">
      <c r="A11" s="12">
        <v>42278</v>
      </c>
      <c r="B11" s="13">
        <v>34261.599999999999</v>
      </c>
    </row>
    <row r="12" spans="1:2" ht="15" customHeight="1" x14ac:dyDescent="0.25">
      <c r="A12" s="12">
        <v>42309</v>
      </c>
      <c r="B12" s="13">
        <v>32255.200000000001</v>
      </c>
    </row>
    <row r="13" spans="1:2" ht="15" customHeight="1" x14ac:dyDescent="0.25">
      <c r="A13" s="12">
        <v>42339</v>
      </c>
      <c r="B13" s="13">
        <v>32816.31</v>
      </c>
    </row>
    <row r="14" spans="1:2" ht="15" customHeight="1" x14ac:dyDescent="0.25">
      <c r="A14" s="12">
        <v>42370</v>
      </c>
      <c r="B14" s="13">
        <v>31298.6</v>
      </c>
    </row>
    <row r="15" spans="1:2" ht="15" customHeight="1" x14ac:dyDescent="0.25">
      <c r="A15" s="12">
        <v>42401</v>
      </c>
      <c r="B15" s="13">
        <v>31369.51</v>
      </c>
    </row>
    <row r="16" spans="1:2" ht="15" customHeight="1" x14ac:dyDescent="0.25">
      <c r="A16" s="12">
        <v>42430</v>
      </c>
      <c r="B16" s="13">
        <v>33139</v>
      </c>
    </row>
    <row r="17" spans="1:2" ht="15" customHeight="1" x14ac:dyDescent="0.25">
      <c r="A17" s="12">
        <v>42461</v>
      </c>
      <c r="B17" s="13">
        <v>34719.29</v>
      </c>
    </row>
    <row r="18" spans="1:2" ht="15" customHeight="1" x14ac:dyDescent="0.25">
      <c r="A18" s="12">
        <v>42491</v>
      </c>
      <c r="B18" s="13">
        <v>36061.56</v>
      </c>
    </row>
    <row r="19" spans="1:2" ht="15" customHeight="1" x14ac:dyDescent="0.25">
      <c r="A19" s="12">
        <v>42522</v>
      </c>
      <c r="B19" s="13">
        <v>37783.54</v>
      </c>
    </row>
    <row r="20" spans="1:2" ht="15" customHeight="1" x14ac:dyDescent="0.25">
      <c r="A20" s="12">
        <v>42552</v>
      </c>
      <c r="B20" s="13">
        <v>39505.279999999999</v>
      </c>
    </row>
    <row r="21" spans="1:2" ht="15" customHeight="1" x14ac:dyDescent="0.25">
      <c r="A21" s="12">
        <v>42583</v>
      </c>
      <c r="B21" s="13">
        <v>39809.58</v>
      </c>
    </row>
    <row r="22" spans="1:2" ht="15" customHeight="1" x14ac:dyDescent="0.25">
      <c r="A22" s="12">
        <v>42614</v>
      </c>
      <c r="B22" s="13">
        <v>40541.81</v>
      </c>
    </row>
    <row r="23" spans="1:2" ht="15" customHeight="1" x14ac:dyDescent="0.25">
      <c r="A23" s="12">
        <v>42644</v>
      </c>
      <c r="B23" s="13">
        <v>39893.839999999997</v>
      </c>
    </row>
    <row r="24" spans="1:2" ht="15" customHeight="1" x14ac:dyDescent="0.25">
      <c r="A24" s="12">
        <v>42675</v>
      </c>
      <c r="B24" s="13">
        <v>42622.37</v>
      </c>
    </row>
    <row r="25" spans="1:2" ht="15" customHeight="1" x14ac:dyDescent="0.25">
      <c r="A25" s="12">
        <v>42705</v>
      </c>
      <c r="B25" s="13">
        <v>47806.97</v>
      </c>
    </row>
    <row r="26" spans="1:2" ht="15" customHeight="1" x14ac:dyDescent="0.25">
      <c r="A26" s="12">
        <v>42736</v>
      </c>
      <c r="B26" s="13">
        <v>48757.67</v>
      </c>
    </row>
    <row r="27" spans="1:2" ht="15" customHeight="1" x14ac:dyDescent="0.25">
      <c r="A27" s="12">
        <v>42767</v>
      </c>
      <c r="B27" s="13">
        <v>48534.23</v>
      </c>
    </row>
    <row r="28" spans="1:2" ht="15" customHeight="1" x14ac:dyDescent="0.25">
      <c r="A28" s="12">
        <v>42795</v>
      </c>
      <c r="B28" s="13">
        <v>48155.93</v>
      </c>
    </row>
    <row r="29" spans="1:2" ht="15" customHeight="1" x14ac:dyDescent="0.25">
      <c r="A29" s="12">
        <v>42826</v>
      </c>
      <c r="B29" s="13">
        <v>49300.9</v>
      </c>
    </row>
    <row r="30" spans="1:2" ht="15" customHeight="1" x14ac:dyDescent="0.25">
      <c r="A30" s="12">
        <v>42856</v>
      </c>
      <c r="B30" s="13">
        <v>50591.57</v>
      </c>
    </row>
    <row r="31" spans="1:2" ht="15" customHeight="1" x14ac:dyDescent="0.25">
      <c r="A31" s="12">
        <v>42887</v>
      </c>
      <c r="B31" s="13">
        <v>46565.29</v>
      </c>
    </row>
    <row r="32" spans="1:2" ht="15" customHeight="1" x14ac:dyDescent="0.25">
      <c r="A32" s="12">
        <v>42917</v>
      </c>
      <c r="B32" s="13">
        <v>46010.45</v>
      </c>
    </row>
    <row r="33" spans="1:2" ht="15" customHeight="1" x14ac:dyDescent="0.25">
      <c r="A33" s="12">
        <v>42948</v>
      </c>
      <c r="B33" s="13">
        <v>41206.99</v>
      </c>
    </row>
    <row r="34" spans="1:2" ht="15" customHeight="1" x14ac:dyDescent="0.25">
      <c r="A34" s="12">
        <v>42979</v>
      </c>
      <c r="B34" s="13">
        <v>42409.27</v>
      </c>
    </row>
    <row r="35" spans="1:2" ht="15" customHeight="1" x14ac:dyDescent="0.25">
      <c r="A35" s="12">
        <v>43009</v>
      </c>
      <c r="B35" s="13">
        <v>39617.19</v>
      </c>
    </row>
    <row r="36" spans="1:2" ht="15" customHeight="1" x14ac:dyDescent="0.25">
      <c r="A36" s="12">
        <v>43040</v>
      </c>
      <c r="B36" s="13">
        <v>40010.36</v>
      </c>
    </row>
    <row r="37" spans="1:2" ht="15" customHeight="1" x14ac:dyDescent="0.25">
      <c r="A37" s="12">
        <v>43070</v>
      </c>
      <c r="B37" s="13">
        <v>40471.480000000003</v>
      </c>
    </row>
    <row r="38" spans="1:2" ht="15" customHeight="1" x14ac:dyDescent="0.25">
      <c r="A38" s="12">
        <v>43101</v>
      </c>
      <c r="B38" s="13">
        <v>44049.05</v>
      </c>
    </row>
    <row r="39" spans="1:2" ht="15" customHeight="1" x14ac:dyDescent="0.25">
      <c r="A39" s="12">
        <v>43132</v>
      </c>
      <c r="B39" s="13">
        <v>43239.44</v>
      </c>
    </row>
    <row r="40" spans="1:2" ht="15" customHeight="1" x14ac:dyDescent="0.25">
      <c r="A40" s="12">
        <v>43160</v>
      </c>
      <c r="B40" s="13">
        <v>45560.3</v>
      </c>
    </row>
    <row r="41" spans="1:2" ht="15" customHeight="1" x14ac:dyDescent="0.25">
      <c r="A41" s="12">
        <v>43191</v>
      </c>
      <c r="B41" s="13">
        <v>45488.86</v>
      </c>
    </row>
    <row r="42" spans="1:2" ht="15" customHeight="1" x14ac:dyDescent="0.25">
      <c r="A42" s="12">
        <v>43221</v>
      </c>
      <c r="B42" s="13">
        <v>42846.64</v>
      </c>
    </row>
    <row r="43" spans="1:2" ht="15" customHeight="1" x14ac:dyDescent="0.25">
      <c r="A43" s="12">
        <v>43252</v>
      </c>
      <c r="B43" s="13">
        <v>41910.9</v>
      </c>
    </row>
    <row r="44" spans="1:2" ht="15" customHeight="1" x14ac:dyDescent="0.25">
      <c r="A44" s="12">
        <v>43282</v>
      </c>
      <c r="B44" s="13">
        <v>42712.43</v>
      </c>
    </row>
    <row r="45" spans="1:2" ht="15" customHeight="1" x14ac:dyDescent="0.25">
      <c r="A45" s="12">
        <v>43313</v>
      </c>
      <c r="B45" s="13">
        <v>41742.239999999998</v>
      </c>
    </row>
    <row r="46" spans="1:2" ht="15" customHeight="1" x14ac:dyDescent="0.25">
      <c r="A46" s="12">
        <v>43344</v>
      </c>
      <c r="B46" s="13">
        <v>40998.589999999997</v>
      </c>
    </row>
    <row r="47" spans="1:2" ht="15" customHeight="1" x14ac:dyDescent="0.25">
      <c r="A47" s="12">
        <v>43374</v>
      </c>
      <c r="B47" s="13">
        <v>41649.360000000001</v>
      </c>
    </row>
    <row r="48" spans="1:2" ht="15" customHeight="1" x14ac:dyDescent="0.25">
      <c r="A48" s="12">
        <v>43405</v>
      </c>
      <c r="B48" s="13">
        <v>40496.03</v>
      </c>
    </row>
    <row r="49" spans="1:2" ht="15" customHeight="1" x14ac:dyDescent="0.25">
      <c r="A49" s="12">
        <v>43435</v>
      </c>
      <c r="B49" s="13">
        <v>37066.67</v>
      </c>
    </row>
    <row r="50" spans="1:2" ht="15" customHeight="1" x14ac:dyDescent="0.25">
      <c r="A50" s="12">
        <v>43466</v>
      </c>
      <c r="B50" s="13">
        <v>40799.519999999997</v>
      </c>
    </row>
    <row r="51" spans="1:2" ht="15" customHeight="1" x14ac:dyDescent="0.25">
      <c r="A51" s="12">
        <v>43497</v>
      </c>
      <c r="B51" s="13">
        <v>39054.6</v>
      </c>
    </row>
    <row r="52" spans="1:2" ht="15" customHeight="1" x14ac:dyDescent="0.25">
      <c r="A52" s="12">
        <v>43525</v>
      </c>
      <c r="B52" s="13">
        <v>38649.339999999997</v>
      </c>
    </row>
    <row r="53" spans="1:2" ht="15" customHeight="1" x14ac:dyDescent="0.25">
      <c r="A53" s="12">
        <v>43556</v>
      </c>
      <c r="B53" s="13">
        <v>36784.44</v>
      </c>
    </row>
    <row r="54" spans="1:2" ht="15" customHeight="1" x14ac:dyDescent="0.25">
      <c r="A54" s="12">
        <v>43586</v>
      </c>
      <c r="B54" s="13">
        <v>35974.79</v>
      </c>
    </row>
    <row r="55" spans="1:2" ht="15" customHeight="1" x14ac:dyDescent="0.25">
      <c r="A55" s="12">
        <v>43617</v>
      </c>
      <c r="B55" s="13">
        <v>33901.58</v>
      </c>
    </row>
    <row r="56" spans="1:2" ht="15" customHeight="1" x14ac:dyDescent="0.25">
      <c r="A56" s="12">
        <v>43647</v>
      </c>
      <c r="B56" s="13">
        <v>31938.48</v>
      </c>
    </row>
    <row r="57" spans="1:2" ht="15" customHeight="1" x14ac:dyDescent="0.25">
      <c r="A57" s="12">
        <v>43678</v>
      </c>
      <c r="B57" s="13">
        <v>29672.12</v>
      </c>
    </row>
    <row r="58" spans="1:2" ht="15" customHeight="1" x14ac:dyDescent="0.25">
      <c r="A58" s="12">
        <v>43709</v>
      </c>
      <c r="B58" s="13">
        <v>32078.85</v>
      </c>
    </row>
    <row r="59" spans="1:2" ht="15" customHeight="1" x14ac:dyDescent="0.25">
      <c r="A59" s="12">
        <v>43739</v>
      </c>
      <c r="B59" s="13">
        <v>34203.68</v>
      </c>
    </row>
    <row r="60" spans="1:2" ht="15" customHeight="1" x14ac:dyDescent="0.25">
      <c r="A60" s="12">
        <v>43770</v>
      </c>
      <c r="B60" s="13">
        <v>39287.65</v>
      </c>
    </row>
    <row r="61" spans="1:2" ht="15" customHeight="1" x14ac:dyDescent="0.25">
      <c r="A61" s="12">
        <v>43800</v>
      </c>
      <c r="B61" s="13">
        <v>40735.08</v>
      </c>
    </row>
    <row r="62" spans="1:2" ht="15" customHeight="1" x14ac:dyDescent="0.25">
      <c r="A62" s="12">
        <v>43831</v>
      </c>
      <c r="B62" s="13">
        <v>41630.94</v>
      </c>
    </row>
    <row r="63" spans="1:2" ht="15" customHeight="1" x14ac:dyDescent="0.25">
      <c r="A63" s="12">
        <v>43862</v>
      </c>
      <c r="B63" s="13">
        <v>37983.620000000003</v>
      </c>
    </row>
    <row r="64" spans="1:2" ht="15" customHeight="1" x14ac:dyDescent="0.25">
      <c r="A64" s="12">
        <v>43891</v>
      </c>
      <c r="B64" s="13">
        <v>29231.63</v>
      </c>
    </row>
    <row r="65" spans="1:2" ht="15" customHeight="1" x14ac:dyDescent="0.25">
      <c r="A65" s="12">
        <v>43922</v>
      </c>
      <c r="B65" s="13">
        <v>34111.64</v>
      </c>
    </row>
    <row r="66" spans="1:2" ht="15" customHeight="1" x14ac:dyDescent="0.25">
      <c r="A66" s="12">
        <v>43952</v>
      </c>
      <c r="B66" s="13">
        <v>33931.230000000003</v>
      </c>
    </row>
    <row r="67" spans="1:2" ht="15" customHeight="1" x14ac:dyDescent="0.25">
      <c r="A67" s="12">
        <v>43983</v>
      </c>
      <c r="B67" s="13">
        <v>34421.919999999998</v>
      </c>
    </row>
    <row r="68" spans="1:2" ht="15" customHeight="1" x14ac:dyDescent="0.25">
      <c r="A68" s="12">
        <v>44013</v>
      </c>
      <c r="B68" s="13">
        <v>39258.44</v>
      </c>
    </row>
    <row r="69" spans="1:2" ht="15" customHeight="1" x14ac:dyDescent="0.25">
      <c r="A69" s="12">
        <v>44044</v>
      </c>
      <c r="B69" s="13">
        <v>41110.93</v>
      </c>
    </row>
    <row r="70" spans="1:2" ht="15" customHeight="1" x14ac:dyDescent="0.25">
      <c r="A70" s="12">
        <v>44075</v>
      </c>
      <c r="B70" s="13">
        <v>40571.480000000003</v>
      </c>
    </row>
    <row r="71" spans="1:2" ht="15" customHeight="1" x14ac:dyDescent="0.25">
      <c r="A71" s="12">
        <v>44105</v>
      </c>
      <c r="B71" s="13">
        <v>39888</v>
      </c>
    </row>
    <row r="72" spans="1:2" ht="15" customHeight="1" x14ac:dyDescent="0.25">
      <c r="A72" s="12">
        <v>44136</v>
      </c>
      <c r="B72" s="13">
        <v>41068.82</v>
      </c>
    </row>
    <row r="73" spans="1:2" ht="15" customHeight="1" x14ac:dyDescent="0.25">
      <c r="A73" s="12">
        <v>44166</v>
      </c>
      <c r="B73" s="13">
        <v>43755.38</v>
      </c>
    </row>
    <row r="74" spans="1:2" ht="15" customHeight="1" x14ac:dyDescent="0.25">
      <c r="A74" s="12">
        <v>44197</v>
      </c>
      <c r="B74" s="13">
        <v>46385.54</v>
      </c>
    </row>
    <row r="75" spans="1:2" ht="15" customHeight="1" x14ac:dyDescent="0.25">
      <c r="A75" s="12">
        <v>44228</v>
      </c>
      <c r="B75" s="13">
        <v>45865.02</v>
      </c>
    </row>
    <row r="76" spans="1:2" ht="15" customHeight="1" x14ac:dyDescent="0.25">
      <c r="A76" s="12">
        <v>44256</v>
      </c>
      <c r="B76" s="13">
        <v>44587.85</v>
      </c>
    </row>
    <row r="77" spans="1:2" ht="15" customHeight="1" x14ac:dyDescent="0.25">
      <c r="A77" s="12">
        <v>44287</v>
      </c>
      <c r="B77" s="13">
        <v>44262.35</v>
      </c>
    </row>
    <row r="78" spans="1:2" ht="15" customHeight="1" x14ac:dyDescent="0.25">
      <c r="A78" s="12">
        <v>44317</v>
      </c>
      <c r="B78" s="13">
        <v>47896.34</v>
      </c>
    </row>
    <row r="79" spans="1:2" ht="15" customHeight="1" x14ac:dyDescent="0.25">
      <c r="A79" s="12">
        <v>44348</v>
      </c>
      <c r="B79" s="13">
        <v>47356.02</v>
      </c>
    </row>
    <row r="80" spans="1:2" ht="15" customHeight="1" x14ac:dyDescent="0.25">
      <c r="A80" s="12">
        <v>44378</v>
      </c>
      <c r="B80" s="13">
        <v>47055.29</v>
      </c>
    </row>
    <row r="81" spans="1:2" ht="15" customHeight="1" x14ac:dyDescent="0.25">
      <c r="A81" s="12">
        <v>44409</v>
      </c>
      <c r="B81" s="13">
        <v>47419.74</v>
      </c>
    </row>
    <row r="82" spans="1:2" ht="15" customHeight="1" x14ac:dyDescent="0.25">
      <c r="A82" s="12">
        <v>44440</v>
      </c>
      <c r="B82" s="13">
        <v>44899.6</v>
      </c>
    </row>
    <row r="83" spans="1:2" ht="15" customHeight="1" x14ac:dyDescent="0.25">
      <c r="A83" s="12">
        <v>44470</v>
      </c>
      <c r="B83" s="13">
        <v>46218.93</v>
      </c>
    </row>
    <row r="84" spans="1:2" ht="15" customHeight="1" x14ac:dyDescent="0.25">
      <c r="A84" s="12">
        <v>44501</v>
      </c>
      <c r="B84" s="13">
        <v>45072.38</v>
      </c>
    </row>
    <row r="85" spans="1:2" ht="15" customHeight="1" x14ac:dyDescent="0.25">
      <c r="A85" s="12">
        <v>44531</v>
      </c>
      <c r="B85" s="13">
        <v>44596.07</v>
      </c>
    </row>
    <row r="86" spans="1:2" ht="15" customHeight="1" x14ac:dyDescent="0.25">
      <c r="A86" s="12">
        <v>44562</v>
      </c>
      <c r="B86" s="13">
        <v>45374.68</v>
      </c>
    </row>
    <row r="87" spans="1:2" ht="15" customHeight="1" x14ac:dyDescent="0.25">
      <c r="A87" s="12">
        <v>44593</v>
      </c>
      <c r="B87" s="13">
        <v>44461.01</v>
      </c>
    </row>
    <row r="88" spans="1:2" ht="15" customHeight="1" x14ac:dyDescent="0.25">
      <c r="A88" s="12">
        <v>44621</v>
      </c>
      <c r="B88" s="13">
        <v>44928.83</v>
      </c>
    </row>
    <row r="89" spans="1:2" ht="15" customHeight="1" x14ac:dyDescent="0.25">
      <c r="A89" s="12">
        <v>44652</v>
      </c>
      <c r="B89" s="13">
        <v>45249.41</v>
      </c>
    </row>
    <row r="90" spans="1:2" ht="15" customHeight="1" x14ac:dyDescent="0.25">
      <c r="A90" s="12">
        <v>44682</v>
      </c>
      <c r="B90" s="13">
        <v>43078.14</v>
      </c>
    </row>
    <row r="91" spans="1:2" ht="15" customHeight="1" x14ac:dyDescent="0.25">
      <c r="A91" s="12">
        <v>44713</v>
      </c>
      <c r="B91" s="13">
        <v>41540.83</v>
      </c>
    </row>
    <row r="92" spans="1:2" ht="15" customHeight="1" x14ac:dyDescent="0.25">
      <c r="A92" s="12">
        <v>44743</v>
      </c>
      <c r="B92" s="13">
        <v>40150.36</v>
      </c>
    </row>
    <row r="93" spans="1:2" ht="15" customHeight="1" x14ac:dyDescent="0.25">
      <c r="A93" s="12">
        <v>44774</v>
      </c>
      <c r="B93" s="13">
        <v>42351.15</v>
      </c>
    </row>
    <row r="94" spans="1:2" ht="15" customHeight="1" x14ac:dyDescent="0.25">
      <c r="A94" s="12">
        <v>44805</v>
      </c>
      <c r="B94" s="13">
        <v>41128.67</v>
      </c>
    </row>
    <row r="95" spans="1:2" ht="15" customHeight="1" x14ac:dyDescent="0.25">
      <c r="A95" s="12">
        <v>44835</v>
      </c>
      <c r="B95" s="13">
        <v>41264.660000000003</v>
      </c>
    </row>
    <row r="96" spans="1:2" ht="15" customHeight="1" x14ac:dyDescent="0.25">
      <c r="A96" s="12">
        <v>44866</v>
      </c>
      <c r="B96" s="13">
        <v>42348.63</v>
      </c>
    </row>
    <row r="97" spans="1:2" ht="15" customHeight="1" x14ac:dyDescent="0.25">
      <c r="A97" s="12">
        <v>44896</v>
      </c>
      <c r="B97" s="13">
        <v>40420.449999999997</v>
      </c>
    </row>
    <row r="98" spans="1:2" ht="15" customHeight="1" x14ac:dyDescent="0.25">
      <c r="A98" s="12">
        <v>44927</v>
      </c>
      <c r="B98" s="13">
        <v>40673.06</v>
      </c>
    </row>
    <row r="99" spans="1:2" ht="15" customHeight="1" x14ac:dyDescent="0.25">
      <c r="A99" s="12">
        <v>44958</v>
      </c>
      <c r="B99" s="13">
        <v>40510.370000000003</v>
      </c>
    </row>
    <row r="100" spans="1:2" ht="15" customHeight="1" x14ac:dyDescent="0.25">
      <c r="A100" s="12">
        <v>44986</v>
      </c>
      <c r="B100" s="13">
        <v>40000.83</v>
      </c>
    </row>
    <row r="101" spans="1:2" ht="15" customHeight="1" x14ac:dyDescent="0.25">
      <c r="A101" s="12">
        <v>45017</v>
      </c>
      <c r="B101" s="13">
        <v>41580.85</v>
      </c>
    </row>
    <row r="102" spans="1:2" ht="15" customHeight="1" x14ac:dyDescent="0.25">
      <c r="A102" s="12">
        <v>45047</v>
      </c>
      <c r="B102" s="13">
        <v>41337.82</v>
      </c>
    </row>
    <row r="103" spans="1:2" ht="15" customHeight="1" x14ac:dyDescent="0.25">
      <c r="A103" s="12">
        <v>45078</v>
      </c>
      <c r="B103" s="13">
        <v>41452.68</v>
      </c>
    </row>
    <row r="104" spans="1:2" ht="15" customHeight="1" x14ac:dyDescent="0.25">
      <c r="A104" s="12">
        <v>45108</v>
      </c>
      <c r="B104" s="13">
        <v>48034.59</v>
      </c>
    </row>
    <row r="105" spans="1:2" ht="15" customHeight="1" x14ac:dyDescent="0.25">
      <c r="A105" s="12">
        <v>45139</v>
      </c>
      <c r="B105" s="13">
        <v>45002.41</v>
      </c>
    </row>
    <row r="106" spans="1:2" ht="15" customHeight="1" x14ac:dyDescent="0.25">
      <c r="A106" s="12">
        <v>45170</v>
      </c>
      <c r="B106" s="13">
        <v>46232.59</v>
      </c>
    </row>
    <row r="107" spans="1:2" ht="15" customHeight="1" x14ac:dyDescent="0.25">
      <c r="A107" s="12">
        <v>45200</v>
      </c>
      <c r="B107" s="13">
        <v>51976.31</v>
      </c>
    </row>
    <row r="108" spans="1:2" ht="15" customHeight="1" x14ac:dyDescent="0.25">
      <c r="A108" s="12">
        <v>45231</v>
      </c>
      <c r="B108" s="13">
        <v>60526.77</v>
      </c>
    </row>
    <row r="109" spans="1:2" ht="15" customHeight="1" x14ac:dyDescent="0.25">
      <c r="A109" s="12">
        <v>45261</v>
      </c>
      <c r="B109" s="13">
        <v>62451.040000000001</v>
      </c>
    </row>
    <row r="110" spans="1:2" ht="15" customHeight="1" x14ac:dyDescent="0.25">
      <c r="A110" s="12">
        <v>45292</v>
      </c>
      <c r="B110" s="13">
        <v>61979.18</v>
      </c>
    </row>
    <row r="111" spans="1:2" ht="15" customHeight="1" x14ac:dyDescent="0.25">
      <c r="A111" s="12">
        <v>45323</v>
      </c>
      <c r="B111" s="13">
        <v>64578.52</v>
      </c>
    </row>
    <row r="112" spans="1:2" ht="15" customHeight="1" x14ac:dyDescent="0.25">
      <c r="A112" s="12">
        <v>45352</v>
      </c>
      <c r="B112" s="13">
        <v>67005.11</v>
      </c>
    </row>
    <row r="113" spans="1:2" ht="15" customHeight="1" x14ac:dyDescent="0.25">
      <c r="A113" s="12">
        <v>45383</v>
      </c>
      <c r="B113" s="13">
        <v>71102.55</v>
      </c>
    </row>
    <row r="114" spans="1:2" ht="15" customHeight="1" x14ac:dyDescent="0.25">
      <c r="A114" s="12">
        <v>45413</v>
      </c>
      <c r="B114" s="13">
        <v>75878.48</v>
      </c>
    </row>
    <row r="115" spans="1:2" ht="15" customHeight="1" x14ac:dyDescent="0.25">
      <c r="A115" s="12">
        <v>45444</v>
      </c>
      <c r="B115" s="13">
        <v>78444.960000000006</v>
      </c>
    </row>
    <row r="116" spans="1:2" ht="15" customHeight="1" x14ac:dyDescent="0.25">
      <c r="A116" s="12">
        <v>45474</v>
      </c>
      <c r="B116" s="13">
        <v>77886.990000000005</v>
      </c>
    </row>
    <row r="117" spans="1:2" ht="15" customHeight="1" x14ac:dyDescent="0.25">
      <c r="A117" s="12">
        <v>45505</v>
      </c>
      <c r="B117" s="13">
        <v>78488.22</v>
      </c>
    </row>
    <row r="118" spans="1:2" ht="15" customHeight="1" x14ac:dyDescent="0.25">
      <c r="A118" s="12">
        <v>45536</v>
      </c>
      <c r="B118" s="13">
        <v>81114.2</v>
      </c>
    </row>
    <row r="119" spans="1:2" ht="15" customHeight="1" x14ac:dyDescent="0.25">
      <c r="A119" s="12">
        <v>45566</v>
      </c>
      <c r="B119" s="13">
        <v>88966.77</v>
      </c>
    </row>
    <row r="120" spans="1:2" ht="15" customHeight="1" x14ac:dyDescent="0.25">
      <c r="A120" s="12">
        <v>45597</v>
      </c>
      <c r="B120" s="13">
        <v>101357.32</v>
      </c>
    </row>
    <row r="121" spans="1:2" ht="15" customHeight="1" x14ac:dyDescent="0.25">
      <c r="A121" s="12">
        <v>45627</v>
      </c>
      <c r="B121" s="13">
        <v>115126.9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2" customWidth="1"/>
    <col min="2" max="2" width="26" customWidth="1"/>
    <col min="4" max="4" width="80" customWidth="1"/>
  </cols>
  <sheetData>
    <row r="1" spans="1:4" ht="15" customHeight="1" x14ac:dyDescent="0.25">
      <c r="A1" s="11" t="s">
        <v>51</v>
      </c>
      <c r="B1" s="11" t="s">
        <v>61</v>
      </c>
      <c r="D1" s="4" t="s">
        <v>62</v>
      </c>
    </row>
    <row r="2" spans="1:4" ht="15" customHeight="1" x14ac:dyDescent="0.25">
      <c r="A2" s="12">
        <v>42005</v>
      </c>
      <c r="B2" s="14">
        <v>8.9217000000000005E-2</v>
      </c>
    </row>
    <row r="3" spans="1:4" ht="15" customHeight="1" x14ac:dyDescent="0.25">
      <c r="A3" s="12">
        <v>42036</v>
      </c>
      <c r="B3" s="14">
        <v>8.3232E-2</v>
      </c>
    </row>
    <row r="4" spans="1:4" ht="15" customHeight="1" x14ac:dyDescent="0.25">
      <c r="A4" s="12">
        <v>42064</v>
      </c>
      <c r="B4" s="14">
        <v>8.1577999999999998E-2</v>
      </c>
    </row>
    <row r="5" spans="1:4" ht="15" customHeight="1" x14ac:dyDescent="0.25">
      <c r="A5" s="12">
        <v>42095</v>
      </c>
      <c r="B5" s="14">
        <v>7.3798000000000002E-2</v>
      </c>
    </row>
    <row r="6" spans="1:4" ht="15" customHeight="1" x14ac:dyDescent="0.25">
      <c r="A6" s="12">
        <v>42125</v>
      </c>
      <c r="B6" s="14">
        <v>6.6055000000000003E-2</v>
      </c>
    </row>
    <row r="7" spans="1:4" ht="15" customHeight="1" x14ac:dyDescent="0.25">
      <c r="A7" s="12">
        <v>42156</v>
      </c>
      <c r="B7" s="14">
        <v>6.8637000000000004E-2</v>
      </c>
    </row>
    <row r="8" spans="1:4" ht="15" customHeight="1" x14ac:dyDescent="0.25">
      <c r="A8" s="12">
        <v>42186</v>
      </c>
      <c r="B8" s="14">
        <v>6.9190000000000002E-2</v>
      </c>
    </row>
    <row r="9" spans="1:4" ht="15" customHeight="1" x14ac:dyDescent="0.25">
      <c r="A9" s="12">
        <v>42217</v>
      </c>
      <c r="B9" s="14">
        <v>6.9307999999999995E-2</v>
      </c>
    </row>
    <row r="10" spans="1:4" ht="15" customHeight="1" x14ac:dyDescent="0.25">
      <c r="A10" s="12">
        <v>42248</v>
      </c>
      <c r="B10" s="14">
        <v>6.4662999999999998E-2</v>
      </c>
    </row>
    <row r="11" spans="1:4" ht="15" customHeight="1" x14ac:dyDescent="0.25">
      <c r="A11" s="12">
        <v>42278</v>
      </c>
      <c r="B11" s="14">
        <v>6.3037999999999997E-2</v>
      </c>
    </row>
    <row r="12" spans="1:4" ht="15" customHeight="1" x14ac:dyDescent="0.25">
      <c r="A12" s="12">
        <v>42309</v>
      </c>
      <c r="B12" s="14">
        <v>6.3690999999999998E-2</v>
      </c>
    </row>
    <row r="13" spans="1:4" ht="15" customHeight="1" x14ac:dyDescent="0.25">
      <c r="A13" s="12">
        <v>42339</v>
      </c>
      <c r="B13" s="14">
        <v>6.3374E-2</v>
      </c>
    </row>
    <row r="14" spans="1:4" ht="15" customHeight="1" x14ac:dyDescent="0.25">
      <c r="A14" s="12">
        <v>42370</v>
      </c>
      <c r="B14" s="14">
        <v>6.1616999999999998E-2</v>
      </c>
    </row>
    <row r="15" spans="1:4" ht="15" customHeight="1" x14ac:dyDescent="0.25">
      <c r="A15" s="12">
        <v>42401</v>
      </c>
      <c r="B15" s="14">
        <v>6.2141000000000002E-2</v>
      </c>
    </row>
    <row r="16" spans="1:4" ht="15" customHeight="1" x14ac:dyDescent="0.25">
      <c r="A16" s="12">
        <v>42430</v>
      </c>
      <c r="B16" s="14">
        <v>6.1697000000000002E-2</v>
      </c>
    </row>
    <row r="17" spans="1:2" ht="15" customHeight="1" x14ac:dyDescent="0.25">
      <c r="A17" s="12">
        <v>42461</v>
      </c>
      <c r="B17" s="14">
        <v>6.1697000000000002E-2</v>
      </c>
    </row>
    <row r="18" spans="1:2" ht="15" customHeight="1" x14ac:dyDescent="0.25">
      <c r="A18" s="12">
        <v>42491</v>
      </c>
      <c r="B18" s="14">
        <v>5.9874999999999998E-2</v>
      </c>
    </row>
    <row r="19" spans="1:2" ht="15" customHeight="1" x14ac:dyDescent="0.25">
      <c r="A19" s="12">
        <v>42522</v>
      </c>
      <c r="B19" s="14">
        <v>5.8998000000000002E-2</v>
      </c>
    </row>
    <row r="20" spans="1:2" ht="15" customHeight="1" x14ac:dyDescent="0.25">
      <c r="A20" s="12">
        <v>42552</v>
      </c>
      <c r="B20" s="14">
        <v>5.7873000000000001E-2</v>
      </c>
    </row>
    <row r="21" spans="1:2" ht="15" customHeight="1" x14ac:dyDescent="0.25">
      <c r="A21" s="12">
        <v>42583</v>
      </c>
      <c r="B21" s="14">
        <v>5.8599999999999999E-2</v>
      </c>
    </row>
    <row r="22" spans="1:2" ht="15" customHeight="1" x14ac:dyDescent="0.25">
      <c r="A22" s="12">
        <v>42614</v>
      </c>
      <c r="B22" s="14">
        <v>5.8599999999999999E-2</v>
      </c>
    </row>
    <row r="23" spans="1:2" ht="15" customHeight="1" x14ac:dyDescent="0.25">
      <c r="A23" s="12">
        <v>42644</v>
      </c>
      <c r="B23" s="14">
        <v>5.8799999999999998E-2</v>
      </c>
    </row>
    <row r="24" spans="1:2" ht="15" customHeight="1" x14ac:dyDescent="0.25">
      <c r="A24" s="12">
        <v>42675</v>
      </c>
      <c r="B24" s="14">
        <v>5.9499999999999997E-2</v>
      </c>
    </row>
    <row r="25" spans="1:2" ht="15" customHeight="1" x14ac:dyDescent="0.25">
      <c r="A25" s="12">
        <v>42705</v>
      </c>
      <c r="B25" s="14">
        <v>5.9649000000000001E-2</v>
      </c>
    </row>
    <row r="26" spans="1:2" ht="15" customHeight="1" x14ac:dyDescent="0.25">
      <c r="A26" s="12">
        <v>42736</v>
      </c>
      <c r="B26" s="14">
        <v>5.8820999999999998E-2</v>
      </c>
    </row>
    <row r="27" spans="1:2" ht="15" customHeight="1" x14ac:dyDescent="0.25">
      <c r="A27" s="12">
        <v>42767</v>
      </c>
      <c r="B27" s="14">
        <v>5.9416999999999998E-2</v>
      </c>
    </row>
    <row r="28" spans="1:2" ht="15" customHeight="1" x14ac:dyDescent="0.25">
      <c r="A28" s="12">
        <v>42795</v>
      </c>
      <c r="B28" s="14">
        <v>5.9718E-2</v>
      </c>
    </row>
    <row r="29" spans="1:2" ht="15" customHeight="1" x14ac:dyDescent="0.25">
      <c r="A29" s="12">
        <v>42826</v>
      </c>
      <c r="B29" s="14">
        <v>5.9851000000000001E-2</v>
      </c>
    </row>
    <row r="30" spans="1:2" ht="15" customHeight="1" x14ac:dyDescent="0.25">
      <c r="A30" s="12">
        <v>42856</v>
      </c>
      <c r="B30" s="14">
        <v>5.9851000000000001E-2</v>
      </c>
    </row>
    <row r="31" spans="1:2" ht="15" customHeight="1" x14ac:dyDescent="0.25">
      <c r="A31" s="12">
        <v>42887</v>
      </c>
      <c r="B31" s="14">
        <v>5.9909999999999998E-2</v>
      </c>
    </row>
    <row r="32" spans="1:2" ht="15" customHeight="1" x14ac:dyDescent="0.25">
      <c r="A32" s="12">
        <v>42917</v>
      </c>
      <c r="B32" s="14">
        <v>5.9908999999999997E-2</v>
      </c>
    </row>
    <row r="33" spans="1:2" ht="15" customHeight="1" x14ac:dyDescent="0.25">
      <c r="A33" s="12">
        <v>42948</v>
      </c>
      <c r="B33" s="14">
        <v>5.9901999999999997E-2</v>
      </c>
    </row>
    <row r="34" spans="1:2" ht="15" customHeight="1" x14ac:dyDescent="0.25">
      <c r="A34" s="12">
        <v>42979</v>
      </c>
      <c r="B34" s="14">
        <v>5.9909999999999998E-2</v>
      </c>
    </row>
    <row r="35" spans="1:2" ht="15" customHeight="1" x14ac:dyDescent="0.25">
      <c r="A35" s="12">
        <v>43009</v>
      </c>
      <c r="B35" s="14">
        <v>5.9909999999999998E-2</v>
      </c>
    </row>
    <row r="36" spans="1:2" ht="15" customHeight="1" x14ac:dyDescent="0.25">
      <c r="A36" s="12">
        <v>43040</v>
      </c>
      <c r="B36" s="14">
        <v>5.9908999999999997E-2</v>
      </c>
    </row>
    <row r="37" spans="1:2" ht="15" customHeight="1" x14ac:dyDescent="0.25">
      <c r="A37" s="12">
        <v>43070</v>
      </c>
      <c r="B37" s="14">
        <v>5.9909999999999998E-2</v>
      </c>
    </row>
    <row r="38" spans="1:2" ht="15" customHeight="1" x14ac:dyDescent="0.25">
      <c r="A38" s="12">
        <v>43101</v>
      </c>
      <c r="B38" s="14">
        <v>6.2E-2</v>
      </c>
    </row>
    <row r="39" spans="1:2" ht="15" customHeight="1" x14ac:dyDescent="0.25">
      <c r="A39" s="12">
        <v>43132</v>
      </c>
      <c r="B39" s="14">
        <v>6.2322000000000002E-2</v>
      </c>
    </row>
    <row r="40" spans="1:2" ht="15" customHeight="1" x14ac:dyDescent="0.25">
      <c r="A40" s="12">
        <v>43160</v>
      </c>
      <c r="B40" s="14">
        <v>6.2590999999999994E-2</v>
      </c>
    </row>
    <row r="41" spans="1:2" ht="15" customHeight="1" x14ac:dyDescent="0.25">
      <c r="A41" s="12">
        <v>43191</v>
      </c>
      <c r="B41" s="14">
        <v>6.2369000000000001E-2</v>
      </c>
    </row>
    <row r="42" spans="1:2" ht="15" customHeight="1" x14ac:dyDescent="0.25">
      <c r="A42" s="12">
        <v>43221</v>
      </c>
      <c r="B42" s="14">
        <v>6.2585000000000002E-2</v>
      </c>
    </row>
    <row r="43" spans="1:2" ht="15" customHeight="1" x14ac:dyDescent="0.25">
      <c r="A43" s="12">
        <v>43252</v>
      </c>
      <c r="B43" s="14">
        <v>6.7595000000000002E-2</v>
      </c>
    </row>
    <row r="44" spans="1:2" ht="15" customHeight="1" x14ac:dyDescent="0.25">
      <c r="A44" s="12">
        <v>43282</v>
      </c>
      <c r="B44" s="14">
        <v>7.7213000000000004E-2</v>
      </c>
    </row>
    <row r="45" spans="1:2" ht="15" customHeight="1" x14ac:dyDescent="0.25">
      <c r="A45" s="12">
        <v>43313</v>
      </c>
      <c r="B45" s="14">
        <v>7.7499999999999999E-2</v>
      </c>
    </row>
    <row r="46" spans="1:2" ht="15" customHeight="1" x14ac:dyDescent="0.25">
      <c r="A46" s="12">
        <v>43344</v>
      </c>
      <c r="B46" s="14">
        <v>7.7499999999999999E-2</v>
      </c>
    </row>
    <row r="47" spans="1:2" ht="15" customHeight="1" x14ac:dyDescent="0.25">
      <c r="A47" s="12">
        <v>43374</v>
      </c>
      <c r="B47" s="14">
        <v>8.7918999999999997E-2</v>
      </c>
    </row>
    <row r="48" spans="1:2" ht="15" customHeight="1" x14ac:dyDescent="0.25">
      <c r="A48" s="12">
        <v>43405</v>
      </c>
      <c r="B48" s="14">
        <v>8.7981000000000004E-2</v>
      </c>
    </row>
    <row r="49" spans="1:2" ht="15" customHeight="1" x14ac:dyDescent="0.25">
      <c r="A49" s="12">
        <v>43435</v>
      </c>
      <c r="B49" s="14">
        <v>0.102966</v>
      </c>
    </row>
    <row r="50" spans="1:2" ht="15" customHeight="1" x14ac:dyDescent="0.25">
      <c r="A50" s="12">
        <v>43466</v>
      </c>
      <c r="B50" s="14">
        <v>0.10301</v>
      </c>
    </row>
    <row r="51" spans="1:2" ht="15" customHeight="1" x14ac:dyDescent="0.25">
      <c r="A51" s="12">
        <v>43497</v>
      </c>
      <c r="B51" s="14">
        <v>0.10549799999999999</v>
      </c>
    </row>
    <row r="52" spans="1:2" ht="15" customHeight="1" x14ac:dyDescent="0.25">
      <c r="A52" s="12">
        <v>43525</v>
      </c>
      <c r="B52" s="14">
        <v>0.10542799999999999</v>
      </c>
    </row>
    <row r="53" spans="1:2" ht="15" customHeight="1" x14ac:dyDescent="0.25">
      <c r="A53" s="12">
        <v>43556</v>
      </c>
      <c r="B53" s="14">
        <v>0.109503</v>
      </c>
    </row>
    <row r="54" spans="1:2" ht="15" customHeight="1" x14ac:dyDescent="0.25">
      <c r="A54" s="12">
        <v>43586</v>
      </c>
      <c r="B54" s="14">
        <v>0.125747</v>
      </c>
    </row>
    <row r="55" spans="1:2" ht="15" customHeight="1" x14ac:dyDescent="0.25">
      <c r="A55" s="12">
        <v>43617</v>
      </c>
      <c r="B55" s="14">
        <v>0.12738099999999999</v>
      </c>
    </row>
    <row r="56" spans="1:2" ht="15" customHeight="1" x14ac:dyDescent="0.25">
      <c r="A56" s="12">
        <v>43647</v>
      </c>
      <c r="B56" s="14">
        <v>0.137457</v>
      </c>
    </row>
    <row r="57" spans="1:2" ht="15" customHeight="1" x14ac:dyDescent="0.25">
      <c r="A57" s="12">
        <v>43678</v>
      </c>
      <c r="B57" s="14">
        <v>0.13749</v>
      </c>
    </row>
    <row r="58" spans="1:2" ht="15" customHeight="1" x14ac:dyDescent="0.25">
      <c r="A58" s="12">
        <v>43709</v>
      </c>
      <c r="B58" s="14">
        <v>0.137179</v>
      </c>
    </row>
    <row r="59" spans="1:2" ht="15" customHeight="1" x14ac:dyDescent="0.25">
      <c r="A59" s="12">
        <v>43739</v>
      </c>
      <c r="B59" s="14">
        <v>0.13250400000000001</v>
      </c>
    </row>
    <row r="60" spans="1:2" ht="15" customHeight="1" x14ac:dyDescent="0.25">
      <c r="A60" s="12">
        <v>43770</v>
      </c>
      <c r="B60" s="14">
        <v>0.13460800000000001</v>
      </c>
    </row>
    <row r="61" spans="1:2" ht="15" customHeight="1" x14ac:dyDescent="0.25">
      <c r="A61" s="12">
        <v>43800</v>
      </c>
      <c r="B61" s="14">
        <v>0.134462</v>
      </c>
    </row>
    <row r="62" spans="1:2" ht="15" customHeight="1" x14ac:dyDescent="0.25">
      <c r="A62" s="12">
        <v>43831</v>
      </c>
      <c r="B62" s="14">
        <v>0.133885</v>
      </c>
    </row>
    <row r="63" spans="1:2" ht="15" customHeight="1" x14ac:dyDescent="0.25">
      <c r="A63" s="12">
        <v>43862</v>
      </c>
      <c r="B63" s="14">
        <v>0.13381100000000001</v>
      </c>
    </row>
    <row r="64" spans="1:2" ht="15" customHeight="1" x14ac:dyDescent="0.25">
      <c r="A64" s="12">
        <v>43891</v>
      </c>
      <c r="B64" s="14">
        <v>0.112174</v>
      </c>
    </row>
    <row r="65" spans="1:2" ht="15" customHeight="1" x14ac:dyDescent="0.25">
      <c r="A65" s="12">
        <v>43922</v>
      </c>
      <c r="B65" s="14">
        <v>8.2140000000000005E-2</v>
      </c>
    </row>
    <row r="66" spans="1:2" ht="15" customHeight="1" x14ac:dyDescent="0.25">
      <c r="A66" s="12">
        <v>43952</v>
      </c>
      <c r="B66" s="14">
        <v>8.1207000000000001E-2</v>
      </c>
    </row>
    <row r="67" spans="1:2" ht="15" customHeight="1" x14ac:dyDescent="0.25">
      <c r="A67" s="12">
        <v>43983</v>
      </c>
      <c r="B67" s="14">
        <v>6.8487999999999993E-2</v>
      </c>
    </row>
    <row r="68" spans="1:2" ht="15" customHeight="1" x14ac:dyDescent="0.25">
      <c r="A68" s="12">
        <v>44013</v>
      </c>
      <c r="B68" s="14">
        <v>6.8734000000000003E-2</v>
      </c>
    </row>
    <row r="69" spans="1:2" ht="15" customHeight="1" x14ac:dyDescent="0.25">
      <c r="A69" s="12">
        <v>44044</v>
      </c>
      <c r="B69" s="14">
        <v>7.0916000000000007E-2</v>
      </c>
    </row>
    <row r="70" spans="1:2" ht="15" customHeight="1" x14ac:dyDescent="0.25">
      <c r="A70" s="12">
        <v>44075</v>
      </c>
      <c r="B70" s="14">
        <v>7.0983000000000004E-2</v>
      </c>
    </row>
    <row r="71" spans="1:2" ht="15" customHeight="1" x14ac:dyDescent="0.25">
      <c r="A71" s="12">
        <v>44105</v>
      </c>
      <c r="B71" s="14">
        <v>7.1580000000000005E-2</v>
      </c>
    </row>
    <row r="72" spans="1:2" ht="15" customHeight="1" x14ac:dyDescent="0.25">
      <c r="A72" s="12">
        <v>44136</v>
      </c>
      <c r="B72" s="14">
        <v>7.1401999999999993E-2</v>
      </c>
    </row>
    <row r="73" spans="1:2" ht="15" customHeight="1" x14ac:dyDescent="0.25">
      <c r="A73" s="12">
        <v>44166</v>
      </c>
      <c r="B73" s="14">
        <v>7.109E-2</v>
      </c>
    </row>
    <row r="74" spans="1:2" ht="15" customHeight="1" x14ac:dyDescent="0.25">
      <c r="A74" s="12">
        <v>44197</v>
      </c>
      <c r="B74" s="14">
        <v>7.1516999999999997E-2</v>
      </c>
    </row>
    <row r="75" spans="1:2" ht="15" customHeight="1" x14ac:dyDescent="0.25">
      <c r="A75" s="12">
        <v>44228</v>
      </c>
      <c r="B75" s="14">
        <v>7.1905999999999998E-2</v>
      </c>
    </row>
    <row r="76" spans="1:2" ht="15" customHeight="1" x14ac:dyDescent="0.25">
      <c r="A76" s="12">
        <v>44256</v>
      </c>
      <c r="B76" s="14">
        <v>7.4298000000000003E-2</v>
      </c>
    </row>
    <row r="77" spans="1:2" ht="15" customHeight="1" x14ac:dyDescent="0.25">
      <c r="A77" s="12">
        <v>44287</v>
      </c>
      <c r="B77" s="14">
        <v>7.3762999999999995E-2</v>
      </c>
    </row>
    <row r="78" spans="1:2" ht="15" customHeight="1" x14ac:dyDescent="0.25">
      <c r="A78" s="12">
        <v>44317</v>
      </c>
      <c r="B78" s="14">
        <v>7.3419999999999999E-2</v>
      </c>
    </row>
    <row r="79" spans="1:2" ht="15" customHeight="1" x14ac:dyDescent="0.25">
      <c r="A79" s="12">
        <v>44348</v>
      </c>
      <c r="B79" s="14">
        <v>7.2953000000000004E-2</v>
      </c>
    </row>
    <row r="80" spans="1:2" ht="15" customHeight="1" x14ac:dyDescent="0.25">
      <c r="A80" s="12">
        <v>44378</v>
      </c>
      <c r="B80" s="14">
        <v>7.2325E-2</v>
      </c>
    </row>
    <row r="81" spans="1:2" ht="15" customHeight="1" x14ac:dyDescent="0.25">
      <c r="A81" s="12">
        <v>44409</v>
      </c>
      <c r="B81" s="14">
        <v>7.2292999999999996E-2</v>
      </c>
    </row>
    <row r="82" spans="1:2" ht="15" customHeight="1" x14ac:dyDescent="0.25">
      <c r="A82" s="12">
        <v>44440</v>
      </c>
      <c r="B82" s="14">
        <v>7.5711000000000001E-2</v>
      </c>
    </row>
    <row r="83" spans="1:2" ht="15" customHeight="1" x14ac:dyDescent="0.25">
      <c r="A83" s="12">
        <v>44470</v>
      </c>
      <c r="B83" s="14">
        <v>8.1748000000000001E-2</v>
      </c>
    </row>
    <row r="84" spans="1:2" ht="15" customHeight="1" x14ac:dyDescent="0.25">
      <c r="A84" s="12">
        <v>44501</v>
      </c>
      <c r="B84" s="14">
        <v>8.5002999999999995E-2</v>
      </c>
    </row>
    <row r="85" spans="1:2" ht="15" customHeight="1" x14ac:dyDescent="0.25">
      <c r="A85" s="12">
        <v>44531</v>
      </c>
      <c r="B85" s="14">
        <v>0.10387299999999999</v>
      </c>
    </row>
    <row r="86" spans="1:2" ht="15" customHeight="1" x14ac:dyDescent="0.25">
      <c r="A86" s="12">
        <v>44562</v>
      </c>
      <c r="B86" s="14">
        <v>0.10203</v>
      </c>
    </row>
    <row r="87" spans="1:2" ht="15" customHeight="1" x14ac:dyDescent="0.25">
      <c r="A87" s="12">
        <v>44593</v>
      </c>
      <c r="B87" s="14">
        <v>0.103836</v>
      </c>
    </row>
    <row r="88" spans="1:2" ht="15" customHeight="1" x14ac:dyDescent="0.25">
      <c r="A88" s="12">
        <v>44621</v>
      </c>
      <c r="B88" s="14">
        <v>0.117506</v>
      </c>
    </row>
    <row r="89" spans="1:2" ht="15" customHeight="1" x14ac:dyDescent="0.25">
      <c r="A89" s="12">
        <v>44652</v>
      </c>
      <c r="B89" s="14">
        <v>0.14193600000000001</v>
      </c>
    </row>
    <row r="90" spans="1:2" ht="15" customHeight="1" x14ac:dyDescent="0.25">
      <c r="A90" s="12">
        <v>44682</v>
      </c>
      <c r="B90" s="14">
        <v>0.14422499999999999</v>
      </c>
    </row>
    <row r="91" spans="1:2" ht="15" customHeight="1" x14ac:dyDescent="0.25">
      <c r="A91" s="12">
        <v>44713</v>
      </c>
      <c r="B91" s="14">
        <v>0.15079999999999999</v>
      </c>
    </row>
    <row r="92" spans="1:2" ht="15" customHeight="1" x14ac:dyDescent="0.25">
      <c r="A92" s="12">
        <v>44743</v>
      </c>
      <c r="B92" s="14">
        <v>0.15629999999999999</v>
      </c>
    </row>
    <row r="93" spans="1:2" ht="15" customHeight="1" x14ac:dyDescent="0.25">
      <c r="A93" s="12">
        <v>44774</v>
      </c>
      <c r="B93" s="14">
        <v>0.1573</v>
      </c>
    </row>
    <row r="94" spans="1:2" ht="15" customHeight="1" x14ac:dyDescent="0.25">
      <c r="A94" s="12">
        <v>44805</v>
      </c>
      <c r="B94" s="14">
        <v>0.15970000000000001</v>
      </c>
    </row>
    <row r="95" spans="1:2" ht="15" customHeight="1" x14ac:dyDescent="0.25">
      <c r="A95" s="12">
        <v>44835</v>
      </c>
      <c r="B95" s="14">
        <v>0.15670000000000001</v>
      </c>
    </row>
    <row r="96" spans="1:2" ht="15" customHeight="1" x14ac:dyDescent="0.25">
      <c r="A96" s="12">
        <v>44866</v>
      </c>
      <c r="B96" s="14">
        <v>0.16880000000000001</v>
      </c>
    </row>
    <row r="97" spans="1:2" ht="15" customHeight="1" x14ac:dyDescent="0.25">
      <c r="A97" s="12">
        <v>44896</v>
      </c>
      <c r="B97" s="14">
        <v>0.1696</v>
      </c>
    </row>
    <row r="98" spans="1:2" ht="15" customHeight="1" x14ac:dyDescent="0.25">
      <c r="A98" s="12">
        <v>44927</v>
      </c>
      <c r="B98" s="14">
        <v>0.1782</v>
      </c>
    </row>
    <row r="99" spans="1:2" ht="15" customHeight="1" x14ac:dyDescent="0.25">
      <c r="A99" s="12">
        <v>44958</v>
      </c>
      <c r="B99" s="14">
        <v>0.19270000000000001</v>
      </c>
    </row>
    <row r="100" spans="1:2" ht="15" customHeight="1" x14ac:dyDescent="0.25">
      <c r="A100" s="12">
        <v>44986</v>
      </c>
      <c r="B100" s="14">
        <v>0.21060000000000001</v>
      </c>
    </row>
    <row r="101" spans="1:2" ht="15" customHeight="1" x14ac:dyDescent="0.25">
      <c r="A101" s="12">
        <v>45017</v>
      </c>
      <c r="B101" s="14">
        <v>0.2198</v>
      </c>
    </row>
    <row r="102" spans="1:2" ht="15" customHeight="1" x14ac:dyDescent="0.25">
      <c r="A102" s="12">
        <v>45047</v>
      </c>
      <c r="B102" s="14">
        <v>0.2198</v>
      </c>
    </row>
    <row r="103" spans="1:2" ht="15" customHeight="1" x14ac:dyDescent="0.25">
      <c r="A103" s="12">
        <v>45078</v>
      </c>
      <c r="B103" s="14">
        <v>0.21990000000000001</v>
      </c>
    </row>
    <row r="104" spans="1:2" ht="15" customHeight="1" x14ac:dyDescent="0.25">
      <c r="A104" s="12">
        <v>45108</v>
      </c>
      <c r="B104" s="14">
        <v>0.22897400000000001</v>
      </c>
    </row>
    <row r="105" spans="1:2" ht="15" customHeight="1" x14ac:dyDescent="0.25">
      <c r="A105" s="12">
        <v>45139</v>
      </c>
      <c r="B105" s="14">
        <v>0.22869999999999999</v>
      </c>
    </row>
    <row r="106" spans="1:2" ht="15" customHeight="1" x14ac:dyDescent="0.25">
      <c r="A106" s="12">
        <v>45170</v>
      </c>
      <c r="B106" s="14">
        <v>0.22756399999999999</v>
      </c>
    </row>
    <row r="107" spans="1:2" ht="15" customHeight="1" x14ac:dyDescent="0.25">
      <c r="A107" s="12">
        <v>45200</v>
      </c>
      <c r="B107" s="14">
        <v>0.22140000000000001</v>
      </c>
    </row>
    <row r="108" spans="1:2" ht="15" customHeight="1" x14ac:dyDescent="0.25">
      <c r="A108" s="12">
        <v>45231</v>
      </c>
      <c r="B108" s="14">
        <v>0.21340000000000001</v>
      </c>
    </row>
    <row r="109" spans="1:2" ht="15" customHeight="1" x14ac:dyDescent="0.25">
      <c r="A109" s="12">
        <v>45261</v>
      </c>
      <c r="B109" s="14">
        <v>0.2132</v>
      </c>
    </row>
    <row r="110" spans="1:2" ht="15" customHeight="1" x14ac:dyDescent="0.25">
      <c r="A110" s="12">
        <v>45292</v>
      </c>
      <c r="B110" s="14">
        <v>0.209672</v>
      </c>
    </row>
    <row r="111" spans="1:2" ht="15" customHeight="1" x14ac:dyDescent="0.25">
      <c r="A111" s="12">
        <v>45323</v>
      </c>
      <c r="B111" s="14">
        <v>0.21310000000000001</v>
      </c>
    </row>
    <row r="112" spans="1:2" ht="15" customHeight="1" x14ac:dyDescent="0.25">
      <c r="A112" s="12">
        <v>45352</v>
      </c>
      <c r="B112" s="14">
        <v>0.21429999999999999</v>
      </c>
    </row>
    <row r="113" spans="1:2" ht="15" customHeight="1" x14ac:dyDescent="0.25">
      <c r="A113" s="12">
        <v>45383</v>
      </c>
      <c r="B113" s="14">
        <v>0.21590000000000001</v>
      </c>
    </row>
    <row r="114" spans="1:2" ht="15" customHeight="1" x14ac:dyDescent="0.25">
      <c r="A114" s="12">
        <v>45413</v>
      </c>
      <c r="B114" s="14">
        <v>0.2094</v>
      </c>
    </row>
    <row r="115" spans="1:2" ht="15" customHeight="1" x14ac:dyDescent="0.25">
      <c r="A115" s="12">
        <v>45444</v>
      </c>
      <c r="B115" s="14">
        <v>0.20014499999999999</v>
      </c>
    </row>
    <row r="116" spans="1:2" ht="15" customHeight="1" x14ac:dyDescent="0.25">
      <c r="A116" s="12">
        <v>45474</v>
      </c>
      <c r="B116" s="14">
        <v>0.19489999999999999</v>
      </c>
    </row>
    <row r="117" spans="1:2" ht="15" customHeight="1" x14ac:dyDescent="0.25">
      <c r="A117" s="12">
        <v>45505</v>
      </c>
      <c r="B117" s="14">
        <v>0.17469999999999999</v>
      </c>
    </row>
    <row r="118" spans="1:2" ht="15" customHeight="1" x14ac:dyDescent="0.25">
      <c r="A118" s="12">
        <v>45536</v>
      </c>
      <c r="B118" s="14">
        <v>0.1741</v>
      </c>
    </row>
    <row r="119" spans="1:2" ht="15" customHeight="1" x14ac:dyDescent="0.25">
      <c r="A119" s="12">
        <v>45566</v>
      </c>
      <c r="B119" s="14">
        <v>0.13869999999999999</v>
      </c>
    </row>
    <row r="120" spans="1:2" ht="15" customHeight="1" x14ac:dyDescent="0.25">
      <c r="A120" s="12">
        <v>45597</v>
      </c>
      <c r="B120" s="14">
        <v>0.13869999999999999</v>
      </c>
    </row>
    <row r="121" spans="1:2" ht="15" customHeight="1" x14ac:dyDescent="0.25">
      <c r="A121" s="12">
        <v>45627</v>
      </c>
      <c r="B121" s="14">
        <v>0.11849999999999999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2" customWidth="1"/>
    <col min="2" max="10" width="11" customWidth="1"/>
  </cols>
  <sheetData>
    <row r="1" spans="1:12" ht="15" customHeight="1" x14ac:dyDescent="0.25">
      <c r="A1" s="11" t="s">
        <v>51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  <c r="J1" s="11" t="s">
        <v>60</v>
      </c>
      <c r="L1" s="4" t="s">
        <v>63</v>
      </c>
    </row>
    <row r="2" spans="1:12" ht="15" customHeight="1" x14ac:dyDescent="0.25">
      <c r="A2" s="12">
        <f>Raw_Prices!A2</f>
        <v>42005</v>
      </c>
      <c r="B2" s="15"/>
      <c r="C2" s="15"/>
      <c r="D2" s="15"/>
      <c r="E2" s="15"/>
      <c r="F2" s="15"/>
      <c r="G2" s="15"/>
      <c r="H2" s="15"/>
      <c r="I2" s="15"/>
      <c r="J2" s="15"/>
    </row>
    <row r="3" spans="1:12" ht="15" customHeight="1" x14ac:dyDescent="0.25">
      <c r="A3" s="12">
        <f>Raw_Prices!A3</f>
        <v>42036</v>
      </c>
      <c r="B3" s="15">
        <f>Raw_Prices!B3/Raw_Prices!B2-1</f>
        <v>1.3776067645243639E-3</v>
      </c>
      <c r="C3" s="15">
        <f>Raw_Prices!C3/Raw_Prices!C2-1</f>
        <v>-2.2000687521485096E-2</v>
      </c>
      <c r="D3" s="15">
        <f>Raw_Prices!D3/Raw_Prices!D2-1</f>
        <v>3.2752368698092393E-3</v>
      </c>
      <c r="E3" s="15">
        <f>Raw_Prices!E3/Raw_Prices!E2-1</f>
        <v>-7.5442809966976832E-2</v>
      </c>
      <c r="F3" s="15">
        <f>Raw_Prices!F3/Raw_Prices!F2-1</f>
        <v>-3.6475794555451246E-2</v>
      </c>
      <c r="G3" s="15">
        <f>Raw_Prices!G3/Raw_Prices!G2-1</f>
        <v>6.9651365045753755E-2</v>
      </c>
      <c r="H3" s="15">
        <f>Raw_Prices!H3/Raw_Prices!H2-1</f>
        <v>0.27871621621621623</v>
      </c>
      <c r="I3" s="15">
        <f>Raw_Prices!I3/Raw_Prices!I2-1</f>
        <v>-0.11775329600866891</v>
      </c>
      <c r="J3" s="15">
        <f>KSE100_Benchmark!B3/KSE100_Benchmark!B2-1</f>
        <v>-2.3565296234133948E-2</v>
      </c>
    </row>
    <row r="4" spans="1:12" ht="15" customHeight="1" x14ac:dyDescent="0.25">
      <c r="A4" s="12">
        <f>Raw_Prices!A4</f>
        <v>42064</v>
      </c>
      <c r="B4" s="15">
        <f>Raw_Prices!B4/Raw_Prices!B3-1</f>
        <v>-0.13899430740037955</v>
      </c>
      <c r="C4" s="15">
        <f>Raw_Prices!C4/Raw_Prices!C3-1</f>
        <v>-9.8418277680140664E-2</v>
      </c>
      <c r="D4" s="15">
        <f>Raw_Prices!D4/Raw_Prices!D3-1</f>
        <v>-0.1006179316777428</v>
      </c>
      <c r="E4" s="15">
        <f>Raw_Prices!E4/Raw_Prices!E3-1</f>
        <v>-0.19959736337955003</v>
      </c>
      <c r="F4" s="15">
        <f>Raw_Prices!F4/Raw_Prices!F3-1</f>
        <v>-0.11315240083507305</v>
      </c>
      <c r="G4" s="15">
        <f>Raw_Prices!G4/Raw_Prices!G3-1</f>
        <v>-5.7904411764705843E-2</v>
      </c>
      <c r="H4" s="15">
        <f>Raw_Prices!H4/Raw_Prices!H3-1</f>
        <v>-0.11822985468956415</v>
      </c>
      <c r="I4" s="15">
        <f>Raw_Prices!I4/Raw_Prices!I3-1</f>
        <v>-3.0296827021494499E-2</v>
      </c>
      <c r="J4" s="15">
        <f>KSE100_Benchmark!B4/KSE100_Benchmark!B3-1</f>
        <v>-0.10104367274328563</v>
      </c>
    </row>
    <row r="5" spans="1:12" ht="15" customHeight="1" x14ac:dyDescent="0.25">
      <c r="A5" s="12">
        <f>Raw_Prices!A5</f>
        <v>42095</v>
      </c>
      <c r="B5" s="15">
        <f>Raw_Prices!B5/Raw_Prices!B4-1</f>
        <v>4.1322314049587749E-3</v>
      </c>
      <c r="C5" s="15">
        <f>Raw_Prices!C5/Raw_Prices!C4-1</f>
        <v>-1.9493177387913674E-3</v>
      </c>
      <c r="D5" s="15">
        <f>Raw_Prices!D5/Raw_Prices!D4-1</f>
        <v>0.12263417163598644</v>
      </c>
      <c r="E5" s="15">
        <f>Raw_Prices!E5/Raw_Prices!E4-1</f>
        <v>0.12008113590263703</v>
      </c>
      <c r="F5" s="15">
        <f>Raw_Prices!F5/Raw_Prices!F4-1</f>
        <v>9.4072280512958351E-2</v>
      </c>
      <c r="G5" s="15">
        <f>Raw_Prices!G5/Raw_Prices!G4-1</f>
        <v>6.9418386491557182E-2</v>
      </c>
      <c r="H5" s="15">
        <f>Raw_Prices!H5/Raw_Prices!H4-1</f>
        <v>3.2958801498127244E-2</v>
      </c>
      <c r="I5" s="15">
        <f>Raw_Prices!I5/Raw_Prices!I4-1</f>
        <v>5.8475828583491651E-2</v>
      </c>
      <c r="J5" s="15">
        <f>KSE100_Benchmark!B5/KSE100_Benchmark!B4-1</f>
        <v>0.1156348823356057</v>
      </c>
    </row>
    <row r="6" spans="1:12" ht="15" customHeight="1" x14ac:dyDescent="0.25">
      <c r="A6" s="12">
        <f>Raw_Prices!A6</f>
        <v>42125</v>
      </c>
      <c r="B6" s="15">
        <f>Raw_Prices!B6/Raw_Prices!B5-1</f>
        <v>1.2345679012345734E-2</v>
      </c>
      <c r="C6" s="15">
        <f>Raw_Prices!C6/Raw_Prices!C5-1</f>
        <v>-4.8046875000000044E-2</v>
      </c>
      <c r="D6" s="15">
        <f>Raw_Prices!D6/Raw_Prices!D5-1</f>
        <v>-2.829099307159344E-2</v>
      </c>
      <c r="E6" s="15">
        <f>Raw_Prices!E6/Raw_Prices!E5-1</f>
        <v>-2.6693227091633465E-2</v>
      </c>
      <c r="F6" s="15">
        <f>Raw_Prices!F6/Raw_Prices!F5-1</f>
        <v>-8.0635245901639396E-2</v>
      </c>
      <c r="G6" s="15">
        <f>Raw_Prices!G6/Raw_Prices!G5-1</f>
        <v>-1.4736842105263159E-2</v>
      </c>
      <c r="H6" s="15">
        <f>Raw_Prices!H6/Raw_Prices!H5-1</f>
        <v>-7.5416968817983987E-2</v>
      </c>
      <c r="I6" s="15">
        <f>Raw_Prices!I6/Raw_Prices!I5-1</f>
        <v>-0.1424012764260072</v>
      </c>
      <c r="J6" s="15">
        <f>KSE100_Benchmark!B6/KSE100_Benchmark!B5-1</f>
        <v>-1.9957628173884578E-2</v>
      </c>
    </row>
    <row r="7" spans="1:12" ht="15" customHeight="1" x14ac:dyDescent="0.25">
      <c r="A7" s="12">
        <f>Raw_Prices!A7</f>
        <v>42156</v>
      </c>
      <c r="B7" s="15">
        <f>Raw_Prices!B7/Raw_Prices!B6-1</f>
        <v>-2.8455284552845517E-2</v>
      </c>
      <c r="C7" s="15">
        <f>Raw_Prices!C7/Raw_Prices!C6-1</f>
        <v>-2.1337710299548562E-2</v>
      </c>
      <c r="D7" s="15">
        <f>Raw_Prices!D7/Raw_Prices!D6-1</f>
        <v>5.1693404634580942E-2</v>
      </c>
      <c r="E7" s="15">
        <f>Raw_Prices!E7/Raw_Prices!E6-1</f>
        <v>-7.4349719048859564E-2</v>
      </c>
      <c r="F7" s="15">
        <f>Raw_Prices!F7/Raw_Prices!F6-1</f>
        <v>0.15424049927560479</v>
      </c>
      <c r="G7" s="15">
        <f>Raw_Prices!G7/Raw_Prices!G6-1</f>
        <v>6.8376068376068355E-2</v>
      </c>
      <c r="H7" s="15">
        <f>Raw_Prices!H7/Raw_Prices!H6-1</f>
        <v>1.5686274509803866E-2</v>
      </c>
      <c r="I7" s="15">
        <f>Raw_Prices!I7/Raw_Prices!I6-1</f>
        <v>3.7209302325580396E-3</v>
      </c>
      <c r="J7" s="15">
        <f>KSE100_Benchmark!B7/KSE100_Benchmark!B6-1</f>
        <v>4.0598920826855789E-2</v>
      </c>
    </row>
    <row r="8" spans="1:12" ht="15" customHeight="1" x14ac:dyDescent="0.25">
      <c r="A8" s="12">
        <f>Raw_Prices!A8</f>
        <v>42186</v>
      </c>
      <c r="B8" s="15">
        <f>Raw_Prices!B8/Raw_Prices!B7-1</f>
        <v>-9.0655509065550866E-2</v>
      </c>
      <c r="C8" s="15">
        <f>Raw_Prices!C8/Raw_Prices!C7-1</f>
        <v>0.12914046121593281</v>
      </c>
      <c r="D8" s="15">
        <f>Raw_Prices!D8/Raw_Prices!D7-1</f>
        <v>4.8587570621468901E-2</v>
      </c>
      <c r="E8" s="15">
        <f>Raw_Prices!E8/Raw_Prices!E7-1</f>
        <v>0.12562814070351758</v>
      </c>
      <c r="F8" s="15">
        <f>Raw_Prices!F8/Raw_Prices!F7-1</f>
        <v>7.2704451095877198E-2</v>
      </c>
      <c r="G8" s="15">
        <f>Raw_Prices!G8/Raw_Prices!G7-1</f>
        <v>-2.0733333333333381E-2</v>
      </c>
      <c r="H8" s="15">
        <f>Raw_Prices!H8/Raw_Prices!H7-1</f>
        <v>4.7104247104247099E-2</v>
      </c>
      <c r="I8" s="15">
        <f>Raw_Prices!I8/Raw_Prices!I7-1</f>
        <v>-4.8887859128822986E-2</v>
      </c>
      <c r="J8" s="15">
        <f>KSE100_Benchmark!B8/KSE100_Benchmark!B7-1</f>
        <v>3.903210745937491E-2</v>
      </c>
    </row>
    <row r="9" spans="1:12" ht="15" customHeight="1" x14ac:dyDescent="0.25">
      <c r="A9" s="12">
        <f>Raw_Prices!A9</f>
        <v>42217</v>
      </c>
      <c r="B9" s="15">
        <f>Raw_Prices!B9/Raw_Prices!B8-1</f>
        <v>-0.12662576687116556</v>
      </c>
      <c r="C9" s="15">
        <f>Raw_Prices!C9/Raw_Prices!C8-1</f>
        <v>7.1295952469365043E-2</v>
      </c>
      <c r="D9" s="15">
        <f>Raw_Prices!D9/Raw_Prices!D8-1</f>
        <v>2.5754310344827669E-2</v>
      </c>
      <c r="E9" s="15">
        <f>Raw_Prices!E9/Raw_Prices!E8-1</f>
        <v>-9.6428571428571419E-2</v>
      </c>
      <c r="F9" s="15">
        <f>Raw_Prices!F9/Raw_Prices!F8-1</f>
        <v>-4.9504950495049549E-2</v>
      </c>
      <c r="G9" s="15">
        <f>Raw_Prices!G9/Raw_Prices!G8-1</f>
        <v>-6.3857308189801842E-2</v>
      </c>
      <c r="H9" s="15">
        <f>Raw_Prices!H9/Raw_Prices!H8-1</f>
        <v>-3.2448377581121068E-2</v>
      </c>
      <c r="I9" s="15">
        <f>Raw_Prices!I9/Raw_Prices!I8-1</f>
        <v>-8.940316686967098E-2</v>
      </c>
      <c r="J9" s="15">
        <f>KSE100_Benchmark!B9/KSE100_Benchmark!B8-1</f>
        <v>-2.8398624345019274E-2</v>
      </c>
    </row>
    <row r="10" spans="1:12" ht="15" customHeight="1" x14ac:dyDescent="0.25">
      <c r="A10" s="12">
        <f>Raw_Prices!A10</f>
        <v>42248</v>
      </c>
      <c r="B10" s="15">
        <f>Raw_Prices!B10/Raw_Prices!B9-1</f>
        <v>-0.1219443663950549</v>
      </c>
      <c r="C10" s="15">
        <f>Raw_Prices!C10/Raw_Prices!C9-1</f>
        <v>8.3188908145579443E-3</v>
      </c>
      <c r="D10" s="15">
        <f>Raw_Prices!D10/Raw_Prices!D9-1</f>
        <v>-5.9880239520958112E-2</v>
      </c>
      <c r="E10" s="15">
        <f>Raw_Prices!E10/Raw_Prices!E9-1</f>
        <v>-9.8814229249011842E-2</v>
      </c>
      <c r="F10" s="15">
        <f>Raw_Prices!F10/Raw_Prices!F9-1</f>
        <v>-5.6818181818182323E-3</v>
      </c>
      <c r="G10" s="15">
        <f>Raw_Prices!G10/Raw_Prices!G9-1</f>
        <v>-9.6065740673405564E-2</v>
      </c>
      <c r="H10" s="15">
        <f>Raw_Prices!H10/Raw_Prices!H9-1</f>
        <v>-0.17454268292682917</v>
      </c>
      <c r="I10" s="15">
        <f>Raw_Prices!I10/Raw_Prices!I9-1</f>
        <v>-0.10272873194221521</v>
      </c>
      <c r="J10" s="15">
        <f>KSE100_Benchmark!B10/KSE100_Benchmark!B9-1</f>
        <v>-7.0237406523143364E-2</v>
      </c>
    </row>
    <row r="11" spans="1:12" ht="15" customHeight="1" x14ac:dyDescent="0.25">
      <c r="A11" s="12">
        <f>Raw_Prices!A11</f>
        <v>42278</v>
      </c>
      <c r="B11" s="15">
        <f>Raw_Prices!B11/Raw_Prices!B10-1</f>
        <v>0.10400000000000009</v>
      </c>
      <c r="C11" s="15">
        <f>Raw_Prices!C11/Raw_Prices!C10-1</f>
        <v>-5.8095565486421474E-2</v>
      </c>
      <c r="D11" s="15">
        <f>Raw_Prices!D11/Raw_Prices!D10-1</f>
        <v>2.2460610124036329E-2</v>
      </c>
      <c r="E11" s="15">
        <f>Raw_Prices!E11/Raw_Prices!E10-1</f>
        <v>7.4561403508771829E-2</v>
      </c>
      <c r="F11" s="15">
        <f>Raw_Prices!F11/Raw_Prices!F10-1</f>
        <v>2.8266666666666662E-2</v>
      </c>
      <c r="G11" s="15">
        <f>Raw_Prices!G11/Raw_Prices!G10-1</f>
        <v>1.1263073209975882E-2</v>
      </c>
      <c r="H11" s="15">
        <f>Raw_Prices!H11/Raw_Prices!H10-1</f>
        <v>3.4164358264081152E-2</v>
      </c>
      <c r="I11" s="15">
        <f>Raw_Prices!I11/Raw_Prices!I10-1</f>
        <v>0.15384615384615397</v>
      </c>
      <c r="J11" s="15">
        <f>KSE100_Benchmark!B11/KSE100_Benchmark!B10-1</f>
        <v>6.1144266449368212E-2</v>
      </c>
    </row>
    <row r="12" spans="1:12" ht="15" customHeight="1" x14ac:dyDescent="0.25">
      <c r="A12" s="12">
        <f>Raw_Prices!A12</f>
        <v>42309</v>
      </c>
      <c r="B12" s="15">
        <f>Raw_Prices!B12/Raw_Prices!B11-1</f>
        <v>-0.1202898550724637</v>
      </c>
      <c r="C12" s="15">
        <f>Raw_Prices!C12/Raw_Prices!C11-1</f>
        <v>-2.3357664233576547E-2</v>
      </c>
      <c r="D12" s="15">
        <f>Raw_Prices!D12/Raw_Prices!D11-1</f>
        <v>-0.10928961748633881</v>
      </c>
      <c r="E12" s="15">
        <f>Raw_Prices!E12/Raw_Prices!E11-1</f>
        <v>-0.16673469387755102</v>
      </c>
      <c r="F12" s="15">
        <f>Raw_Prices!F12/Raw_Prices!F11-1</f>
        <v>-0.10992145820984001</v>
      </c>
      <c r="G12" s="15">
        <f>Raw_Prices!G12/Raw_Prices!G11-1</f>
        <v>-4.3357199681782088E-2</v>
      </c>
      <c r="H12" s="15">
        <f>Raw_Prices!H12/Raw_Prices!H11-1</f>
        <v>-9.7321428571428559E-2</v>
      </c>
      <c r="I12" s="15">
        <f>Raw_Prices!I12/Raw_Prices!I11-1</f>
        <v>0.21602067183462537</v>
      </c>
      <c r="J12" s="15">
        <f>KSE100_Benchmark!B12/KSE100_Benchmark!B11-1</f>
        <v>-5.8561188035584966E-2</v>
      </c>
    </row>
    <row r="13" spans="1:12" ht="15" customHeight="1" x14ac:dyDescent="0.25">
      <c r="A13" s="12">
        <f>Raw_Prices!A13</f>
        <v>42339</v>
      </c>
      <c r="B13" s="15">
        <f>Raw_Prices!B13/Raw_Prices!B12-1</f>
        <v>-3.3772652388797453E-2</v>
      </c>
      <c r="C13" s="15">
        <f>Raw_Prices!C13/Raw_Prices!C12-1</f>
        <v>-5.6053811659193542E-3</v>
      </c>
      <c r="D13" s="15">
        <f>Raw_Prices!D13/Raw_Prices!D12-1</f>
        <v>3.3619631901840474E-2</v>
      </c>
      <c r="E13" s="15">
        <f>Raw_Prices!E13/Raw_Prices!E12-1</f>
        <v>6.759735488611307E-2</v>
      </c>
      <c r="F13" s="15">
        <f>Raw_Prices!F13/Raw_Prices!F12-1</f>
        <v>2.6014568158168494E-2</v>
      </c>
      <c r="G13" s="15">
        <f>Raw_Prices!G13/Raw_Prices!G12-1</f>
        <v>-1.8711018711018657E-2</v>
      </c>
      <c r="H13" s="15">
        <f>Raw_Prices!H13/Raw_Prices!H12-1</f>
        <v>6.5281899109792318E-2</v>
      </c>
      <c r="I13" s="15">
        <f>Raw_Prices!I13/Raw_Prices!I12-1</f>
        <v>0.35996600084997876</v>
      </c>
      <c r="J13" s="15">
        <f>KSE100_Benchmark!B13/KSE100_Benchmark!B12-1</f>
        <v>1.7395954760782706E-2</v>
      </c>
    </row>
    <row r="14" spans="1:12" ht="15" customHeight="1" x14ac:dyDescent="0.25">
      <c r="A14" s="12">
        <f>Raw_Prices!A14</f>
        <v>42370</v>
      </c>
      <c r="B14" s="15">
        <f>Raw_Prices!B14/Raw_Prices!B13-1</f>
        <v>-7.0758738277919786E-2</v>
      </c>
      <c r="C14" s="15">
        <f>Raw_Prices!C14/Raw_Prices!C13-1</f>
        <v>-4.9229612927470856E-2</v>
      </c>
      <c r="D14" s="15">
        <f>Raw_Prices!D14/Raw_Prices!D13-1</f>
        <v>-5.3181386514719708E-2</v>
      </c>
      <c r="E14" s="15">
        <f>Raw_Prices!E14/Raw_Prices!E13-1</f>
        <v>-0.11447579720119294</v>
      </c>
      <c r="F14" s="15">
        <f>Raw_Prices!F14/Raw_Prices!F13-1</f>
        <v>-2.0263691683570006E-2</v>
      </c>
      <c r="G14" s="15">
        <f>Raw_Prices!G14/Raw_Prices!G13-1</f>
        <v>-5.8389830508474572E-2</v>
      </c>
      <c r="H14" s="15">
        <f>Raw_Prices!H14/Raw_Prices!H13-1</f>
        <v>-7.8922934076137374E-2</v>
      </c>
      <c r="I14" s="15">
        <f>Raw_Prices!I14/Raw_Prices!I13-1</f>
        <v>-0.11906249999999996</v>
      </c>
      <c r="J14" s="15">
        <f>KSE100_Benchmark!B14/KSE100_Benchmark!B13-1</f>
        <v>-4.6248648918784552E-2</v>
      </c>
    </row>
    <row r="15" spans="1:12" ht="15" customHeight="1" x14ac:dyDescent="0.25">
      <c r="A15" s="12">
        <f>Raw_Prices!A15</f>
        <v>42401</v>
      </c>
      <c r="B15" s="15">
        <f>Raw_Prices!B15/Raw_Prices!B14-1</f>
        <v>-1.5504587155963256E-2</v>
      </c>
      <c r="C15" s="15">
        <f>Raw_Prices!C15/Raw_Prices!C14-1</f>
        <v>-3.7944664031620556E-2</v>
      </c>
      <c r="D15" s="15">
        <f>Raw_Prices!D15/Raw_Prices!D14-1</f>
        <v>-5.4914744232698265E-2</v>
      </c>
      <c r="E15" s="15">
        <f>Raw_Prices!E15/Raw_Prices!E14-1</f>
        <v>1.3471502590673534E-2</v>
      </c>
      <c r="F15" s="15">
        <f>Raw_Prices!F15/Raw_Prices!F14-1</f>
        <v>1.5713960373491265E-2</v>
      </c>
      <c r="G15" s="15">
        <f>Raw_Prices!G15/Raw_Prices!G14-1</f>
        <v>-2.259022590225912E-2</v>
      </c>
      <c r="H15" s="15">
        <f>Raw_Prices!H15/Raw_Prices!H14-1</f>
        <v>-3.5282258064516125E-2</v>
      </c>
      <c r="I15" s="15">
        <f>Raw_Prices!I15/Raw_Prices!I14-1</f>
        <v>-5.4984036892515076E-2</v>
      </c>
      <c r="J15" s="15">
        <f>KSE100_Benchmark!B15/KSE100_Benchmark!B14-1</f>
        <v>2.2655965442544002E-3</v>
      </c>
    </row>
    <row r="16" spans="1:12" ht="15" customHeight="1" x14ac:dyDescent="0.25">
      <c r="A16" s="12">
        <f>Raw_Prices!A16</f>
        <v>42430</v>
      </c>
      <c r="B16" s="15">
        <f>Raw_Prices!B16/Raw_Prices!B15-1</f>
        <v>6.8772714565278115E-2</v>
      </c>
      <c r="C16" s="15">
        <f>Raw_Prices!C16/Raw_Prices!C15-1</f>
        <v>3.697617091207972E-3</v>
      </c>
      <c r="D16" s="15">
        <f>Raw_Prices!D16/Raw_Prices!D15-1</f>
        <v>-7.9331387635977579E-2</v>
      </c>
      <c r="E16" s="15">
        <f>Raw_Prices!E16/Raw_Prices!E15-1</f>
        <v>5.3220858895705492E-2</v>
      </c>
      <c r="F16" s="15">
        <f>Raw_Prices!F16/Raw_Prices!F15-1</f>
        <v>9.4578067672238086E-2</v>
      </c>
      <c r="G16" s="15">
        <f>Raw_Prices!G16/Raw_Prices!G15-1</f>
        <v>-2.0626151012891336E-2</v>
      </c>
      <c r="H16" s="15">
        <f>Raw_Prices!H16/Raw_Prices!H15-1</f>
        <v>7.9414838035527735E-2</v>
      </c>
      <c r="I16" s="15">
        <f>Raw_Prices!I16/Raw_Prices!I15-1</f>
        <v>0.21114864864864868</v>
      </c>
      <c r="J16" s="15">
        <f>KSE100_Benchmark!B16/KSE100_Benchmark!B15-1</f>
        <v>5.6407957918373608E-2</v>
      </c>
    </row>
    <row r="17" spans="1:10" ht="15" customHeight="1" x14ac:dyDescent="0.25">
      <c r="A17" s="12">
        <f>Raw_Prices!A17</f>
        <v>42461</v>
      </c>
      <c r="B17" s="15">
        <f>Raw_Prices!B17/Raw_Prices!B16-1</f>
        <v>0.14569709652105689</v>
      </c>
      <c r="C17" s="15">
        <f>Raw_Prices!C17/Raw_Prices!C16-1</f>
        <v>-1.2279983626688473E-3</v>
      </c>
      <c r="D17" s="15">
        <f>Raw_Prices!D17/Raw_Prices!D16-1</f>
        <v>5.7636887608067955E-3</v>
      </c>
      <c r="E17" s="15">
        <f>Raw_Prices!E17/Raw_Prices!E16-1</f>
        <v>2.8251055773991673E-2</v>
      </c>
      <c r="F17" s="15">
        <f>Raw_Prices!F17/Raw_Prices!F16-1</f>
        <v>2.8864059590316682E-2</v>
      </c>
      <c r="G17" s="15">
        <f>Raw_Prices!G17/Raw_Prices!G16-1</f>
        <v>6.1113200451297089E-3</v>
      </c>
      <c r="H17" s="15">
        <f>Raw_Prices!H17/Raw_Prices!H16-1</f>
        <v>0.10745401742497585</v>
      </c>
      <c r="I17" s="15">
        <f>Raw_Prices!I17/Raw_Prices!I16-1</f>
        <v>7.8568107856810787E-2</v>
      </c>
      <c r="J17" s="15">
        <f>KSE100_Benchmark!B17/KSE100_Benchmark!B16-1</f>
        <v>4.7686713539937919E-2</v>
      </c>
    </row>
    <row r="18" spans="1:10" ht="15" customHeight="1" x14ac:dyDescent="0.25">
      <c r="A18" s="12">
        <f>Raw_Prices!A18</f>
        <v>42491</v>
      </c>
      <c r="B18" s="15">
        <f>Raw_Prices!B18/Raw_Prices!B17-1</f>
        <v>6.164383561643838E-2</v>
      </c>
      <c r="C18" s="15">
        <f>Raw_Prices!C18/Raw_Prices!C17-1</f>
        <v>-1.06557377049179E-2</v>
      </c>
      <c r="D18" s="15">
        <f>Raw_Prices!D18/Raw_Prices!D17-1</f>
        <v>3.7249283667621924E-3</v>
      </c>
      <c r="E18" s="15">
        <f>Raw_Prices!E18/Raw_Prices!E17-1</f>
        <v>-2.2801302931596101E-2</v>
      </c>
      <c r="F18" s="15">
        <f>Raw_Prices!F18/Raw_Prices!F17-1</f>
        <v>7.5113122171945657E-2</v>
      </c>
      <c r="G18" s="15">
        <f>Raw_Prices!G18/Raw_Prices!G17-1</f>
        <v>6.2984767778712314E-2</v>
      </c>
      <c r="H18" s="15">
        <f>Raw_Prices!H18/Raw_Prices!H17-1</f>
        <v>-7.7797202797202702E-2</v>
      </c>
      <c r="I18" s="15">
        <f>Raw_Prices!I18/Raw_Prices!I17-1</f>
        <v>0.16106321839080473</v>
      </c>
      <c r="J18" s="15">
        <f>KSE100_Benchmark!B18/KSE100_Benchmark!B17-1</f>
        <v>3.8660640813795277E-2</v>
      </c>
    </row>
    <row r="19" spans="1:10" ht="15" customHeight="1" x14ac:dyDescent="0.25">
      <c r="A19" s="12">
        <f>Raw_Prices!A19</f>
        <v>42522</v>
      </c>
      <c r="B19" s="15">
        <f>Raw_Prices!B19/Raw_Prices!B18-1</f>
        <v>-7.1684587813619638E-3</v>
      </c>
      <c r="C19" s="15">
        <f>Raw_Prices!C19/Raw_Prices!C18-1</f>
        <v>2.4026512013255896E-2</v>
      </c>
      <c r="D19" s="15">
        <f>Raw_Prices!D19/Raw_Prices!D18-1</f>
        <v>-7.9360548101627182E-2</v>
      </c>
      <c r="E19" s="15">
        <f>Raw_Prices!E19/Raw_Prices!E18-1</f>
        <v>5.4202898550724576E-2</v>
      </c>
      <c r="F19" s="15">
        <f>Raw_Prices!F19/Raw_Prices!F18-1</f>
        <v>8.9225589225589319E-2</v>
      </c>
      <c r="G19" s="15">
        <f>Raw_Prices!G19/Raw_Prices!G18-1</f>
        <v>1.098901098901095E-2</v>
      </c>
      <c r="H19" s="15">
        <f>Raw_Prices!H19/Raw_Prices!H18-1</f>
        <v>-3.7914691943128354E-3</v>
      </c>
      <c r="I19" s="15">
        <f>Raw_Prices!I19/Raw_Prices!I18-1</f>
        <v>2.9575547580744876E-2</v>
      </c>
      <c r="J19" s="15">
        <f>KSE100_Benchmark!B19/KSE100_Benchmark!B18-1</f>
        <v>4.7751123356837732E-2</v>
      </c>
    </row>
    <row r="20" spans="1:10" ht="15" customHeight="1" x14ac:dyDescent="0.25">
      <c r="A20" s="12">
        <f>Raw_Prices!A20</f>
        <v>42552</v>
      </c>
      <c r="B20" s="15">
        <f>Raw_Prices!B20/Raw_Prices!B19-1</f>
        <v>-1.191335740072208E-2</v>
      </c>
      <c r="C20" s="15">
        <f>Raw_Prices!C20/Raw_Prices!C19-1</f>
        <v>0.10598705501618122</v>
      </c>
      <c r="D20" s="15">
        <f>Raw_Prices!D20/Raw_Prices!D19-1</f>
        <v>6.3565891472868064E-2</v>
      </c>
      <c r="E20" s="15">
        <f>Raw_Prices!E20/Raw_Prices!E19-1</f>
        <v>8.2027311887085119E-3</v>
      </c>
      <c r="F20" s="15">
        <f>Raw_Prices!F20/Raw_Prices!F19-1</f>
        <v>0.14605873261205571</v>
      </c>
      <c r="G20" s="15">
        <f>Raw_Prices!G20/Raw_Prices!G19-1</f>
        <v>-1.0434782608695681E-2</v>
      </c>
      <c r="H20" s="15">
        <f>Raw_Prices!H20/Raw_Prices!H19-1</f>
        <v>5.6137012369172234E-2</v>
      </c>
      <c r="I20" s="15">
        <f>Raw_Prices!I20/Raw_Prices!I19-1</f>
        <v>7.2836538461538591E-2</v>
      </c>
      <c r="J20" s="15">
        <f>KSE100_Benchmark!B20/KSE100_Benchmark!B19-1</f>
        <v>4.5568520048677286E-2</v>
      </c>
    </row>
    <row r="21" spans="1:10" ht="15" customHeight="1" x14ac:dyDescent="0.25">
      <c r="A21" s="12">
        <f>Raw_Prices!A21</f>
        <v>42583</v>
      </c>
      <c r="B21" s="15">
        <f>Raw_Prices!B21/Raw_Prices!B20-1</f>
        <v>2.959444647424192E-2</v>
      </c>
      <c r="C21" s="15">
        <f>Raw_Prices!C21/Raw_Prices!C20-1</f>
        <v>0.12801755669348935</v>
      </c>
      <c r="D21" s="15">
        <f>Raw_Prices!D21/Raw_Prices!D20-1</f>
        <v>-1.574344023323615E-2</v>
      </c>
      <c r="E21" s="15">
        <f>Raw_Prices!E21/Raw_Prices!E20-1</f>
        <v>-4.8906867869642268E-2</v>
      </c>
      <c r="F21" s="15">
        <f>Raw_Prices!F21/Raw_Prices!F20-1</f>
        <v>-6.4733648010788958E-2</v>
      </c>
      <c r="G21" s="15">
        <f>Raw_Prices!G21/Raw_Prices!G20-1</f>
        <v>-2.5834797891036931E-2</v>
      </c>
      <c r="H21" s="15">
        <f>Raw_Prices!H21/Raw_Prices!H20-1</f>
        <v>0.1342342342342342</v>
      </c>
      <c r="I21" s="15">
        <f>Raw_Prices!I21/Raw_Prices!I20-1</f>
        <v>-7.2820972440063025E-3</v>
      </c>
      <c r="J21" s="15">
        <f>KSE100_Benchmark!B21/KSE100_Benchmark!B20-1</f>
        <v>7.7027678325531923E-3</v>
      </c>
    </row>
    <row r="22" spans="1:10" ht="15" customHeight="1" x14ac:dyDescent="0.25">
      <c r="A22" s="12">
        <f>Raw_Prices!A22</f>
        <v>42614</v>
      </c>
      <c r="B22" s="15">
        <f>Raw_Prices!B22/Raw_Prices!B21-1</f>
        <v>7.806955287437134E-4</v>
      </c>
      <c r="C22" s="15">
        <f>Raw_Prices!C22/Raw_Prices!C21-1</f>
        <v>3.7289234760051748E-2</v>
      </c>
      <c r="D22" s="15">
        <f>Raw_Prices!D22/Raw_Prices!D21-1</f>
        <v>-8.8862559241706052E-2</v>
      </c>
      <c r="E22" s="15">
        <f>Raw_Prices!E22/Raw_Prices!E21-1</f>
        <v>5.3763440860215006E-2</v>
      </c>
      <c r="F22" s="15">
        <f>Raw_Prices!F22/Raw_Prices!F21-1</f>
        <v>-2.3792357606344683E-2</v>
      </c>
      <c r="G22" s="15">
        <f>Raw_Prices!G22/Raw_Prices!G21-1</f>
        <v>-6.2781887064766284E-2</v>
      </c>
      <c r="H22" s="15">
        <f>Raw_Prices!H22/Raw_Prices!H21-1</f>
        <v>0.55043685464654479</v>
      </c>
      <c r="I22" s="15">
        <f>Raw_Prices!I22/Raw_Prices!I21-1</f>
        <v>-1.399390587969751E-2</v>
      </c>
      <c r="J22" s="15">
        <f>KSE100_Benchmark!B22/KSE100_Benchmark!B21-1</f>
        <v>1.839331135872313E-2</v>
      </c>
    </row>
    <row r="23" spans="1:10" ht="15" customHeight="1" x14ac:dyDescent="0.25">
      <c r="A23" s="12">
        <f>Raw_Prices!A23</f>
        <v>42644</v>
      </c>
      <c r="B23" s="15">
        <f>Raw_Prices!B23/Raw_Prices!B22-1</f>
        <v>-3.6167647684560711E-3</v>
      </c>
      <c r="C23" s="15">
        <f>Raw_Prices!C23/Raw_Prices!C22-1</f>
        <v>-4.8140043763676088E-2</v>
      </c>
      <c r="D23" s="15">
        <f>Raw_Prices!D23/Raw_Prices!D22-1</f>
        <v>3.1371911573472078E-2</v>
      </c>
      <c r="E23" s="15">
        <f>Raw_Prices!E23/Raw_Prices!E22-1</f>
        <v>-2.7210884353741527E-2</v>
      </c>
      <c r="F23" s="15">
        <f>Raw_Prices!F23/Raw_Prices!F22-1</f>
        <v>-5.9084194977843119E-3</v>
      </c>
      <c r="G23" s="15">
        <f>Raw_Prices!G23/Raw_Prices!G22-1</f>
        <v>5.7747834456207681E-3</v>
      </c>
      <c r="H23" s="15">
        <f>Raw_Prices!H23/Raw_Prices!H22-1</f>
        <v>0.23565573770491821</v>
      </c>
      <c r="I23" s="15">
        <f>Raw_Prices!I23/Raw_Prices!I22-1</f>
        <v>3.1017511731715519E-2</v>
      </c>
      <c r="J23" s="15">
        <f>KSE100_Benchmark!B23/KSE100_Benchmark!B22-1</f>
        <v>-1.5982759526523393E-2</v>
      </c>
    </row>
    <row r="24" spans="1:10" ht="15" customHeight="1" x14ac:dyDescent="0.25">
      <c r="A24" s="12">
        <f>Raw_Prices!A24</f>
        <v>42675</v>
      </c>
      <c r="B24" s="15">
        <f>Raw_Prices!B24/Raw_Prices!B23-1</f>
        <v>3.558718861210064E-3</v>
      </c>
      <c r="C24" s="15">
        <f>Raw_Prices!C24/Raw_Prices!C23-1</f>
        <v>9.3596059113300489E-2</v>
      </c>
      <c r="D24" s="15">
        <f>Raw_Prices!D24/Raw_Prices!D23-1</f>
        <v>1.591804570527966E-2</v>
      </c>
      <c r="E24" s="15">
        <f>Raw_Prices!E24/Raw_Prices!E23-1</f>
        <v>3.7296037296037365E-2</v>
      </c>
      <c r="F24" s="15">
        <f>Raw_Prices!F24/Raw_Prices!F23-1</f>
        <v>8.9153046062407038E-2</v>
      </c>
      <c r="G24" s="15">
        <f>Raw_Prices!G24/Raw_Prices!G23-1</f>
        <v>5.7416267942582699E-3</v>
      </c>
      <c r="H24" s="15">
        <f>Raw_Prices!H24/Raw_Prices!H23-1</f>
        <v>0.40671641791044766</v>
      </c>
      <c r="I24" s="15">
        <f>Raw_Prices!I24/Raw_Prices!I23-1</f>
        <v>6.5275310834813416E-2</v>
      </c>
      <c r="J24" s="15">
        <f>KSE100_Benchmark!B24/KSE100_Benchmark!B23-1</f>
        <v>6.8394769718833848E-2</v>
      </c>
    </row>
    <row r="25" spans="1:10" ht="15" customHeight="1" x14ac:dyDescent="0.25">
      <c r="A25" s="12">
        <f>Raw_Prices!A25</f>
        <v>42705</v>
      </c>
      <c r="B25" s="15">
        <f>Raw_Prices!B25/Raw_Prices!B24-1</f>
        <v>0.17375886524822692</v>
      </c>
      <c r="C25" s="15">
        <f>Raw_Prices!C25/Raw_Prices!C24-1</f>
        <v>0.17087087087087105</v>
      </c>
      <c r="D25" s="15">
        <f>Raw_Prices!D25/Raw_Prices!D24-1</f>
        <v>5.4917778467266531E-2</v>
      </c>
      <c r="E25" s="15">
        <f>Raw_Prices!E25/Raw_Prices!E24-1</f>
        <v>7.0157303370786517E-2</v>
      </c>
      <c r="F25" s="15">
        <f>Raw_Prices!F25/Raw_Prices!F24-1</f>
        <v>0.17858117326057288</v>
      </c>
      <c r="G25" s="15">
        <f>Raw_Prices!G25/Raw_Prices!G24-1</f>
        <v>-6.6603235014270901E-3</v>
      </c>
      <c r="H25" s="15">
        <f>Raw_Prices!H25/Raw_Prices!H24-1</f>
        <v>-5.3050397877984046E-2</v>
      </c>
      <c r="I25" s="15">
        <f>Raw_Prices!I25/Raw_Prices!I24-1</f>
        <v>0.32826177573989157</v>
      </c>
      <c r="J25" s="15">
        <f>KSE100_Benchmark!B25/KSE100_Benchmark!B24-1</f>
        <v>0.12164034989138339</v>
      </c>
    </row>
    <row r="26" spans="1:10" ht="15" customHeight="1" x14ac:dyDescent="0.25">
      <c r="A26" s="12">
        <f>Raw_Prices!A26</f>
        <v>42736</v>
      </c>
      <c r="B26" s="15">
        <f>Raw_Prices!B26/Raw_Prices!B25-1</f>
        <v>-3.0211480362537735E-2</v>
      </c>
      <c r="C26" s="15">
        <f>Raw_Prices!C26/Raw_Prices!C25-1</f>
        <v>-1.6414465247499344E-2</v>
      </c>
      <c r="D26" s="15">
        <f>Raw_Prices!D26/Raw_Prices!D25-1</f>
        <v>5.1176470588235379E-2</v>
      </c>
      <c r="E26" s="15">
        <f>Raw_Prices!E26/Raw_Prices!E25-1</f>
        <v>2.2678593927176527E-2</v>
      </c>
      <c r="F26" s="15">
        <f>Raw_Prices!F26/Raw_Prices!F25-1</f>
        <v>-2.7780993170505863E-2</v>
      </c>
      <c r="G26" s="15">
        <f>Raw_Prices!G26/Raw_Prices!G25-1</f>
        <v>0.10929118773946356</v>
      </c>
      <c r="H26" s="15">
        <f>Raw_Prices!H26/Raw_Prices!H25-1</f>
        <v>-3.2368502956738321E-2</v>
      </c>
      <c r="I26" s="15">
        <f>Raw_Prices!I26/Raw_Prices!I25-1</f>
        <v>-7.0296563627804787E-2</v>
      </c>
      <c r="J26" s="15">
        <f>KSE100_Benchmark!B26/KSE100_Benchmark!B25-1</f>
        <v>1.988622161161846E-2</v>
      </c>
    </row>
    <row r="27" spans="1:10" ht="15" customHeight="1" x14ac:dyDescent="0.25">
      <c r="A27" s="12">
        <f>Raw_Prices!A27</f>
        <v>42767</v>
      </c>
      <c r="B27" s="15">
        <f>Raw_Prices!B27/Raw_Prices!B26-1</f>
        <v>-2.180685358255452E-2</v>
      </c>
      <c r="C27" s="15">
        <f>Raw_Prices!C27/Raw_Prices!C26-1</f>
        <v>-3.0769230769230771E-2</v>
      </c>
      <c r="D27" s="15">
        <f>Raw_Prices!D27/Raw_Prices!D26-1</f>
        <v>-4.868494683827651E-2</v>
      </c>
      <c r="E27" s="15">
        <f>Raw_Prices!E27/Raw_Prices!E26-1</f>
        <v>-6.6937702763746776E-2</v>
      </c>
      <c r="F27" s="15">
        <f>Raw_Prices!F27/Raw_Prices!F26-1</f>
        <v>3.7028217644957673E-2</v>
      </c>
      <c r="G27" s="15">
        <f>Raw_Prices!G27/Raw_Prices!G26-1</f>
        <v>-6.743804507382789E-2</v>
      </c>
      <c r="H27" s="15">
        <f>Raw_Prices!H27/Raw_Prices!H26-1</f>
        <v>-2.6696687037632616E-2</v>
      </c>
      <c r="I27" s="15">
        <f>Raw_Prices!I27/Raw_Prices!I26-1</f>
        <v>3.8396624472573748E-2</v>
      </c>
      <c r="J27" s="15">
        <f>KSE100_Benchmark!B27/KSE100_Benchmark!B26-1</f>
        <v>-4.5826636096432116E-3</v>
      </c>
    </row>
    <row r="28" spans="1:10" ht="15" customHeight="1" x14ac:dyDescent="0.25">
      <c r="A28" s="12">
        <f>Raw_Prices!A28</f>
        <v>42795</v>
      </c>
      <c r="B28" s="15">
        <f>Raw_Prices!B28/Raw_Prices!B27-1</f>
        <v>-5.3184713375796111E-2</v>
      </c>
      <c r="C28" s="15">
        <f>Raw_Prices!C28/Raw_Prices!C27-1</f>
        <v>0.11891310196394955</v>
      </c>
      <c r="D28" s="15">
        <f>Raw_Prices!D28/Raw_Prices!D27-1</f>
        <v>-7.999999999999996E-2</v>
      </c>
      <c r="E28" s="15">
        <f>Raw_Prices!E28/Raw_Prices!E27-1</f>
        <v>3.4769596408608106E-3</v>
      </c>
      <c r="F28" s="15">
        <f>Raw_Prices!F28/Raw_Prices!F27-1</f>
        <v>-4.130884041331806E-2</v>
      </c>
      <c r="G28" s="15">
        <f>Raw_Prices!G28/Raw_Prices!G27-1</f>
        <v>-3.7962962962962865E-2</v>
      </c>
      <c r="H28" s="15">
        <f>Raw_Prices!H28/Raw_Prices!H27-1</f>
        <v>2.8420356906807553E-2</v>
      </c>
      <c r="I28" s="15">
        <f>Raw_Prices!I28/Raw_Prices!I27-1</f>
        <v>0.13466070702966282</v>
      </c>
      <c r="J28" s="15">
        <f>KSE100_Benchmark!B28/KSE100_Benchmark!B27-1</f>
        <v>-7.7944988516353009E-3</v>
      </c>
    </row>
    <row r="29" spans="1:10" ht="15" customHeight="1" x14ac:dyDescent="0.25">
      <c r="A29" s="12">
        <f>Raw_Prices!A29</f>
        <v>42826</v>
      </c>
      <c r="B29" s="15">
        <f>Raw_Prices!B29/Raw_Prices!B28-1</f>
        <v>4.2717793474604804E-2</v>
      </c>
      <c r="C29" s="15">
        <f>Raw_Prices!C29/Raw_Prices!C28-1</f>
        <v>0.11901899495070922</v>
      </c>
      <c r="D29" s="15">
        <f>Raw_Prices!D29/Raw_Prices!D28-1</f>
        <v>-5.4507672634271143E-2</v>
      </c>
      <c r="E29" s="15">
        <f>Raw_Prices!E29/Raw_Prices!E28-1</f>
        <v>-5.2631578947368474E-2</v>
      </c>
      <c r="F29" s="15">
        <f>Raw_Prices!F29/Raw_Prices!F28-1</f>
        <v>5.9854853775957562E-2</v>
      </c>
      <c r="G29" s="15">
        <f>Raw_Prices!G29/Raw_Prices!G28-1</f>
        <v>-7.6034648700673779E-2</v>
      </c>
      <c r="H29" s="15">
        <f>Raw_Prices!H29/Raw_Prices!H28-1</f>
        <v>0.28309768637532118</v>
      </c>
      <c r="I29" s="15">
        <f>Raw_Prices!I29/Raw_Prices!I28-1</f>
        <v>3.9177768228047638E-2</v>
      </c>
      <c r="J29" s="15">
        <f>KSE100_Benchmark!B29/KSE100_Benchmark!B28-1</f>
        <v>2.3776303354540174E-2</v>
      </c>
    </row>
    <row r="30" spans="1:10" ht="15" customHeight="1" x14ac:dyDescent="0.25">
      <c r="A30" s="12">
        <f>Raw_Prices!A30</f>
        <v>42856</v>
      </c>
      <c r="B30" s="15">
        <f>Raw_Prices!B30/Raw_Prices!B29-1</f>
        <v>0.14083870967741952</v>
      </c>
      <c r="C30" s="15">
        <f>Raw_Prices!C30/Raw_Prices!C29-1</f>
        <v>3.738719381177491E-2</v>
      </c>
      <c r="D30" s="15">
        <f>Raw_Prices!D30/Raw_Prices!D29-1</f>
        <v>2.789518174133554E-2</v>
      </c>
      <c r="E30" s="15">
        <f>Raw_Prices!E30/Raw_Prices!E29-1</f>
        <v>1.9907407407407485E-2</v>
      </c>
      <c r="F30" s="15">
        <f>Raw_Prices!F30/Raw_Prices!F29-1</f>
        <v>-2.9129943502824829E-2</v>
      </c>
      <c r="G30" s="15">
        <f>Raw_Prices!G30/Raw_Prices!G29-1</f>
        <v>2.9166666666666785E-3</v>
      </c>
      <c r="H30" s="15">
        <f>Raw_Prices!H30/Raw_Prices!H29-1</f>
        <v>0.72226396193338327</v>
      </c>
      <c r="I30" s="15">
        <f>Raw_Prices!I30/Raw_Prices!I29-1</f>
        <v>6.974981046247164E-2</v>
      </c>
      <c r="J30" s="15">
        <f>KSE100_Benchmark!B30/KSE100_Benchmark!B29-1</f>
        <v>2.6179440943268739E-2</v>
      </c>
    </row>
    <row r="31" spans="1:10" ht="15" customHeight="1" x14ac:dyDescent="0.25">
      <c r="A31" s="12">
        <f>Raw_Prices!A31</f>
        <v>42887</v>
      </c>
      <c r="B31" s="15">
        <f>Raw_Prices!B31/Raw_Prices!B30-1</f>
        <v>-0.20437708533619869</v>
      </c>
      <c r="C31" s="15">
        <f>Raw_Prices!C31/Raw_Prices!C30-1</f>
        <v>-4.8053024026512015E-2</v>
      </c>
      <c r="D31" s="15">
        <f>Raw_Prices!D31/Raw_Prices!D30-1</f>
        <v>-9.2927631578947345E-2</v>
      </c>
      <c r="E31" s="15">
        <f>Raw_Prices!E31/Raw_Prices!E30-1</f>
        <v>-4.3349977303676845E-2</v>
      </c>
      <c r="F31" s="15">
        <f>Raw_Prices!F31/Raw_Prices!F30-1</f>
        <v>-2.1205279206722438E-2</v>
      </c>
      <c r="G31" s="15">
        <f>Raw_Prices!G31/Raw_Prices!G30-1</f>
        <v>-0.14312422102201916</v>
      </c>
      <c r="H31" s="15">
        <f>Raw_Prices!H31/Raw_Prices!H30-1</f>
        <v>0.34011923803984301</v>
      </c>
      <c r="I31" s="15">
        <f>Raw_Prices!I31/Raw_Prices!I30-1</f>
        <v>-6.816571097223123E-2</v>
      </c>
      <c r="J31" s="15">
        <f>KSE100_Benchmark!B31/KSE100_Benchmark!B30-1</f>
        <v>-7.9584009747078355E-2</v>
      </c>
    </row>
    <row r="32" spans="1:10" ht="15" customHeight="1" x14ac:dyDescent="0.25">
      <c r="A32" s="12">
        <f>Raw_Prices!A32</f>
        <v>42917</v>
      </c>
      <c r="B32" s="15">
        <f>Raw_Prices!B32/Raw_Prices!B31-1</f>
        <v>0.11066884639988617</v>
      </c>
      <c r="C32" s="15">
        <f>Raw_Prices!C32/Raw_Prices!C31-1</f>
        <v>1.2619669277632584E-2</v>
      </c>
      <c r="D32" s="15">
        <f>Raw_Prices!D32/Raw_Prices!D31-1</f>
        <v>5.3671804170444259E-2</v>
      </c>
      <c r="E32" s="15">
        <f>Raw_Prices!E32/Raw_Prices!E31-1</f>
        <v>-1.9786476868327352E-2</v>
      </c>
      <c r="F32" s="15">
        <f>Raw_Prices!F32/Raw_Prices!F31-1</f>
        <v>-0.1583234244946492</v>
      </c>
      <c r="G32" s="15">
        <f>Raw_Prices!G32/Raw_Prices!G31-1</f>
        <v>-2.7030303030303071E-2</v>
      </c>
      <c r="H32" s="15">
        <f>Raw_Prices!H32/Raw_Prices!H31-1</f>
        <v>-0.17556423611111105</v>
      </c>
      <c r="I32" s="15">
        <f>Raw_Prices!I32/Raw_Prices!I31-1</f>
        <v>0.11111111111111116</v>
      </c>
      <c r="J32" s="15">
        <f>KSE100_Benchmark!B32/KSE100_Benchmark!B31-1</f>
        <v>-1.1915312886486951E-2</v>
      </c>
    </row>
    <row r="33" spans="1:10" ht="15" customHeight="1" x14ac:dyDescent="0.25">
      <c r="A33" s="12">
        <f>Raw_Prices!A33</f>
        <v>42948</v>
      </c>
      <c r="B33" s="15">
        <f>Raw_Prices!B33/Raw_Prices!B32-1</f>
        <v>-9.7017790861384845E-2</v>
      </c>
      <c r="C33" s="15">
        <f>Raw_Prices!C33/Raw_Prices!C32-1</f>
        <v>-5.9518693596905758E-2</v>
      </c>
      <c r="D33" s="15">
        <f>Raw_Prices!D33/Raw_Prices!D32-1</f>
        <v>-3.7859232490105033E-3</v>
      </c>
      <c r="E33" s="15">
        <f>Raw_Prices!E33/Raw_Prices!E32-1</f>
        <v>-6.3510504405073109E-2</v>
      </c>
      <c r="F33" s="15">
        <f>Raw_Prices!F33/Raw_Prices!F32-1</f>
        <v>-0.156600974782793</v>
      </c>
      <c r="G33" s="15">
        <f>Raw_Prices!G33/Raw_Prices!G32-1</f>
        <v>-0.11722935094057552</v>
      </c>
      <c r="H33" s="15">
        <f>Raw_Prices!H33/Raw_Prices!H32-1</f>
        <v>-0.30916030534351147</v>
      </c>
      <c r="I33" s="15">
        <f>Raw_Prices!I33/Raw_Prices!I32-1</f>
        <v>-0.1514623522090851</v>
      </c>
      <c r="J33" s="15">
        <f>KSE100_Benchmark!B33/KSE100_Benchmark!B32-1</f>
        <v>-0.10439932667470109</v>
      </c>
    </row>
    <row r="34" spans="1:10" ht="15" customHeight="1" x14ac:dyDescent="0.25">
      <c r="A34" s="12">
        <f>Raw_Prices!A34</f>
        <v>42979</v>
      </c>
      <c r="B34" s="15">
        <f>Raw_Prices!B34/Raw_Prices!B33-1</f>
        <v>5.1027639971651384E-2</v>
      </c>
      <c r="C34" s="15">
        <f>Raw_Prices!C34/Raw_Prices!C33-1</f>
        <v>1.0966415352981373E-2</v>
      </c>
      <c r="D34" s="15">
        <f>Raw_Prices!D34/Raw_Prices!D33-1</f>
        <v>8.5679737433062675E-2</v>
      </c>
      <c r="E34" s="15">
        <f>Raw_Prices!E34/Raw_Prices!E33-1</f>
        <v>6.9936937868293247E-2</v>
      </c>
      <c r="F34" s="15">
        <f>Raw_Prices!F34/Raw_Prices!F33-1</f>
        <v>-5.3601340033500811E-2</v>
      </c>
      <c r="G34" s="15">
        <f>Raw_Prices!G34/Raw_Prices!G33-1</f>
        <v>0.17329946373130123</v>
      </c>
      <c r="H34" s="15">
        <f>Raw_Prices!H34/Raw_Prices!H33-1</f>
        <v>3.2006096399314066E-2</v>
      </c>
      <c r="I34" s="15">
        <f>Raw_Prices!I34/Raw_Prices!I33-1</f>
        <v>1.0120269873863164E-2</v>
      </c>
      <c r="J34" s="15">
        <f>KSE100_Benchmark!B34/KSE100_Benchmark!B33-1</f>
        <v>2.9176603289878811E-2</v>
      </c>
    </row>
    <row r="35" spans="1:10" ht="15" customHeight="1" x14ac:dyDescent="0.25">
      <c r="A35" s="12">
        <f>Raw_Prices!A35</f>
        <v>43009</v>
      </c>
      <c r="B35" s="15">
        <f>Raw_Prices!B35/Raw_Prices!B34-1</f>
        <v>-3.4052596089008791E-2</v>
      </c>
      <c r="C35" s="15">
        <f>Raw_Prices!C35/Raw_Prices!C34-1</f>
        <v>-0.12090395480225991</v>
      </c>
      <c r="D35" s="15">
        <f>Raw_Prices!D35/Raw_Prices!D34-1</f>
        <v>3.4208432776451803E-2</v>
      </c>
      <c r="E35" s="15">
        <f>Raw_Prices!E35/Raw_Prices!E34-1</f>
        <v>-3.3769747330788968E-2</v>
      </c>
      <c r="F35" s="15">
        <f>Raw_Prices!F35/Raw_Prices!F34-1</f>
        <v>-0.13982300884955756</v>
      </c>
      <c r="G35" s="15">
        <f>Raw_Prices!G35/Raw_Prices!G34-1</f>
        <v>-3.7767620880442609E-2</v>
      </c>
      <c r="H35" s="15">
        <f>Raw_Prices!H35/Raw_Prices!H34-1</f>
        <v>-5.3535167066642075E-2</v>
      </c>
      <c r="I35" s="15">
        <f>Raw_Prices!I35/Raw_Prices!I34-1</f>
        <v>-3.3323653259764829E-2</v>
      </c>
      <c r="J35" s="15">
        <f>KSE100_Benchmark!B35/KSE100_Benchmark!B34-1</f>
        <v>-6.5836549414785894E-2</v>
      </c>
    </row>
    <row r="36" spans="1:10" ht="15" customHeight="1" x14ac:dyDescent="0.25">
      <c r="A36" s="12">
        <f>Raw_Prices!A36</f>
        <v>43040</v>
      </c>
      <c r="B36" s="15">
        <f>Raw_Prices!B36/Raw_Prices!B35-1</f>
        <v>8.5445026178010641E-2</v>
      </c>
      <c r="C36" s="15">
        <f>Raw_Prices!C36/Raw_Prices!C35-1</f>
        <v>1.5424164524421524E-2</v>
      </c>
      <c r="D36" s="15">
        <f>Raw_Prices!D36/Raw_Prices!D35-1</f>
        <v>1.1384615384615326E-2</v>
      </c>
      <c r="E36" s="15">
        <f>Raw_Prices!E36/Raw_Prices!E35-1</f>
        <v>2.1549999999999958E-2</v>
      </c>
      <c r="F36" s="15">
        <f>Raw_Prices!F36/Raw_Prices!F35-1</f>
        <v>1.2345679012345734E-2</v>
      </c>
      <c r="G36" s="15">
        <f>Raw_Prices!G36/Raw_Prices!G35-1</f>
        <v>1.3374999999999915E-2</v>
      </c>
      <c r="H36" s="15">
        <f>Raw_Prices!H36/Raw_Prices!H35-1</f>
        <v>0.4971718353813146</v>
      </c>
      <c r="I36" s="15">
        <f>Raw_Prices!I36/Raw_Prices!I35-1</f>
        <v>2.7562898986105866E-2</v>
      </c>
      <c r="J36" s="15">
        <f>KSE100_Benchmark!B36/KSE100_Benchmark!B35-1</f>
        <v>9.9242273366686451E-3</v>
      </c>
    </row>
    <row r="37" spans="1:10" ht="15" customHeight="1" x14ac:dyDescent="0.25">
      <c r="A37" s="12">
        <f>Raw_Prices!A37</f>
        <v>43070</v>
      </c>
      <c r="B37" s="15">
        <f>Raw_Prices!B37/Raw_Prices!B36-1</f>
        <v>4.1867644221493361E-2</v>
      </c>
      <c r="C37" s="15">
        <f>Raw_Prices!C37/Raw_Prices!C36-1</f>
        <v>1.4936708860759484E-2</v>
      </c>
      <c r="D37" s="15">
        <f>Raw_Prices!D37/Raw_Prices!D36-1</f>
        <v>3.270459385457869E-2</v>
      </c>
      <c r="E37" s="15">
        <f>Raw_Prices!E37/Raw_Prices!E36-1</f>
        <v>3.2744359062209405E-2</v>
      </c>
      <c r="F37" s="15">
        <f>Raw_Prices!F37/Raw_Prices!F36-1</f>
        <v>4.7764227642276502E-2</v>
      </c>
      <c r="G37" s="15">
        <f>Raw_Prices!G37/Raw_Prices!G36-1</f>
        <v>-2.5533489576908708E-2</v>
      </c>
      <c r="H37" s="15">
        <f>Raw_Prices!H37/Raw_Prices!H36-1</f>
        <v>-3.2569046378322031E-2</v>
      </c>
      <c r="I37" s="15">
        <f>Raw_Prices!I37/Raw_Prices!I36-1</f>
        <v>-2.0757199239877289E-2</v>
      </c>
      <c r="J37" s="15">
        <f>KSE100_Benchmark!B37/KSE100_Benchmark!B36-1</f>
        <v>1.1525015021109697E-2</v>
      </c>
    </row>
    <row r="38" spans="1:10" ht="15" customHeight="1" x14ac:dyDescent="0.25">
      <c r="A38" s="12">
        <f>Raw_Prices!A38</f>
        <v>43101</v>
      </c>
      <c r="B38" s="15">
        <f>Raw_Prices!B38/Raw_Prices!B37-1</f>
        <v>1.3950617283950528E-2</v>
      </c>
      <c r="C38" s="15">
        <f>Raw_Prices!C38/Raw_Prices!C37-1</f>
        <v>0.14068346221002725</v>
      </c>
      <c r="D38" s="15">
        <f>Raw_Prices!D38/Raw_Prices!D37-1</f>
        <v>2.6660774782736762E-2</v>
      </c>
      <c r="E38" s="15">
        <f>Raw_Prices!E38/Raw_Prices!E37-1</f>
        <v>7.2748815165876834E-2</v>
      </c>
      <c r="F38" s="15">
        <f>Raw_Prices!F38/Raw_Prices!F37-1</f>
        <v>0.19342386032977688</v>
      </c>
      <c r="G38" s="15">
        <f>Raw_Prices!G38/Raw_Prices!G37-1</f>
        <v>0.14303797468354418</v>
      </c>
      <c r="H38" s="15">
        <f>Raw_Prices!H38/Raw_Prices!H37-1</f>
        <v>-2.5316455696202667E-2</v>
      </c>
      <c r="I38" s="15">
        <f>Raw_Prices!I38/Raw_Prices!I37-1</f>
        <v>7.2772055530676116E-2</v>
      </c>
      <c r="J38" s="15">
        <f>KSE100_Benchmark!B38/KSE100_Benchmark!B37-1</f>
        <v>8.8397310896463299E-2</v>
      </c>
    </row>
    <row r="39" spans="1:10" ht="15" customHeight="1" x14ac:dyDescent="0.25">
      <c r="A39" s="12">
        <f>Raw_Prices!A39</f>
        <v>43132</v>
      </c>
      <c r="B39" s="15">
        <f>Raw_Prices!B39/Raw_Prices!B38-1</f>
        <v>-1.7654937294532269E-3</v>
      </c>
      <c r="C39" s="15">
        <f>Raw_Prices!C39/Raw_Prices!C38-1</f>
        <v>-2.6022304832713727E-2</v>
      </c>
      <c r="D39" s="15">
        <f>Raw_Prices!D39/Raw_Prices!D38-1</f>
        <v>-5.8823529411764497E-3</v>
      </c>
      <c r="E39" s="15">
        <f>Raw_Prices!E39/Raw_Prices!E38-1</f>
        <v>-3.6889772476253579E-2</v>
      </c>
      <c r="F39" s="15">
        <f>Raw_Prices!F39/Raw_Prices!F38-1</f>
        <v>-2.3504169308041223E-2</v>
      </c>
      <c r="G39" s="15">
        <f>Raw_Prices!G39/Raw_Prices!G38-1</f>
        <v>-1.7718715393133966E-2</v>
      </c>
      <c r="H39" s="15">
        <f>Raw_Prices!H39/Raw_Prices!H38-1</f>
        <v>3.8684719535783563E-2</v>
      </c>
      <c r="I39" s="15">
        <f>Raw_Prices!I39/Raw_Prices!I38-1</f>
        <v>-6.7209350866207496E-2</v>
      </c>
      <c r="J39" s="15">
        <f>KSE100_Benchmark!B39/KSE100_Benchmark!B38-1</f>
        <v>-1.8379738042023641E-2</v>
      </c>
    </row>
    <row r="40" spans="1:10" ht="15" customHeight="1" x14ac:dyDescent="0.25">
      <c r="A40" s="12">
        <f>Raw_Prices!A40</f>
        <v>43160</v>
      </c>
      <c r="B40" s="15">
        <f>Raw_Prices!B40/Raw_Prices!B39-1</f>
        <v>6.1047752637677588E-2</v>
      </c>
      <c r="C40" s="15">
        <f>Raw_Prices!C40/Raw_Prices!C39-1</f>
        <v>5.8823529411764719E-2</v>
      </c>
      <c r="D40" s="15">
        <f>Raw_Prices!D40/Raw_Prices!D39-1</f>
        <v>-2.8864193967383933E-3</v>
      </c>
      <c r="E40" s="15">
        <f>Raw_Prices!E40/Raw_Prices!E39-1</f>
        <v>9.7706422018348782E-3</v>
      </c>
      <c r="F40" s="15">
        <f>Raw_Prices!F40/Raw_Prices!F39-1</f>
        <v>0.14793175197669584</v>
      </c>
      <c r="G40" s="15">
        <f>Raw_Prices!G40/Raw_Prices!G39-1</f>
        <v>5.6933483652762185E-2</v>
      </c>
      <c r="H40" s="15">
        <f>Raw_Prices!H40/Raw_Prices!H39-1</f>
        <v>0.36977919659483893</v>
      </c>
      <c r="I40" s="15">
        <f>Raw_Prices!I40/Raw_Prices!I39-1</f>
        <v>1.9840381890057435E-2</v>
      </c>
      <c r="J40" s="15">
        <f>KSE100_Benchmark!B40/KSE100_Benchmark!B39-1</f>
        <v>5.3674608181789596E-2</v>
      </c>
    </row>
    <row r="41" spans="1:10" ht="15" customHeight="1" x14ac:dyDescent="0.25">
      <c r="A41" s="12">
        <f>Raw_Prices!A41</f>
        <v>43191</v>
      </c>
      <c r="B41" s="15">
        <f>Raw_Prices!B41/Raw_Prices!B40-1</f>
        <v>-4.1671456489251635E-2</v>
      </c>
      <c r="C41" s="15">
        <f>Raw_Prices!C41/Raw_Prices!C40-1</f>
        <v>-5.0890585241729624E-3</v>
      </c>
      <c r="D41" s="15">
        <f>Raw_Prices!D41/Raw_Prices!D40-1</f>
        <v>4.5013750180923351E-2</v>
      </c>
      <c r="E41" s="15">
        <f>Raw_Prices!E41/Raw_Prices!E40-1</f>
        <v>-5.1469586153636393E-2</v>
      </c>
      <c r="F41" s="15">
        <f>Raw_Prices!F41/Raw_Prices!F40-1</f>
        <v>-4.8751486325802618E-2</v>
      </c>
      <c r="G41" s="15">
        <f>Raw_Prices!G41/Raw_Prices!G40-1</f>
        <v>6.2933333333333286E-2</v>
      </c>
      <c r="H41" s="15">
        <f>Raw_Prices!H41/Raw_Prices!H40-1</f>
        <v>-1.6022528646339129E-2</v>
      </c>
      <c r="I41" s="15">
        <f>Raw_Prices!I41/Raw_Prices!I40-1</f>
        <v>3.0863746068894971E-2</v>
      </c>
      <c r="J41" s="15">
        <f>KSE100_Benchmark!B41/KSE100_Benchmark!B40-1</f>
        <v>-1.5680318171742424E-3</v>
      </c>
    </row>
    <row r="42" spans="1:10" ht="15" customHeight="1" x14ac:dyDescent="0.25">
      <c r="A42" s="12">
        <f>Raw_Prices!A42</f>
        <v>43221</v>
      </c>
      <c r="B42" s="15">
        <f>Raw_Prices!B42/Raw_Prices!B41-1</f>
        <v>-2.3031248125712223E-2</v>
      </c>
      <c r="C42" s="15">
        <f>Raw_Prices!C42/Raw_Prices!C41-1</f>
        <v>-5.0724637681159424E-2</v>
      </c>
      <c r="D42" s="15">
        <f>Raw_Prices!D42/Raw_Prices!D41-1</f>
        <v>3.1440443213296421E-2</v>
      </c>
      <c r="E42" s="15">
        <f>Raw_Prices!E42/Raw_Prices!E41-1</f>
        <v>-2.3515325670498188E-2</v>
      </c>
      <c r="F42" s="15">
        <f>Raw_Prices!F42/Raw_Prices!F41-1</f>
        <v>-0.16615853658536583</v>
      </c>
      <c r="G42" s="15">
        <f>Raw_Prices!G42/Raw_Prices!G41-1</f>
        <v>-1.5554440541896697E-2</v>
      </c>
      <c r="H42" s="15">
        <f>Raw_Prices!H42/Raw_Prices!H41-1</f>
        <v>5.5166288364748794E-2</v>
      </c>
      <c r="I42" s="15">
        <f>Raw_Prices!I42/Raw_Prices!I41-1</f>
        <v>-1.6175948918056071E-2</v>
      </c>
      <c r="J42" s="15">
        <f>KSE100_Benchmark!B42/KSE100_Benchmark!B41-1</f>
        <v>-5.808499047898763E-2</v>
      </c>
    </row>
    <row r="43" spans="1:10" ht="15" customHeight="1" x14ac:dyDescent="0.25">
      <c r="A43" s="12">
        <f>Raw_Prices!A43</f>
        <v>43252</v>
      </c>
      <c r="B43" s="15">
        <f>Raw_Prices!B43/Raw_Prices!B42-1</f>
        <v>-4.4631346307323905E-2</v>
      </c>
      <c r="C43" s="15">
        <f>Raw_Prices!C43/Raw_Prices!C42-1</f>
        <v>8.9806915132465193E-2</v>
      </c>
      <c r="D43" s="15">
        <f>Raw_Prices!D43/Raw_Prices!D42-1</f>
        <v>5.9084194977843119E-3</v>
      </c>
      <c r="E43" s="15">
        <f>Raw_Prices!E43/Raw_Prices!E42-1</f>
        <v>-3.0016185197900724E-2</v>
      </c>
      <c r="F43" s="15">
        <f>Raw_Prices!F43/Raw_Prices!F42-1</f>
        <v>-7.1425959780621606E-2</v>
      </c>
      <c r="G43" s="15">
        <f>Raw_Prices!G43/Raw_Prices!G42-1</f>
        <v>8.0530071355759958E-3</v>
      </c>
      <c r="H43" s="15">
        <f>Raw_Prices!H43/Raw_Prices!H42-1</f>
        <v>7.603815937149272E-2</v>
      </c>
      <c r="I43" s="15">
        <f>Raw_Prices!I43/Raw_Prices!I42-1</f>
        <v>-2.596091440109527E-3</v>
      </c>
      <c r="J43" s="15">
        <f>KSE100_Benchmark!B43/KSE100_Benchmark!B42-1</f>
        <v>-2.1839285414212095E-2</v>
      </c>
    </row>
    <row r="44" spans="1:10" ht="15" customHeight="1" x14ac:dyDescent="0.25">
      <c r="A44" s="12">
        <f>Raw_Prices!A44</f>
        <v>43282</v>
      </c>
      <c r="B44" s="15">
        <f>Raw_Prices!B44/Raw_Prices!B43-1</f>
        <v>-3.1294178126204941E-2</v>
      </c>
      <c r="C44" s="15">
        <f>Raw_Prices!C44/Raw_Prices!C43-1</f>
        <v>9.765142150803463E-2</v>
      </c>
      <c r="D44" s="15">
        <f>Raw_Prices!D44/Raw_Prices!D43-1</f>
        <v>5.459885195568015E-2</v>
      </c>
      <c r="E44" s="15">
        <f>Raw_Prices!E44/Raw_Prices!E43-1</f>
        <v>4.6670374677655779E-2</v>
      </c>
      <c r="F44" s="15">
        <f>Raw_Prices!F44/Raw_Prices!F43-1</f>
        <v>8.4755773433347059E-2</v>
      </c>
      <c r="G44" s="15">
        <f>Raw_Prices!G44/Raw_Prices!G43-1</f>
        <v>6.7752047729801035E-3</v>
      </c>
      <c r="H44" s="15">
        <f>Raw_Prices!H44/Raw_Prices!H43-1</f>
        <v>0.13055193394176445</v>
      </c>
      <c r="I44" s="15">
        <f>Raw_Prices!I44/Raw_Prices!I43-1</f>
        <v>-3.2680211119948011E-2</v>
      </c>
      <c r="J44" s="15">
        <f>KSE100_Benchmark!B44/KSE100_Benchmark!B43-1</f>
        <v>1.912461913249297E-2</v>
      </c>
    </row>
    <row r="45" spans="1:10" ht="15" customHeight="1" x14ac:dyDescent="0.25">
      <c r="A45" s="12">
        <f>Raw_Prices!A45</f>
        <v>43313</v>
      </c>
      <c r="B45" s="15">
        <f>Raw_Prices!B45/Raw_Prices!B44-1</f>
        <v>8.4245439469321504E-3</v>
      </c>
      <c r="C45" s="15">
        <f>Raw_Prices!C45/Raw_Prices!C44-1</f>
        <v>4.3918918918918859E-2</v>
      </c>
      <c r="D45" s="15">
        <f>Raw_Prices!D45/Raw_Prices!D44-1</f>
        <v>-1.2658227848105774E-4</v>
      </c>
      <c r="E45" s="15">
        <f>Raw_Prices!E45/Raw_Prices!E44-1</f>
        <v>-3.3816425120772986E-2</v>
      </c>
      <c r="F45" s="15">
        <f>Raw_Prices!F45/Raw_Prices!F44-1</f>
        <v>-1.851246869214862E-2</v>
      </c>
      <c r="G45" s="15">
        <f>Raw_Prices!G45/Raw_Prices!G44-1</f>
        <v>-1.7276014463640021E-2</v>
      </c>
      <c r="H45" s="15">
        <f>Raw_Prices!H45/Raw_Prices!H44-1</f>
        <v>-0.13400476666410388</v>
      </c>
      <c r="I45" s="15">
        <f>Raw_Prices!I45/Raw_Prices!I44-1</f>
        <v>5.3516705284401E-2</v>
      </c>
      <c r="J45" s="15">
        <f>KSE100_Benchmark!B45/KSE100_Benchmark!B44-1</f>
        <v>-2.2714465086627111E-2</v>
      </c>
    </row>
    <row r="46" spans="1:10" ht="15" customHeight="1" x14ac:dyDescent="0.25">
      <c r="A46" s="12">
        <f>Raw_Prices!A46</f>
        <v>43344</v>
      </c>
      <c r="B46" s="15">
        <f>Raw_Prices!B46/Raw_Prices!B45-1</f>
        <v>6.4465201947112583E-3</v>
      </c>
      <c r="C46" s="15">
        <f>Raw_Prices!C46/Raw_Prices!C45-1</f>
        <v>4.5487234807623178E-2</v>
      </c>
      <c r="D46" s="15">
        <f>Raw_Prices!D46/Raw_Prices!D45-1</f>
        <v>-4.2916824914546181E-2</v>
      </c>
      <c r="E46" s="15">
        <f>Raw_Prices!E46/Raw_Prices!E45-1</f>
        <v>-4.8999999999999044E-3</v>
      </c>
      <c r="F46" s="15">
        <f>Raw_Prices!F46/Raw_Prices!F45-1</f>
        <v>-4.952106216945884E-2</v>
      </c>
      <c r="G46" s="15">
        <f>Raw_Prices!G46/Raw_Prices!G45-1</f>
        <v>-9.1986917416198022E-4</v>
      </c>
      <c r="H46" s="15">
        <f>Raw_Prices!H46/Raw_Prices!H45-1</f>
        <v>4.8384232954545414E-2</v>
      </c>
      <c r="I46" s="15">
        <f>Raw_Prices!I46/Raw_Prices!I45-1</f>
        <v>1.6317843206810956E-2</v>
      </c>
      <c r="J46" s="15">
        <f>KSE100_Benchmark!B46/KSE100_Benchmark!B45-1</f>
        <v>-1.7815287344426167E-2</v>
      </c>
    </row>
    <row r="47" spans="1:10" ht="15" customHeight="1" x14ac:dyDescent="0.25">
      <c r="A47" s="12">
        <f>Raw_Prices!A47</f>
        <v>43374</v>
      </c>
      <c r="B47" s="15">
        <f>Raw_Prices!B47/Raw_Prices!B46-1</f>
        <v>3.2745098039215659E-2</v>
      </c>
      <c r="C47" s="15">
        <f>Raw_Prices!C47/Raw_Prices!C46-1</f>
        <v>0.12244196044711941</v>
      </c>
      <c r="D47" s="15">
        <f>Raw_Prices!D47/Raw_Prices!D46-1</f>
        <v>6.7460317460317665E-2</v>
      </c>
      <c r="E47" s="15">
        <f>Raw_Prices!E47/Raw_Prices!E46-1</f>
        <v>-1.0149733695106078E-2</v>
      </c>
      <c r="F47" s="15">
        <f>Raw_Prices!F47/Raw_Prices!F46-1</f>
        <v>-3.6964980544747061E-2</v>
      </c>
      <c r="G47" s="15">
        <f>Raw_Prices!G47/Raw_Prices!G46-1</f>
        <v>7.6726342710997653E-3</v>
      </c>
      <c r="H47" s="15">
        <f>Raw_Prices!H47/Raw_Prices!H46-1</f>
        <v>-4.2679312388856028E-2</v>
      </c>
      <c r="I47" s="15">
        <f>Raw_Prices!I47/Raw_Prices!I46-1</f>
        <v>4.006980802792337E-2</v>
      </c>
      <c r="J47" s="15">
        <f>KSE100_Benchmark!B47/KSE100_Benchmark!B46-1</f>
        <v>1.5872984900212606E-2</v>
      </c>
    </row>
    <row r="48" spans="1:10" ht="15" customHeight="1" x14ac:dyDescent="0.25">
      <c r="A48" s="12">
        <f>Raw_Prices!A48</f>
        <v>43405</v>
      </c>
      <c r="B48" s="15">
        <f>Raw_Prices!B48/Raw_Prices!B47-1</f>
        <v>-6.626162901082211E-2</v>
      </c>
      <c r="C48" s="15">
        <f>Raw_Prices!C48/Raw_Prices!C47-1</f>
        <v>-1.5167764669832939E-2</v>
      </c>
      <c r="D48" s="15">
        <f>Raw_Prices!D48/Raw_Prices!D47-1</f>
        <v>-5.3655514250309788E-2</v>
      </c>
      <c r="E48" s="15">
        <f>Raw_Prices!E48/Raw_Prices!E47-1</f>
        <v>4.6192893401015178E-2</v>
      </c>
      <c r="F48" s="15">
        <f>Raw_Prices!F48/Raw_Prices!F47-1</f>
        <v>-2.1818181818181737E-3</v>
      </c>
      <c r="G48" s="15">
        <f>Raw_Prices!G48/Raw_Prices!G47-1</f>
        <v>2.5380710659899108E-3</v>
      </c>
      <c r="H48" s="15">
        <f>Raw_Prices!H48/Raw_Prices!H47-1</f>
        <v>-0.11791242812914637</v>
      </c>
      <c r="I48" s="15">
        <f>Raw_Prices!I48/Raw_Prices!I47-1</f>
        <v>-5.6580978589167108E-2</v>
      </c>
      <c r="J48" s="15">
        <f>KSE100_Benchmark!B48/KSE100_Benchmark!B47-1</f>
        <v>-2.7691421909004199E-2</v>
      </c>
    </row>
    <row r="49" spans="1:10" ht="15" customHeight="1" x14ac:dyDescent="0.25">
      <c r="A49" s="12">
        <f>Raw_Prices!A49</f>
        <v>43435</v>
      </c>
      <c r="B49" s="15">
        <f>Raw_Prices!B49/Raw_Prices!B48-1</f>
        <v>-0.13209976955401914</v>
      </c>
      <c r="C49" s="15">
        <f>Raw_Prices!C49/Raw_Prices!C48-1</f>
        <v>-7.9651524579962718E-2</v>
      </c>
      <c r="D49" s="15">
        <f>Raw_Prices!D49/Raw_Prices!D48-1</f>
        <v>-8.8123608746890181E-2</v>
      </c>
      <c r="E49" s="15">
        <f>Raw_Prices!E49/Raw_Prices!E48-1</f>
        <v>-5.8709364386220209E-2</v>
      </c>
      <c r="F49" s="15">
        <f>Raw_Prices!F49/Raw_Prices!F48-1</f>
        <v>-0.11995869776482015</v>
      </c>
      <c r="G49" s="15">
        <f>Raw_Prices!G49/Raw_Prices!G48-1</f>
        <v>-5.82278481012658E-2</v>
      </c>
      <c r="H49" s="15">
        <f>Raw_Prices!H49/Raw_Prices!H48-1</f>
        <v>-7.6514239871640521E-2</v>
      </c>
      <c r="I49" s="15">
        <f>Raw_Prices!I49/Raw_Prices!I48-1</f>
        <v>-0.1368099032441662</v>
      </c>
      <c r="J49" s="15">
        <f>KSE100_Benchmark!B49/KSE100_Benchmark!B48-1</f>
        <v>-8.4683856664468093E-2</v>
      </c>
    </row>
    <row r="50" spans="1:10" ht="15" customHeight="1" x14ac:dyDescent="0.25">
      <c r="A50" s="12">
        <f>Raw_Prices!A50</f>
        <v>43466</v>
      </c>
      <c r="B50" s="15">
        <f>Raw_Prices!B50/Raw_Prices!B49-1</f>
        <v>0.17485357282311575</v>
      </c>
      <c r="C50" s="15">
        <f>Raw_Prices!C50/Raw_Prices!C49-1</f>
        <v>3.887762001352435E-3</v>
      </c>
      <c r="D50" s="15">
        <f>Raw_Prices!D50/Raw_Prices!D49-1</f>
        <v>8.9172889144169876E-2</v>
      </c>
      <c r="E50" s="15">
        <f>Raw_Prices!E50/Raw_Prices!E49-1</f>
        <v>7.391752577319588E-2</v>
      </c>
      <c r="F50" s="15">
        <f>Raw_Prices!F50/Raw_Prices!F49-1</f>
        <v>7.9600616559688975E-2</v>
      </c>
      <c r="G50" s="15">
        <f>Raw_Prices!G50/Raw_Prices!G49-1</f>
        <v>0.14516129032258074</v>
      </c>
      <c r="H50" s="15">
        <f>Raw_Prices!H50/Raw_Prices!H49-1</f>
        <v>1.2704962536648878E-2</v>
      </c>
      <c r="I50" s="15">
        <f>Raw_Prices!I50/Raw_Prices!I49-1</f>
        <v>7.3930602489079567E-2</v>
      </c>
      <c r="J50" s="15">
        <f>KSE100_Benchmark!B50/KSE100_Benchmark!B49-1</f>
        <v>0.10070637583575759</v>
      </c>
    </row>
    <row r="51" spans="1:10" ht="15" customHeight="1" x14ac:dyDescent="0.25">
      <c r="A51" s="12">
        <f>Raw_Prices!A51</f>
        <v>43497</v>
      </c>
      <c r="B51" s="15">
        <f>Raw_Prices!B51/Raw_Prices!B50-1</f>
        <v>-6.3148098909863171E-3</v>
      </c>
      <c r="C51" s="15">
        <f>Raw_Prices!C51/Raw_Prices!C50-1</f>
        <v>6.7014648930796339E-2</v>
      </c>
      <c r="D51" s="15">
        <f>Raw_Prices!D51/Raw_Prices!D50-1</f>
        <v>-3.1114040870138471E-2</v>
      </c>
      <c r="E51" s="15">
        <f>Raw_Prices!E51/Raw_Prices!E50-1</f>
        <v>-1.5407506959777328E-2</v>
      </c>
      <c r="F51" s="15">
        <f>Raw_Prices!F51/Raw_Prices!F50-1</f>
        <v>-5.3913525262641038E-3</v>
      </c>
      <c r="G51" s="15">
        <f>Raw_Prices!G51/Raw_Prices!G50-1</f>
        <v>6.0093896713615536E-3</v>
      </c>
      <c r="H51" s="15">
        <f>Raw_Prices!H51/Raw_Prices!H50-1</f>
        <v>4.2890842805061169E-3</v>
      </c>
      <c r="I51" s="15">
        <f>Raw_Prices!I51/Raw_Prices!I50-1</f>
        <v>9.439754412893242E-3</v>
      </c>
      <c r="J51" s="15">
        <f>KSE100_Benchmark!B51/KSE100_Benchmark!B50-1</f>
        <v>-4.2768150213531864E-2</v>
      </c>
    </row>
    <row r="52" spans="1:10" ht="15" customHeight="1" x14ac:dyDescent="0.25">
      <c r="A52" s="12">
        <f>Raw_Prices!A52</f>
        <v>43525</v>
      </c>
      <c r="B52" s="15">
        <f>Raw_Prices!B52/Raw_Prices!B51-1</f>
        <v>-1.2308515619773974E-2</v>
      </c>
      <c r="C52" s="15">
        <f>Raw_Prices!C52/Raw_Prices!C51-1</f>
        <v>1.0415022881489655E-2</v>
      </c>
      <c r="D52" s="15">
        <f>Raw_Prices!D52/Raw_Prices!D51-1</f>
        <v>-2.6806368213362353E-2</v>
      </c>
      <c r="E52" s="15">
        <f>Raw_Prices!E52/Raw_Prices!E51-1</f>
        <v>-4.2070881879783584E-2</v>
      </c>
      <c r="F52" s="15">
        <f>Raw_Prices!F52/Raw_Prices!F51-1</f>
        <v>-8.2487037751210468E-2</v>
      </c>
      <c r="G52" s="15">
        <f>Raw_Prices!G52/Raw_Prices!G51-1</f>
        <v>-2.4640657084188944E-2</v>
      </c>
      <c r="H52" s="15">
        <f>Raw_Prices!H52/Raw_Prices!H51-1</f>
        <v>3.3739056160580816E-2</v>
      </c>
      <c r="I52" s="15">
        <f>Raw_Prices!I52/Raw_Prices!I51-1</f>
        <v>-4.7745761423249489E-2</v>
      </c>
      <c r="J52" s="15">
        <f>KSE100_Benchmark!B52/KSE100_Benchmark!B51-1</f>
        <v>-1.0376754594849324E-2</v>
      </c>
    </row>
    <row r="53" spans="1:10" ht="15" customHeight="1" x14ac:dyDescent="0.25">
      <c r="A53" s="12">
        <f>Raw_Prices!A53</f>
        <v>43556</v>
      </c>
      <c r="B53" s="15">
        <f>Raw_Prices!B53/Raw_Prices!B52-1</f>
        <v>-4.8425330172705783E-2</v>
      </c>
      <c r="C53" s="15">
        <f>Raw_Prices!C53/Raw_Prices!C52-1</f>
        <v>-3.0610651257223176E-2</v>
      </c>
      <c r="D53" s="15">
        <f>Raw_Prices!D53/Raw_Prices!D52-1</f>
        <v>-2.824384787472034E-2</v>
      </c>
      <c r="E53" s="15">
        <f>Raw_Prices!E53/Raw_Prices!E52-1</f>
        <v>-3.30788804071247E-2</v>
      </c>
      <c r="F53" s="15">
        <f>Raw_Prices!F53/Raw_Prices!F52-1</f>
        <v>-0.10015411918550343</v>
      </c>
      <c r="G53" s="15">
        <f>Raw_Prices!G53/Raw_Prices!G52-1</f>
        <v>-4.784688995215336E-3</v>
      </c>
      <c r="H53" s="15">
        <f>Raw_Prices!H53/Raw_Prices!H52-1</f>
        <v>7.2299111753770795E-4</v>
      </c>
      <c r="I53" s="15">
        <f>Raw_Prices!I53/Raw_Prices!I52-1</f>
        <v>-5.9640718562874229E-2</v>
      </c>
      <c r="J53" s="15">
        <f>KSE100_Benchmark!B53/KSE100_Benchmark!B52-1</f>
        <v>-4.825179420916359E-2</v>
      </c>
    </row>
    <row r="54" spans="1:10" ht="15" customHeight="1" x14ac:dyDescent="0.25">
      <c r="A54" s="12">
        <f>Raw_Prices!A54</f>
        <v>43586</v>
      </c>
      <c r="B54" s="15">
        <f>Raw_Prices!B54/Raw_Prices!B53-1</f>
        <v>-2.8398576512455587E-2</v>
      </c>
      <c r="C54" s="15">
        <f>Raw_Prices!C54/Raw_Prices!C53-1</f>
        <v>8.5387465764459547E-2</v>
      </c>
      <c r="D54" s="15">
        <f>Raw_Prices!D54/Raw_Prices!D53-1</f>
        <v>-7.194244604316502E-3</v>
      </c>
      <c r="E54" s="15">
        <f>Raw_Prices!E54/Raw_Prices!E53-1</f>
        <v>-7.3157894736842088E-2</v>
      </c>
      <c r="F54" s="15">
        <f>Raw_Prices!F54/Raw_Prices!F53-1</f>
        <v>9.9805371739976501E-2</v>
      </c>
      <c r="G54" s="15">
        <f>Raw_Prices!G54/Raw_Prices!G53-1</f>
        <v>-0.10576923076923073</v>
      </c>
      <c r="H54" s="15">
        <f>Raw_Prices!H54/Raw_Prices!H53-1</f>
        <v>-8.3599958716069622E-3</v>
      </c>
      <c r="I54" s="15">
        <f>Raw_Prices!I54/Raw_Prices!I53-1</f>
        <v>-1.3754457463066805E-2</v>
      </c>
      <c r="J54" s="15">
        <f>KSE100_Benchmark!B54/KSE100_Benchmark!B53-1</f>
        <v>-2.2010665379165739E-2</v>
      </c>
    </row>
    <row r="55" spans="1:10" ht="15" customHeight="1" x14ac:dyDescent="0.25">
      <c r="A55" s="12">
        <f>Raw_Prices!A55</f>
        <v>43617</v>
      </c>
      <c r="B55" s="15">
        <f>Raw_Prices!B55/Raw_Prices!B54-1</f>
        <v>-3.6773862720679618E-2</v>
      </c>
      <c r="C55" s="15">
        <f>Raw_Prices!C55/Raw_Prices!C54-1</f>
        <v>-7.0209291969719478E-2</v>
      </c>
      <c r="D55" s="15">
        <f>Raw_Prices!D55/Raw_Prices!D54-1</f>
        <v>-7.7246376811594186E-2</v>
      </c>
      <c r="E55" s="15">
        <f>Raw_Prices!E55/Raw_Prices!E54-1</f>
        <v>-9.3696763202726352E-3</v>
      </c>
      <c r="F55" s="15">
        <f>Raw_Prices!F55/Raw_Prices!F54-1</f>
        <v>-0.10927066374082728</v>
      </c>
      <c r="G55" s="15">
        <f>Raw_Prices!G55/Raw_Prices!G54-1</f>
        <v>-6.9677419354838732E-2</v>
      </c>
      <c r="H55" s="15">
        <f>Raw_Prices!H55/Raw_Prices!H54-1</f>
        <v>-7.8892589508742672E-2</v>
      </c>
      <c r="I55" s="15">
        <f>Raw_Prices!I55/Raw_Prices!I54-1</f>
        <v>-0.10864325068870517</v>
      </c>
      <c r="J55" s="15">
        <f>KSE100_Benchmark!B55/KSE100_Benchmark!B54-1</f>
        <v>-5.7629523341206412E-2</v>
      </c>
    </row>
    <row r="56" spans="1:10" ht="15" customHeight="1" x14ac:dyDescent="0.25">
      <c r="A56" s="12">
        <f>Raw_Prices!A56</f>
        <v>43647</v>
      </c>
      <c r="B56" s="15">
        <f>Raw_Prices!B56/Raw_Prices!B55-1</f>
        <v>-3.6048368697239375E-2</v>
      </c>
      <c r="C56" s="15">
        <f>Raw_Prices!C56/Raw_Prices!C55-1</f>
        <v>-5.9386973180076574E-2</v>
      </c>
      <c r="D56" s="15">
        <f>Raw_Prices!D56/Raw_Prices!D55-1</f>
        <v>6.7535731113552711E-3</v>
      </c>
      <c r="E56" s="15">
        <f>Raw_Prices!E56/Raw_Prices!E55-1</f>
        <v>6.305531670967035E-4</v>
      </c>
      <c r="F56" s="15">
        <f>Raw_Prices!F56/Raw_Prices!F55-1</f>
        <v>3.9735099337747659E-3</v>
      </c>
      <c r="G56" s="15">
        <f>Raw_Prices!G56/Raw_Prices!G55-1</f>
        <v>9.8589921405455305E-2</v>
      </c>
      <c r="H56" s="15">
        <f>Raw_Prices!H56/Raw_Prices!H55-1</f>
        <v>-0.11276836158192094</v>
      </c>
      <c r="I56" s="15">
        <f>Raw_Prices!I56/Raw_Prices!I55-1</f>
        <v>-8.2963106045972568E-2</v>
      </c>
      <c r="J56" s="15">
        <f>KSE100_Benchmark!B56/KSE100_Benchmark!B55-1</f>
        <v>-5.7905855715279397E-2</v>
      </c>
    </row>
    <row r="57" spans="1:10" ht="15" customHeight="1" x14ac:dyDescent="0.25">
      <c r="A57" s="12">
        <f>Raw_Prices!A57</f>
        <v>43678</v>
      </c>
      <c r="B57" s="15">
        <f>Raw_Prices!B57/Raw_Prices!B56-1</f>
        <v>-0.17506903353057202</v>
      </c>
      <c r="C57" s="15">
        <f>Raw_Prices!C57/Raw_Prices!C56-1</f>
        <v>-8.044806517311609E-2</v>
      </c>
      <c r="D57" s="15">
        <f>Raw_Prices!D57/Raw_Prices!D56-1</f>
        <v>2.6521060842433775E-2</v>
      </c>
      <c r="E57" s="15">
        <f>Raw_Prices!E57/Raw_Prices!E56-1</f>
        <v>-3.4658570119156851E-2</v>
      </c>
      <c r="F57" s="15">
        <f>Raw_Prices!F57/Raw_Prices!F56-1</f>
        <v>-7.6437994722955205E-2</v>
      </c>
      <c r="G57" s="15">
        <f>Raw_Prices!G57/Raw_Prices!G56-1</f>
        <v>-3.9347711730667978E-2</v>
      </c>
      <c r="H57" s="15">
        <f>Raw_Prices!H57/Raw_Prices!H56-1</f>
        <v>9.0677534386143677E-2</v>
      </c>
      <c r="I57" s="15">
        <f>Raw_Prices!I57/Raw_Prices!I56-1</f>
        <v>-0.10900473933649302</v>
      </c>
      <c r="J57" s="15">
        <f>KSE100_Benchmark!B57/KSE100_Benchmark!B56-1</f>
        <v>-7.0960170928610289E-2</v>
      </c>
    </row>
    <row r="58" spans="1:10" ht="15" customHeight="1" x14ac:dyDescent="0.25">
      <c r="A58" s="12">
        <f>Raw_Prices!A58</f>
        <v>43709</v>
      </c>
      <c r="B58" s="15">
        <f>Raw_Prices!B58/Raw_Prices!B57-1</f>
        <v>0.18582631981637321</v>
      </c>
      <c r="C58" s="15">
        <f>Raw_Prices!C58/Raw_Prices!C57-1</f>
        <v>-4.0974529346622379E-2</v>
      </c>
      <c r="D58" s="15">
        <f>Raw_Prices!D58/Raw_Prices!D57-1</f>
        <v>3.3434650455927084E-2</v>
      </c>
      <c r="E58" s="15">
        <f>Raw_Prices!E58/Raw_Prices!E57-1</f>
        <v>1.4776571123375604E-2</v>
      </c>
      <c r="F58" s="15">
        <f>Raw_Prices!F58/Raw_Prices!F57-1</f>
        <v>-2.3255149558609189E-2</v>
      </c>
      <c r="G58" s="15">
        <f>Raw_Prices!G58/Raw_Prices!G57-1</f>
        <v>2.3436644398203921E-2</v>
      </c>
      <c r="H58" s="15">
        <f>Raw_Prices!H58/Raw_Prices!H57-1</f>
        <v>-7.6015880429705751E-2</v>
      </c>
      <c r="I58" s="15">
        <f>Raw_Prices!I58/Raw_Prices!I57-1</f>
        <v>7.458628841607573E-2</v>
      </c>
      <c r="J58" s="15">
        <f>KSE100_Benchmark!B58/KSE100_Benchmark!B57-1</f>
        <v>8.1110820527822147E-2</v>
      </c>
    </row>
    <row r="59" spans="1:10" ht="15" customHeight="1" x14ac:dyDescent="0.25">
      <c r="A59" s="12">
        <f>Raw_Prices!A59</f>
        <v>43739</v>
      </c>
      <c r="B59" s="15">
        <f>Raw_Prices!B59/Raw_Prices!B58-1</f>
        <v>3.6777159448342811E-2</v>
      </c>
      <c r="C59" s="15">
        <f>Raw_Prices!C59/Raw_Prices!C58-1</f>
        <v>7.8906851424172419E-2</v>
      </c>
      <c r="D59" s="15">
        <f>Raw_Prices!D59/Raw_Prices!D58-1</f>
        <v>4.9117647058823488E-2</v>
      </c>
      <c r="E59" s="15">
        <f>Raw_Prices!E59/Raw_Prices!E58-1</f>
        <v>2.280701754385972E-2</v>
      </c>
      <c r="F59" s="15">
        <f>Raw_Prices!F59/Raw_Prices!F58-1</f>
        <v>2.3721079879493345E-2</v>
      </c>
      <c r="G59" s="15">
        <f>Raw_Prices!G59/Raw_Prices!G58-1</f>
        <v>5.8855002675226586E-3</v>
      </c>
      <c r="H59" s="15">
        <f>Raw_Prices!H59/Raw_Prices!H58-1</f>
        <v>2.0346265638822247E-2</v>
      </c>
      <c r="I59" s="15">
        <f>Raw_Prices!I59/Raw_Prices!I58-1</f>
        <v>0.34044659553404477</v>
      </c>
      <c r="J59" s="15">
        <f>KSE100_Benchmark!B59/KSE100_Benchmark!B58-1</f>
        <v>6.6237723609169352E-2</v>
      </c>
    </row>
    <row r="60" spans="1:10" ht="15" customHeight="1" x14ac:dyDescent="0.25">
      <c r="A60" s="12">
        <f>Raw_Prices!A60</f>
        <v>43770</v>
      </c>
      <c r="B60" s="15">
        <f>Raw_Prices!B60/Raw_Prices!B59-1</f>
        <v>2.4893037728510148E-2</v>
      </c>
      <c r="C60" s="15">
        <f>Raw_Prices!C60/Raw_Prices!C59-1</f>
        <v>0.11559043881555464</v>
      </c>
      <c r="D60" s="15">
        <f>Raw_Prices!D60/Raw_Prices!D59-1</f>
        <v>-3.3081020465377087E-2</v>
      </c>
      <c r="E60" s="15">
        <f>Raw_Prices!E60/Raw_Prices!E59-1</f>
        <v>0.13779302458547749</v>
      </c>
      <c r="F60" s="15">
        <f>Raw_Prices!F60/Raw_Prices!F59-1</f>
        <v>0.20082857142857158</v>
      </c>
      <c r="G60" s="15">
        <f>Raw_Prices!G60/Raw_Prices!G59-1</f>
        <v>0.12776595744680863</v>
      </c>
      <c r="H60" s="15">
        <f>Raw_Prices!H60/Raw_Prices!H59-1</f>
        <v>0</v>
      </c>
      <c r="I60" s="15">
        <f>Raw_Prices!I60/Raw_Prices!I59-1</f>
        <v>0.11332676842278011</v>
      </c>
      <c r="J60" s="15">
        <f>KSE100_Benchmark!B60/KSE100_Benchmark!B59-1</f>
        <v>0.14863809976002584</v>
      </c>
    </row>
    <row r="61" spans="1:10" ht="15" customHeight="1" x14ac:dyDescent="0.25">
      <c r="A61" s="12">
        <f>Raw_Prices!A61</f>
        <v>43800</v>
      </c>
      <c r="B61" s="15">
        <f>Raw_Prices!B61/Raw_Prices!B60-1</f>
        <v>7.9316888045540601E-2</v>
      </c>
      <c r="C61" s="15">
        <f>Raw_Prices!C61/Raw_Prices!C60-1</f>
        <v>9.1781259993604092E-2</v>
      </c>
      <c r="D61" s="15">
        <f>Raw_Prices!D61/Raw_Prices!D60-1</f>
        <v>5.8277761670049166E-2</v>
      </c>
      <c r="E61" s="15">
        <f>Raw_Prices!E61/Raw_Prices!E60-1</f>
        <v>6.0301507537688481E-2</v>
      </c>
      <c r="F61" s="15">
        <f>Raw_Prices!F61/Raw_Prices!F60-1</f>
        <v>1.4204477860524811E-2</v>
      </c>
      <c r="G61" s="15">
        <f>Raw_Prices!G61/Raw_Prices!G60-1</f>
        <v>-4.2165833411942244E-2</v>
      </c>
      <c r="H61" s="15">
        <f>Raw_Prices!H61/Raw_Prices!H60-1</f>
        <v>0.19507059697795404</v>
      </c>
      <c r="I61" s="15">
        <f>Raw_Prices!I61/Raw_Prices!I60-1</f>
        <v>8.5133043414166831E-2</v>
      </c>
      <c r="J61" s="15">
        <f>KSE100_Benchmark!B61/KSE100_Benchmark!B60-1</f>
        <v>3.6841857428479452E-2</v>
      </c>
    </row>
    <row r="62" spans="1:10" ht="15" customHeight="1" x14ac:dyDescent="0.25">
      <c r="A62" s="12">
        <f>Raw_Prices!A62</f>
        <v>43831</v>
      </c>
      <c r="B62" s="15">
        <f>Raw_Prices!B62/Raw_Prices!B61-1</f>
        <v>-2.967651195499299E-2</v>
      </c>
      <c r="C62" s="15">
        <f>Raw_Prices!C62/Raw_Prices!C61-1</f>
        <v>8.4065612185119987E-2</v>
      </c>
      <c r="D62" s="15">
        <f>Raw_Prices!D62/Raw_Prices!D61-1</f>
        <v>-7.3013698630136958E-2</v>
      </c>
      <c r="E62" s="15">
        <f>Raw_Prices!E62/Raw_Prices!E61-1</f>
        <v>0</v>
      </c>
      <c r="F62" s="15">
        <f>Raw_Prices!F62/Raw_Prices!F61-1</f>
        <v>0.1166893445315067</v>
      </c>
      <c r="G62" s="15">
        <f>Raw_Prices!G62/Raw_Prices!G61-1</f>
        <v>3.5454008272601811E-2</v>
      </c>
      <c r="H62" s="15">
        <f>Raw_Prices!H62/Raw_Prices!H61-1</f>
        <v>-1.2643797284692671E-2</v>
      </c>
      <c r="I62" s="15">
        <f>Raw_Prices!I62/Raw_Prices!I61-1</f>
        <v>2.5675859258252887E-2</v>
      </c>
      <c r="J62" s="15">
        <f>KSE100_Benchmark!B62/KSE100_Benchmark!B61-1</f>
        <v>2.1992346645692162E-2</v>
      </c>
    </row>
    <row r="63" spans="1:10" ht="15" customHeight="1" x14ac:dyDescent="0.25">
      <c r="A63" s="12">
        <f>Raw_Prices!A63</f>
        <v>43862</v>
      </c>
      <c r="B63" s="15">
        <f>Raw_Prices!B63/Raw_Prices!B62-1</f>
        <v>-0.14755761704594861</v>
      </c>
      <c r="C63" s="15">
        <f>Raw_Prices!C63/Raw_Prices!C62-1</f>
        <v>-3.0126992704674227E-2</v>
      </c>
      <c r="D63" s="15">
        <f>Raw_Prices!D63/Raw_Prices!D62-1</f>
        <v>-6.6794739175410123E-2</v>
      </c>
      <c r="E63" s="15">
        <f>Raw_Prices!E63/Raw_Prices!E62-1</f>
        <v>-5.7345971563981024E-2</v>
      </c>
      <c r="F63" s="15">
        <f>Raw_Prices!F63/Raw_Prices!F62-1</f>
        <v>2.7499999999999858E-2</v>
      </c>
      <c r="G63" s="15">
        <f>Raw_Prices!G63/Raw_Prices!G62-1</f>
        <v>-1.6549362754422647E-2</v>
      </c>
      <c r="H63" s="15">
        <f>Raw_Prices!H63/Raw_Prices!H62-1</f>
        <v>8.890521675238805E-2</v>
      </c>
      <c r="I63" s="15">
        <f>Raw_Prices!I63/Raw_Prices!I62-1</f>
        <v>-0.1096688741721854</v>
      </c>
      <c r="J63" s="15">
        <f>KSE100_Benchmark!B63/KSE100_Benchmark!B62-1</f>
        <v>-8.7610801005213901E-2</v>
      </c>
    </row>
    <row r="64" spans="1:10" ht="15" customHeight="1" x14ac:dyDescent="0.25">
      <c r="A64" s="12">
        <f>Raw_Prices!A64</f>
        <v>43891</v>
      </c>
      <c r="B64" s="15">
        <f>Raw_Prices!B64/Raw_Prices!B63-1</f>
        <v>-0.34458425437850704</v>
      </c>
      <c r="C64" s="15">
        <f>Raw_Prices!C64/Raw_Prices!C63-1</f>
        <v>-0.34935227747597164</v>
      </c>
      <c r="D64" s="15">
        <f>Raw_Prices!D64/Raw_Prices!D63-1</f>
        <v>-8.9311163895486989E-2</v>
      </c>
      <c r="E64" s="15">
        <f>Raw_Prices!E64/Raw_Prices!E63-1</f>
        <v>-0.24836601307189543</v>
      </c>
      <c r="F64" s="15">
        <f>Raw_Prices!F64/Raw_Prices!F63-1</f>
        <v>-0.24553763111083848</v>
      </c>
      <c r="G64" s="15">
        <f>Raw_Prices!G64/Raw_Prices!G63-1</f>
        <v>-0.1000967117988395</v>
      </c>
      <c r="H64" s="15">
        <f>Raw_Prices!H64/Raw_Prices!H63-1</f>
        <v>-0.43531906689801425</v>
      </c>
      <c r="I64" s="15">
        <f>Raw_Prices!I64/Raw_Prices!I63-1</f>
        <v>-0.26219875037191309</v>
      </c>
      <c r="J64" s="15">
        <f>KSE100_Benchmark!B64/KSE100_Benchmark!B63-1</f>
        <v>-0.23041484724204808</v>
      </c>
    </row>
    <row r="65" spans="1:10" ht="15" customHeight="1" x14ac:dyDescent="0.25">
      <c r="A65" s="12">
        <f>Raw_Prices!A65</f>
        <v>43922</v>
      </c>
      <c r="B65" s="15">
        <f>Raw_Prices!B65/Raw_Prices!B64-1</f>
        <v>0.36671423012063808</v>
      </c>
      <c r="C65" s="15">
        <f>Raw_Prices!C65/Raw_Prices!C64-1</f>
        <v>7.9212160137014376E-3</v>
      </c>
      <c r="D65" s="15">
        <f>Raw_Prices!D65/Raw_Prices!D64-1</f>
        <v>7.6334550512954236E-2</v>
      </c>
      <c r="E65" s="15">
        <f>Raw_Prices!E65/Raw_Prices!E64-1</f>
        <v>9.0301003344481545E-2</v>
      </c>
      <c r="F65" s="15">
        <f>Raw_Prices!F65/Raw_Prices!F64-1</f>
        <v>0.27102981029810302</v>
      </c>
      <c r="G65" s="15">
        <f>Raw_Prices!G65/Raw_Prices!G64-1</f>
        <v>0.20150456743686185</v>
      </c>
      <c r="H65" s="15">
        <f>Raw_Prices!H65/Raw_Prices!H64-1</f>
        <v>-0.16456128371457834</v>
      </c>
      <c r="I65" s="15">
        <f>Raw_Prices!I65/Raw_Prices!I64-1</f>
        <v>0.3134388547232585</v>
      </c>
      <c r="J65" s="15">
        <f>KSE100_Benchmark!B65/KSE100_Benchmark!B64-1</f>
        <v>0.16694279450034077</v>
      </c>
    </row>
    <row r="66" spans="1:10" ht="15" customHeight="1" x14ac:dyDescent="0.25">
      <c r="A66" s="12">
        <f>Raw_Prices!A66</f>
        <v>43952</v>
      </c>
      <c r="B66" s="15">
        <f>Raw_Prices!B66/Raw_Prices!B65-1</f>
        <v>9.1495823842065338E-2</v>
      </c>
      <c r="C66" s="15">
        <f>Raw_Prices!C66/Raw_Prices!C65-1</f>
        <v>-5.3525913338997366E-2</v>
      </c>
      <c r="D66" s="15">
        <f>Raw_Prices!D66/Raw_Prices!D65-1</f>
        <v>-2.7463651050080751E-2</v>
      </c>
      <c r="E66" s="15">
        <f>Raw_Prices!E66/Raw_Prices!E65-1</f>
        <v>-7.361963190184051E-2</v>
      </c>
      <c r="F66" s="15">
        <f>Raw_Prices!F66/Raw_Prices!F65-1</f>
        <v>-2.5393914841901011E-2</v>
      </c>
      <c r="G66" s="15">
        <f>Raw_Prices!G66/Raw_Prices!G65-1</f>
        <v>-2.5939177101967692E-2</v>
      </c>
      <c r="H66" s="15">
        <f>Raw_Prices!H66/Raw_Prices!H65-1</f>
        <v>0.35410706988148744</v>
      </c>
      <c r="I66" s="15">
        <f>Raw_Prices!I66/Raw_Prices!I65-1</f>
        <v>5.7568314399754295E-2</v>
      </c>
      <c r="J66" s="15">
        <f>KSE100_Benchmark!B66/KSE100_Benchmark!B65-1</f>
        <v>-5.2888105057392609E-3</v>
      </c>
    </row>
    <row r="67" spans="1:10" ht="15" customHeight="1" x14ac:dyDescent="0.25">
      <c r="A67" s="12">
        <f>Raw_Prices!A67</f>
        <v>43983</v>
      </c>
      <c r="B67" s="15">
        <f>Raw_Prices!B67/Raw_Prices!B66-1</f>
        <v>-3.0434782608695699E-2</v>
      </c>
      <c r="C67" s="15">
        <f>Raw_Prices!C67/Raw_Prices!C66-1</f>
        <v>0.11220825852782768</v>
      </c>
      <c r="D67" s="15">
        <f>Raw_Prices!D67/Raw_Prices!D66-1</f>
        <v>3.156146179401853E-3</v>
      </c>
      <c r="E67" s="15">
        <f>Raw_Prices!E67/Raw_Prices!E66-1</f>
        <v>6.9536423841059625E-2</v>
      </c>
      <c r="F67" s="15">
        <f>Raw_Prices!F67/Raw_Prices!F66-1</f>
        <v>1.074163202800249E-2</v>
      </c>
      <c r="G67" s="15">
        <f>Raw_Prices!G67/Raw_Prices!G66-1</f>
        <v>1.0560146923783265E-2</v>
      </c>
      <c r="H67" s="15">
        <f>Raw_Prices!H67/Raw_Prices!H66-1</f>
        <v>0.12418892409838556</v>
      </c>
      <c r="I67" s="15">
        <f>Raw_Prices!I67/Raw_Prices!I66-1</f>
        <v>3.9192916243286913E-3</v>
      </c>
      <c r="J67" s="15">
        <f>KSE100_Benchmark!B67/KSE100_Benchmark!B66-1</f>
        <v>1.446130894753872E-2</v>
      </c>
    </row>
    <row r="68" spans="1:10" ht="15" customHeight="1" x14ac:dyDescent="0.25">
      <c r="A68" s="12">
        <f>Raw_Prices!A68</f>
        <v>44013</v>
      </c>
      <c r="B68" s="15">
        <f>Raw_Prices!B68/Raw_Prices!B67-1</f>
        <v>2.6905829596412634E-2</v>
      </c>
      <c r="C68" s="15">
        <f>Raw_Prices!C68/Raw_Prices!C67-1</f>
        <v>0.22820823244552058</v>
      </c>
      <c r="D68" s="15">
        <f>Raw_Prices!D68/Raw_Prices!D67-1</f>
        <v>0.10614340122536836</v>
      </c>
      <c r="E68" s="15">
        <f>Raw_Prices!E68/Raw_Prices!E67-1</f>
        <v>9.9071207430340591E-2</v>
      </c>
      <c r="F68" s="15">
        <f>Raw_Prices!F68/Raw_Prices!F67-1</f>
        <v>0.25973463777840311</v>
      </c>
      <c r="G68" s="15">
        <f>Raw_Prices!G68/Raw_Prices!G67-1</f>
        <v>2.7260336210812586E-3</v>
      </c>
      <c r="H68" s="15">
        <f>Raw_Prices!H68/Raw_Prices!H67-1</f>
        <v>0.170738255033557</v>
      </c>
      <c r="I68" s="15">
        <f>Raw_Prices!I68/Raw_Prices!I67-1</f>
        <v>0.10851648351648358</v>
      </c>
      <c r="J68" s="15">
        <f>KSE100_Benchmark!B68/KSE100_Benchmark!B67-1</f>
        <v>0.14050697927367217</v>
      </c>
    </row>
    <row r="69" spans="1:10" ht="15" customHeight="1" x14ac:dyDescent="0.25">
      <c r="A69" s="12">
        <f>Raw_Prices!A69</f>
        <v>44044</v>
      </c>
      <c r="B69" s="15">
        <f>Raw_Prices!B69/Raw_Prices!B68-1</f>
        <v>4.1048034934498823E-3</v>
      </c>
      <c r="C69" s="15">
        <f>Raw_Prices!C69/Raw_Prices!C68-1</f>
        <v>6.7356661738130486E-2</v>
      </c>
      <c r="D69" s="15">
        <f>Raw_Prices!D69/Raw_Prices!D68-1</f>
        <v>-5.239520958083832E-2</v>
      </c>
      <c r="E69" s="15">
        <f>Raw_Prices!E69/Raw_Prices!E68-1</f>
        <v>-3.6676056338028062E-2</v>
      </c>
      <c r="F69" s="15">
        <f>Raw_Prices!F69/Raw_Prices!F68-1</f>
        <v>5.4964691328327708E-2</v>
      </c>
      <c r="G69" s="15">
        <f>Raw_Prices!G69/Raw_Prices!G68-1</f>
        <v>-2.1295876755777043E-2</v>
      </c>
      <c r="H69" s="15">
        <f>Raw_Prices!H69/Raw_Prices!H68-1</f>
        <v>0.21279523045173132</v>
      </c>
      <c r="I69" s="15">
        <f>Raw_Prices!I69/Raw_Prices!I68-1</f>
        <v>4.6370573273331939E-2</v>
      </c>
      <c r="J69" s="15">
        <f>KSE100_Benchmark!B69/KSE100_Benchmark!B68-1</f>
        <v>4.718705073354923E-2</v>
      </c>
    </row>
    <row r="70" spans="1:10" ht="15" customHeight="1" x14ac:dyDescent="0.25">
      <c r="A70" s="12">
        <f>Raw_Prices!A70</f>
        <v>44075</v>
      </c>
      <c r="B70" s="15">
        <f>Raw_Prices!B70/Raw_Prices!B69-1</f>
        <v>-0.1508219535531008</v>
      </c>
      <c r="C70" s="15">
        <f>Raw_Prices!C70/Raw_Prices!C69-1</f>
        <v>4.4635985839618364E-3</v>
      </c>
      <c r="D70" s="15">
        <f>Raw_Prices!D70/Raw_Prices!D69-1</f>
        <v>-3.4755134281200584E-2</v>
      </c>
      <c r="E70" s="15">
        <f>Raw_Prices!E70/Raw_Prices!E69-1</f>
        <v>1.7661851570267117E-2</v>
      </c>
      <c r="F70" s="15">
        <f>Raw_Prices!F70/Raw_Prices!F69-1</f>
        <v>5.5374592833876246E-2</v>
      </c>
      <c r="G70" s="15">
        <f>Raw_Prices!G70/Raw_Prices!G69-1</f>
        <v>0</v>
      </c>
      <c r="H70" s="15">
        <f>Raw_Prices!H70/Raw_Prices!H69-1</f>
        <v>-4.3486481376441621E-2</v>
      </c>
      <c r="I70" s="15">
        <f>Raw_Prices!I70/Raw_Prices!I69-1</f>
        <v>-4.7743704811767596E-2</v>
      </c>
      <c r="J70" s="15">
        <f>KSE100_Benchmark!B70/KSE100_Benchmark!B69-1</f>
        <v>-1.3121814563669454E-2</v>
      </c>
    </row>
    <row r="71" spans="1:10" ht="15" customHeight="1" x14ac:dyDescent="0.25">
      <c r="A71" s="12">
        <f>Raw_Prices!A71</f>
        <v>44105</v>
      </c>
      <c r="B71" s="15">
        <f>Raw_Prices!B71/Raw_Prices!B70-1</f>
        <v>-4.9472498207518201E-2</v>
      </c>
      <c r="C71" s="15">
        <f>Raw_Prices!C71/Raw_Prices!C70-1</f>
        <v>4.8421697824088117E-2</v>
      </c>
      <c r="D71" s="15">
        <f>Raw_Prices!D71/Raw_Prices!D70-1</f>
        <v>5.5646481178396101E-2</v>
      </c>
      <c r="E71" s="15">
        <f>Raw_Prices!E71/Raw_Prices!E70-1</f>
        <v>-4.8847767369691431E-2</v>
      </c>
      <c r="F71" s="15">
        <f>Raw_Prices!F71/Raw_Prices!F70-1</f>
        <v>3.8580246913580307E-2</v>
      </c>
      <c r="G71" s="15">
        <f>Raw_Prices!G71/Raw_Prices!G70-1</f>
        <v>-1.8703703703703667E-2</v>
      </c>
      <c r="H71" s="15">
        <f>Raw_Prices!H71/Raw_Prices!H70-1</f>
        <v>0.20883573828819912</v>
      </c>
      <c r="I71" s="15">
        <f>Raw_Prices!I71/Raw_Prices!I70-1</f>
        <v>-9.1962298730200343E-2</v>
      </c>
      <c r="J71" s="15">
        <f>KSE100_Benchmark!B71/KSE100_Benchmark!B70-1</f>
        <v>-1.6846316673683193E-2</v>
      </c>
    </row>
    <row r="72" spans="1:10" ht="15" customHeight="1" x14ac:dyDescent="0.25">
      <c r="A72" s="12">
        <f>Raw_Prices!A72</f>
        <v>44136</v>
      </c>
      <c r="B72" s="15">
        <f>Raw_Prices!B72/Raw_Prices!B71-1</f>
        <v>6.6810344827586299E-2</v>
      </c>
      <c r="C72" s="15">
        <f>Raw_Prices!C72/Raw_Prices!C71-1</f>
        <v>9.5293773750365407E-2</v>
      </c>
      <c r="D72" s="15">
        <f>Raw_Prices!D72/Raw_Prices!D71-1</f>
        <v>-6.031007751937989E-2</v>
      </c>
      <c r="E72" s="15">
        <f>Raw_Prices!E72/Raw_Prices!E71-1</f>
        <v>6.3742372062111086E-2</v>
      </c>
      <c r="F72" s="15">
        <f>Raw_Prices!F72/Raw_Prices!F71-1</f>
        <v>-2.771173848439823E-2</v>
      </c>
      <c r="G72" s="15">
        <f>Raw_Prices!G72/Raw_Prices!G71-1</f>
        <v>-2.5759577278731904E-2</v>
      </c>
      <c r="H72" s="15">
        <f>Raw_Prices!H72/Raw_Prices!H71-1</f>
        <v>-2.1993295723980011E-2</v>
      </c>
      <c r="I72" s="15">
        <f>Raw_Prices!I72/Raw_Prices!I71-1</f>
        <v>8.2822749225113679E-2</v>
      </c>
      <c r="J72" s="15">
        <f>KSE100_Benchmark!B72/KSE100_Benchmark!B71-1</f>
        <v>2.9603389490573617E-2</v>
      </c>
    </row>
    <row r="73" spans="1:10" ht="15" customHeight="1" x14ac:dyDescent="0.25">
      <c r="A73" s="12">
        <f>Raw_Prices!A73</f>
        <v>44166</v>
      </c>
      <c r="B73" s="15">
        <f>Raw_Prices!B73/Raw_Prices!B72-1</f>
        <v>5.0202020202020137E-2</v>
      </c>
      <c r="C73" s="15">
        <f>Raw_Prices!C73/Raw_Prices!C72-1</f>
        <v>0.10755270883373358</v>
      </c>
      <c r="D73" s="15">
        <f>Raw_Prices!D73/Raw_Prices!D72-1</f>
        <v>4.2732222405543752E-2</v>
      </c>
      <c r="E73" s="15">
        <f>Raw_Prices!E73/Raw_Prices!E72-1</f>
        <v>6.6113824832443324E-2</v>
      </c>
      <c r="F73" s="15">
        <f>Raw_Prices!F73/Raw_Prices!F72-1</f>
        <v>6.3650951325743055E-2</v>
      </c>
      <c r="G73" s="15">
        <f>Raw_Prices!G73/Raw_Prices!G72-1</f>
        <v>5.4237288135593253E-2</v>
      </c>
      <c r="H73" s="15">
        <f>Raw_Prices!H73/Raw_Prices!H72-1</f>
        <v>0.16711252298946677</v>
      </c>
      <c r="I73" s="15">
        <f>Raw_Prices!I73/Raw_Prices!I72-1</f>
        <v>-2.1967780588471042E-3</v>
      </c>
      <c r="J73" s="15">
        <f>KSE100_Benchmark!B73/KSE100_Benchmark!B72-1</f>
        <v>6.5416050424628613E-2</v>
      </c>
    </row>
    <row r="74" spans="1:10" ht="15" customHeight="1" x14ac:dyDescent="0.25">
      <c r="A74" s="12">
        <f>Raw_Prices!A74</f>
        <v>44197</v>
      </c>
      <c r="B74" s="15">
        <f>Raw_Prices!B74/Raw_Prices!B73-1</f>
        <v>2.6738482254496487E-2</v>
      </c>
      <c r="C74" s="15">
        <f>Raw_Prices!C74/Raw_Prices!C73-1</f>
        <v>6.7228915662650657E-2</v>
      </c>
      <c r="D74" s="15">
        <f>Raw_Prices!D74/Raw_Prices!D73-1</f>
        <v>2.83227848101264E-2</v>
      </c>
      <c r="E74" s="15">
        <f>Raw_Prices!E74/Raw_Prices!E73-1</f>
        <v>2.594565796483761E-2</v>
      </c>
      <c r="F74" s="15">
        <f>Raw_Prices!F74/Raw_Prices!F73-1</f>
        <v>4.495689655172419E-2</v>
      </c>
      <c r="G74" s="15">
        <f>Raw_Prices!G74/Raw_Prices!G73-1</f>
        <v>1.1575562700964603E-2</v>
      </c>
      <c r="H74" s="15">
        <f>Raw_Prices!H74/Raw_Prices!H73-1</f>
        <v>3.5384284793352982E-2</v>
      </c>
      <c r="I74" s="15">
        <f>Raw_Prices!I74/Raw_Prices!I73-1</f>
        <v>4.5233170992060812E-2</v>
      </c>
      <c r="J74" s="15">
        <f>KSE100_Benchmark!B74/KSE100_Benchmark!B73-1</f>
        <v>6.0110550976817168E-2</v>
      </c>
    </row>
    <row r="75" spans="1:10" ht="15" customHeight="1" x14ac:dyDescent="0.25">
      <c r="A75" s="12">
        <f>Raw_Prices!A75</f>
        <v>44228</v>
      </c>
      <c r="B75" s="15">
        <f>Raw_Prices!B75/Raw_Prices!B74-1</f>
        <v>-1.9016393442622959E-2</v>
      </c>
      <c r="C75" s="15">
        <f>Raw_Prices!C75/Raw_Prices!C74-1</f>
        <v>-3.0819598103409396E-2</v>
      </c>
      <c r="D75" s="15">
        <f>Raw_Prices!D75/Raw_Prices!D74-1</f>
        <v>2.6157870441607667E-3</v>
      </c>
      <c r="E75" s="15">
        <f>Raw_Prices!E75/Raw_Prices!E74-1</f>
        <v>-4.9176922677467982E-2</v>
      </c>
      <c r="F75" s="15">
        <f>Raw_Prices!F75/Raw_Prices!F74-1</f>
        <v>0.21647485872210548</v>
      </c>
      <c r="G75" s="15">
        <f>Raw_Prices!G75/Raw_Prices!G74-1</f>
        <v>5.8123694487330901E-3</v>
      </c>
      <c r="H75" s="15">
        <f>Raw_Prices!H75/Raw_Prices!H74-1</f>
        <v>-5.949498443445278E-3</v>
      </c>
      <c r="I75" s="15">
        <f>Raw_Prices!I75/Raw_Prices!I74-1</f>
        <v>0.13474181400395735</v>
      </c>
      <c r="J75" s="15">
        <f>KSE100_Benchmark!B75/KSE100_Benchmark!B74-1</f>
        <v>-1.122160052464638E-2</v>
      </c>
    </row>
    <row r="76" spans="1:10" ht="15" customHeight="1" x14ac:dyDescent="0.25">
      <c r="A76" s="12">
        <f>Raw_Prices!A76</f>
        <v>44256</v>
      </c>
      <c r="B76" s="15">
        <f>Raw_Prices!B76/Raw_Prices!B75-1</f>
        <v>-3.074866310160429E-2</v>
      </c>
      <c r="C76" s="15">
        <f>Raw_Prices!C76/Raw_Prices!C75-1</f>
        <v>4.8806057076296039E-2</v>
      </c>
      <c r="D76" s="15">
        <f>Raw_Prices!D76/Raw_Prices!D75-1</f>
        <v>-4.1589932473910296E-2</v>
      </c>
      <c r="E76" s="15">
        <f>Raw_Prices!E76/Raw_Prices!E75-1</f>
        <v>-6.062261059530305E-2</v>
      </c>
      <c r="F76" s="15">
        <f>Raw_Prices!F76/Raw_Prices!F75-1</f>
        <v>-7.3728708193460224E-2</v>
      </c>
      <c r="G76" s="15">
        <f>Raw_Prices!G76/Raw_Prices!G75-1</f>
        <v>-6.0948081264108334E-2</v>
      </c>
      <c r="H76" s="15">
        <f>Raw_Prices!H76/Raw_Prices!H75-1</f>
        <v>-4.4401141345953077E-2</v>
      </c>
      <c r="I76" s="15">
        <f>Raw_Prices!I76/Raw_Prices!I75-1</f>
        <v>-3.7518281021487132E-2</v>
      </c>
      <c r="J76" s="15">
        <f>KSE100_Benchmark!B76/KSE100_Benchmark!B75-1</f>
        <v>-2.7846275876474036E-2</v>
      </c>
    </row>
    <row r="77" spans="1:10" ht="15" customHeight="1" x14ac:dyDescent="0.25">
      <c r="A77" s="12">
        <f>Raw_Prices!A77</f>
        <v>44287</v>
      </c>
      <c r="B77" s="15">
        <f>Raw_Prices!B77/Raw_Prices!B76-1</f>
        <v>-0.10344827586206895</v>
      </c>
      <c r="C77" s="15">
        <f>Raw_Prices!C77/Raw_Prices!C76-1</f>
        <v>-5.1754775655264429E-2</v>
      </c>
      <c r="D77" s="15">
        <f>Raw_Prices!D77/Raw_Prices!D76-1</f>
        <v>7.2858286629303493E-2</v>
      </c>
      <c r="E77" s="15">
        <f>Raw_Prices!E77/Raw_Prices!E76-1</f>
        <v>-5.2325581395348819E-2</v>
      </c>
      <c r="F77" s="15">
        <f>Raw_Prices!F77/Raw_Prices!F76-1</f>
        <v>1.8926174496644244E-2</v>
      </c>
      <c r="G77" s="15">
        <f>Raw_Prices!G77/Raw_Prices!G76-1</f>
        <v>9.6153846153845812E-3</v>
      </c>
      <c r="H77" s="15">
        <f>Raw_Prices!H77/Raw_Prices!H76-1</f>
        <v>-0.10647440099045957</v>
      </c>
      <c r="I77" s="15">
        <f>Raw_Prices!I77/Raw_Prices!I76-1</f>
        <v>-1.6246858745835979E-2</v>
      </c>
      <c r="J77" s="15">
        <f>KSE100_Benchmark!B77/KSE100_Benchmark!B76-1</f>
        <v>-7.3001950082813849E-3</v>
      </c>
    </row>
    <row r="78" spans="1:10" ht="15" customHeight="1" x14ac:dyDescent="0.25">
      <c r="A78" s="12">
        <f>Raw_Prices!A78</f>
        <v>44317</v>
      </c>
      <c r="B78" s="15">
        <f>Raw_Prices!B78/Raw_Prices!B77-1</f>
        <v>7.0329670329670302E-2</v>
      </c>
      <c r="C78" s="15">
        <f>Raw_Prices!C78/Raw_Prices!C77-1</f>
        <v>5.5633637854298534E-2</v>
      </c>
      <c r="D78" s="15">
        <f>Raw_Prices!D78/Raw_Prices!D77-1</f>
        <v>6.3432835820895539E-2</v>
      </c>
      <c r="E78" s="15">
        <f>Raw_Prices!E78/Raw_Prices!E77-1</f>
        <v>1.8404907975460016E-2</v>
      </c>
      <c r="F78" s="15">
        <f>Raw_Prices!F78/Raw_Prices!F77-1</f>
        <v>0.11615429755332274</v>
      </c>
      <c r="G78" s="15">
        <f>Raw_Prices!G78/Raw_Prices!G77-1</f>
        <v>2.2761904761904761E-2</v>
      </c>
      <c r="H78" s="15">
        <f>Raw_Prices!H78/Raw_Prices!H77-1</f>
        <v>7.5230255114516087E-2</v>
      </c>
      <c r="I78" s="15">
        <f>Raw_Prices!I78/Raw_Prices!I77-1</f>
        <v>2.9703558486306569E-2</v>
      </c>
      <c r="J78" s="15">
        <f>KSE100_Benchmark!B78/KSE100_Benchmark!B77-1</f>
        <v>8.2101153689309259E-2</v>
      </c>
    </row>
    <row r="79" spans="1:10" ht="15" customHeight="1" x14ac:dyDescent="0.25">
      <c r="A79" s="12">
        <f>Raw_Prices!A79</f>
        <v>44348</v>
      </c>
      <c r="B79" s="15">
        <f>Raw_Prices!B79/Raw_Prices!B78-1</f>
        <v>-2.2073921971252575E-2</v>
      </c>
      <c r="C79" s="15">
        <f>Raw_Prices!C79/Raw_Prices!C78-1</f>
        <v>9.3198712970155029E-3</v>
      </c>
      <c r="D79" s="15">
        <f>Raw_Prices!D79/Raw_Prices!D78-1</f>
        <v>-1.5438596491228029E-2</v>
      </c>
      <c r="E79" s="15">
        <f>Raw_Prices!E79/Raw_Prices!E78-1</f>
        <v>-3.0120481927710885E-2</v>
      </c>
      <c r="F79" s="15">
        <f>Raw_Prices!F79/Raw_Prices!F78-1</f>
        <v>-7.1899141630901275E-2</v>
      </c>
      <c r="G79" s="15">
        <f>Raw_Prices!G79/Raw_Prices!G78-1</f>
        <v>-1.2664121426576025E-2</v>
      </c>
      <c r="H79" s="15">
        <f>Raw_Prices!H79/Raw_Prices!H78-1</f>
        <v>-1.5691328077622746E-2</v>
      </c>
      <c r="I79" s="15">
        <f>Raw_Prices!I79/Raw_Prices!I78-1</f>
        <v>-2.2442739283447866E-2</v>
      </c>
      <c r="J79" s="15">
        <f>KSE100_Benchmark!B79/KSE100_Benchmark!B78-1</f>
        <v>-1.1281028988853858E-2</v>
      </c>
    </row>
    <row r="80" spans="1:10" ht="15" customHeight="1" x14ac:dyDescent="0.25">
      <c r="A80" s="12">
        <f>Raw_Prices!A80</f>
        <v>44378</v>
      </c>
      <c r="B80" s="15">
        <f>Raw_Prices!B80/Raw_Prices!B79-1</f>
        <v>-1.9527559055118049E-2</v>
      </c>
      <c r="C80" s="15">
        <f>Raw_Prices!C80/Raw_Prices!C79-1</f>
        <v>8.6182257887215563E-2</v>
      </c>
      <c r="D80" s="15">
        <f>Raw_Prices!D80/Raw_Prices!D79-1</f>
        <v>8.481824661439763E-2</v>
      </c>
      <c r="E80" s="15">
        <f>Raw_Prices!E80/Raw_Prices!E79-1</f>
        <v>4.5341614906830863E-3</v>
      </c>
      <c r="F80" s="15">
        <f>Raw_Prices!F80/Raw_Prices!F79-1</f>
        <v>2.25551740482548E-2</v>
      </c>
      <c r="G80" s="15">
        <f>Raw_Prices!G80/Raw_Prices!G79-1</f>
        <v>4.4327077242289903E-3</v>
      </c>
      <c r="H80" s="15">
        <f>Raw_Prices!H80/Raw_Prices!H79-1</f>
        <v>-4.9826723142087026E-2</v>
      </c>
      <c r="I80" s="15">
        <f>Raw_Prices!I80/Raw_Prices!I79-1</f>
        <v>-9.1477809254013609E-3</v>
      </c>
      <c r="J80" s="15">
        <f>KSE100_Benchmark!B80/KSE100_Benchmark!B79-1</f>
        <v>-6.350406980991985E-3</v>
      </c>
    </row>
    <row r="81" spans="1:10" ht="15" customHeight="1" x14ac:dyDescent="0.25">
      <c r="A81" s="12">
        <f>Raw_Prices!A81</f>
        <v>44409</v>
      </c>
      <c r="B81" s="15">
        <f>Raw_Prices!B81/Raw_Prices!B80-1</f>
        <v>-6.3175928900310874E-3</v>
      </c>
      <c r="C81" s="15">
        <f>Raw_Prices!C81/Raw_Prices!C80-1</f>
        <v>0.23600850116384975</v>
      </c>
      <c r="D81" s="15">
        <f>Raw_Prices!D81/Raw_Prices!D80-1</f>
        <v>1.5111695137976389E-2</v>
      </c>
      <c r="E81" s="15">
        <f>Raw_Prices!E81/Raw_Prices!E80-1</f>
        <v>1.7189142397823431E-2</v>
      </c>
      <c r="F81" s="15">
        <f>Raw_Prices!F81/Raw_Prices!F80-1</f>
        <v>-6.1616732617297942E-2</v>
      </c>
      <c r="G81" s="15">
        <f>Raw_Prices!G81/Raw_Prices!G80-1</f>
        <v>-5.1643192488262102E-3</v>
      </c>
      <c r="H81" s="15">
        <f>Raw_Prices!H81/Raw_Prices!H80-1</f>
        <v>2.8691846328416259E-2</v>
      </c>
      <c r="I81" s="15">
        <f>Raw_Prices!I81/Raw_Prices!I80-1</f>
        <v>1.9179224492227309E-2</v>
      </c>
      <c r="J81" s="15">
        <f>KSE100_Benchmark!B81/KSE100_Benchmark!B80-1</f>
        <v>7.7451440635047941E-3</v>
      </c>
    </row>
    <row r="82" spans="1:10" ht="15" customHeight="1" x14ac:dyDescent="0.25">
      <c r="A82" s="12">
        <f>Raw_Prices!A82</f>
        <v>44440</v>
      </c>
      <c r="B82" s="15">
        <f>Raw_Prices!B82/Raw_Prices!B81-1</f>
        <v>-9.9137931034482762E-2</v>
      </c>
      <c r="C82" s="15">
        <f>Raw_Prices!C82/Raw_Prices!C81-1</f>
        <v>4.2086301482027411E-2</v>
      </c>
      <c r="D82" s="15">
        <f>Raw_Prices!D82/Raw_Prices!D81-1</f>
        <v>-9.3980582524271883E-2</v>
      </c>
      <c r="E82" s="15">
        <f>Raw_Prices!E82/Raw_Prices!E81-1</f>
        <v>-7.0573217433590574E-2</v>
      </c>
      <c r="F82" s="15">
        <f>Raw_Prices!F82/Raw_Prices!F81-1</f>
        <v>-0.13120481927710836</v>
      </c>
      <c r="G82" s="15">
        <f>Raw_Prices!G82/Raw_Prices!G81-1</f>
        <v>-3.7376120811703717E-2</v>
      </c>
      <c r="H82" s="15">
        <f>Raw_Prices!H82/Raw_Prices!H81-1</f>
        <v>-0.19996848408446266</v>
      </c>
      <c r="I82" s="15">
        <f>Raw_Prices!I82/Raw_Prices!I81-1</f>
        <v>1.2331248904213554E-2</v>
      </c>
      <c r="J82" s="15">
        <f>KSE100_Benchmark!B82/KSE100_Benchmark!B81-1</f>
        <v>-5.3145377853189402E-2</v>
      </c>
    </row>
    <row r="83" spans="1:10" ht="15" customHeight="1" x14ac:dyDescent="0.25">
      <c r="A83" s="12">
        <f>Raw_Prices!A83</f>
        <v>44470</v>
      </c>
      <c r="B83" s="15">
        <f>Raw_Prices!B83/Raw_Prices!B82-1</f>
        <v>2.3325358851674638E-2</v>
      </c>
      <c r="C83" s="15">
        <f>Raw_Prices!C83/Raw_Prices!C82-1</f>
        <v>-4.9972499410701698E-2</v>
      </c>
      <c r="D83" s="15">
        <f>Raw_Prices!D83/Raw_Prices!D82-1</f>
        <v>2.1574510644377876E-2</v>
      </c>
      <c r="E83" s="15">
        <f>Raw_Prices!E83/Raw_Prices!E82-1</f>
        <v>7.2596468279921389E-2</v>
      </c>
      <c r="F83" s="15">
        <f>Raw_Prices!F83/Raw_Prices!F82-1</f>
        <v>7.4746914436277789E-2</v>
      </c>
      <c r="G83" s="15">
        <f>Raw_Prices!G83/Raw_Prices!G82-1</f>
        <v>9.9029316599668071E-3</v>
      </c>
      <c r="H83" s="15">
        <f>Raw_Prices!H83/Raw_Prices!H82-1</f>
        <v>0.17195194012211923</v>
      </c>
      <c r="I83" s="15">
        <f>Raw_Prices!I83/Raw_Prices!I82-1</f>
        <v>9.0462995035215155E-2</v>
      </c>
      <c r="J83" s="15">
        <f>KSE100_Benchmark!B83/KSE100_Benchmark!B82-1</f>
        <v>2.9384003420966032E-2</v>
      </c>
    </row>
    <row r="84" spans="1:10" ht="15" customHeight="1" x14ac:dyDescent="0.25">
      <c r="A84" s="12">
        <f>Raw_Prices!A84</f>
        <v>44501</v>
      </c>
      <c r="B84" s="15">
        <f>Raw_Prices!B84/Raw_Prices!B83-1</f>
        <v>-7.5978959672704516E-3</v>
      </c>
      <c r="C84" s="15">
        <f>Raw_Prices!C84/Raw_Prices!C83-1</f>
        <v>0.12025473492680505</v>
      </c>
      <c r="D84" s="15">
        <f>Raw_Prices!D84/Raw_Prices!D83-1</f>
        <v>3.4965034965035002E-2</v>
      </c>
      <c r="E84" s="15">
        <f>Raw_Prices!E84/Raw_Prices!E83-1</f>
        <v>-4.2682926829268331E-2</v>
      </c>
      <c r="F84" s="15">
        <f>Raw_Prices!F84/Raw_Prices!F83-1</f>
        <v>-7.2258064516129039E-2</v>
      </c>
      <c r="G84" s="15">
        <f>Raw_Prices!G84/Raw_Prices!G83-1</f>
        <v>-2.4271844660194164E-2</v>
      </c>
      <c r="H84" s="15">
        <f>Raw_Prices!H84/Raw_Prices!H83-1</f>
        <v>-0.1386554621848739</v>
      </c>
      <c r="I84" s="15">
        <f>Raw_Prices!I84/Raw_Prices!I83-1</f>
        <v>5.8764360209646593E-3</v>
      </c>
      <c r="J84" s="15">
        <f>KSE100_Benchmark!B84/KSE100_Benchmark!B83-1</f>
        <v>-2.4806935167040911E-2</v>
      </c>
    </row>
    <row r="85" spans="1:10" ht="15" customHeight="1" x14ac:dyDescent="0.25">
      <c r="A85" s="12">
        <f>Raw_Prices!A85</f>
        <v>44531</v>
      </c>
      <c r="B85" s="15">
        <f>Raw_Prices!B85/Raw_Prices!B84-1</f>
        <v>1.5312131919905658E-2</v>
      </c>
      <c r="C85" s="15">
        <f>Raw_Prices!C85/Raw_Prices!C84-1</f>
        <v>-9.9889258028792782E-2</v>
      </c>
      <c r="D85" s="15">
        <f>Raw_Prices!D85/Raw_Prices!D84-1</f>
        <v>2.8243243243243343E-2</v>
      </c>
      <c r="E85" s="15">
        <f>Raw_Prices!E85/Raw_Prices!E84-1</f>
        <v>-2.3248407643312152E-2</v>
      </c>
      <c r="F85" s="15">
        <f>Raw_Prices!F85/Raw_Prices!F84-1</f>
        <v>-5.5243393602225299E-2</v>
      </c>
      <c r="G85" s="15">
        <f>Raw_Prices!G85/Raw_Prices!G84-1</f>
        <v>-2.3880597014924732E-3</v>
      </c>
      <c r="H85" s="15">
        <f>Raw_Prices!H85/Raw_Prices!H84-1</f>
        <v>-5.0536585365853703E-2</v>
      </c>
      <c r="I85" s="15">
        <f>Raw_Prices!I85/Raw_Prices!I84-1</f>
        <v>-3.2157894736842163E-2</v>
      </c>
      <c r="J85" s="15">
        <f>KSE100_Benchmark!B85/KSE100_Benchmark!B84-1</f>
        <v>-1.0567669157918846E-2</v>
      </c>
    </row>
    <row r="86" spans="1:10" ht="15" customHeight="1" x14ac:dyDescent="0.25">
      <c r="A86" s="12">
        <f>Raw_Prices!A86</f>
        <v>44562</v>
      </c>
      <c r="B86" s="15">
        <f>Raw_Prices!B86/Raw_Prices!B85-1</f>
        <v>9.2807424593968069E-3</v>
      </c>
      <c r="C86" s="15">
        <f>Raw_Prices!C86/Raw_Prices!C85-1</f>
        <v>2.1489501312335957E-2</v>
      </c>
      <c r="D86" s="15">
        <f>Raw_Prices!D86/Raw_Prices!D85-1</f>
        <v>7.767117886713093E-2</v>
      </c>
      <c r="E86" s="15">
        <f>Raw_Prices!E86/Raw_Prices!E85-1</f>
        <v>5.1190088033909342E-2</v>
      </c>
      <c r="F86" s="15">
        <f>Raw_Prices!F86/Raw_Prices!F85-1</f>
        <v>2.5320928041456803E-3</v>
      </c>
      <c r="G86" s="15">
        <f>Raw_Prices!G86/Raw_Prices!G85-1</f>
        <v>6.5230400957510426E-2</v>
      </c>
      <c r="H86" s="15">
        <f>Raw_Prices!H86/Raw_Prices!H85-1</f>
        <v>-4.7986025482942729E-2</v>
      </c>
      <c r="I86" s="15">
        <f>Raw_Prices!I86/Raw_Prices!I85-1</f>
        <v>2.7190168035238438E-2</v>
      </c>
      <c r="J86" s="15">
        <f>KSE100_Benchmark!B86/KSE100_Benchmark!B85-1</f>
        <v>1.7459161760218E-2</v>
      </c>
    </row>
    <row r="87" spans="1:10" ht="15" customHeight="1" x14ac:dyDescent="0.25">
      <c r="A87" s="12">
        <f>Raw_Prices!A87</f>
        <v>44593</v>
      </c>
      <c r="B87" s="15">
        <f>Raw_Prices!B87/Raw_Prices!B86-1</f>
        <v>1.3103448275862073E-2</v>
      </c>
      <c r="C87" s="15">
        <f>Raw_Prices!C87/Raw_Prices!C86-1</f>
        <v>1.7584711739200287E-2</v>
      </c>
      <c r="D87" s="15">
        <f>Raw_Prices!D87/Raw_Prices!D86-1</f>
        <v>8.1707317073170804E-2</v>
      </c>
      <c r="E87" s="15">
        <f>Raw_Prices!E87/Raw_Prices!E86-1</f>
        <v>-2.2642679900744311E-2</v>
      </c>
      <c r="F87" s="15">
        <f>Raw_Prices!F87/Raw_Prices!F86-1</f>
        <v>-3.8179148311306865E-2</v>
      </c>
      <c r="G87" s="15">
        <f>Raw_Prices!G87/Raw_Prices!G86-1</f>
        <v>2.8932584269663053E-2</v>
      </c>
      <c r="H87" s="15">
        <f>Raw_Prices!H87/Raw_Prices!H86-1</f>
        <v>-8.3648138154344354E-2</v>
      </c>
      <c r="I87" s="15">
        <f>Raw_Prices!I87/Raw_Prices!I86-1</f>
        <v>5.2940865053735076E-2</v>
      </c>
      <c r="J87" s="15">
        <f>KSE100_Benchmark!B87/KSE100_Benchmark!B86-1</f>
        <v>-2.0136119968228949E-2</v>
      </c>
    </row>
    <row r="88" spans="1:10" ht="15" customHeight="1" x14ac:dyDescent="0.25">
      <c r="A88" s="12">
        <f>Raw_Prices!A88</f>
        <v>44621</v>
      </c>
      <c r="B88" s="15">
        <f>Raw_Prices!B88/Raw_Prices!B87-1</f>
        <v>-5.6841388699795825E-2</v>
      </c>
      <c r="C88" s="15">
        <f>Raw_Prices!C88/Raw_Prices!C87-1</f>
        <v>-6.0601278308214379E-2</v>
      </c>
      <c r="D88" s="15">
        <f>Raw_Prices!D88/Raw_Prices!D87-1</f>
        <v>3.4611048478015771E-2</v>
      </c>
      <c r="E88" s="15">
        <f>Raw_Prices!E88/Raw_Prices!E87-1</f>
        <v>-7.5468105363376781E-2</v>
      </c>
      <c r="F88" s="15">
        <f>Raw_Prices!F88/Raw_Prices!F87-1</f>
        <v>-2.8473282442748049E-2</v>
      </c>
      <c r="G88" s="15">
        <f>Raw_Prices!G88/Raw_Prices!G87-1</f>
        <v>3.3033033033033066E-2</v>
      </c>
      <c r="H88" s="15">
        <f>Raw_Prices!H88/Raw_Prices!H87-1</f>
        <v>-0.10482921083627805</v>
      </c>
      <c r="I88" s="15">
        <f>Raw_Prices!I88/Raw_Prices!I87-1</f>
        <v>-1.3977575544270593E-2</v>
      </c>
      <c r="J88" s="15">
        <f>KSE100_Benchmark!B88/KSE100_Benchmark!B87-1</f>
        <v>1.0522028177047726E-2</v>
      </c>
    </row>
    <row r="89" spans="1:10" ht="15" customHeight="1" x14ac:dyDescent="0.25">
      <c r="A89" s="12">
        <f>Raw_Prices!A89</f>
        <v>44652</v>
      </c>
      <c r="B89" s="15">
        <f>Raw_Prices!B89/Raw_Prices!B88-1</f>
        <v>1.7683146878383349E-2</v>
      </c>
      <c r="C89" s="15">
        <f>Raw_Prices!C89/Raw_Prices!C88-1</f>
        <v>6.9046619067618664E-2</v>
      </c>
      <c r="D89" s="15">
        <f>Raw_Prices!D89/Raw_Prices!D88-1</f>
        <v>3.5196687370600444E-2</v>
      </c>
      <c r="E89" s="15">
        <f>Raw_Prices!E89/Raw_Prices!E88-1</f>
        <v>3.9338184813950239E-2</v>
      </c>
      <c r="F89" s="15">
        <f>Raw_Prices!F89/Raw_Prices!F88-1</f>
        <v>-0.11133810010214507</v>
      </c>
      <c r="G89" s="15">
        <f>Raw_Prices!G89/Raw_Prices!G88-1</f>
        <v>6.5891472868217171E-2</v>
      </c>
      <c r="H89" s="15">
        <f>Raw_Prices!H89/Raw_Prices!H88-1</f>
        <v>4.2105263157894424E-3</v>
      </c>
      <c r="I89" s="15">
        <f>Raw_Prices!I89/Raw_Prices!I88-1</f>
        <v>-3.1155983886594352E-2</v>
      </c>
      <c r="J89" s="15">
        <f>KSE100_Benchmark!B89/KSE100_Benchmark!B88-1</f>
        <v>7.1352848493939636E-3</v>
      </c>
    </row>
    <row r="90" spans="1:10" ht="15" customHeight="1" x14ac:dyDescent="0.25">
      <c r="A90" s="12">
        <f>Raw_Prices!A90</f>
        <v>44682</v>
      </c>
      <c r="B90" s="15">
        <f>Raw_Prices!B90/Raw_Prices!B89-1</f>
        <v>-4.6453900709219731E-2</v>
      </c>
      <c r="C90" s="15">
        <f>Raw_Prices!C90/Raw_Prices!C89-1</f>
        <v>-6.2465624263377095E-2</v>
      </c>
      <c r="D90" s="15">
        <f>Raw_Prices!D90/Raw_Prices!D89-1</f>
        <v>-8.8421052631578956E-2</v>
      </c>
      <c r="E90" s="15">
        <f>Raw_Prices!E90/Raw_Prices!E89-1</f>
        <v>-0.11823766431072047</v>
      </c>
      <c r="F90" s="15">
        <f>Raw_Prices!F90/Raw_Prices!F89-1</f>
        <v>-0.16357206012378422</v>
      </c>
      <c r="G90" s="15">
        <f>Raw_Prices!G90/Raw_Prices!G89-1</f>
        <v>-5.7851239669421517E-2</v>
      </c>
      <c r="H90" s="15">
        <f>Raw_Prices!H90/Raw_Prices!H89-1</f>
        <v>-0.11622117400419274</v>
      </c>
      <c r="I90" s="15">
        <f>Raw_Prices!I90/Raw_Prices!I89-1</f>
        <v>-5.8421052631578929E-2</v>
      </c>
      <c r="J90" s="15">
        <f>KSE100_Benchmark!B90/KSE100_Benchmark!B89-1</f>
        <v>-4.798449305747865E-2</v>
      </c>
    </row>
    <row r="91" spans="1:10" ht="15" customHeight="1" x14ac:dyDescent="0.25">
      <c r="A91" s="12">
        <f>Raw_Prices!A91</f>
        <v>44713</v>
      </c>
      <c r="B91" s="15">
        <f>Raw_Prices!B91/Raw_Prices!B90-1</f>
        <v>-2.1941242097433977E-2</v>
      </c>
      <c r="C91" s="15">
        <f>Raw_Prices!C91/Raw_Prices!C90-1</f>
        <v>-0.14289306067717067</v>
      </c>
      <c r="D91" s="15">
        <f>Raw_Prices!D91/Raw_Prices!D90-1</f>
        <v>2.5981524249422572E-2</v>
      </c>
      <c r="E91" s="15">
        <f>Raw_Prices!E91/Raw_Prices!E90-1</f>
        <v>-7.4837066446924894E-2</v>
      </c>
      <c r="F91" s="15">
        <f>Raw_Prices!F91/Raw_Prices!F90-1</f>
        <v>-3.5940803382663811E-2</v>
      </c>
      <c r="G91" s="15">
        <f>Raw_Prices!G91/Raw_Prices!G90-1</f>
        <v>-3.3333333333333326E-2</v>
      </c>
      <c r="H91" s="15">
        <f>Raw_Prices!H91/Raw_Prices!H90-1</f>
        <v>-8.0800593031875478E-2</v>
      </c>
      <c r="I91" s="15">
        <f>Raw_Prices!I91/Raw_Prices!I90-1</f>
        <v>7.8814980435997661E-2</v>
      </c>
      <c r="J91" s="15">
        <f>KSE100_Benchmark!B91/KSE100_Benchmark!B90-1</f>
        <v>-3.5686545426520166E-2</v>
      </c>
    </row>
    <row r="92" spans="1:10" ht="15" customHeight="1" x14ac:dyDescent="0.25">
      <c r="A92" s="12">
        <f>Raw_Prices!A92</f>
        <v>44743</v>
      </c>
      <c r="B92" s="15">
        <f>Raw_Prices!B92/Raw_Prices!B91-1</f>
        <v>1.9264892268694433E-2</v>
      </c>
      <c r="C92" s="15">
        <f>Raw_Prices!C92/Raw_Prices!C91-1</f>
        <v>5.2899188422802501E-2</v>
      </c>
      <c r="D92" s="15">
        <f>Raw_Prices!D92/Raw_Prices!D91-1</f>
        <v>-0.11086100168823854</v>
      </c>
      <c r="E92" s="15">
        <f>Raw_Prices!E92/Raw_Prices!E91-1</f>
        <v>-8.0971659919027994E-3</v>
      </c>
      <c r="F92" s="15">
        <f>Raw_Prices!F92/Raw_Prices!F91-1</f>
        <v>-9.6644736842105283E-2</v>
      </c>
      <c r="G92" s="15">
        <f>Raw_Prices!G92/Raw_Prices!G91-1</f>
        <v>-6.070780399274045E-2</v>
      </c>
      <c r="H92" s="15">
        <f>Raw_Prices!H92/Raw_Prices!H91-1</f>
        <v>-2.4193548387096753E-2</v>
      </c>
      <c r="I92" s="15">
        <f>Raw_Prices!I92/Raw_Prices!I91-1</f>
        <v>-2.4766839378238314E-2</v>
      </c>
      <c r="J92" s="15">
        <f>KSE100_Benchmark!B92/KSE100_Benchmark!B91-1</f>
        <v>-3.3472369232872889E-2</v>
      </c>
    </row>
    <row r="93" spans="1:10" ht="15" customHeight="1" x14ac:dyDescent="0.25">
      <c r="A93" s="12">
        <f>Raw_Prices!A93</f>
        <v>44774</v>
      </c>
      <c r="B93" s="15">
        <f>Raw_Prices!B93/Raw_Prices!B92-1</f>
        <v>2.8972892315344501E-2</v>
      </c>
      <c r="C93" s="15">
        <f>Raw_Prices!C93/Raw_Prices!C92-1</f>
        <v>0.12555720653789004</v>
      </c>
      <c r="D93" s="15">
        <f>Raw_Prices!D93/Raw_Prices!D92-1</f>
        <v>6.6455696202531556E-2</v>
      </c>
      <c r="E93" s="15">
        <f>Raw_Prices!E93/Raw_Prices!E92-1</f>
        <v>-2.2040816326530654E-2</v>
      </c>
      <c r="F93" s="15">
        <f>Raw_Prices!F93/Raw_Prices!F92-1</f>
        <v>0.25870900395698304</v>
      </c>
      <c r="G93" s="15">
        <f>Raw_Prices!G93/Raw_Prices!G92-1</f>
        <v>5.7965413969665036E-3</v>
      </c>
      <c r="H93" s="15">
        <f>Raw_Prices!H93/Raw_Prices!H92-1</f>
        <v>7.2231404958677858E-2</v>
      </c>
      <c r="I93" s="15">
        <f>Raw_Prices!I93/Raw_Prices!I92-1</f>
        <v>-2.33768993730743E-3</v>
      </c>
      <c r="J93" s="15">
        <f>KSE100_Benchmark!B93/KSE100_Benchmark!B92-1</f>
        <v>5.4813705281845593E-2</v>
      </c>
    </row>
    <row r="94" spans="1:10" ht="15" customHeight="1" x14ac:dyDescent="0.25">
      <c r="A94" s="12">
        <f>Raw_Prices!A94</f>
        <v>44805</v>
      </c>
      <c r="B94" s="15">
        <f>Raw_Prices!B94/Raw_Prices!B93-1</f>
        <v>-8.495468277945617E-2</v>
      </c>
      <c r="C94" s="15">
        <f>Raw_Prices!C94/Raw_Prices!C93-1</f>
        <v>-9.4471947194719519E-2</v>
      </c>
      <c r="D94" s="15">
        <f>Raw_Prices!D94/Raw_Prices!D93-1</f>
        <v>-7.3946587537092046E-2</v>
      </c>
      <c r="E94" s="15">
        <f>Raw_Prices!E94/Raw_Prices!E93-1</f>
        <v>-6.6777963272119933E-3</v>
      </c>
      <c r="F94" s="15">
        <f>Raw_Prices!F94/Raw_Prices!F93-1</f>
        <v>-4.2314368370298894E-2</v>
      </c>
      <c r="G94" s="15">
        <f>Raw_Prices!G94/Raw_Prices!G93-1</f>
        <v>-2.6894630679089371E-2</v>
      </c>
      <c r="H94" s="15">
        <f>Raw_Prices!H94/Raw_Prices!H93-1</f>
        <v>-8.2780946508401509E-2</v>
      </c>
      <c r="I94" s="15">
        <f>Raw_Prices!I94/Raw_Prices!I93-1</f>
        <v>-7.1040579401427273E-2</v>
      </c>
      <c r="J94" s="15">
        <f>KSE100_Benchmark!B94/KSE100_Benchmark!B93-1</f>
        <v>-2.8865331874105005E-2</v>
      </c>
    </row>
    <row r="95" spans="1:10" ht="15" customHeight="1" x14ac:dyDescent="0.25">
      <c r="A95" s="12">
        <f>Raw_Prices!A95</f>
        <v>44835</v>
      </c>
      <c r="B95" s="15">
        <f>Raw_Prices!B95/Raw_Prices!B94-1</f>
        <v>-7.5937665081880601E-2</v>
      </c>
      <c r="C95" s="15">
        <f>Raw_Prices!C95/Raw_Prices!C94-1</f>
        <v>-3.4168564920273314E-2</v>
      </c>
      <c r="D95" s="15">
        <f>Raw_Prices!D95/Raw_Prices!D94-1</f>
        <v>3.6913611894386245E-2</v>
      </c>
      <c r="E95" s="15">
        <f>Raw_Prices!E95/Raw_Prices!E94-1</f>
        <v>2.5126050420168022E-2</v>
      </c>
      <c r="F95" s="15">
        <f>Raw_Prices!F95/Raw_Prices!F94-1</f>
        <v>-2.128645078137581E-2</v>
      </c>
      <c r="G95" s="15">
        <f>Raw_Prices!G95/Raw_Prices!G94-1</f>
        <v>2.0136215575955019E-2</v>
      </c>
      <c r="H95" s="15">
        <f>Raw_Prices!H95/Raw_Prices!H94-1</f>
        <v>-0.13361344537815134</v>
      </c>
      <c r="I95" s="15">
        <f>Raw_Prices!I95/Raw_Prices!I94-1</f>
        <v>7.0110066498509482E-2</v>
      </c>
      <c r="J95" s="15">
        <f>KSE100_Benchmark!B95/KSE100_Benchmark!B94-1</f>
        <v>3.3064526521282556E-3</v>
      </c>
    </row>
    <row r="96" spans="1:10" ht="15" customHeight="1" x14ac:dyDescent="0.25">
      <c r="A96" s="12">
        <f>Raw_Prices!A96</f>
        <v>44866</v>
      </c>
      <c r="B96" s="15">
        <f>Raw_Prices!B96/Raw_Prices!B95-1</f>
        <v>3.3299985708160618E-2</v>
      </c>
      <c r="C96" s="15">
        <f>Raw_Prices!C96/Raw_Prices!C95-1</f>
        <v>3.5377358490566113E-2</v>
      </c>
      <c r="D96" s="15">
        <f>Raw_Prices!D96/Raw_Prices!D95-1</f>
        <v>2.4721878862792313E-3</v>
      </c>
      <c r="E96" s="15">
        <f>Raw_Prices!E96/Raw_Prices!E95-1</f>
        <v>-2.0821378801541002E-2</v>
      </c>
      <c r="F96" s="15">
        <f>Raw_Prices!F96/Raw_Prices!F95-1</f>
        <v>-2.6728945040021435E-2</v>
      </c>
      <c r="G96" s="15">
        <f>Raw_Prices!G96/Raw_Prices!G95-1</f>
        <v>-8.8050314465408785E-3</v>
      </c>
      <c r="H96" s="15">
        <f>Raw_Prices!H96/Raw_Prices!H95-1</f>
        <v>0.13579049466537341</v>
      </c>
      <c r="I96" s="15">
        <f>Raw_Prices!I96/Raw_Prices!I95-1</f>
        <v>-6.5891680505705263E-3</v>
      </c>
      <c r="J96" s="15">
        <f>KSE100_Benchmark!B96/KSE100_Benchmark!B95-1</f>
        <v>2.6268724860449399E-2</v>
      </c>
    </row>
    <row r="97" spans="1:10" ht="15" customHeight="1" x14ac:dyDescent="0.25">
      <c r="A97" s="12">
        <f>Raw_Prices!A97</f>
        <v>44896</v>
      </c>
      <c r="B97" s="15">
        <f>Raw_Prices!B97/Raw_Prices!B96-1</f>
        <v>0.10179806362378985</v>
      </c>
      <c r="C97" s="15">
        <f>Raw_Prices!C97/Raw_Prices!C96-1</f>
        <v>-9.3029612756264202E-2</v>
      </c>
      <c r="D97" s="15">
        <f>Raw_Prices!D97/Raw_Prices!D96-1</f>
        <v>-5.1911220715166406E-2</v>
      </c>
      <c r="E97" s="15">
        <f>Raw_Prices!E97/Raw_Prices!E96-1</f>
        <v>-3.7254081205525313E-2</v>
      </c>
      <c r="F97" s="15">
        <f>Raw_Prices!F97/Raw_Prices!F96-1</f>
        <v>-5.7082452431289621E-2</v>
      </c>
      <c r="G97" s="15">
        <f>Raw_Prices!G97/Raw_Prices!G96-1</f>
        <v>-3.6411557985162046E-2</v>
      </c>
      <c r="H97" s="15">
        <f>Raw_Prices!H97/Raw_Prices!H96-1</f>
        <v>-0.17421007685738676</v>
      </c>
      <c r="I97" s="15">
        <f>Raw_Prices!I97/Raw_Prices!I96-1</f>
        <v>-5.6298533218291591E-2</v>
      </c>
      <c r="J97" s="15">
        <f>KSE100_Benchmark!B97/KSE100_Benchmark!B96-1</f>
        <v>-4.5531106909479702E-2</v>
      </c>
    </row>
    <row r="98" spans="1:10" ht="15" customHeight="1" x14ac:dyDescent="0.25">
      <c r="A98" s="12">
        <f>Raw_Prices!A98</f>
        <v>44927</v>
      </c>
      <c r="B98" s="15">
        <f>Raw_Prices!B98/Raw_Prices!B97-1</f>
        <v>0.1039417524479036</v>
      </c>
      <c r="C98" s="15">
        <f>Raw_Prices!C98/Raw_Prices!C97-1</f>
        <v>-7.0725336548121409E-2</v>
      </c>
      <c r="D98" s="15">
        <f>Raw_Prices!D98/Raw_Prices!D97-1</f>
        <v>6.2556899466770677E-2</v>
      </c>
      <c r="E98" s="15">
        <f>Raw_Prices!E98/Raw_Prices!E97-1</f>
        <v>-1.6347826086956507E-2</v>
      </c>
      <c r="F98" s="15">
        <f>Raw_Prices!F98/Raw_Prices!F97-1</f>
        <v>-8.2959641255605399E-2</v>
      </c>
      <c r="G98" s="15">
        <f>Raw_Prices!G98/Raw_Prices!G97-1</f>
        <v>4.9539053793941967E-2</v>
      </c>
      <c r="H98" s="15">
        <f>Raw_Prices!H98/Raw_Prices!H97-1</f>
        <v>-6.2047569803517222E-3</v>
      </c>
      <c r="I98" s="15">
        <f>Raw_Prices!I98/Raw_Prices!I97-1</f>
        <v>-3.6171428571428632E-2</v>
      </c>
      <c r="J98" s="15">
        <f>KSE100_Benchmark!B98/KSE100_Benchmark!B97-1</f>
        <v>6.2495593196019161E-3</v>
      </c>
    </row>
    <row r="99" spans="1:10" ht="15" customHeight="1" x14ac:dyDescent="0.25">
      <c r="A99" s="12">
        <f>Raw_Prices!A99</f>
        <v>44958</v>
      </c>
      <c r="B99" s="15">
        <f>Raw_Prices!B99/Raw_Prices!B98-1</f>
        <v>-6.7546054127814448E-2</v>
      </c>
      <c r="C99" s="15">
        <f>Raw_Prices!C99/Raw_Prices!C98-1</f>
        <v>2.6486486486486438E-2</v>
      </c>
      <c r="D99" s="15">
        <f>Raw_Prices!D99/Raw_Prices!D98-1</f>
        <v>3.512851897184821E-2</v>
      </c>
      <c r="E99" s="15">
        <f>Raw_Prices!E99/Raw_Prices!E98-1</f>
        <v>3.2531824611032434E-2</v>
      </c>
      <c r="F99" s="15">
        <f>Raw_Prices!F99/Raw_Prices!F98-1</f>
        <v>1.1002444987775029E-2</v>
      </c>
      <c r="G99" s="15">
        <f>Raw_Prices!G99/Raw_Prices!G98-1</f>
        <v>-1.7857142857142794E-2</v>
      </c>
      <c r="H99" s="15">
        <f>Raw_Prices!H99/Raw_Prices!H98-1</f>
        <v>8.7408949011446468E-2</v>
      </c>
      <c r="I99" s="15">
        <f>Raw_Prices!I99/Raw_Prices!I98-1</f>
        <v>-5.3714353471275067E-2</v>
      </c>
      <c r="J99" s="15">
        <f>KSE100_Benchmark!B99/KSE100_Benchmark!B98-1</f>
        <v>-3.9999449266908682E-3</v>
      </c>
    </row>
    <row r="100" spans="1:10" ht="15" customHeight="1" x14ac:dyDescent="0.25">
      <c r="A100" s="12">
        <f>Raw_Prices!A100</f>
        <v>44986</v>
      </c>
      <c r="B100" s="15">
        <f>Raw_Prices!B100/Raw_Prices!B99-1</f>
        <v>9.1463414634145312E-3</v>
      </c>
      <c r="C100" s="15">
        <f>Raw_Prices!C100/Raw_Prices!C99-1</f>
        <v>-5.2659294365453579E-4</v>
      </c>
      <c r="D100" s="15">
        <f>Raw_Prices!D100/Raw_Prices!D99-1</f>
        <v>3.3108667376138268E-3</v>
      </c>
      <c r="E100" s="15">
        <f>Raw_Prices!E100/Raw_Prices!E99-1</f>
        <v>-1.5496575342465735E-2</v>
      </c>
      <c r="F100" s="15">
        <f>Raw_Prices!F100/Raw_Prices!F99-1</f>
        <v>-2.0556227327690468E-2</v>
      </c>
      <c r="G100" s="15">
        <f>Raw_Prices!G100/Raw_Prices!G99-1</f>
        <v>-1.8378378378378413E-2</v>
      </c>
      <c r="H100" s="15">
        <f>Raw_Prices!H100/Raw_Prices!H99-1</f>
        <v>-0.12918660287081341</v>
      </c>
      <c r="I100" s="15">
        <f>Raw_Prices!I100/Raw_Prices!I99-1</f>
        <v>5.7452540567633603E-2</v>
      </c>
      <c r="J100" s="15">
        <f>KSE100_Benchmark!B100/KSE100_Benchmark!B99-1</f>
        <v>-1.2578013975187097E-2</v>
      </c>
    </row>
    <row r="101" spans="1:10" ht="15" customHeight="1" x14ac:dyDescent="0.25">
      <c r="A101" s="12">
        <f>Raw_Prices!A101</f>
        <v>45017</v>
      </c>
      <c r="B101" s="15">
        <f>Raw_Prices!B101/Raw_Prices!B100-1</f>
        <v>3.8912386706948521E-2</v>
      </c>
      <c r="C101" s="15">
        <f>Raw_Prices!C101/Raw_Prices!C100-1</f>
        <v>4.6469968387776506E-2</v>
      </c>
      <c r="D101" s="15">
        <f>Raw_Prices!D101/Raw_Prices!D100-1</f>
        <v>-8.8391278727165679E-3</v>
      </c>
      <c r="E101" s="15">
        <f>Raw_Prices!E101/Raw_Prices!E100-1</f>
        <v>4.3569006000521826E-2</v>
      </c>
      <c r="F101" s="15">
        <f>Raw_Prices!F101/Raw_Prices!F100-1</f>
        <v>-7.4320987654320492E-3</v>
      </c>
      <c r="G101" s="15">
        <f>Raw_Prices!G101/Raw_Prices!G100-1</f>
        <v>3.1237484981978314E-2</v>
      </c>
      <c r="H101" s="15">
        <f>Raw_Prices!H101/Raw_Prices!H100-1</f>
        <v>0.17582417582417587</v>
      </c>
      <c r="I101" s="15">
        <f>Raw_Prices!I101/Raw_Prices!I100-1</f>
        <v>4.6628747481929134E-2</v>
      </c>
      <c r="J101" s="15">
        <f>KSE100_Benchmark!B101/KSE100_Benchmark!B100-1</f>
        <v>3.9499680381632096E-2</v>
      </c>
    </row>
    <row r="102" spans="1:10" ht="15" customHeight="1" x14ac:dyDescent="0.25">
      <c r="A102" s="12">
        <f>Raw_Prices!A102</f>
        <v>45047</v>
      </c>
      <c r="B102" s="15">
        <f>Raw_Prices!B102/Raw_Prices!B101-1</f>
        <v>-0.12969640572292662</v>
      </c>
      <c r="C102" s="15">
        <f>Raw_Prices!C102/Raw_Prices!C101-1</f>
        <v>-0.10583022857718261</v>
      </c>
      <c r="D102" s="15">
        <f>Raw_Prices!D102/Raw_Prices!D101-1</f>
        <v>2.2592152199762294E-2</v>
      </c>
      <c r="E102" s="15">
        <f>Raw_Prices!E102/Raw_Prices!E101-1</f>
        <v>-3.7666666666666626E-2</v>
      </c>
      <c r="F102" s="15">
        <f>Raw_Prices!F102/Raw_Prices!F101-1</f>
        <v>0.28361402024925986</v>
      </c>
      <c r="G102" s="15">
        <f>Raw_Prices!G102/Raw_Prices!G101-1</f>
        <v>-1.7961165048543615E-2</v>
      </c>
      <c r="H102" s="15">
        <f>Raw_Prices!H102/Raw_Prices!H101-1</f>
        <v>-9.0467289719626254E-2</v>
      </c>
      <c r="I102" s="15">
        <f>Raw_Prices!I102/Raw_Prices!I101-1</f>
        <v>-2.9493348429097122E-2</v>
      </c>
      <c r="J102" s="15">
        <f>KSE100_Benchmark!B102/KSE100_Benchmark!B101-1</f>
        <v>-5.8447578632951913E-3</v>
      </c>
    </row>
    <row r="103" spans="1:10" ht="15" customHeight="1" x14ac:dyDescent="0.25">
      <c r="A103" s="12">
        <f>Raw_Prices!A103</f>
        <v>45078</v>
      </c>
      <c r="B103" s="15">
        <f>Raw_Prices!B103/Raw_Prices!B102-1</f>
        <v>4.0497193263833164E-2</v>
      </c>
      <c r="C103" s="15">
        <f>Raw_Prices!C103/Raw_Prices!C102-1</f>
        <v>-3.1531531531531543E-2</v>
      </c>
      <c r="D103" s="15">
        <f>Raw_Prices!D103/Raw_Prices!D102-1</f>
        <v>-4.7093023255813882E-2</v>
      </c>
      <c r="E103" s="15">
        <f>Raw_Prices!E103/Raw_Prices!E102-1</f>
        <v>-1.4980949082092132E-2</v>
      </c>
      <c r="F103" s="15">
        <f>Raw_Prices!F103/Raw_Prices!F102-1</f>
        <v>1.0658914728682189E-2</v>
      </c>
      <c r="G103" s="15">
        <f>Raw_Prices!G103/Raw_Prices!G102-1</f>
        <v>-2.7187345526445861E-2</v>
      </c>
      <c r="H103" s="15">
        <f>Raw_Prices!H103/Raw_Prices!H102-1</f>
        <v>4.3978627209206866E-2</v>
      </c>
      <c r="I103" s="15">
        <f>Raw_Prices!I103/Raw_Prices!I102-1</f>
        <v>-2.1348576761549221E-2</v>
      </c>
      <c r="J103" s="15">
        <f>KSE100_Benchmark!B103/KSE100_Benchmark!B102-1</f>
        <v>2.7785693585196114E-3</v>
      </c>
    </row>
    <row r="104" spans="1:10" ht="15" customHeight="1" x14ac:dyDescent="0.25">
      <c r="A104" s="12">
        <f>Raw_Prices!A104</f>
        <v>45108</v>
      </c>
      <c r="B104" s="15">
        <f>Raw_Prices!B104/Raw_Prices!B103-1</f>
        <v>0.22479126525369297</v>
      </c>
      <c r="C104" s="15">
        <f>Raw_Prices!C104/Raw_Prices!C103-1</f>
        <v>0.53604651162790695</v>
      </c>
      <c r="D104" s="15">
        <f>Raw_Prices!D104/Raw_Prices!D103-1</f>
        <v>1.8303843807199183E-3</v>
      </c>
      <c r="E104" s="15">
        <f>Raw_Prices!E104/Raw_Prices!E103-1</f>
        <v>0.2963516483516484</v>
      </c>
      <c r="F104" s="15">
        <f>Raw_Prices!F104/Raw_Prices!F103-1</f>
        <v>0.13039309683604983</v>
      </c>
      <c r="G104" s="15">
        <f>Raw_Prices!G104/Raw_Prices!G103-1</f>
        <v>2.4085365853658391E-2</v>
      </c>
      <c r="H104" s="15">
        <f>Raw_Prices!H104/Raw_Prices!H103-1</f>
        <v>0.39271653543307083</v>
      </c>
      <c r="I104" s="15">
        <f>Raw_Prices!I104/Raw_Prices!I103-1</f>
        <v>6.2879961854809929E-2</v>
      </c>
      <c r="J104" s="15">
        <f>KSE100_Benchmark!B104/KSE100_Benchmark!B103-1</f>
        <v>0.15878128989488727</v>
      </c>
    </row>
    <row r="105" spans="1:10" ht="15" customHeight="1" x14ac:dyDescent="0.25">
      <c r="A105" s="12">
        <f>Raw_Prices!A105</f>
        <v>45139</v>
      </c>
      <c r="B105" s="15">
        <f>Raw_Prices!B105/Raw_Prices!B104-1</f>
        <v>-1.5207131620345926E-2</v>
      </c>
      <c r="C105" s="15">
        <f>Raw_Prices!C105/Raw_Prices!C104-1</f>
        <v>-0.12187736563209683</v>
      </c>
      <c r="D105" s="15">
        <f>Raw_Prices!D105/Raw_Prices!D104-1</f>
        <v>-6.0901339829476209E-2</v>
      </c>
      <c r="E105" s="15">
        <f>Raw_Prices!E105/Raw_Prices!E104-1</f>
        <v>-0.12342330123423317</v>
      </c>
      <c r="F105" s="15">
        <f>Raw_Prices!F105/Raw_Prices!F104-1</f>
        <v>-5.6810856658184972E-2</v>
      </c>
      <c r="G105" s="15">
        <f>Raw_Prices!G105/Raw_Prices!G104-1</f>
        <v>-5.9740001984717628E-2</v>
      </c>
      <c r="H105" s="15">
        <f>Raw_Prices!H105/Raw_Prices!H104-1</f>
        <v>-8.1272084805653733E-2</v>
      </c>
      <c r="I105" s="15">
        <f>Raw_Prices!I105/Raw_Prices!I104-1</f>
        <v>-3.1402456120674938E-3</v>
      </c>
      <c r="J105" s="15">
        <f>KSE100_Benchmark!B105/KSE100_Benchmark!B104-1</f>
        <v>-6.3124927265955533E-2</v>
      </c>
    </row>
    <row r="106" spans="1:10" ht="15" customHeight="1" x14ac:dyDescent="0.25">
      <c r="A106" s="12">
        <f>Raw_Prices!A106</f>
        <v>45170</v>
      </c>
      <c r="B106" s="15">
        <f>Raw_Prices!B106/Raw_Prices!B105-1</f>
        <v>2.7689030883919052E-2</v>
      </c>
      <c r="C106" s="15">
        <f>Raw_Prices!C106/Raw_Prices!C105-1</f>
        <v>-1.2931034482758674E-2</v>
      </c>
      <c r="D106" s="15">
        <f>Raw_Prices!D106/Raw_Prices!D105-1</f>
        <v>-1.4267185473411104E-2</v>
      </c>
      <c r="E106" s="15">
        <f>Raw_Prices!E106/Raw_Prices!E105-1</f>
        <v>1.8567228841095407E-3</v>
      </c>
      <c r="F106" s="15">
        <f>Raw_Prices!F106/Raw_Prices!F105-1</f>
        <v>1.2751569216381098E-2</v>
      </c>
      <c r="G106" s="15">
        <f>Raw_Prices!G106/Raw_Prices!G105-1</f>
        <v>-2.1108179419525031E-2</v>
      </c>
      <c r="H106" s="15">
        <f>Raw_Prices!H106/Raw_Prices!H105-1</f>
        <v>0.43046153846153845</v>
      </c>
      <c r="I106" s="15">
        <f>Raw_Prices!I106/Raw_Prices!I105-1</f>
        <v>-2.3794791022107353E-2</v>
      </c>
      <c r="J106" s="15">
        <f>KSE100_Benchmark!B106/KSE100_Benchmark!B105-1</f>
        <v>2.7335869345663788E-2</v>
      </c>
    </row>
    <row r="107" spans="1:10" ht="15" customHeight="1" x14ac:dyDescent="0.25">
      <c r="A107" s="12">
        <f>Raw_Prices!A107</f>
        <v>45200</v>
      </c>
      <c r="B107" s="15">
        <f>Raw_Prices!B107/Raw_Prices!B106-1</f>
        <v>4.1450777202072464E-2</v>
      </c>
      <c r="C107" s="15">
        <f>Raw_Prices!C107/Raw_Prices!C106-1</f>
        <v>0.20078602620087338</v>
      </c>
      <c r="D107" s="15">
        <f>Raw_Prices!D107/Raw_Prices!D106-1</f>
        <v>0.14210526315789473</v>
      </c>
      <c r="E107" s="15">
        <f>Raw_Prices!E107/Raw_Prices!E106-1</f>
        <v>0.17752895752895759</v>
      </c>
      <c r="F107" s="15">
        <f>Raw_Prices!F107/Raw_Prices!F106-1</f>
        <v>0.12768602379683891</v>
      </c>
      <c r="G107" s="15">
        <f>Raw_Prices!G107/Raw_Prices!G106-1</f>
        <v>0.1132075471698113</v>
      </c>
      <c r="H107" s="15">
        <f>Raw_Prices!H107/Raw_Prices!H106-1</f>
        <v>0.75414067541406737</v>
      </c>
      <c r="I107" s="15">
        <f>Raw_Prices!I107/Raw_Prices!I106-1</f>
        <v>7.6639391494757181E-3</v>
      </c>
      <c r="J107" s="15">
        <f>KSE100_Benchmark!B107/KSE100_Benchmark!B106-1</f>
        <v>0.12423530673925032</v>
      </c>
    </row>
    <row r="108" spans="1:10" ht="15" customHeight="1" x14ac:dyDescent="0.25">
      <c r="A108" s="12">
        <f>Raw_Prices!A108</f>
        <v>45231</v>
      </c>
      <c r="B108" s="15">
        <f>Raw_Prices!B108/Raw_Prices!B107-1</f>
        <v>8.4577114427860645E-2</v>
      </c>
      <c r="C108" s="15">
        <f>Raw_Prices!C108/Raw_Prices!C107-1</f>
        <v>0.12371808858826094</v>
      </c>
      <c r="D108" s="15">
        <f>Raw_Prices!D108/Raw_Prices!D107-1</f>
        <v>0.16324884792626726</v>
      </c>
      <c r="E108" s="15">
        <f>Raw_Prices!E108/Raw_Prices!E107-1</f>
        <v>9.8432684110433488E-2</v>
      </c>
      <c r="F108" s="15">
        <f>Raw_Prices!F108/Raw_Prices!F107-1</f>
        <v>0.24251968503937005</v>
      </c>
      <c r="G108" s="15">
        <f>Raw_Prices!G108/Raw_Prices!G107-1</f>
        <v>8.5230024213075017E-2</v>
      </c>
      <c r="H108" s="15">
        <f>Raw_Prices!H108/Raw_Prices!H107-1</f>
        <v>0.14040465971796445</v>
      </c>
      <c r="I108" s="15">
        <f>Raw_Prices!I108/Raw_Prices!I107-1</f>
        <v>8.4005261051066427E-2</v>
      </c>
      <c r="J108" s="15">
        <f>KSE100_Benchmark!B108/KSE100_Benchmark!B107-1</f>
        <v>0.16450686860994934</v>
      </c>
    </row>
    <row r="109" spans="1:10" ht="15" customHeight="1" x14ac:dyDescent="0.25">
      <c r="A109" s="12">
        <f>Raw_Prices!A109</f>
        <v>45261</v>
      </c>
      <c r="B109" s="15">
        <f>Raw_Prices!B109/Raw_Prices!B108-1</f>
        <v>2.8440366972477094E-2</v>
      </c>
      <c r="C109" s="15">
        <f>Raw_Prices!C109/Raw_Prices!C108-1</f>
        <v>4.2006472491909363E-2</v>
      </c>
      <c r="D109" s="15">
        <f>Raw_Prices!D109/Raw_Prices!D108-1</f>
        <v>0.1122115479845498</v>
      </c>
      <c r="E109" s="15">
        <f>Raw_Prices!E109/Raw_Prices!E108-1</f>
        <v>2.6865671641790989E-2</v>
      </c>
      <c r="F109" s="15">
        <f>Raw_Prices!F109/Raw_Prices!F108-1</f>
        <v>1.2674271229404788E-3</v>
      </c>
      <c r="G109" s="15">
        <f>Raw_Prices!G109/Raw_Prices!G108-1</f>
        <v>1.1155734047300303E-2</v>
      </c>
      <c r="H109" s="15">
        <f>Raw_Prices!H109/Raw_Prices!H108-1</f>
        <v>-4.5698924731182755E-2</v>
      </c>
      <c r="I109" s="15">
        <f>Raw_Prices!I109/Raw_Prices!I108-1</f>
        <v>0.22504747837096439</v>
      </c>
      <c r="J109" s="15">
        <f>KSE100_Benchmark!B109/KSE100_Benchmark!B108-1</f>
        <v>3.1792048377932591E-2</v>
      </c>
    </row>
    <row r="110" spans="1:10" ht="15" customHeight="1" x14ac:dyDescent="0.25">
      <c r="A110" s="12">
        <f>Raw_Prices!A110</f>
        <v>45292</v>
      </c>
      <c r="B110" s="15">
        <f>Raw_Prices!B110/Raw_Prices!B109-1</f>
        <v>0.2044603033006247</v>
      </c>
      <c r="C110" s="15">
        <f>Raw_Prices!C110/Raw_Prices!C109-1</f>
        <v>6.2736815951300873E-3</v>
      </c>
      <c r="D110" s="15">
        <f>Raw_Prices!D110/Raw_Prices!D109-1</f>
        <v>8.6375779162956468E-2</v>
      </c>
      <c r="E110" s="15">
        <f>Raw_Prices!E110/Raw_Prices!E109-1</f>
        <v>4.4186046511627941E-2</v>
      </c>
      <c r="F110" s="15">
        <f>Raw_Prices!F110/Raw_Prices!F109-1</f>
        <v>-6.7151898734177151E-2</v>
      </c>
      <c r="G110" s="15">
        <f>Raw_Prices!G110/Raw_Prices!G109-1</f>
        <v>-2.6478375992938785E-3</v>
      </c>
      <c r="H110" s="15">
        <f>Raw_Prices!H110/Raw_Prices!H109-1</f>
        <v>0.18985915492957739</v>
      </c>
      <c r="I110" s="15">
        <f>Raw_Prices!I110/Raw_Prices!I109-1</f>
        <v>7.6651451210059562E-2</v>
      </c>
      <c r="J110" s="15">
        <f>KSE100_Benchmark!B110/KSE100_Benchmark!B109-1</f>
        <v>-7.5556788165577204E-3</v>
      </c>
    </row>
    <row r="111" spans="1:10" ht="15" customHeight="1" x14ac:dyDescent="0.25">
      <c r="A111" s="12">
        <f>Raw_Prices!A111</f>
        <v>45323</v>
      </c>
      <c r="B111" s="15">
        <f>Raw_Prices!B111/Raw_Prices!B110-1</f>
        <v>-7.1989334913346248E-2</v>
      </c>
      <c r="C111" s="15">
        <f>Raw_Prices!C111/Raw_Prices!C110-1</f>
        <v>0.15740740740740744</v>
      </c>
      <c r="D111" s="15">
        <f>Raw_Prices!D111/Raw_Prices!D110-1</f>
        <v>0.20475409836065572</v>
      </c>
      <c r="E111" s="15">
        <f>Raw_Prices!E111/Raw_Prices!E110-1</f>
        <v>0.10801781737193772</v>
      </c>
      <c r="F111" s="15">
        <f>Raw_Prices!F111/Raw_Prices!F110-1</f>
        <v>1.6554718773322374E-2</v>
      </c>
      <c r="G111" s="15">
        <f>Raw_Prices!G111/Raw_Prices!G110-1</f>
        <v>5.663716814159292E-2</v>
      </c>
      <c r="H111" s="15">
        <f>Raw_Prices!H111/Raw_Prices!H110-1</f>
        <v>0.70928030303030321</v>
      </c>
      <c r="I111" s="15">
        <f>Raw_Prices!I111/Raw_Prices!I110-1</f>
        <v>4.3476521878249574E-2</v>
      </c>
      <c r="J111" s="15">
        <f>KSE100_Benchmark!B111/KSE100_Benchmark!B110-1</f>
        <v>4.1938922070282159E-2</v>
      </c>
    </row>
    <row r="112" spans="1:10" ht="15" customHeight="1" x14ac:dyDescent="0.25">
      <c r="A112" s="12">
        <f>Raw_Prices!A112</f>
        <v>45352</v>
      </c>
      <c r="B112" s="15">
        <f>Raw_Prices!B112/Raw_Prices!B111-1</f>
        <v>-3.152434158020756E-2</v>
      </c>
      <c r="C112" s="15">
        <f>Raw_Prices!C112/Raw_Prices!C111-1</f>
        <v>0.14389333333333321</v>
      </c>
      <c r="D112" s="15">
        <f>Raw_Prices!D112/Raw_Prices!D111-1</f>
        <v>5.5109538712749817E-3</v>
      </c>
      <c r="E112" s="15">
        <f>Raw_Prices!E112/Raw_Prices!E111-1</f>
        <v>2.0100502512562901E-2</v>
      </c>
      <c r="F112" s="15">
        <f>Raw_Prices!F112/Raw_Prices!F111-1</f>
        <v>2.1157311619835806E-2</v>
      </c>
      <c r="G112" s="15">
        <f>Raw_Prices!G112/Raw_Prices!G111-1</f>
        <v>5.9463986599664898E-2</v>
      </c>
      <c r="H112" s="15">
        <f>Raw_Prices!H112/Raw_Prices!H111-1</f>
        <v>7.4792243767312971E-2</v>
      </c>
      <c r="I112" s="15">
        <f>Raw_Prices!I112/Raw_Prices!I111-1</f>
        <v>7.7503928858906113E-2</v>
      </c>
      <c r="J112" s="15">
        <f>KSE100_Benchmark!B112/KSE100_Benchmark!B111-1</f>
        <v>3.7575806940140621E-2</v>
      </c>
    </row>
    <row r="113" spans="1:10" ht="15" customHeight="1" x14ac:dyDescent="0.25">
      <c r="A113" s="12">
        <f>Raw_Prices!A113</f>
        <v>45383</v>
      </c>
      <c r="B113" s="15">
        <f>Raw_Prices!B113/Raw_Prices!B112-1</f>
        <v>0.10012360939431408</v>
      </c>
      <c r="C113" s="15">
        <f>Raw_Prices!C113/Raw_Prices!C112-1</f>
        <v>-4.6158149944049987E-3</v>
      </c>
      <c r="D113" s="15">
        <f>Raw_Prices!D113/Raw_Prices!D112-1</f>
        <v>6.4415725015224412E-2</v>
      </c>
      <c r="E113" s="15">
        <f>Raw_Prices!E113/Raw_Prices!E112-1</f>
        <v>3.2216748768472803E-2</v>
      </c>
      <c r="F113" s="15">
        <f>Raw_Prices!F113/Raw_Prices!F112-1</f>
        <v>9.2810457516339762E-2</v>
      </c>
      <c r="G113" s="15">
        <f>Raw_Prices!G113/Raw_Prices!G112-1</f>
        <v>0.15019762845849804</v>
      </c>
      <c r="H113" s="15">
        <f>Raw_Prices!H113/Raw_Prices!H112-1</f>
        <v>0.80927835051546393</v>
      </c>
      <c r="I113" s="15">
        <f>Raw_Prices!I113/Raw_Prices!I112-1</f>
        <v>7.8261178897940376E-2</v>
      </c>
      <c r="J113" s="15">
        <f>KSE100_Benchmark!B113/KSE100_Benchmark!B112-1</f>
        <v>6.1151156978922927E-2</v>
      </c>
    </row>
    <row r="114" spans="1:10" ht="15" customHeight="1" x14ac:dyDescent="0.25">
      <c r="A114" s="12">
        <f>Raw_Prices!A114</f>
        <v>45413</v>
      </c>
      <c r="B114" s="15">
        <f>Raw_Prices!B114/Raw_Prices!B113-1</f>
        <v>1.4981273408238849E-3</v>
      </c>
      <c r="C114" s="15">
        <f>Raw_Prices!C114/Raw_Prices!C113-1</f>
        <v>0.15551079675863022</v>
      </c>
      <c r="D114" s="15">
        <f>Raw_Prices!D114/Raw_Prices!D113-1</f>
        <v>1.7735681139152026E-2</v>
      </c>
      <c r="E114" s="15">
        <f>Raw_Prices!E114/Raw_Prices!E113-1</f>
        <v>-1.2121790588909054E-2</v>
      </c>
      <c r="F114" s="15">
        <f>Raw_Prices!F114/Raw_Prices!F113-1</f>
        <v>7.3564593301435499E-2</v>
      </c>
      <c r="G114" s="15">
        <f>Raw_Prices!G114/Raw_Prices!G113-1</f>
        <v>-2.4054982817869441E-2</v>
      </c>
      <c r="H114" s="15">
        <f>Raw_Prices!H114/Raw_Prices!H113-1</f>
        <v>0.11985754985754982</v>
      </c>
      <c r="I114" s="15">
        <f>Raw_Prices!I114/Raw_Prices!I113-1</f>
        <v>2.236811718518017E-2</v>
      </c>
      <c r="J114" s="15">
        <f>KSE100_Benchmark!B114/KSE100_Benchmark!B113-1</f>
        <v>6.7169602215391588E-2</v>
      </c>
    </row>
    <row r="115" spans="1:10" ht="15" customHeight="1" x14ac:dyDescent="0.25">
      <c r="A115" s="12">
        <f>Raw_Prices!A115</f>
        <v>45444</v>
      </c>
      <c r="B115" s="15">
        <f>Raw_Prices!B115/Raw_Prices!B114-1</f>
        <v>1.0845175766641901E-2</v>
      </c>
      <c r="C115" s="15">
        <f>Raw_Prices!C115/Raw_Prices!C114-1</f>
        <v>-3.11727269042118E-2</v>
      </c>
      <c r="D115" s="15">
        <f>Raw_Prices!D115/Raw_Prices!D114-1</f>
        <v>3.6976889444097605E-2</v>
      </c>
      <c r="E115" s="15">
        <f>Raw_Prices!E115/Raw_Prices!E114-1</f>
        <v>9.661835748792269E-2</v>
      </c>
      <c r="F115" s="15">
        <f>Raw_Prices!F115/Raw_Prices!F114-1</f>
        <v>6.2729805013927997E-3</v>
      </c>
      <c r="G115" s="15">
        <f>Raw_Prices!G115/Raw_Prices!G114-1</f>
        <v>0.14929577464788735</v>
      </c>
      <c r="H115" s="15">
        <f>Raw_Prices!H115/Raw_Prices!H114-1</f>
        <v>6.1490319790368231E-2</v>
      </c>
      <c r="I115" s="15">
        <f>Raw_Prices!I115/Raw_Prices!I114-1</f>
        <v>-3.0849656329665409E-2</v>
      </c>
      <c r="J115" s="15">
        <f>KSE100_Benchmark!B115/KSE100_Benchmark!B114-1</f>
        <v>3.3823555769699309E-2</v>
      </c>
    </row>
    <row r="116" spans="1:10" ht="15" customHeight="1" x14ac:dyDescent="0.25">
      <c r="A116" s="12">
        <f>Raw_Prices!A116</f>
        <v>45474</v>
      </c>
      <c r="B116" s="15">
        <f>Raw_Prices!B116/Raw_Prices!B115-1</f>
        <v>-4.5061043285238633E-2</v>
      </c>
      <c r="C116" s="15">
        <f>Raw_Prices!C116/Raw_Prices!C115-1</f>
        <v>-3.7656903765690419E-3</v>
      </c>
      <c r="D116" s="15">
        <f>Raw_Prices!D116/Raw_Prices!D115-1</f>
        <v>8.9145886037826916E-3</v>
      </c>
      <c r="E116" s="15">
        <f>Raw_Prices!E116/Raw_Prices!E115-1</f>
        <v>1.1013215859030367E-3</v>
      </c>
      <c r="F116" s="15">
        <f>Raw_Prices!F116/Raw_Prices!F115-1</f>
        <v>-3.4469013320341468E-2</v>
      </c>
      <c r="G116" s="15">
        <f>Raw_Prices!G116/Raw_Prices!G115-1</f>
        <v>0.11060049019607843</v>
      </c>
      <c r="H116" s="15">
        <f>Raw_Prices!H116/Raw_Prices!H115-1</f>
        <v>0.27384718627169002</v>
      </c>
      <c r="I116" s="15">
        <f>Raw_Prices!I116/Raw_Prices!I115-1</f>
        <v>-1.9212199913428485E-2</v>
      </c>
      <c r="J116" s="15">
        <f>KSE100_Benchmark!B116/KSE100_Benchmark!B115-1</f>
        <v>-7.1128852637569739E-3</v>
      </c>
    </row>
    <row r="117" spans="1:10" ht="15" customHeight="1" x14ac:dyDescent="0.25">
      <c r="A117" s="12">
        <f>Raw_Prices!A117</f>
        <v>45505</v>
      </c>
      <c r="B117" s="15">
        <f>Raw_Prices!B117/Raw_Prices!B116-1</f>
        <v>2.8203936153726739E-2</v>
      </c>
      <c r="C117" s="15">
        <f>Raw_Prices!C117/Raw_Prices!C116-1</f>
        <v>-1.3019739605207858E-2</v>
      </c>
      <c r="D117" s="15">
        <f>Raw_Prices!D117/Raw_Prices!D116-1</f>
        <v>-3.8805970149253688E-2</v>
      </c>
      <c r="E117" s="15">
        <f>Raw_Prices!E117/Raw_Prices!E116-1</f>
        <v>-5.6545654565456571E-2</v>
      </c>
      <c r="F117" s="15">
        <f>Raw_Prices!F117/Raw_Prices!F116-1</f>
        <v>-4.7018348623853234E-2</v>
      </c>
      <c r="G117" s="15">
        <f>Raw_Prices!G117/Raw_Prices!G116-1</f>
        <v>-1.434482758620681E-3</v>
      </c>
      <c r="H117" s="15">
        <f>Raw_Prices!H117/Raw_Prices!H116-1</f>
        <v>-4.9755409219190971E-2</v>
      </c>
      <c r="I117" s="15">
        <f>Raw_Prices!I117/Raw_Prices!I116-1</f>
        <v>0.27987506789788164</v>
      </c>
      <c r="J117" s="15">
        <f>KSE100_Benchmark!B117/KSE100_Benchmark!B116-1</f>
        <v>7.7192609446070648E-3</v>
      </c>
    </row>
    <row r="118" spans="1:10" ht="15" customHeight="1" x14ac:dyDescent="0.25">
      <c r="A118" s="12">
        <f>Raw_Prices!A118</f>
        <v>45536</v>
      </c>
      <c r="B118" s="15">
        <f>Raw_Prices!B118/Raw_Prices!B117-1</f>
        <v>8.0859080633006952E-2</v>
      </c>
      <c r="C118" s="15">
        <f>Raw_Prices!C118/Raw_Prices!C117-1</f>
        <v>-2.9148936170212747E-2</v>
      </c>
      <c r="D118" s="15">
        <f>Raw_Prices!D118/Raw_Prices!D117-1</f>
        <v>0.18173913043478263</v>
      </c>
      <c r="E118" s="15">
        <f>Raw_Prices!E118/Raw_Prices!E117-1</f>
        <v>0.12126865671641784</v>
      </c>
      <c r="F118" s="15">
        <f>Raw_Prices!F118/Raw_Prices!F117-1</f>
        <v>6.3826714801443973E-2</v>
      </c>
      <c r="G118" s="15">
        <f>Raw_Prices!G118/Raw_Prices!G117-1</f>
        <v>0.22907342947124132</v>
      </c>
      <c r="H118" s="15">
        <f>Raw_Prices!H118/Raw_Prices!H117-1</f>
        <v>-4.7044381305006322E-2</v>
      </c>
      <c r="I118" s="15">
        <f>Raw_Prices!I118/Raw_Prices!I117-1</f>
        <v>0.12875331564986747</v>
      </c>
      <c r="J118" s="15">
        <f>KSE100_Benchmark!B118/KSE100_Benchmark!B117-1</f>
        <v>3.3456995202592044E-2</v>
      </c>
    </row>
    <row r="119" spans="1:10" ht="15" customHeight="1" x14ac:dyDescent="0.25">
      <c r="A119" s="12">
        <f>Raw_Prices!A119</f>
        <v>45566</v>
      </c>
      <c r="B119" s="15">
        <f>Raw_Prices!B119/Raw_Prices!B118-1</f>
        <v>0.20009760858955583</v>
      </c>
      <c r="C119" s="15">
        <f>Raw_Prices!C119/Raw_Prices!C118-1</f>
        <v>1.63488932719702E-2</v>
      </c>
      <c r="D119" s="15">
        <f>Raw_Prices!D119/Raw_Prices!D118-1</f>
        <v>1.9079154840744295E-2</v>
      </c>
      <c r="E119" s="15">
        <f>Raw_Prices!E119/Raw_Prices!E118-1</f>
        <v>1.5515806988352754E-2</v>
      </c>
      <c r="F119" s="15">
        <f>Raw_Prices!F119/Raw_Prices!F118-1</f>
        <v>-9.5018324962659051E-4</v>
      </c>
      <c r="G119" s="15">
        <f>Raw_Prices!G119/Raw_Prices!G118-1</f>
        <v>0.26504832546639712</v>
      </c>
      <c r="H119" s="15">
        <f>Raw_Prices!H119/Raw_Prices!H118-1</f>
        <v>8.575821481627699E-2</v>
      </c>
      <c r="I119" s="15">
        <f>Raw_Prices!I119/Raw_Prices!I118-1</f>
        <v>-4.4813648540677709E-2</v>
      </c>
      <c r="J119" s="15">
        <f>KSE100_Benchmark!B119/KSE100_Benchmark!B118-1</f>
        <v>9.6808820157259889E-2</v>
      </c>
    </row>
    <row r="120" spans="1:10" ht="15" customHeight="1" x14ac:dyDescent="0.25">
      <c r="A120" s="12">
        <f>Raw_Prices!A120</f>
        <v>45597</v>
      </c>
      <c r="B120" s="15">
        <f>Raw_Prices!B120/Raw_Prices!B119-1</f>
        <v>0.13431708592342995</v>
      </c>
      <c r="C120" s="15">
        <f>Raw_Prices!C120/Raw_Prices!C119-1</f>
        <v>-1.940658961531827E-2</v>
      </c>
      <c r="D120" s="15">
        <f>Raw_Prices!D120/Raw_Prices!D119-1</f>
        <v>3.2595801743256603E-2</v>
      </c>
      <c r="E120" s="15">
        <f>Raw_Prices!E120/Raw_Prices!E119-1</f>
        <v>0.11112931634784751</v>
      </c>
      <c r="F120" s="15">
        <f>Raw_Prices!F120/Raw_Prices!F119-1</f>
        <v>0.15438179347826075</v>
      </c>
      <c r="G120" s="15">
        <f>Raw_Prices!G120/Raw_Prices!G119-1</f>
        <v>0.15450765786574738</v>
      </c>
      <c r="H120" s="15">
        <f>Raw_Prices!H120/Raw_Prices!H119-1</f>
        <v>-3.8894310810035138E-2</v>
      </c>
      <c r="I120" s="15">
        <f>Raw_Prices!I120/Raw_Prices!I119-1</f>
        <v>0.13715649371417316</v>
      </c>
      <c r="J120" s="15">
        <f>KSE100_Benchmark!B120/KSE100_Benchmark!B119-1</f>
        <v>0.13927166289166171</v>
      </c>
    </row>
    <row r="121" spans="1:10" ht="15" customHeight="1" x14ac:dyDescent="0.25">
      <c r="A121" s="12">
        <f>Raw_Prices!A121</f>
        <v>45627</v>
      </c>
      <c r="B121" s="15">
        <f>Raw_Prices!B121/Raw_Prices!B120-1</f>
        <v>0.16394366197183086</v>
      </c>
      <c r="C121" s="15">
        <f>Raw_Prices!C121/Raw_Prices!C120-1</f>
        <v>6.4165713783094436E-2</v>
      </c>
      <c r="D121" s="15">
        <f>Raw_Prices!D121/Raw_Prices!D120-1</f>
        <v>1.9879126916737322E-2</v>
      </c>
      <c r="E121" s="15">
        <f>Raw_Prices!E121/Raw_Prices!E120-1</f>
        <v>3.7012460370124733E-2</v>
      </c>
      <c r="F121" s="15">
        <f>Raw_Prices!F121/Raw_Prices!F120-1</f>
        <v>7.9387965278799433E-2</v>
      </c>
      <c r="G121" s="15">
        <f>Raw_Prices!G121/Raw_Prices!G120-1</f>
        <v>0.12752008372064383</v>
      </c>
      <c r="H121" s="15">
        <f>Raw_Prices!H121/Raw_Prices!H120-1</f>
        <v>0.11338091967067876</v>
      </c>
      <c r="I121" s="15">
        <f>Raw_Prices!I121/Raw_Prices!I120-1</f>
        <v>0.55685604257712762</v>
      </c>
      <c r="J121" s="15">
        <f>KSE100_Benchmark!B121/KSE100_Benchmark!B120-1</f>
        <v>0.13585185559365609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2" customWidth="1"/>
    <col min="3" max="10" width="10" customWidth="1"/>
  </cols>
  <sheetData>
    <row r="1" spans="1:10" ht="17.25" customHeight="1" x14ac:dyDescent="0.25">
      <c r="A1" s="1" t="s">
        <v>64</v>
      </c>
    </row>
    <row r="2" spans="1:10" ht="15" customHeight="1" x14ac:dyDescent="0.25">
      <c r="A2" s="4" t="s">
        <v>65</v>
      </c>
    </row>
    <row r="4" spans="1:10" ht="15" customHeight="1" x14ac:dyDescent="0.25">
      <c r="A4" s="11" t="s">
        <v>66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</row>
    <row r="5" spans="1:10" ht="15" customHeight="1" x14ac:dyDescent="0.25">
      <c r="A5">
        <v>1</v>
      </c>
      <c r="B5" s="12">
        <f>Returns!A2</f>
        <v>42005</v>
      </c>
      <c r="C5" s="15"/>
      <c r="D5" s="15"/>
      <c r="E5" s="15"/>
      <c r="F5" s="15"/>
      <c r="G5" s="15"/>
      <c r="H5" s="15"/>
      <c r="I5" s="15"/>
      <c r="J5" s="15"/>
    </row>
    <row r="6" spans="1:10" ht="15" customHeight="1" x14ac:dyDescent="0.25">
      <c r="A6">
        <v>2</v>
      </c>
      <c r="B6" s="12">
        <f>Returns!A3</f>
        <v>42036</v>
      </c>
      <c r="C6" s="15"/>
      <c r="D6" s="15"/>
      <c r="E6" s="15"/>
      <c r="F6" s="15"/>
      <c r="G6" s="15"/>
      <c r="H6" s="15"/>
      <c r="I6" s="15"/>
      <c r="J6" s="15"/>
    </row>
    <row r="7" spans="1:10" ht="15" customHeight="1" x14ac:dyDescent="0.25">
      <c r="A7">
        <v>3</v>
      </c>
      <c r="B7" s="12">
        <f>Returns!A4</f>
        <v>42064</v>
      </c>
      <c r="C7" s="15"/>
      <c r="D7" s="15"/>
      <c r="E7" s="15"/>
      <c r="F7" s="15"/>
      <c r="G7" s="15"/>
      <c r="H7" s="15"/>
      <c r="I7" s="15"/>
      <c r="J7" s="15"/>
    </row>
    <row r="8" spans="1:10" ht="15" customHeight="1" x14ac:dyDescent="0.25">
      <c r="A8">
        <v>4</v>
      </c>
      <c r="B8" s="12">
        <f>Returns!A5</f>
        <v>42095</v>
      </c>
      <c r="C8" s="15"/>
      <c r="D8" s="15"/>
      <c r="E8" s="15"/>
      <c r="F8" s="15"/>
      <c r="G8" s="15"/>
      <c r="H8" s="15"/>
      <c r="I8" s="15"/>
      <c r="J8" s="15"/>
    </row>
    <row r="9" spans="1:10" ht="15" customHeight="1" x14ac:dyDescent="0.25">
      <c r="A9">
        <v>5</v>
      </c>
      <c r="B9" s="12">
        <f>Returns!A6</f>
        <v>42125</v>
      </c>
      <c r="C9" s="15"/>
      <c r="D9" s="15"/>
      <c r="E9" s="15"/>
      <c r="F9" s="15"/>
      <c r="G9" s="15"/>
      <c r="H9" s="15"/>
      <c r="I9" s="15"/>
      <c r="J9" s="15"/>
    </row>
    <row r="10" spans="1:10" ht="15" customHeight="1" x14ac:dyDescent="0.25">
      <c r="A10">
        <v>6</v>
      </c>
      <c r="B10" s="12">
        <f>Returns!A7</f>
        <v>42156</v>
      </c>
      <c r="C10" s="15"/>
      <c r="D10" s="15"/>
      <c r="E10" s="15"/>
      <c r="F10" s="15"/>
      <c r="G10" s="15"/>
      <c r="H10" s="15"/>
      <c r="I10" s="15"/>
      <c r="J10" s="15"/>
    </row>
    <row r="11" spans="1:10" ht="15" customHeight="1" x14ac:dyDescent="0.25">
      <c r="A11">
        <v>7</v>
      </c>
      <c r="B11" s="12">
        <f>Returns!A8</f>
        <v>42186</v>
      </c>
      <c r="C11" s="15">
        <f>(1+Returns!C3)*(1+Returns!C4)*(1+Returns!C5)*(1+Returns!C6)*(1+Returns!C7)*(1+Returns!C8)-1</f>
        <v>-7.4252320385012283E-2</v>
      </c>
      <c r="D11" s="15">
        <f>(1+Returns!D3)*(1+Returns!D4)*(1+Returns!D5)*(1+Returns!D6)*(1+Returns!D7)*(1+Returns!D8)-1</f>
        <v>8.5507076851093489E-2</v>
      </c>
      <c r="E11" s="15">
        <f>(1+Returns!E3)*(1+Returns!E4)*(1+Returns!E5)*(1+Returns!E6)*(1+Returns!E7)*(1+Returns!E8)-1</f>
        <v>-0.1594115881116781</v>
      </c>
      <c r="F11" s="15">
        <f>(1+Returns!F3)*(1+Returns!F4)*(1+Returns!F5)*(1+Returns!F6)*(1+Returns!F7)*(1+Returns!F8)-1</f>
        <v>6.4196632119389196E-2</v>
      </c>
      <c r="G11" s="15">
        <f>(1+Returns!G3)*(1+Returns!G4)*(1+Returns!G5)*(1+Returns!G6)*(1+Returns!G7)*(1+Returns!G8)-1</f>
        <v>0.11086742796642213</v>
      </c>
      <c r="H11" s="15">
        <f>(1+Returns!H3)*(1+Returns!H4)*(1+Returns!H5)*(1+Returns!H6)*(1+Returns!H7)*(1+Returns!H8)-1</f>
        <v>0.14527027027027017</v>
      </c>
      <c r="I11" s="15">
        <f>(1+Returns!I3)*(1+Returns!I4)*(1+Returns!I5)*(1+Returns!I6)*(1+Returns!I7)*(1+Returns!I8)-1</f>
        <v>-0.25862380350370251</v>
      </c>
      <c r="J11" s="15">
        <f>(1+Returns!J3)*(1+Returns!J4)*(1+Returns!J5)*(1+Returns!J6)*(1+Returns!J7)*(1+Returns!J8)-1</f>
        <v>3.7674337988152562E-2</v>
      </c>
    </row>
    <row r="12" spans="1:10" ht="15" customHeight="1" x14ac:dyDescent="0.25">
      <c r="A12">
        <v>8</v>
      </c>
      <c r="B12" s="12">
        <f>Returns!A9</f>
        <v>42217</v>
      </c>
      <c r="C12" s="15">
        <f>(1+Returns!C4)*(1+Returns!C5)*(1+Returns!C6)*(1+Returns!C7)*(1+Returns!C8)*(1+Returns!C9)-1</f>
        <v>1.4059753954305698E-2</v>
      </c>
      <c r="D12" s="15">
        <f>(1+Returns!D4)*(1+Returns!D5)*(1+Returns!D6)*(1+Returns!D7)*(1+Returns!D8)*(1+Returns!D9)-1</f>
        <v>0.10982861140258815</v>
      </c>
      <c r="E12" s="15">
        <f>(1+Returns!E4)*(1+Returns!E5)*(1+Returns!E6)*(1+Returns!E7)*(1+Returns!E8)*(1+Returns!E9)-1</f>
        <v>-0.17849141150112047</v>
      </c>
      <c r="F12" s="15">
        <f>(1+Returns!F4)*(1+Returns!F5)*(1+Returns!F6)*(1+Returns!F7)*(1+Returns!F8)*(1+Returns!F9)-1</f>
        <v>4.9806143751863985E-2</v>
      </c>
      <c r="G12" s="15">
        <f>(1+Returns!G4)*(1+Returns!G5)*(1+Returns!G6)*(1+Returns!G7)*(1+Returns!G8)*(1+Returns!G9)-1</f>
        <v>-2.7785633484162742E-2</v>
      </c>
      <c r="H12" s="15">
        <f>(1+Returns!H4)*(1+Returns!H5)*(1+Returns!H6)*(1+Returns!H7)*(1+Returns!H8)*(1+Returns!H9)-1</f>
        <v>-0.13342140026420113</v>
      </c>
      <c r="I12" s="15">
        <f>(1+Returns!I4)*(1+Returns!I5)*(1+Returns!I6)*(1+Returns!I7)*(1+Returns!I8)*(1+Returns!I9)-1</f>
        <v>-0.23480040941658142</v>
      </c>
      <c r="J12" s="15">
        <f>(1+Returns!J4)*(1+Returns!J5)*(1+Returns!J6)*(1+Returns!J7)*(1+Returns!J8)*(1+Returns!J9)-1</f>
        <v>3.2537875172565123E-2</v>
      </c>
    </row>
    <row r="13" spans="1:10" ht="15" customHeight="1" x14ac:dyDescent="0.25">
      <c r="A13">
        <v>9</v>
      </c>
      <c r="B13" s="12">
        <f>Returns!A10</f>
        <v>42248</v>
      </c>
      <c r="C13" s="15">
        <f>(1+Returns!C5)*(1+Returns!C6)*(1+Returns!C7)*(1+Returns!C8)*(1+Returns!C9)*(1+Returns!C10)-1</f>
        <v>0.13411306042884985</v>
      </c>
      <c r="D13" s="15">
        <f>(1+Returns!D5)*(1+Returns!D6)*(1+Returns!D7)*(1+Returns!D8)*(1+Returns!D9)*(1+Returns!D10)-1</f>
        <v>0.16009852216748754</v>
      </c>
      <c r="E13" s="15">
        <f>(1+Returns!E5)*(1+Returns!E6)*(1+Returns!E7)*(1+Returns!E8)*(1+Returns!E9)*(1+Returns!E10)-1</f>
        <v>-7.5050709939148086E-2</v>
      </c>
      <c r="F13" s="15">
        <f>(1+Returns!F5)*(1+Returns!F6)*(1+Returns!F7)*(1+Returns!F8)*(1+Returns!F9)*(1+Returns!F10)-1</f>
        <v>0.1770244821092275</v>
      </c>
      <c r="G13" s="15">
        <f>(1+Returns!G5)*(1+Returns!G6)*(1+Returns!G7)*(1+Returns!G8)*(1+Returns!G9)*(1+Returns!G10)-1</f>
        <v>-6.7166979362101364E-2</v>
      </c>
      <c r="H13" s="15">
        <f>(1+Returns!H5)*(1+Returns!H6)*(1+Returns!H7)*(1+Returns!H8)*(1+Returns!H9)*(1+Returns!H10)-1</f>
        <v>-0.18876404494382026</v>
      </c>
      <c r="I13" s="15">
        <f>(1+Returns!I5)*(1+Returns!I6)*(1+Returns!I7)*(1+Returns!I8)*(1+Returns!I9)*(1+Returns!I10)-1</f>
        <v>-0.2919569347688411</v>
      </c>
      <c r="J13" s="15">
        <f>(1+Returns!J5)*(1+Returns!J6)*(1+Returns!J7)*(1+Returns!J8)*(1+Returns!J9)*(1+Returns!J10)-1</f>
        <v>6.7921837330120027E-2</v>
      </c>
    </row>
    <row r="14" spans="1:10" ht="15" customHeight="1" x14ac:dyDescent="0.25">
      <c r="A14">
        <v>10</v>
      </c>
      <c r="B14" s="12">
        <f>Returns!A11</f>
        <v>42278</v>
      </c>
      <c r="C14" s="15">
        <f>(1+Returns!C6)*(1+Returns!C7)*(1+Returns!C8)*(1+Returns!C9)*(1+Returns!C10)*(1+Returns!C11)-1</f>
        <v>7.0312499999999778E-2</v>
      </c>
      <c r="D14" s="15">
        <f>(1+Returns!D6)*(1+Returns!D7)*(1+Returns!D8)*(1+Returns!D9)*(1+Returns!D10)*(1+Returns!D11)-1</f>
        <v>5.6581986143187324E-2</v>
      </c>
      <c r="E14" s="15">
        <f>(1+Returns!E6)*(1+Returns!E7)*(1+Returns!E8)*(1+Returns!E9)*(1+Returns!E10)*(1+Returns!E11)-1</f>
        <v>-0.11264034770010878</v>
      </c>
      <c r="F14" s="15">
        <f>(1+Returns!F6)*(1+Returns!F7)*(1+Returns!F8)*(1+Returns!F9)*(1+Returns!F10)*(1+Returns!F11)-1</f>
        <v>0.10622950819672128</v>
      </c>
      <c r="G14" s="15">
        <f>(1+Returns!G6)*(1+Returns!G7)*(1+Returns!G8)*(1+Returns!G9)*(1+Returns!G10)*(1+Returns!G11)-1</f>
        <v>-0.11789473684210539</v>
      </c>
      <c r="H14" s="15">
        <f>(1+Returns!H6)*(1+Returns!H7)*(1+Returns!H8)*(1+Returns!H9)*(1+Returns!H10)*(1+Returns!H11)-1</f>
        <v>-0.18781725888324885</v>
      </c>
      <c r="I14" s="15">
        <f>(1+Returns!I6)*(1+Returns!I7)*(1+Returns!I8)*(1+Returns!I9)*(1+Returns!I10)*(1+Returns!I11)-1</f>
        <v>-0.22816114878340654</v>
      </c>
      <c r="J14" s="15">
        <f>(1+Returns!J6)*(1+Returns!J7)*(1+Returns!J8)*(1+Returns!J9)*(1+Returns!J10)*(1+Returns!J11)-1</f>
        <v>1.5761655216904646E-2</v>
      </c>
    </row>
    <row r="15" spans="1:10" ht="15" customHeight="1" x14ac:dyDescent="0.25">
      <c r="A15">
        <v>11</v>
      </c>
      <c r="B15" s="12">
        <f>Returns!A12</f>
        <v>42309</v>
      </c>
      <c r="C15" s="15">
        <f>(1+Returns!C7)*(1+Returns!C8)*(1+Returns!C9)*(1+Returns!C10)*(1+Returns!C11)*(1+Returns!C12)-1</f>
        <v>9.8071399261387082E-2</v>
      </c>
      <c r="D15" s="15">
        <f>(1+Returns!D7)*(1+Returns!D8)*(1+Returns!D9)*(1+Returns!D10)*(1+Returns!D11)*(1+Returns!D12)-1</f>
        <v>-3.1491384432561276E-2</v>
      </c>
      <c r="E15" s="15">
        <f>(1+Returns!E7)*(1+Returns!E8)*(1+Returns!E9)*(1+Returns!E10)*(1+Returns!E11)*(1+Returns!E12)-1</f>
        <v>-0.24031555836713459</v>
      </c>
      <c r="F15" s="15">
        <f>(1+Returns!F7)*(1+Returns!F8)*(1+Returns!F9)*(1+Returns!F10)*(1+Returns!F11)*(1+Returns!F12)-1</f>
        <v>7.099075002786126E-2</v>
      </c>
      <c r="G15" s="15">
        <f>(1+Returns!G7)*(1+Returns!G8)*(1+Returns!G9)*(1+Returns!G10)*(1+Returns!G11)*(1+Returns!G12)-1</f>
        <v>-0.14351851851851849</v>
      </c>
      <c r="H15" s="15">
        <f>(1+Returns!H7)*(1+Returns!H8)*(1+Returns!H9)*(1+Returns!H10)*(1+Returns!H11)*(1+Returns!H12)-1</f>
        <v>-0.20705882352941185</v>
      </c>
      <c r="I15" s="15">
        <f>(1+Returns!I7)*(1+Returns!I8)*(1+Returns!I9)*(1+Returns!I10)*(1+Returns!I11)*(1+Returns!I12)-1</f>
        <v>9.4418604651162807E-2</v>
      </c>
      <c r="J15" s="15">
        <f>(1+Returns!J7)*(1+Returns!J8)*(1+Returns!J9)*(1+Returns!J10)*(1+Returns!J11)*(1+Returns!J12)-1</f>
        <v>-2.4248875949540505E-2</v>
      </c>
    </row>
    <row r="16" spans="1:10" ht="15" customHeight="1" x14ac:dyDescent="0.25">
      <c r="A16">
        <v>12</v>
      </c>
      <c r="B16" s="12">
        <f>Returns!A13</f>
        <v>42339</v>
      </c>
      <c r="C16" s="15">
        <f>(1+Returns!C8)*(1+Returns!C9)*(1+Returns!C10)*(1+Returns!C11)*(1+Returns!C12)*(1+Returns!C13)-1</f>
        <v>0.11572327044025132</v>
      </c>
      <c r="D16" s="15">
        <f>(1+Returns!D8)*(1+Returns!D9)*(1+Returns!D10)*(1+Returns!D11)*(1+Returns!D12)*(1+Returns!D13)-1</f>
        <v>-4.813559322033889E-2</v>
      </c>
      <c r="E16" s="15">
        <f>(1+Returns!E8)*(1+Returns!E9)*(1+Returns!E10)*(1+Returns!E11)*(1+Returns!E12)*(1+Returns!E13)-1</f>
        <v>-0.12381909547738701</v>
      </c>
      <c r="F16" s="15">
        <f>(1+Returns!F8)*(1+Returns!F9)*(1+Returns!F10)*(1+Returns!F11)*(1+Returns!F12)*(1+Returns!F13)-1</f>
        <v>-4.7986868784397285E-2</v>
      </c>
      <c r="G16" s="15">
        <f>(1+Returns!G8)*(1+Returns!G9)*(1+Returns!G10)*(1+Returns!G11)*(1+Returns!G12)*(1+Returns!G13)-1</f>
        <v>-0.21333333333333337</v>
      </c>
      <c r="H16" s="15">
        <f>(1+Returns!H8)*(1+Returns!H9)*(1+Returns!H10)*(1+Returns!H11)*(1+Returns!H12)*(1+Returns!H13)-1</f>
        <v>-0.16833976833976838</v>
      </c>
      <c r="I16" s="15">
        <f>(1+Returns!I8)*(1+Returns!I9)*(1+Returns!I10)*(1+Returns!I11)*(1+Returns!I12)*(1+Returns!I13)-1</f>
        <v>0.48285449490268806</v>
      </c>
      <c r="J16" s="15">
        <f>(1+Returns!J8)*(1+Returns!J9)*(1+Returns!J10)*(1+Returns!J11)*(1+Returns!J12)*(1+Returns!J13)-1</f>
        <v>-4.6005885078749809E-2</v>
      </c>
    </row>
    <row r="17" spans="1:10" ht="15" customHeight="1" x14ac:dyDescent="0.25">
      <c r="A17">
        <v>13</v>
      </c>
      <c r="B17" s="12">
        <f>Returns!A14</f>
        <v>42370</v>
      </c>
      <c r="C17" s="15">
        <f>(1+Returns!C9)*(1+Returns!C10)*(1+Returns!C11)*(1+Returns!C12)*(1+Returns!C13)*(1+Returns!C14)-1</f>
        <v>-6.0527292981804703E-2</v>
      </c>
      <c r="D17" s="15">
        <f>(1+Returns!D9)*(1+Returns!D10)*(1+Returns!D11)*(1+Returns!D12)*(1+Returns!D13)*(1+Returns!D14)-1</f>
        <v>-0.14051724137931021</v>
      </c>
      <c r="E17" s="15">
        <f>(1+Returns!E9)*(1+Returns!E10)*(1+Returns!E11)*(1+Returns!E12)*(1+Returns!E13)*(1+Returns!E14)-1</f>
        <v>-0.31071428571428583</v>
      </c>
      <c r="F17" s="15">
        <f>(1+Returns!F9)*(1+Returns!F10)*(1+Returns!F11)*(1+Returns!F12)*(1+Returns!F13)*(1+Returns!F14)-1</f>
        <v>-0.13049504950495083</v>
      </c>
      <c r="G17" s="15">
        <f>(1+Returns!G9)*(1+Returns!G10)*(1+Returns!G11)*(1+Returns!G12)*(1+Returns!G13)*(1+Returns!G14)-1</f>
        <v>-0.24358363401184557</v>
      </c>
      <c r="H17" s="15">
        <f>(1+Returns!H9)*(1+Returns!H10)*(1+Returns!H11)*(1+Returns!H12)*(1+Returns!H13)*(1+Returns!H14)-1</f>
        <v>-0.26843657817109157</v>
      </c>
      <c r="I17" s="15">
        <f>(1+Returns!I9)*(1+Returns!I10)*(1+Returns!I11)*(1+Returns!I12)*(1+Returns!I13)*(1+Returns!I14)-1</f>
        <v>0.37344701583434881</v>
      </c>
      <c r="J17" s="15">
        <f>(1+Returns!J9)*(1+Returns!J10)*(1+Returns!J11)*(1+Returns!J12)*(1+Returns!J13)*(1+Returns!J14)-1</f>
        <v>-0.12430696847811729</v>
      </c>
    </row>
    <row r="18" spans="1:10" ht="15" customHeight="1" x14ac:dyDescent="0.25">
      <c r="A18">
        <v>14</v>
      </c>
      <c r="B18" s="12">
        <f>Returns!A15</f>
        <v>42401</v>
      </c>
      <c r="C18" s="15">
        <f>(1+Returns!C10)*(1+Returns!C11)*(1+Returns!C12)*(1+Returns!C13)*(1+Returns!C14)*(1+Returns!C15)-1</f>
        <v>-0.15632582322357025</v>
      </c>
      <c r="D18" s="15">
        <f>(1+Returns!D10)*(1+Returns!D11)*(1+Returns!D12)*(1+Returns!D13)*(1+Returns!D14)*(1+Returns!D15)-1</f>
        <v>-0.20811009559827709</v>
      </c>
      <c r="E18" s="15">
        <f>(1+Returns!E10)*(1+Returns!E11)*(1+Returns!E12)*(1+Returns!E13)*(1+Returns!E14)*(1+Returns!E15)-1</f>
        <v>-0.22687747035573136</v>
      </c>
      <c r="F18" s="15">
        <f>(1+Returns!F10)*(1+Returns!F11)*(1+Returns!F12)*(1+Returns!F13)*(1+Returns!F14)*(1+Returns!F15)-1</f>
        <v>-7.0833333333333415E-2</v>
      </c>
      <c r="G18" s="15">
        <f>(1+Returns!G10)*(1+Returns!G11)*(1+Returns!G12)*(1+Returns!G13)*(1+Returns!G14)*(1+Returns!G15)-1</f>
        <v>-0.21023925532688537</v>
      </c>
      <c r="H18" s="15">
        <f>(1+Returns!H10)*(1+Returns!H11)*(1+Returns!H12)*(1+Returns!H13)*(1+Returns!H14)*(1+Returns!H15)-1</f>
        <v>-0.27057926829268286</v>
      </c>
      <c r="I18" s="15">
        <f>(1+Returns!I10)*(1+Returns!I11)*(1+Returns!I12)*(1+Returns!I13)*(1+Returns!I14)*(1+Returns!I15)-1</f>
        <v>0.42536115569823441</v>
      </c>
      <c r="J18" s="15">
        <f>(1+Returns!J10)*(1+Returns!J11)*(1+Returns!J12)*(1+Returns!J13)*(1+Returns!J14)*(1+Returns!J15)-1</f>
        <v>-9.6669662456722705E-2</v>
      </c>
    </row>
    <row r="19" spans="1:10" ht="15" customHeight="1" x14ac:dyDescent="0.25">
      <c r="A19">
        <v>15</v>
      </c>
      <c r="B19" s="12">
        <f>Returns!A16</f>
        <v>42430</v>
      </c>
      <c r="C19" s="15">
        <f>(1+Returns!C11)*(1+Returns!C12)*(1+Returns!C13)*(1+Returns!C14)*(1+Returns!C15)*(1+Returns!C16)-1</f>
        <v>-0.16019250601581292</v>
      </c>
      <c r="D19" s="15">
        <f>(1+Returns!D11)*(1+Returns!D12)*(1+Returns!D13)*(1+Returns!D14)*(1+Returns!D15)*(1+Returns!D16)-1</f>
        <v>-0.22449435691138653</v>
      </c>
      <c r="E19" s="15">
        <f>(1+Returns!E11)*(1+Returns!E12)*(1+Returns!E13)*(1+Returns!E14)*(1+Returns!E15)*(1+Returns!E16)-1</f>
        <v>-9.6447368421052837E-2</v>
      </c>
      <c r="F19" s="15">
        <f>(1+Returns!F11)*(1+Returns!F12)*(1+Returns!F13)*(1+Returns!F14)*(1+Returns!F15)*(1+Returns!F16)-1</f>
        <v>2.2857142857142687E-2</v>
      </c>
      <c r="G19" s="15">
        <f>(1+Returns!G11)*(1+Returns!G12)*(1+Returns!G13)*(1+Returns!G14)*(1+Returns!G15)*(1+Returns!G16)-1</f>
        <v>-0.14432823813354789</v>
      </c>
      <c r="H19" s="15">
        <f>(1+Returns!H11)*(1+Returns!H12)*(1+Returns!H13)*(1+Returns!H14)*(1+Returns!H15)*(1+Returns!H16)-1</f>
        <v>-4.6168051708217805E-2</v>
      </c>
      <c r="I19" s="15">
        <f>(1+Returns!I11)*(1+Returns!I12)*(1+Returns!I13)*(1+Returns!I14)*(1+Returns!I15)*(1+Returns!I16)-1</f>
        <v>0.92397137745975022</v>
      </c>
      <c r="J19" s="15">
        <f>(1+Returns!J11)*(1+Returns!J12)*(1+Returns!J13)*(1+Returns!J14)*(1+Returns!J15)*(1+Returns!J16)-1</f>
        <v>2.6375296129358183E-2</v>
      </c>
    </row>
    <row r="20" spans="1:10" ht="15" customHeight="1" x14ac:dyDescent="0.25">
      <c r="A20">
        <v>16</v>
      </c>
      <c r="B20" s="12">
        <f>Returns!A17</f>
        <v>42461</v>
      </c>
      <c r="C20" s="15">
        <f>(1+Returns!C12)*(1+Returns!C13)*(1+Returns!C14)*(1+Returns!C15)*(1+Returns!C16)*(1+Returns!C17)-1</f>
        <v>-0.10948905109489038</v>
      </c>
      <c r="D20" s="15">
        <f>(1+Returns!D12)*(1+Returns!D13)*(1+Returns!D14)*(1+Returns!D15)*(1+Returns!D16)*(1+Returns!D17)-1</f>
        <v>-0.23715846994535528</v>
      </c>
      <c r="E20" s="15">
        <f>(1+Returns!E12)*(1+Returns!E13)*(1+Returns!E14)*(1+Returns!E15)*(1+Returns!E16)*(1+Returns!E17)-1</f>
        <v>-0.13538775510204082</v>
      </c>
      <c r="F20" s="15">
        <f>(1+Returns!F12)*(1+Returns!F13)*(1+Returns!F14)*(1+Returns!F15)*(1+Returns!F16)*(1+Returns!F17)-1</f>
        <v>2.3451393005334831E-2</v>
      </c>
      <c r="G20" s="15">
        <f>(1+Returns!G12)*(1+Returns!G13)*(1+Returns!G14)*(1+Returns!G15)*(1+Returns!G16)*(1+Returns!G17)-1</f>
        <v>-0.14868735083532236</v>
      </c>
      <c r="H20" s="15">
        <f>(1+Returns!H12)*(1+Returns!H13)*(1+Returns!H14)*(1+Returns!H15)*(1+Returns!H16)*(1+Returns!H17)-1</f>
        <v>2.1428571428571574E-2</v>
      </c>
      <c r="I20" s="15">
        <f>(1+Returns!I12)*(1+Returns!I13)*(1+Returns!I14)*(1+Returns!I15)*(1+Returns!I16)*(1+Returns!I17)-1</f>
        <v>0.79844961240310086</v>
      </c>
      <c r="J20" s="15">
        <f>(1+Returns!J12)*(1+Returns!J13)*(1+Returns!J14)*(1+Returns!J15)*(1+Returns!J16)*(1+Returns!J17)-1</f>
        <v>1.3358687276717962E-2</v>
      </c>
    </row>
    <row r="21" spans="1:10" ht="15" customHeight="1" x14ac:dyDescent="0.25">
      <c r="A21">
        <v>17</v>
      </c>
      <c r="B21" s="12">
        <f>Returns!A18</f>
        <v>42491</v>
      </c>
      <c r="C21" s="15">
        <f>(1+Returns!C13)*(1+Returns!C14)*(1+Returns!C15)*(1+Returns!C16)*(1+Returns!C17)*(1+Returns!C18)-1</f>
        <v>-9.7907324364723269E-2</v>
      </c>
      <c r="D21" s="15">
        <f>(1+Returns!D13)*(1+Returns!D14)*(1+Returns!D15)*(1+Returns!D16)*(1+Returns!D17)*(1+Returns!D18)-1</f>
        <v>-0.14036809815950924</v>
      </c>
      <c r="E21" s="15">
        <f>(1+Returns!E13)*(1+Returns!E14)*(1+Returns!E15)*(1+Returns!E16)*(1+Returns!E17)*(1+Returns!E18)-1</f>
        <v>1.3960323291696941E-2</v>
      </c>
      <c r="F21" s="15">
        <f>(1+Returns!F13)*(1+Returns!F14)*(1+Returns!F15)*(1+Returns!F16)*(1+Returns!F17)*(1+Returns!F18)-1</f>
        <v>0.23621227887617091</v>
      </c>
      <c r="G21" s="15">
        <f>(1+Returns!G13)*(1+Returns!G14)*(1+Returns!G15)*(1+Returns!G16)*(1+Returns!G17)*(1+Returns!G18)-1</f>
        <v>-5.4054054054054168E-2</v>
      </c>
      <c r="H21" s="15">
        <f>(1+Returns!H13)*(1+Returns!H14)*(1+Returns!H15)*(1+Returns!H16)*(1+Returns!H17)*(1+Returns!H18)-1</f>
        <v>4.3521266073195175E-2</v>
      </c>
      <c r="I21" s="15">
        <f>(1+Returns!I13)*(1+Returns!I14)*(1+Returns!I15)*(1+Returns!I16)*(1+Returns!I17)*(1+Returns!I18)-1</f>
        <v>0.71716957076073129</v>
      </c>
      <c r="J21" s="15">
        <f>(1+Returns!J13)*(1+Returns!J14)*(1+Returns!J15)*(1+Returns!J16)*(1+Returns!J17)*(1+Returns!J18)-1</f>
        <v>0.11800763907835043</v>
      </c>
    </row>
    <row r="22" spans="1:10" ht="15" customHeight="1" x14ac:dyDescent="0.25">
      <c r="A22">
        <v>18</v>
      </c>
      <c r="B22" s="12">
        <f>Returns!A19</f>
        <v>42522</v>
      </c>
      <c r="C22" s="15">
        <f>(1+Returns!C14)*(1+Returns!C15)*(1+Returns!C16)*(1+Returns!C17)*(1+Returns!C18)*(1+Returns!C19)-1</f>
        <v>-7.1025930101465518E-2</v>
      </c>
      <c r="D22" s="15">
        <f>(1+Returns!D14)*(1+Returns!D15)*(1+Returns!D16)*(1+Returns!D17)*(1+Returns!D18)*(1+Returns!D19)-1</f>
        <v>-0.23433048433048442</v>
      </c>
      <c r="E22" s="15">
        <f>(1+Returns!E14)*(1+Returns!E15)*(1+Returns!E16)*(1+Returns!E17)*(1+Returns!E18)*(1+Returns!E19)-1</f>
        <v>1.2388162422574123E-3</v>
      </c>
      <c r="F22" s="15">
        <f>(1+Returns!F14)*(1+Returns!F15)*(1+Returns!F16)*(1+Returns!F17)*(1+Returns!F18)*(1+Returns!F19)-1</f>
        <v>0.31237322515213028</v>
      </c>
      <c r="G22" s="15">
        <f>(1+Returns!G14)*(1+Returns!G15)*(1+Returns!G16)*(1+Returns!G17)*(1+Returns!G18)*(1+Returns!G19)-1</f>
        <v>-2.5423728813559476E-2</v>
      </c>
      <c r="H22" s="15">
        <f>(1+Returns!H14)*(1+Returns!H15)*(1+Returns!H16)*(1+Returns!H17)*(1+Returns!H18)*(1+Returns!H19)-1</f>
        <v>-2.4141132776230201E-2</v>
      </c>
      <c r="I22" s="15">
        <f>(1+Returns!I14)*(1+Returns!I15)*(1+Returns!I16)*(1+Returns!I17)*(1+Returns!I18)*(1+Returns!I19)-1</f>
        <v>0.30000000000000004</v>
      </c>
      <c r="J22" s="15">
        <f>(1+Returns!J14)*(1+Returns!J15)*(1+Returns!J16)*(1+Returns!J17)*(1+Returns!J18)*(1+Returns!J19)-1</f>
        <v>0.15136467201827397</v>
      </c>
    </row>
    <row r="23" spans="1:10" ht="15" customHeight="1" x14ac:dyDescent="0.25">
      <c r="A23">
        <v>19</v>
      </c>
      <c r="B23" s="12">
        <f>Returns!A20</f>
        <v>42552</v>
      </c>
      <c r="C23" s="15">
        <f>(1+Returns!C15)*(1+Returns!C16)*(1+Returns!C17)*(1+Returns!C18)*(1+Returns!C19)*(1+Returns!C20)-1</f>
        <v>8.0632411067193877E-2</v>
      </c>
      <c r="D23" s="15">
        <f>(1+Returns!D15)*(1+Returns!D16)*(1+Returns!D17)*(1+Returns!D18)*(1+Returns!D19)*(1+Returns!D20)-1</f>
        <v>-0.13991975927783384</v>
      </c>
      <c r="E23" s="15">
        <f>(1+Returns!E15)*(1+Returns!E16)*(1+Returns!E17)*(1+Returns!E18)*(1+Returns!E19)*(1+Returns!E20)-1</f>
        <v>0.13994818652849728</v>
      </c>
      <c r="F23" s="15">
        <f>(1+Returns!F15)*(1+Returns!F16)*(1+Returns!F17)*(1+Returns!F18)*(1+Returns!F19)*(1+Returns!F20)-1</f>
        <v>0.53516490341814915</v>
      </c>
      <c r="G23" s="15">
        <f>(1+Returns!G15)*(1+Returns!G16)*(1+Returns!G17)*(1+Returns!G18)*(1+Returns!G19)*(1+Returns!G20)-1</f>
        <v>2.4210242102421065E-2</v>
      </c>
      <c r="H23" s="15">
        <f>(1+Returns!H15)*(1+Returns!H16)*(1+Returns!H17)*(1+Returns!H18)*(1+Returns!H19)*(1+Returns!H20)-1</f>
        <v>0.1189516129032262</v>
      </c>
      <c r="I23" s="15">
        <f>(1+Returns!I15)*(1+Returns!I16)*(1+Returns!I17)*(1+Returns!I18)*(1+Returns!I19)*(1+Returns!I20)-1</f>
        <v>0.58318552678254743</v>
      </c>
      <c r="J23" s="15">
        <f>(1+Returns!J15)*(1+Returns!J16)*(1+Returns!J17)*(1+Returns!J18)*(1+Returns!J19)*(1+Returns!J20)-1</f>
        <v>0.26220597726415873</v>
      </c>
    </row>
    <row r="24" spans="1:10" ht="15" customHeight="1" x14ac:dyDescent="0.25">
      <c r="A24">
        <v>20</v>
      </c>
      <c r="B24" s="12">
        <f>Returns!A21</f>
        <v>42583</v>
      </c>
      <c r="C24" s="15">
        <f>(1+Returns!C16)*(1+Returns!C17)*(1+Returns!C18)*(1+Returns!C19)*(1+Returns!C20)*(1+Returns!C21)-1</f>
        <v>0.26705012325390309</v>
      </c>
      <c r="D24" s="15">
        <f>(1+Returns!D16)*(1+Returns!D17)*(1+Returns!D18)*(1+Returns!D19)*(1+Returns!D20)*(1+Returns!D21)-1</f>
        <v>-0.10427169010347581</v>
      </c>
      <c r="E24" s="15">
        <f>(1+Returns!E16)*(1+Returns!E17)*(1+Returns!E18)*(1+Returns!E19)*(1+Returns!E20)*(1+Returns!E21)-1</f>
        <v>6.9785276073619507E-2</v>
      </c>
      <c r="F24" s="15">
        <f>(1+Returns!F16)*(1+Returns!F17)*(1+Returns!F18)*(1+Returns!F19)*(1+Returns!F20)*(1+Returns!F21)-1</f>
        <v>0.41357521402364461</v>
      </c>
      <c r="G24" s="15">
        <f>(1+Returns!G16)*(1+Returns!G17)*(1+Returns!G18)*(1+Returns!G19)*(1+Returns!G20)*(1+Returns!G21)-1</f>
        <v>2.0810313075506626E-2</v>
      </c>
      <c r="H24" s="15">
        <f>(1+Returns!H16)*(1+Returns!H17)*(1+Returns!H18)*(1+Returns!H19)*(1+Returns!H20)*(1+Returns!H21)-1</f>
        <v>0.31556948798328133</v>
      </c>
      <c r="I24" s="15">
        <f>(1+Returns!I16)*(1+Returns!I17)*(1+Returns!I18)*(1+Returns!I19)*(1+Returns!I20)*(1+Returns!I21)-1</f>
        <v>0.66310060060060061</v>
      </c>
      <c r="J24" s="15">
        <f>(1+Returns!J16)*(1+Returns!J17)*(1+Returns!J18)*(1+Returns!J19)*(1+Returns!J20)*(1+Returns!J21)-1</f>
        <v>0.26905329410628376</v>
      </c>
    </row>
    <row r="25" spans="1:10" ht="15" customHeight="1" x14ac:dyDescent="0.25">
      <c r="A25">
        <v>21</v>
      </c>
      <c r="B25" s="12">
        <f>Returns!A22</f>
        <v>42614</v>
      </c>
      <c r="C25" s="15">
        <f>(1+Returns!C17)*(1+Returns!C18)*(1+Returns!C19)*(1+Returns!C20)*(1+Returns!C21)*(1+Returns!C22)-1</f>
        <v>0.30945558739254997</v>
      </c>
      <c r="D25" s="15">
        <f>(1+Returns!D17)*(1+Returns!D18)*(1+Returns!D19)*(1+Returns!D20)*(1+Returns!D21)*(1+Returns!D22)-1</f>
        <v>-0.11354466858789636</v>
      </c>
      <c r="E25" s="15">
        <f>(1+Returns!E17)*(1+Returns!E18)*(1+Returns!E19)*(1+Returns!E20)*(1+Returns!E21)*(1+Returns!E22)-1</f>
        <v>7.0336391437308743E-2</v>
      </c>
      <c r="F25" s="15">
        <f>(1+Returns!F17)*(1+Returns!F18)*(1+Returns!F19)*(1+Returns!F20)*(1+Returns!F21)*(1+Returns!F22)-1</f>
        <v>0.26070763500931093</v>
      </c>
      <c r="G25" s="15">
        <f>(1+Returns!G17)*(1+Returns!G18)*(1+Returns!G19)*(1+Returns!G20)*(1+Returns!G21)*(1+Returns!G22)-1</f>
        <v>-2.312899586310635E-2</v>
      </c>
      <c r="H25" s="15">
        <f>(1+Returns!H17)*(1+Returns!H18)*(1+Returns!H19)*(1+Returns!H20)*(1+Returns!H21)*(1+Returns!H22)-1</f>
        <v>0.88964181994191671</v>
      </c>
      <c r="I25" s="15">
        <f>(1+Returns!I17)*(1+Returns!I18)*(1+Returns!I19)*(1+Returns!I20)*(1+Returns!I21)*(1+Returns!I22)-1</f>
        <v>0.35394390206105708</v>
      </c>
      <c r="J25" s="15">
        <f>(1+Returns!J17)*(1+Returns!J18)*(1+Returns!J19)*(1+Returns!J20)*(1+Returns!J21)*(1+Returns!J22)-1</f>
        <v>0.22338664413530918</v>
      </c>
    </row>
    <row r="26" spans="1:10" ht="15" customHeight="1" x14ac:dyDescent="0.25">
      <c r="A26">
        <v>22</v>
      </c>
      <c r="B26" s="12">
        <f>Returns!A23</f>
        <v>42644</v>
      </c>
      <c r="C26" s="15">
        <f>(1+Returns!C18)*(1+Returns!C19)*(1+Returns!C20)*(1+Returns!C21)*(1+Returns!C22)*(1+Returns!C23)-1</f>
        <v>0.24795081967213117</v>
      </c>
      <c r="D26" s="15">
        <f>(1+Returns!D18)*(1+Returns!D19)*(1+Returns!D20)*(1+Returns!D21)*(1+Returns!D22)*(1+Returns!D23)-1</f>
        <v>-9.0974212034383939E-2</v>
      </c>
      <c r="E26" s="15">
        <f>(1+Returns!E18)*(1+Returns!E19)*(1+Returns!E20)*(1+Returns!E21)*(1+Returns!E22)*(1+Returns!E23)-1</f>
        <v>1.2604446962186433E-2</v>
      </c>
      <c r="F26" s="15">
        <f>(1+Returns!F18)*(1+Returns!F19)*(1+Returns!F20)*(1+Returns!F21)*(1+Returns!F22)*(1+Returns!F23)-1</f>
        <v>0.21809954751131211</v>
      </c>
      <c r="G26" s="15">
        <f>(1+Returns!G18)*(1+Returns!G19)*(1+Returns!G20)*(1+Returns!G21)*(1+Returns!G22)*(1+Returns!G23)-1</f>
        <v>-2.345575179889714E-2</v>
      </c>
      <c r="H26" s="15">
        <f>(1+Returns!H18)*(1+Returns!H19)*(1+Returns!H20)*(1+Returns!H21)*(1+Returns!H22)*(1+Returns!H23)-1</f>
        <v>1.1083916083916088</v>
      </c>
      <c r="I26" s="15">
        <f>(1+Returns!I18)*(1+Returns!I19)*(1+Returns!I20)*(1+Returns!I21)*(1+Returns!I22)*(1+Returns!I23)-1</f>
        <v>0.29425287356321861</v>
      </c>
      <c r="J26" s="15">
        <f>(1+Returns!J18)*(1+Returns!J19)*(1+Returns!J20)*(1+Returns!J21)*(1+Returns!J22)*(1+Returns!J23)-1</f>
        <v>0.14903962609834487</v>
      </c>
    </row>
    <row r="27" spans="1:10" ht="15" customHeight="1" x14ac:dyDescent="0.25">
      <c r="A27">
        <v>23</v>
      </c>
      <c r="B27" s="12">
        <f>Returns!A24</f>
        <v>42675</v>
      </c>
      <c r="C27" s="15">
        <f>(1+Returns!C19)*(1+Returns!C20)*(1+Returns!C21)*(1+Returns!C22)*(1+Returns!C23)*(1+Returns!C24)-1</f>
        <v>0.37945318972659425</v>
      </c>
      <c r="D27" s="15">
        <f>(1+Returns!D19)*(1+Returns!D20)*(1+Returns!D21)*(1+Returns!D22)*(1+Returns!D23)*(1+Returns!D24)-1</f>
        <v>-7.9931487296602821E-2</v>
      </c>
      <c r="E27" s="15">
        <f>(1+Returns!E19)*(1+Returns!E20)*(1+Returns!E21)*(1+Returns!E22)*(1+Returns!E23)*(1+Returns!E24)-1</f>
        <v>7.4879227053139985E-2</v>
      </c>
      <c r="F27" s="15">
        <f>(1+Returns!F19)*(1+Returns!F20)*(1+Returns!F21)*(1+Returns!F22)*(1+Returns!F23)*(1+Returns!F24)-1</f>
        <v>0.234006734006734</v>
      </c>
      <c r="G27" s="15">
        <f>(1+Returns!G19)*(1+Returns!G20)*(1+Returns!G21)*(1+Returns!G22)*(1+Returns!G23)*(1+Returns!G24)-1</f>
        <v>-7.6043956043956085E-2</v>
      </c>
      <c r="H27" s="15">
        <f>(1+Returns!H19)*(1+Returns!H20)*(1+Returns!H21)*(1+Returns!H22)*(1+Returns!H23)*(1+Returns!H24)-1</f>
        <v>2.2161137440758298</v>
      </c>
      <c r="I27" s="15">
        <f>(1+Returns!I19)*(1+Returns!I20)*(1+Returns!I21)*(1+Returns!I22)*(1+Returns!I23)*(1+Returns!I24)-1</f>
        <v>0.18747679742606094</v>
      </c>
      <c r="J27" s="15">
        <f>(1+Returns!J19)*(1+Returns!J20)*(1+Returns!J21)*(1+Returns!J22)*(1+Returns!J23)*(1+Returns!J24)-1</f>
        <v>0.18193361573930833</v>
      </c>
    </row>
    <row r="28" spans="1:10" ht="15" customHeight="1" x14ac:dyDescent="0.25">
      <c r="A28">
        <v>24</v>
      </c>
      <c r="B28" s="12">
        <f>Returns!A25</f>
        <v>42705</v>
      </c>
      <c r="C28" s="15">
        <f>(1+Returns!C20)*(1+Returns!C21)*(1+Returns!C22)*(1+Returns!C23)*(1+Returns!C24)*(1+Returns!C25)-1</f>
        <v>0.57726537216828477</v>
      </c>
      <c r="D28" s="15">
        <f>(1+Returns!D20)*(1+Returns!D21)*(1+Returns!D22)*(1+Returns!D23)*(1+Returns!D24)*(1+Returns!D25)-1</f>
        <v>5.4263565891472965E-2</v>
      </c>
      <c r="E28" s="15">
        <f>(1+Returns!E20)*(1+Returns!E21)*(1+Returns!E22)*(1+Returns!E23)*(1+Returns!E24)*(1+Returns!E25)-1</f>
        <v>9.1146549353863016E-2</v>
      </c>
      <c r="F28" s="15">
        <f>(1+Returns!F20)*(1+Returns!F21)*(1+Returns!F22)*(1+Returns!F23)*(1+Returns!F24)*(1+Returns!F25)-1</f>
        <v>0.33523956723338499</v>
      </c>
      <c r="G28" s="15">
        <f>(1+Returns!G20)*(1+Returns!G21)*(1+Returns!G22)*(1+Returns!G23)*(1+Returns!G24)*(1+Returns!G25)-1</f>
        <v>-9.2173913043478217E-2</v>
      </c>
      <c r="H28" s="15">
        <f>(1+Returns!H20)*(1+Returns!H21)*(1+Returns!H22)*(1+Returns!H23)*(1+Returns!H24)*(1+Returns!H25)-1</f>
        <v>2.0570884871550907</v>
      </c>
      <c r="I28" s="15">
        <f>(1+Returns!I20)*(1+Returns!I21)*(1+Returns!I22)*(1+Returns!I23)*(1+Returns!I24)*(1+Returns!I25)-1</f>
        <v>0.53197115384615357</v>
      </c>
      <c r="J28" s="15">
        <f>(1+Returns!J20)*(1+Returns!J21)*(1+Returns!J22)*(1+Returns!J23)*(1+Returns!J24)*(1+Returns!J25)-1</f>
        <v>0.26528562437505876</v>
      </c>
    </row>
    <row r="29" spans="1:10" ht="15" customHeight="1" x14ac:dyDescent="0.25">
      <c r="A29">
        <v>25</v>
      </c>
      <c r="B29" s="12">
        <f>Returns!A26</f>
        <v>42736</v>
      </c>
      <c r="C29" s="15">
        <f>(1+Returns!C21)*(1+Returns!C22)*(1+Returns!C23)*(1+Returns!C24)*(1+Returns!C25)*(1+Returns!C26)-1</f>
        <v>0.40270665691294805</v>
      </c>
      <c r="D29" s="15">
        <f>(1+Returns!D21)*(1+Returns!D22)*(1+Returns!D23)*(1+Returns!D24)*(1+Returns!D25)*(1+Returns!D26)-1</f>
        <v>4.1982507288629956E-2</v>
      </c>
      <c r="E29" s="15">
        <f>(1+Returns!E21)*(1+Returns!E22)*(1+Returns!E23)*(1+Returns!E24)*(1+Returns!E25)*(1+Returns!E26)-1</f>
        <v>0.10681332666696974</v>
      </c>
      <c r="F29" s="15">
        <f>(1+Returns!F21)*(1+Returns!F22)*(1+Returns!F23)*(1+Returns!F24)*(1+Returns!F25)*(1+Returns!F26)-1</f>
        <v>0.13270397842211712</v>
      </c>
      <c r="G29" s="15">
        <f>(1+Returns!G21)*(1+Returns!G22)*(1+Returns!G23)*(1+Returns!G24)*(1+Returns!G25)*(1+Returns!G26)-1</f>
        <v>1.7662565905096628E-2</v>
      </c>
      <c r="H29" s="15">
        <f>(1+Returns!H21)*(1+Returns!H22)*(1+Returns!H23)*(1+Returns!H24)*(1+Returns!H25)*(1+Returns!H26)-1</f>
        <v>1.8009009009009005</v>
      </c>
      <c r="I29" s="15">
        <f>(1+Returns!I21)*(1+Returns!I22)*(1+Returns!I23)*(1+Returns!I24)*(1+Returns!I25)*(1+Returns!I26)-1</f>
        <v>0.32758234371498984</v>
      </c>
      <c r="J29" s="15">
        <f>(1+Returns!J21)*(1+Returns!J22)*(1+Returns!J23)*(1+Returns!J24)*(1+Returns!J25)*(1+Returns!J26)-1</f>
        <v>0.23420641493997785</v>
      </c>
    </row>
    <row r="30" spans="1:10" ht="15" customHeight="1" x14ac:dyDescent="0.25">
      <c r="A30">
        <v>26</v>
      </c>
      <c r="B30" s="12">
        <f>Returns!A27</f>
        <v>42767</v>
      </c>
      <c r="C30" s="15">
        <f>(1+Returns!C22)*(1+Returns!C23)*(1+Returns!C24)*(1+Returns!C25)*(1+Returns!C26)*(1+Returns!C27)-1</f>
        <v>0.2052529182879379</v>
      </c>
      <c r="D30" s="15">
        <f>(1+Returns!D22)*(1+Returns!D23)*(1+Returns!D24)*(1+Returns!D25)*(1+Returns!D26)*(1+Returns!D27)-1</f>
        <v>7.1090047393365108E-3</v>
      </c>
      <c r="E30" s="15">
        <f>(1+Returns!E22)*(1+Returns!E23)*(1+Returns!E24)*(1+Returns!E25)*(1+Returns!E26)*(1+Returns!E27)-1</f>
        <v>8.5830346475507913E-2</v>
      </c>
      <c r="F30" s="15">
        <f>(1+Returns!F22)*(1+Returns!F23)*(1+Returns!F24)*(1+Returns!F25)*(1+Returns!F26)*(1+Returns!F27)-1</f>
        <v>0.25594808940158575</v>
      </c>
      <c r="G30" s="15">
        <f>(1+Returns!G22)*(1+Returns!G23)*(1+Returns!G24)*(1+Returns!G25)*(1+Returns!G26)*(1+Returns!G27)-1</f>
        <v>-2.5798304167418351E-2</v>
      </c>
      <c r="H30" s="15">
        <f>(1+Returns!H22)*(1+Returns!H23)*(1+Returns!H24)*(1+Returns!H25)*(1+Returns!H26)*(1+Returns!H27)-1</f>
        <v>1.4034948371723592</v>
      </c>
      <c r="I30" s="15">
        <f>(1+Returns!I22)*(1+Returns!I23)*(1+Returns!I24)*(1+Returns!I25)*(1+Returns!I26)*(1+Returns!I27)-1</f>
        <v>0.38866945040063161</v>
      </c>
      <c r="J30" s="15">
        <f>(1+Returns!J22)*(1+Returns!J23)*(1+Returns!J24)*(1+Returns!J25)*(1+Returns!J26)*(1+Returns!J27)-1</f>
        <v>0.21915955908100493</v>
      </c>
    </row>
    <row r="31" spans="1:10" ht="15" customHeight="1" x14ac:dyDescent="0.25">
      <c r="A31">
        <v>27</v>
      </c>
      <c r="B31" s="12">
        <f>Returns!A28</f>
        <v>42795</v>
      </c>
      <c r="C31" s="15">
        <f>(1+Returns!C23)*(1+Returns!C24)*(1+Returns!C25)*(1+Returns!C26)*(1+Returns!C27)*(1+Returns!C28)-1</f>
        <v>0.3000937793060332</v>
      </c>
      <c r="D31" s="15">
        <f>(1+Returns!D23)*(1+Returns!D24)*(1+Returns!D25)*(1+Returns!D26)*(1+Returns!D27)*(1+Returns!D28)-1</f>
        <v>1.6905071521456261E-2</v>
      </c>
      <c r="E31" s="15">
        <f>(1+Returns!E23)*(1+Returns!E24)*(1+Returns!E25)*(1+Returns!E26)*(1+Returns!E27)*(1+Returns!E28)-1</f>
        <v>3.4013605442177131E-2</v>
      </c>
      <c r="F31" s="15">
        <f>(1+Returns!F23)*(1+Returns!F24)*(1+Returns!F25)*(1+Returns!F26)*(1+Returns!F27)*(1+Returns!F28)-1</f>
        <v>0.23341211225996994</v>
      </c>
      <c r="G31" s="15">
        <f>(1+Returns!G23)*(1+Returns!G24)*(1+Returns!G25)*(1+Returns!G26)*(1+Returns!G27)*(1+Returns!G28)-1</f>
        <v>0</v>
      </c>
      <c r="H31" s="15">
        <f>(1+Returns!H23)*(1+Returns!H24)*(1+Returns!H25)*(1+Returns!H26)*(1+Returns!H27)*(1+Returns!H28)-1</f>
        <v>0.59426229508196693</v>
      </c>
      <c r="I31" s="15">
        <f>(1+Returns!I23)*(1+Returns!I24)*(1+Returns!I25)*(1+Returns!I26)*(1+Returns!I27)*(1+Returns!I28)-1</f>
        <v>0.59803136087901998</v>
      </c>
      <c r="J31" s="15">
        <f>(1+Returns!J23)*(1+Returns!J24)*(1+Returns!J25)*(1+Returns!J26)*(1+Returns!J27)*(1+Returns!J28)-1</f>
        <v>0.18780907907170441</v>
      </c>
    </row>
    <row r="32" spans="1:10" ht="15" customHeight="1" x14ac:dyDescent="0.25">
      <c r="A32">
        <v>28</v>
      </c>
      <c r="B32" s="12">
        <f>Returns!A29</f>
        <v>42826</v>
      </c>
      <c r="C32" s="15">
        <f>(1+Returns!C24)*(1+Returns!C25)*(1+Returns!C26)*(1+Returns!C27)*(1+Returns!C28)*(1+Returns!C29)-1</f>
        <v>0.52840722495894932</v>
      </c>
      <c r="D32" s="15">
        <f>(1+Returns!D24)*(1+Returns!D25)*(1+Returns!D26)*(1+Returns!D27)*(1+Returns!D28)*(1+Returns!D29)-1</f>
        <v>-6.7769897557131586E-2</v>
      </c>
      <c r="E32" s="15">
        <f>(1+Returns!E24)*(1+Returns!E25)*(1+Returns!E26)*(1+Returns!E27)*(1+Returns!E28)*(1+Returns!E29)-1</f>
        <v>6.9930069930070893E-3</v>
      </c>
      <c r="F32" s="15">
        <f>(1+Returns!F24)*(1+Returns!F25)*(1+Returns!F26)*(1+Returns!F27)*(1+Returns!F28)*(1+Returns!F29)-1</f>
        <v>0.31500742942050475</v>
      </c>
      <c r="G32" s="15">
        <f>(1+Returns!G24)*(1+Returns!G25)*(1+Returns!G26)*(1+Returns!G27)*(1+Returns!G28)*(1+Returns!G29)-1</f>
        <v>-8.1339712918660378E-2</v>
      </c>
      <c r="H32" s="15">
        <f>(1+Returns!H24)*(1+Returns!H25)*(1+Returns!H26)*(1+Returns!H27)*(1+Returns!H28)*(1+Returns!H29)-1</f>
        <v>0.65547263681592005</v>
      </c>
      <c r="I32" s="15">
        <f>(1+Returns!I24)*(1+Returns!I25)*(1+Returns!I26)*(1+Returns!I27)*(1+Returns!I28)*(1+Returns!I29)-1</f>
        <v>0.61067939609236221</v>
      </c>
      <c r="J32" s="15">
        <f>(1+Returns!J24)*(1+Returns!J25)*(1+Returns!J26)*(1+Returns!J27)*(1+Returns!J28)*(1+Returns!J29)-1</f>
        <v>0.23580231935556983</v>
      </c>
    </row>
    <row r="33" spans="1:10" ht="15" customHeight="1" x14ac:dyDescent="0.25">
      <c r="A33">
        <v>29</v>
      </c>
      <c r="B33" s="12">
        <f>Returns!A30</f>
        <v>42856</v>
      </c>
      <c r="C33" s="15">
        <f>(1+Returns!C25)*(1+Returns!C26)*(1+Returns!C27)*(1+Returns!C28)*(1+Returns!C29)*(1+Returns!C30)-1</f>
        <v>0.44984984984985066</v>
      </c>
      <c r="D33" s="15">
        <f>(1+Returns!D25)*(1+Returns!D26)*(1+Returns!D27)*(1+Returns!D28)*(1+Returns!D29)*(1+Returns!D30)-1</f>
        <v>-5.6779398076326371E-2</v>
      </c>
      <c r="E33" s="15">
        <f>(1+Returns!E25)*(1+Returns!E26)*(1+Returns!E27)*(1+Returns!E28)*(1+Returns!E29)*(1+Returns!E30)-1</f>
        <v>-9.8876404494382397E-3</v>
      </c>
      <c r="F33" s="15">
        <f>(1+Returns!F25)*(1+Returns!F26)*(1+Returns!F27)*(1+Returns!F28)*(1+Returns!F29)*(1+Returns!F30)-1</f>
        <v>0.17219645293315122</v>
      </c>
      <c r="G33" s="15">
        <f>(1+Returns!G25)*(1+Returns!G26)*(1+Returns!G27)*(1+Returns!G28)*(1+Returns!G29)*(1+Returns!G30)-1</f>
        <v>-8.39200761179828E-2</v>
      </c>
      <c r="H33" s="15">
        <f>(1+Returns!H25)*(1+Returns!H26)*(1+Returns!H27)*(1+Returns!H28)*(1+Returns!H29)*(1+Returns!H30)-1</f>
        <v>1.0268199233716473</v>
      </c>
      <c r="I33" s="15">
        <f>(1+Returns!I25)*(1+Returns!I26)*(1+Returns!I27)*(1+Returns!I28)*(1+Returns!I29)*(1+Returns!I30)-1</f>
        <v>0.61744476865360598</v>
      </c>
      <c r="J33" s="15">
        <f>(1+Returns!J25)*(1+Returns!J26)*(1+Returns!J27)*(1+Returns!J28)*(1+Returns!J29)*(1+Returns!J30)-1</f>
        <v>0.18697224016402658</v>
      </c>
    </row>
    <row r="34" spans="1:10" ht="15" customHeight="1" x14ac:dyDescent="0.25">
      <c r="A34">
        <v>30</v>
      </c>
      <c r="B34" s="12">
        <f>Returns!A31</f>
        <v>42887</v>
      </c>
      <c r="C34" s="15">
        <f>(1+Returns!C26)*(1+Returns!C27)*(1+Returns!C28)*(1+Returns!C29)*(1+Returns!C30)*(1+Returns!C31)-1</f>
        <v>0.17876378558604777</v>
      </c>
      <c r="D34" s="15">
        <f>(1+Returns!D26)*(1+Returns!D27)*(1+Returns!D28)*(1+Returns!D29)*(1+Returns!D30)*(1+Returns!D31)-1</f>
        <v>-0.18897058823529411</v>
      </c>
      <c r="E34" s="15">
        <f>(1+Returns!E26)*(1+Returns!E27)*(1+Returns!E28)*(1+Returns!E29)*(1+Returns!E30)*(1+Returns!E31)-1</f>
        <v>-0.11490487589769427</v>
      </c>
      <c r="F34" s="15">
        <f>(1+Returns!F26)*(1+Returns!F27)*(1+Returns!F28)*(1+Returns!F29)*(1+Returns!F30)*(1+Returns!F31)-1</f>
        <v>-2.650769765019112E-2</v>
      </c>
      <c r="G34" s="15">
        <f>(1+Returns!G26)*(1+Returns!G27)*(1+Returns!G28)*(1+Returns!G29)*(1+Returns!G30)*(1+Returns!G31)-1</f>
        <v>-0.20977011494252895</v>
      </c>
      <c r="H34" s="15">
        <f>(1+Returns!H26)*(1+Returns!H27)*(1+Returns!H28)*(1+Returns!H29)*(1+Returns!H30)*(1+Returns!H31)-1</f>
        <v>1.8683473389355734</v>
      </c>
      <c r="I34" s="15">
        <f>(1+Returns!I26)*(1+Returns!I27)*(1+Returns!I28)*(1+Returns!I29)*(1+Returns!I30)*(1+Returns!I31)-1</f>
        <v>0.13470892829122882</v>
      </c>
      <c r="J34" s="15">
        <f>(1+Returns!J26)*(1+Returns!J27)*(1+Returns!J28)*(1+Returns!J29)*(1+Returns!J30)*(1+Returns!J31)-1</f>
        <v>-2.5972781793115129E-2</v>
      </c>
    </row>
    <row r="35" spans="1:10" ht="15" customHeight="1" x14ac:dyDescent="0.25">
      <c r="A35">
        <v>31</v>
      </c>
      <c r="B35" s="12">
        <f>Returns!A32</f>
        <v>42917</v>
      </c>
      <c r="C35" s="15">
        <f>(1+Returns!C27)*(1+Returns!C28)*(1+Returns!C29)*(1+Returns!C30)*(1+Returns!C31)*(1+Returns!C32)-1</f>
        <v>0.21355932203389805</v>
      </c>
      <c r="D35" s="15">
        <f>(1+Returns!D27)*(1+Returns!D28)*(1+Returns!D29)*(1+Returns!D30)*(1+Returns!D31)*(1+Returns!D32)-1</f>
        <v>-0.1870453273642978</v>
      </c>
      <c r="E35" s="15">
        <f>(1+Returns!E27)*(1+Returns!E28)*(1+Returns!E29)*(1+Returns!E30)*(1+Returns!E31)*(1+Returns!E32)-1</f>
        <v>-0.15165701613896765</v>
      </c>
      <c r="F35" s="15">
        <f>(1+Returns!F27)*(1+Returns!F28)*(1+Returns!F29)*(1+Returns!F30)*(1+Returns!F31)*(1+Returns!F32)-1</f>
        <v>-0.15722109774973214</v>
      </c>
      <c r="G35" s="15">
        <f>(1+Returns!G27)*(1+Returns!G28)*(1+Returns!G29)*(1+Returns!G30)*(1+Returns!G31)*(1+Returns!G32)-1</f>
        <v>-0.30688196183403871</v>
      </c>
      <c r="H35" s="15">
        <f>(1+Returns!H27)*(1+Returns!H28)*(1+Returns!H29)*(1+Returns!H30)*(1+Returns!H31)*(1+Returns!H32)-1</f>
        <v>1.4438726278546152</v>
      </c>
      <c r="I35" s="15">
        <f>(1+Returns!I27)*(1+Returns!I28)*(1+Returns!I29)*(1+Returns!I30)*(1+Returns!I31)*(1+Returns!I32)-1</f>
        <v>0.35611814345991566</v>
      </c>
      <c r="J35" s="15">
        <f>(1+Returns!J27)*(1+Returns!J28)*(1+Returns!J29)*(1+Returns!J30)*(1+Returns!J31)*(1+Returns!J32)-1</f>
        <v>-5.6344365922325501E-2</v>
      </c>
    </row>
    <row r="36" spans="1:10" ht="15" customHeight="1" x14ac:dyDescent="0.25">
      <c r="A36">
        <v>32</v>
      </c>
      <c r="B36" s="12">
        <f>Returns!A33</f>
        <v>42948</v>
      </c>
      <c r="C36" s="15">
        <f>(1+Returns!C28)*(1+Returns!C29)*(1+Returns!C30)*(1+Returns!C31)*(1+Returns!C32)*(1+Returns!C33)-1</f>
        <v>0.17756255044390623</v>
      </c>
      <c r="D36" s="15">
        <f>(1+Returns!D28)*(1+Returns!D29)*(1+Returns!D30)*(1+Returns!D31)*(1+Returns!D32)*(1+Returns!D33)-1</f>
        <v>-0.1486764705882353</v>
      </c>
      <c r="E36" s="15">
        <f>(1+Returns!E28)*(1+Returns!E29)*(1+Returns!E30)*(1+Returns!E31)*(1+Returns!E32)*(1+Returns!E33)-1</f>
        <v>-0.14854099731525894</v>
      </c>
      <c r="F36" s="15">
        <f>(1+Returns!F28)*(1+Returns!F29)*(1+Returns!F30)*(1+Returns!F31)*(1+Returns!F32)*(1+Returns!F33)-1</f>
        <v>-0.31458094144661308</v>
      </c>
      <c r="G36" s="15">
        <f>(1+Returns!G28)*(1+Returns!G29)*(1+Returns!G30)*(1+Returns!G31)*(1+Returns!G32)*(1+Returns!G33)-1</f>
        <v>-0.3438888888888888</v>
      </c>
      <c r="H36" s="15">
        <f>(1+Returns!H28)*(1+Returns!H29)*(1+Returns!H30)*(1+Returns!H31)*(1+Returns!H32)*(1+Returns!H33)-1</f>
        <v>0.73463317911434189</v>
      </c>
      <c r="I36" s="15">
        <f>(1+Returns!I28)*(1+Returns!I29)*(1+Returns!I30)*(1+Returns!I31)*(1+Returns!I32)*(1+Returns!I33)-1</f>
        <v>0.10816741162129229</v>
      </c>
      <c r="J36" s="15">
        <f>(1+Returns!J28)*(1+Returns!J29)*(1+Returns!J30)*(1+Returns!J31)*(1+Returns!J32)*(1+Returns!J33)-1</f>
        <v>-0.15097056242573559</v>
      </c>
    </row>
    <row r="37" spans="1:10" ht="15" customHeight="1" x14ac:dyDescent="0.25">
      <c r="A37">
        <v>33</v>
      </c>
      <c r="B37" s="12">
        <f>Returns!A34</f>
        <v>42979</v>
      </c>
      <c r="C37" s="15">
        <f>(1+Returns!C29)*(1+Returns!C30)*(1+Returns!C31)*(1+Returns!C32)*(1+Returns!C33)*(1+Returns!C34)-1</f>
        <v>6.3957682135128424E-2</v>
      </c>
      <c r="D37" s="15">
        <f>(1+Returns!D29)*(1+Returns!D30)*(1+Returns!D31)*(1+Returns!D32)*(1+Returns!D33)*(1+Returns!D34)-1</f>
        <v>4.6355498721226684E-3</v>
      </c>
      <c r="E37" s="15">
        <f>(1+Returns!E29)*(1+Returns!E30)*(1+Returns!E31)*(1+Returns!E32)*(1+Returns!E33)*(1+Returns!E34)-1</f>
        <v>-9.214912280701737E-2</v>
      </c>
      <c r="F37" s="15">
        <f>(1+Returns!F29)*(1+Returns!F30)*(1+Returns!F31)*(1+Returns!F32)*(1+Returns!F33)*(1+Returns!F34)-1</f>
        <v>-0.32336950013173338</v>
      </c>
      <c r="G37" s="15">
        <f>(1+Returns!G29)*(1+Returns!G30)*(1+Returns!G31)*(1+Returns!G32)*(1+Returns!G33)*(1+Returns!G34)-1</f>
        <v>-0.1998075072184794</v>
      </c>
      <c r="H37" s="15">
        <f>(1+Returns!H29)*(1+Returns!H30)*(1+Returns!H31)*(1+Returns!H32)*(1+Returns!H33)*(1+Returns!H34)-1</f>
        <v>0.74068123393316143</v>
      </c>
      <c r="I37" s="15">
        <f>(1+Returns!I29)*(1+Returns!I30)*(1+Returns!I31)*(1+Returns!I32)*(1+Returns!I33)*(1+Returns!I34)-1</f>
        <v>-1.3465119610370779E-2</v>
      </c>
      <c r="J37" s="15">
        <f>(1+Returns!J29)*(1+Returns!J30)*(1+Returns!J31)*(1+Returns!J32)*(1+Returns!J33)*(1+Returns!J34)-1</f>
        <v>-0.11933442049608423</v>
      </c>
    </row>
    <row r="38" spans="1:10" ht="15" customHeight="1" x14ac:dyDescent="0.25">
      <c r="A38">
        <v>34</v>
      </c>
      <c r="B38" s="12">
        <f>Returns!A35</f>
        <v>43009</v>
      </c>
      <c r="C38" s="15">
        <f>(1+Returns!C30)*(1+Returns!C31)*(1+Returns!C32)*(1+Returns!C33)*(1+Returns!C34)*(1+Returns!C35)-1</f>
        <v>-0.16415986248388492</v>
      </c>
      <c r="D38" s="15">
        <f>(1+Returns!D30)*(1+Returns!D31)*(1+Returns!D32)*(1+Returns!D33)*(1+Returns!D34)*(1+Returns!D35)-1</f>
        <v>9.8901098901098772E-2</v>
      </c>
      <c r="E38" s="15">
        <f>(1+Returns!E30)*(1+Returns!E31)*(1+Returns!E32)*(1+Returns!E33)*(1+Returns!E34)*(1+Returns!E35)-1</f>
        <v>-7.4074074074073959E-2</v>
      </c>
      <c r="F38" s="15">
        <f>(1+Returns!F30)*(1+Returns!F31)*(1+Returns!F32)*(1+Returns!F33)*(1+Returns!F34)*(1+Returns!F35)-1</f>
        <v>-0.45084745762711875</v>
      </c>
      <c r="G38" s="15">
        <f>(1+Returns!G30)*(1+Returns!G31)*(1+Returns!G32)*(1+Returns!G33)*(1+Returns!G34)*(1+Returns!G35)-1</f>
        <v>-0.16666666666666674</v>
      </c>
      <c r="H38" s="15">
        <f>(1+Returns!H30)*(1+Returns!H31)*(1+Returns!H32)*(1+Returns!H33)*(1+Returns!H34)*(1+Returns!H35)-1</f>
        <v>0.28399699474079609</v>
      </c>
      <c r="I38" s="15">
        <f>(1+Returns!I30)*(1+Returns!I31)*(1+Returns!I32)*(1+Returns!I33)*(1+Returns!I34)*(1+Returns!I35)-1</f>
        <v>-8.2293748707698788E-2</v>
      </c>
      <c r="J38" s="15">
        <f>(1+Returns!J30)*(1+Returns!J31)*(1+Returns!J32)*(1+Returns!J33)*(1+Returns!J34)*(1+Returns!J35)-1</f>
        <v>-0.1964205521603053</v>
      </c>
    </row>
    <row r="39" spans="1:10" ht="15" customHeight="1" x14ac:dyDescent="0.25">
      <c r="A39">
        <v>35</v>
      </c>
      <c r="B39" s="12">
        <f>Returns!A36</f>
        <v>43040</v>
      </c>
      <c r="C39" s="15">
        <f>(1+Returns!C31)*(1+Returns!C32)*(1+Returns!C33)*(1+Returns!C34)*(1+Returns!C35)*(1+Returns!C36)-1</f>
        <v>-0.18185584092792051</v>
      </c>
      <c r="D39" s="15">
        <f>(1+Returns!D31)*(1+Returns!D32)*(1+Returns!D33)*(1+Returns!D34)*(1+Returns!D35)*(1+Returns!D36)-1</f>
        <v>8.1249999999999822E-2</v>
      </c>
      <c r="E39" s="15">
        <f>(1+Returns!E31)*(1+Returns!E32)*(1+Returns!E33)*(1+Returns!E34)*(1+Returns!E35)*(1+Returns!E36)-1</f>
        <v>-7.2582841579664104E-2</v>
      </c>
      <c r="F39" s="15">
        <f>(1+Returns!F31)*(1+Returns!F32)*(1+Returns!F33)*(1+Returns!F34)*(1+Returns!F35)*(1+Returns!F36)-1</f>
        <v>-0.42738763064174479</v>
      </c>
      <c r="G39" s="15">
        <f>(1+Returns!G31)*(1+Returns!G32)*(1+Returns!G33)*(1+Returns!G34)*(1+Returns!G35)*(1+Returns!G36)-1</f>
        <v>-0.15797673452430405</v>
      </c>
      <c r="H39" s="15">
        <f>(1+Returns!H31)*(1+Returns!H32)*(1+Returns!H33)*(1+Returns!H34)*(1+Returns!H35)*(1+Returns!H36)-1</f>
        <v>0.11618438272502551</v>
      </c>
      <c r="I39" s="15">
        <f>(1+Returns!I31)*(1+Returns!I32)*(1+Returns!I33)*(1+Returns!I34)*(1+Returns!I35)*(1+Returns!I36)-1</f>
        <v>-0.11848463372205398</v>
      </c>
      <c r="J39" s="15">
        <f>(1+Returns!J31)*(1+Returns!J32)*(1+Returns!J33)*(1+Returns!J34)*(1+Returns!J35)*(1+Returns!J36)-1</f>
        <v>-0.20914966663418433</v>
      </c>
    </row>
    <row r="40" spans="1:10" ht="15" customHeight="1" x14ac:dyDescent="0.25">
      <c r="A40">
        <v>36</v>
      </c>
      <c r="B40" s="12">
        <f>Returns!A37</f>
        <v>43070</v>
      </c>
      <c r="C40" s="15">
        <f>(1+Returns!C32)*(1+Returns!C33)*(1+Returns!C34)*(1+Returns!C35)*(1+Returns!C36)*(1+Returns!C37)-1</f>
        <v>-0.1277197563098349</v>
      </c>
      <c r="D40" s="15">
        <f>(1+Returns!D32)*(1+Returns!D33)*(1+Returns!D34)*(1+Returns!D35)*(1+Returns!D36)*(1+Returns!D37)-1</f>
        <v>0.2310063463281955</v>
      </c>
      <c r="E40" s="15">
        <f>(1+Returns!E32)*(1+Returns!E33)*(1+Returns!E34)*(1+Returns!E35)*(1+Returns!E36)*(1+Returns!E37)-1</f>
        <v>1.1862396204032066E-3</v>
      </c>
      <c r="F40" s="15">
        <f>(1+Returns!F32)*(1+Returns!F33)*(1+Returns!F34)*(1+Returns!F35)*(1+Returns!F36)*(1+Returns!F37)-1</f>
        <v>-0.38703923900118897</v>
      </c>
      <c r="G40" s="15">
        <f>(1+Returns!G32)*(1+Returns!G33)*(1+Returns!G34)*(1+Returns!G35)*(1+Returns!G36)*(1+Returns!G37)-1</f>
        <v>-4.2424242424242253E-2</v>
      </c>
      <c r="H40" s="15">
        <f>(1+Returns!H32)*(1+Returns!H33)*(1+Returns!H34)*(1+Returns!H35)*(1+Returns!H36)*(1+Returns!H37)-1</f>
        <v>-0.19422743055555558</v>
      </c>
      <c r="I40" s="15">
        <f>(1+Returns!I32)*(1+Returns!I33)*(1+Returns!I34)*(1+Returns!I35)*(1+Returns!I36)*(1+Returns!I37)-1</f>
        <v>-7.363617506741349E-2</v>
      </c>
      <c r="J40" s="15">
        <f>(1+Returns!J32)*(1+Returns!J33)*(1+Returns!J34)*(1+Returns!J35)*(1+Returns!J36)*(1+Returns!J37)-1</f>
        <v>-0.13086593039579475</v>
      </c>
    </row>
    <row r="41" spans="1:10" ht="15" customHeight="1" x14ac:dyDescent="0.25">
      <c r="A41">
        <v>37</v>
      </c>
      <c r="B41" s="12">
        <f>Returns!A38</f>
        <v>43101</v>
      </c>
      <c r="C41" s="15">
        <f>(1+Returns!C33)*(1+Returns!C34)*(1+Returns!C35)*(1+Returns!C36)*(1+Returns!C37)*(1+Returns!C38)-1</f>
        <v>-1.7404383326171224E-2</v>
      </c>
      <c r="D41" s="15">
        <f>(1+Returns!D33)*(1+Returns!D34)*(1+Returns!D35)*(1+Returns!D36)*(1+Returns!D37)*(1+Returns!D38)-1</f>
        <v>0.1994493202546892</v>
      </c>
      <c r="E41" s="15">
        <f>(1+Returns!E33)*(1+Returns!E34)*(1+Returns!E35)*(1+Returns!E36)*(1+Returns!E37)*(1+Returns!E38)-1</f>
        <v>9.5701423177461553E-2</v>
      </c>
      <c r="F41" s="15">
        <f>(1+Returns!F33)*(1+Returns!F34)*(1+Returns!F35)*(1+Returns!F36)*(1+Returns!F37)*(1+Returns!F38)-1</f>
        <v>-0.13087518542063981</v>
      </c>
      <c r="G41" s="15">
        <f>(1+Returns!G33)*(1+Returns!G34)*(1+Returns!G35)*(1+Returns!G36)*(1+Returns!G37)*(1+Returns!G38)-1</f>
        <v>0.1249532826709856</v>
      </c>
      <c r="H41" s="15">
        <f>(1+Returns!H33)*(1+Returns!H34)*(1+Returns!H35)*(1+Returns!H36)*(1+Returns!H37)*(1+Returns!H38)-1</f>
        <v>-4.7380889707818064E-2</v>
      </c>
      <c r="I41" s="15">
        <f>(1+Returns!I33)*(1+Returns!I34)*(1+Returns!I35)*(1+Returns!I36)*(1+Returns!I37)*(1+Returns!I38)-1</f>
        <v>-0.10560049782202885</v>
      </c>
      <c r="J41" s="15">
        <f>(1+Returns!J33)*(1+Returns!J34)*(1+Returns!J35)*(1+Returns!J36)*(1+Returns!J37)*(1+Returns!J38)-1</f>
        <v>-4.2629446136692617E-2</v>
      </c>
    </row>
    <row r="42" spans="1:10" ht="15" customHeight="1" x14ac:dyDescent="0.25">
      <c r="A42">
        <v>38</v>
      </c>
      <c r="B42" s="12">
        <f>Returns!A39</f>
        <v>43132</v>
      </c>
      <c r="C42" s="15">
        <f>(1+Returns!C34)*(1+Returns!C35)*(1+Returns!C36)*(1+Returns!C37)*(1+Returns!C38)*(1+Returns!C39)-1</f>
        <v>1.7591957962074023E-2</v>
      </c>
      <c r="D42" s="15">
        <f>(1+Returns!D34)*(1+Returns!D35)*(1+Returns!D36)*(1+Returns!D37)*(1+Returns!D38)*(1+Returns!D39)-1</f>
        <v>0.19692520297115212</v>
      </c>
      <c r="E42" s="15">
        <f>(1+Returns!E34)*(1+Returns!E35)*(1+Returns!E36)*(1+Returns!E37)*(1+Returns!E38)*(1+Returns!E39)-1</f>
        <v>0.12684792722009708</v>
      </c>
      <c r="F42" s="15">
        <f>(1+Returns!F34)*(1+Returns!F35)*(1+Returns!F36)*(1+Returns!F37)*(1+Returns!F38)*(1+Returns!F39)-1</f>
        <v>6.2814070351757678E-3</v>
      </c>
      <c r="G42" s="15">
        <f>(1+Returns!G34)*(1+Returns!G35)*(1+Returns!G36)*(1+Returns!G37)*(1+Returns!G38)*(1+Returns!G39)-1</f>
        <v>0.25176404177250911</v>
      </c>
      <c r="H42" s="15">
        <f>(1+Returns!H34)*(1+Returns!H35)*(1+Returns!H36)*(1+Returns!H37)*(1+Returns!H38)*(1+Returns!H39)-1</f>
        <v>0.4322728138693086</v>
      </c>
      <c r="I42" s="15">
        <f>(1+Returns!I34)*(1+Returns!I35)*(1+Returns!I36)*(1+Returns!I37)*(1+Returns!I38)*(1+Returns!I39)-1</f>
        <v>-1.679378116749819E-2</v>
      </c>
      <c r="J42" s="15">
        <f>(1+Returns!J34)*(1+Returns!J35)*(1+Returns!J36)*(1+Returns!J37)*(1+Returns!J38)*(1+Returns!J39)-1</f>
        <v>4.9322942539603343E-2</v>
      </c>
    </row>
    <row r="43" spans="1:10" ht="15" customHeight="1" x14ac:dyDescent="0.25">
      <c r="A43">
        <v>39</v>
      </c>
      <c r="B43" s="12">
        <f>Returns!A40</f>
        <v>43160</v>
      </c>
      <c r="C43" s="15">
        <f>(1+Returns!C35)*(1+Returns!C36)*(1+Returns!C37)*(1+Returns!C38)*(1+Returns!C39)*(1+Returns!C40)-1</f>
        <v>6.5762711864406631E-2</v>
      </c>
      <c r="D43" s="15">
        <f>(1+Returns!D35)*(1+Returns!D36)*(1+Returns!D37)*(1+Returns!D38)*(1+Returns!D39)*(1+Returns!D40)-1</f>
        <v>9.9284009546539043E-2</v>
      </c>
      <c r="E43" s="15">
        <f>(1+Returns!E35)*(1+Returns!E36)*(1+Returns!E37)*(1+Returns!E38)*(1+Returns!E39)*(1+Returns!E40)-1</f>
        <v>6.3481327600367399E-2</v>
      </c>
      <c r="F43" s="15">
        <f>(1+Returns!F35)*(1+Returns!F36)*(1+Returns!F37)*(1+Returns!F38)*(1+Returns!F39)*(1+Returns!F40)-1</f>
        <v>0.22056637168141591</v>
      </c>
      <c r="G43" s="15">
        <f>(1+Returns!G35)*(1+Returns!G36)*(1+Returns!G37)*(1+Returns!G38)*(1+Returns!G39)*(1+Returns!G40)-1</f>
        <v>0.12761606928073133</v>
      </c>
      <c r="H43" s="15">
        <f>(1+Returns!H35)*(1+Returns!H36)*(1+Returns!H37)*(1+Returns!H38)*(1+Returns!H39)*(1+Returns!H40)-1</f>
        <v>0.90105224293889585</v>
      </c>
      <c r="I43" s="15">
        <f>(1+Returns!I35)*(1+Returns!I36)*(1+Returns!I37)*(1+Returns!I38)*(1+Returns!I39)*(1+Returns!I40)-1</f>
        <v>-7.3326557281837568E-3</v>
      </c>
      <c r="J43" s="15">
        <f>(1+Returns!J35)*(1+Returns!J36)*(1+Returns!J37)*(1+Returns!J38)*(1+Returns!J39)*(1+Returns!J40)-1</f>
        <v>7.4300500810317915E-2</v>
      </c>
    </row>
    <row r="44" spans="1:10" ht="15" customHeight="1" x14ac:dyDescent="0.25">
      <c r="A44">
        <v>40</v>
      </c>
      <c r="B44" s="12">
        <f>Returns!A41</f>
        <v>43191</v>
      </c>
      <c r="C44" s="15">
        <f>(1+Returns!C36)*(1+Returns!C37)*(1+Returns!C38)*(1+Returns!C39)*(1+Returns!C40)*(1+Returns!C41)-1</f>
        <v>0.20616966580976848</v>
      </c>
      <c r="D44" s="15">
        <f>(1+Returns!D36)*(1+Returns!D37)*(1+Returns!D38)*(1+Returns!D39)*(1+Returns!D40)*(1+Returns!D41)-1</f>
        <v>0.11076923076923051</v>
      </c>
      <c r="E44" s="15">
        <f>(1+Returns!E36)*(1+Returns!E37)*(1+Returns!E38)*(1+Returns!E39)*(1+Returns!E40)*(1+Returns!E41)-1</f>
        <v>4.4000000000000261E-2</v>
      </c>
      <c r="F44" s="15">
        <f>(1+Returns!F36)*(1+Returns!F37)*(1+Returns!F38)*(1+Returns!F39)*(1+Returns!F40)*(1+Returns!F41)-1</f>
        <v>0.34979423868312765</v>
      </c>
      <c r="G44" s="15">
        <f>(1+Returns!G36)*(1+Returns!G37)*(1+Returns!G38)*(1+Returns!G39)*(1+Returns!G40)*(1+Returns!G41)-1</f>
        <v>0.24562499999999998</v>
      </c>
      <c r="H44" s="15">
        <f>(1+Returns!H36)*(1+Returns!H37)*(1+Returns!H38)*(1+Returns!H39)*(1+Returns!H40)*(1+Returns!H41)-1</f>
        <v>0.97639945387165983</v>
      </c>
      <c r="I44" s="15">
        <f>(1+Returns!I36)*(1+Returns!I37)*(1+Returns!I38)*(1+Returns!I39)*(1+Returns!I40)*(1+Returns!I41)-1</f>
        <v>5.8580548253848841E-2</v>
      </c>
      <c r="J44" s="15">
        <f>(1+Returns!J36)*(1+Returns!J37)*(1+Returns!J38)*(1+Returns!J39)*(1+Returns!J40)*(1+Returns!J41)-1</f>
        <v>0.14821015826715644</v>
      </c>
    </row>
    <row r="45" spans="1:10" ht="15" customHeight="1" x14ac:dyDescent="0.25">
      <c r="A45">
        <v>41</v>
      </c>
      <c r="B45" s="12">
        <f>Returns!A42</f>
        <v>43221</v>
      </c>
      <c r="C45" s="15">
        <f>(1+Returns!C37)*(1+Returns!C38)*(1+Returns!C39)*(1+Returns!C40)*(1+Returns!C41)*(1+Returns!C42)-1</f>
        <v>0.12759493670886068</v>
      </c>
      <c r="D45" s="15">
        <f>(1+Returns!D37)*(1+Returns!D38)*(1+Returns!D39)*(1+Returns!D40)*(1+Returns!D41)*(1+Returns!D42)-1</f>
        <v>0.13279586248859143</v>
      </c>
      <c r="E45" s="15">
        <f>(1+Returns!E37)*(1+Returns!E38)*(1+Returns!E39)*(1+Returns!E40)*(1+Returns!E41)*(1+Returns!E42)-1</f>
        <v>-2.0556996720668685E-3</v>
      </c>
      <c r="F45" s="15">
        <f>(1+Returns!F37)*(1+Returns!F38)*(1+Returns!F39)*(1+Returns!F40)*(1+Returns!F41)*(1+Returns!F42)-1</f>
        <v>0.11178861788617889</v>
      </c>
      <c r="G45" s="15">
        <f>(1+Returns!G37)*(1+Returns!G38)*(1+Returns!G39)*(1+Returns!G40)*(1+Returns!G41)*(1+Returns!G42)-1</f>
        <v>0.21006537560133243</v>
      </c>
      <c r="H45" s="15">
        <f>(1+Returns!H37)*(1+Returns!H38)*(1+Returns!H39)*(1+Returns!H40)*(1+Returns!H41)*(1+Returns!H42)-1</f>
        <v>0.39291297550807691</v>
      </c>
      <c r="I45" s="15">
        <f>(1+Returns!I37)*(1+Returns!I38)*(1+Returns!I39)*(1+Returns!I40)*(1+Returns!I41)*(1+Returns!I42)-1</f>
        <v>1.3521414997807124E-2</v>
      </c>
      <c r="J45" s="15">
        <f>(1+Returns!J37)*(1+Returns!J38)*(1+Returns!J39)*(1+Returns!J40)*(1+Returns!J41)*(1+Returns!J42)-1</f>
        <v>7.0888639842280776E-2</v>
      </c>
    </row>
    <row r="46" spans="1:10" ht="15" customHeight="1" x14ac:dyDescent="0.25">
      <c r="A46">
        <v>42</v>
      </c>
      <c r="B46" s="12">
        <f>Returns!A43</f>
        <v>43252</v>
      </c>
      <c r="C46" s="15">
        <f>(1+Returns!C38)*(1+Returns!C39)*(1+Returns!C40)*(1+Returns!C41)*(1+Returns!C42)*(1+Returns!C43)-1</f>
        <v>0.21077575455225772</v>
      </c>
      <c r="D46" s="15">
        <f>(1+Returns!D38)*(1+Returns!D39)*(1+Returns!D40)*(1+Returns!D41)*(1+Returns!D42)*(1+Returns!D43)-1</f>
        <v>0.10340256296950945</v>
      </c>
      <c r="E46" s="15">
        <f>(1+Returns!E38)*(1+Returns!E39)*(1+Returns!E40)*(1+Returns!E41)*(1+Returns!E42)*(1+Returns!E43)-1</f>
        <v>-6.2701421800947954E-2</v>
      </c>
      <c r="F46" s="15">
        <f>(1+Returns!F38)*(1+Returns!F39)*(1+Returns!F40)*(1+Returns!F41)*(1+Returns!F42)*(1+Returns!F43)-1</f>
        <v>-1.468477206595542E-2</v>
      </c>
      <c r="G46" s="15">
        <f>(1+Returns!G38)*(1+Returns!G39)*(1+Returns!G40)*(1+Returns!G41)*(1+Returns!G42)*(1+Returns!G43)-1</f>
        <v>0.25177215189873414</v>
      </c>
      <c r="H46" s="15">
        <f>(1+Returns!H38)*(1+Returns!H39)*(1+Returns!H40)*(1+Returns!H41)*(1+Returns!H42)*(1+Returns!H43)-1</f>
        <v>0.54928629140856433</v>
      </c>
      <c r="I46" s="15">
        <f>(1+Returns!I38)*(1+Returns!I39)*(1+Returns!I40)*(1+Returns!I41)*(1+Returns!I42)*(1+Returns!I43)-1</f>
        <v>3.2318256456187466E-2</v>
      </c>
      <c r="J46" s="15">
        <f>(1+Returns!J38)*(1+Returns!J39)*(1+Returns!J40)*(1+Returns!J41)*(1+Returns!J42)*(1+Returns!J43)-1</f>
        <v>3.5566280254638816E-2</v>
      </c>
    </row>
    <row r="47" spans="1:10" ht="15" customHeight="1" x14ac:dyDescent="0.25">
      <c r="A47">
        <v>43</v>
      </c>
      <c r="B47" s="12">
        <f>Returns!A44</f>
        <v>43282</v>
      </c>
      <c r="C47" s="15">
        <f>(1+Returns!C39)*(1+Returns!C40)*(1+Returns!C41)*(1+Returns!C42)*(1+Returns!C43)*(1+Returns!C44)-1</f>
        <v>0.16509949704788984</v>
      </c>
      <c r="D47" s="15">
        <f>(1+Returns!D39)*(1+Returns!D40)*(1+Returns!D41)*(1+Returns!D42)*(1+Returns!D43)*(1+Returns!D44)-1</f>
        <v>0.13342898134863668</v>
      </c>
      <c r="E47" s="15">
        <f>(1+Returns!E39)*(1+Returns!E40)*(1+Returns!E41)*(1+Returns!E42)*(1+Returns!E43)*(1+Returns!E44)-1</f>
        <v>-8.5487077534791123E-2</v>
      </c>
      <c r="F47" s="15">
        <f>(1+Returns!F39)*(1+Returns!F40)*(1+Returns!F41)*(1+Returns!F42)*(1+Returns!F43)*(1+Returns!F44)-1</f>
        <v>-0.10440337445750225</v>
      </c>
      <c r="G47" s="15">
        <f>(1+Returns!G39)*(1+Returns!G40)*(1+Returns!G41)*(1+Returns!G42)*(1+Returns!G43)*(1+Returns!G44)-1</f>
        <v>0.10254706533776337</v>
      </c>
      <c r="H47" s="15">
        <f>(1+Returns!H39)*(1+Returns!H40)*(1+Returns!H41)*(1+Returns!H42)*(1+Returns!H43)*(1+Returns!H44)-1</f>
        <v>0.79704338214976556</v>
      </c>
      <c r="I47" s="15">
        <f>(1+Returns!I39)*(1+Returns!I40)*(1+Returns!I41)*(1+Returns!I42)*(1+Returns!I43)*(1+Returns!I44)-1</f>
        <v>-6.9157447992764132E-2</v>
      </c>
      <c r="J47" s="15">
        <f>(1+Returns!J39)*(1+Returns!J40)*(1+Returns!J41)*(1+Returns!J42)*(1+Returns!J43)*(1+Returns!J44)-1</f>
        <v>-3.0343900719765893E-2</v>
      </c>
    </row>
    <row r="48" spans="1:10" ht="15" customHeight="1" x14ac:dyDescent="0.25">
      <c r="A48">
        <v>44</v>
      </c>
      <c r="B48" s="12">
        <f>Returns!A45</f>
        <v>43313</v>
      </c>
      <c r="C48" s="15">
        <f>(1+Returns!C40)*(1+Returns!C41)*(1+Returns!C42)*(1+Returns!C43)*(1+Returns!C44)*(1+Returns!C45)-1</f>
        <v>0.24876515491692852</v>
      </c>
      <c r="D48" s="15">
        <f>(1+Returns!D40)*(1+Returns!D41)*(1+Returns!D42)*(1+Returns!D43)*(1+Returns!D44)*(1+Returns!D45)-1</f>
        <v>0.13999134074180963</v>
      </c>
      <c r="E48" s="15">
        <f>(1+Returns!E40)*(1+Returns!E41)*(1+Returns!E42)*(1+Returns!E43)*(1+Returns!E44)*(1+Returns!E45)-1</f>
        <v>-8.256880733944949E-2</v>
      </c>
      <c r="F48" s="15">
        <f>(1+Returns!F40)*(1+Returns!F41)*(1+Returns!F42)*(1+Returns!F43)*(1+Returns!F44)*(1+Returns!F45)-1</f>
        <v>-9.9825218476903954E-2</v>
      </c>
      <c r="G48" s="15">
        <f>(1+Returns!G40)*(1+Returns!G41)*(1+Returns!G42)*(1+Returns!G43)*(1+Returns!G44)*(1+Returns!G45)-1</f>
        <v>0.10304396843291985</v>
      </c>
      <c r="H48" s="15">
        <f>(1+Returns!H40)*(1+Returns!H41)*(1+Returns!H42)*(1+Returns!H43)*(1+Returns!H44)*(1+Returns!H45)-1</f>
        <v>0.49827081670657081</v>
      </c>
      <c r="I48" s="15">
        <f>(1+Returns!I40)*(1+Returns!I41)*(1+Returns!I42)*(1+Returns!I43)*(1+Returns!I44)*(1+Returns!I45)-1</f>
        <v>5.1316476467517136E-2</v>
      </c>
      <c r="J48" s="15">
        <f>(1+Returns!J40)*(1+Returns!J41)*(1+Returns!J42)*(1+Returns!J43)*(1+Returns!J44)*(1+Returns!J45)-1</f>
        <v>-3.4625795338700138E-2</v>
      </c>
    </row>
    <row r="49" spans="1:10" ht="15" customHeight="1" x14ac:dyDescent="0.25">
      <c r="A49">
        <v>45</v>
      </c>
      <c r="B49" s="12">
        <f>Returns!A46</f>
        <v>43344</v>
      </c>
      <c r="C49" s="15">
        <f>(1+Returns!C41)*(1+Returns!C42)*(1+Returns!C43)*(1+Returns!C44)*(1+Returns!C45)*(1+Returns!C46)-1</f>
        <v>0.23303647158608998</v>
      </c>
      <c r="D49" s="15">
        <f>(1+Returns!D41)*(1+Returns!D42)*(1+Returns!D43)*(1+Returns!D44)*(1+Returns!D45)*(1+Returns!D46)-1</f>
        <v>9.4224924012157985E-2</v>
      </c>
      <c r="E49" s="15">
        <f>(1+Returns!E41)*(1+Returns!E42)*(1+Returns!E43)*(1+Returns!E44)*(1+Returns!E45)*(1+Returns!E46)-1</f>
        <v>-9.5897878526325142E-2</v>
      </c>
      <c r="F49" s="15">
        <f>(1+Returns!F41)*(1+Returns!F42)*(1+Returns!F43)*(1+Returns!F44)*(1+Returns!F45)*(1+Returns!F46)-1</f>
        <v>-0.25466198776137583</v>
      </c>
      <c r="G49" s="15">
        <f>(1+Returns!G41)*(1+Returns!G42)*(1+Returns!G43)*(1+Returns!G44)*(1+Returns!G45)*(1+Returns!G46)-1</f>
        <v>4.2666666666666631E-2</v>
      </c>
      <c r="H49" s="15">
        <f>(1+Returns!H41)*(1+Returns!H42)*(1+Returns!H43)*(1+Returns!H44)*(1+Returns!H45)*(1+Returns!H46)-1</f>
        <v>0.1467275199067779</v>
      </c>
      <c r="I49" s="15">
        <f>(1+Returns!I41)*(1+Returns!I42)*(1+Returns!I43)*(1+Returns!I44)*(1+Returns!I45)*(1+Returns!I46)-1</f>
        <v>4.7685219044832916E-2</v>
      </c>
      <c r="J49" s="15">
        <f>(1+Returns!J41)*(1+Returns!J42)*(1+Returns!J43)*(1+Returns!J44)*(1+Returns!J45)*(1+Returns!J46)-1</f>
        <v>-0.10012466994291103</v>
      </c>
    </row>
    <row r="50" spans="1:10" ht="15" customHeight="1" x14ac:dyDescent="0.25">
      <c r="A50">
        <v>46</v>
      </c>
      <c r="B50" s="12">
        <f>Returns!A47</f>
        <v>43374</v>
      </c>
      <c r="C50" s="15">
        <f>(1+Returns!C42)*(1+Returns!C43)*(1+Returns!C44)*(1+Returns!C45)*(1+Returns!C46)*(1+Returns!C47)-1</f>
        <v>0.39109121909633404</v>
      </c>
      <c r="D50" s="15">
        <f>(1+Returns!D42)*(1+Returns!D43)*(1+Returns!D44)*(1+Returns!D45)*(1+Returns!D46)*(1+Returns!D47)-1</f>
        <v>0.11772853185595555</v>
      </c>
      <c r="E50" s="15">
        <f>(1+Returns!E42)*(1+Returns!E43)*(1+Returns!E44)*(1+Returns!E45)*(1+Returns!E46)*(1+Returns!E47)-1</f>
        <v>-5.6513409961685857E-2</v>
      </c>
      <c r="F50" s="15">
        <f>(1+Returns!F42)*(1+Returns!F43)*(1+Returns!F44)*(1+Returns!F45)*(1+Returns!F46)*(1+Returns!F47)-1</f>
        <v>-0.24542682926829273</v>
      </c>
      <c r="G50" s="15">
        <f>(1+Returns!G42)*(1+Returns!G43)*(1+Returns!G44)*(1+Returns!G45)*(1+Returns!G46)*(1+Returns!G47)-1</f>
        <v>-1.1540391369794234E-2</v>
      </c>
      <c r="H50" s="15">
        <f>(1+Returns!H42)*(1+Returns!H43)*(1+Returns!H44)*(1+Returns!H45)*(1+Returns!H46)*(1+Returns!H47)-1</f>
        <v>0.11566169939800619</v>
      </c>
      <c r="I50" s="15">
        <f>(1+Returns!I42)*(1+Returns!I43)*(1+Returns!I44)*(1+Returns!I45)*(1+Returns!I46)*(1+Returns!I47)-1</f>
        <v>5.7041504079461181E-2</v>
      </c>
      <c r="J50" s="15">
        <f>(1+Returns!J42)*(1+Returns!J43)*(1+Returns!J44)*(1+Returns!J45)*(1+Returns!J46)*(1+Returns!J47)-1</f>
        <v>-8.4405280765444402E-2</v>
      </c>
    </row>
    <row r="51" spans="1:10" ht="15" customHeight="1" x14ac:dyDescent="0.25">
      <c r="A51">
        <v>47</v>
      </c>
      <c r="B51" s="12">
        <f>Returns!A48</f>
        <v>43405</v>
      </c>
      <c r="C51" s="15">
        <f>(1+Returns!C43)*(1+Returns!C44)*(1+Returns!C45)*(1+Returns!C46)*(1+Returns!C47)*(1+Returns!C48)-1</f>
        <v>0.44319712617871554</v>
      </c>
      <c r="D51" s="15">
        <f>(1+Returns!D43)*(1+Returns!D44)*(1+Returns!D45)*(1+Returns!D46)*(1+Returns!D47)*(1+Returns!D48)-1</f>
        <v>2.5513629649523306E-2</v>
      </c>
      <c r="E51" s="15">
        <f>(1+Returns!E43)*(1+Returns!E44)*(1+Returns!E45)*(1+Returns!E46)*(1+Returns!E47)*(1+Returns!E48)-1</f>
        <v>1.0839177988130944E-2</v>
      </c>
      <c r="F51" s="15">
        <f>(1+Returns!F43)*(1+Returns!F44)*(1+Returns!F45)*(1+Returns!F46)*(1+Returns!F47)*(1+Returns!F48)-1</f>
        <v>-9.7038391224863019E-2</v>
      </c>
      <c r="G51" s="15">
        <f>(1+Returns!G43)*(1+Returns!G44)*(1+Returns!G45)*(1+Returns!G46)*(1+Returns!G47)*(1+Returns!G48)-1</f>
        <v>6.6258919469930344E-3</v>
      </c>
      <c r="H51" s="15">
        <f>(1+Returns!H43)*(1+Returns!H44)*(1+Returns!H45)*(1+Returns!H46)*(1+Returns!H47)*(1+Returns!H48)-1</f>
        <v>-6.7340067340067256E-2</v>
      </c>
      <c r="I51" s="15">
        <f>(1+Returns!I43)*(1+Returns!I44)*(1+Returns!I45)*(1+Returns!I46)*(1+Returns!I47)*(1+Returns!I48)-1</f>
        <v>1.3629480060575627E-2</v>
      </c>
      <c r="J51" s="15">
        <f>(1+Returns!J43)*(1+Returns!J44)*(1+Returns!J45)*(1+Returns!J46)*(1+Returns!J47)*(1+Returns!J48)-1</f>
        <v>-5.4861011271828963E-2</v>
      </c>
    </row>
    <row r="52" spans="1:10" ht="15" customHeight="1" x14ac:dyDescent="0.25">
      <c r="A52">
        <v>48</v>
      </c>
      <c r="B52" s="12">
        <f>Returns!A49</f>
        <v>43435</v>
      </c>
      <c r="C52" s="15">
        <f>(1+Returns!C44)*(1+Returns!C45)*(1+Returns!C46)*(1+Returns!C47)*(1+Returns!C48)*(1+Returns!C49)-1</f>
        <v>0.21878862793572273</v>
      </c>
      <c r="D52" s="15">
        <f>(1+Returns!D44)*(1+Returns!D45)*(1+Returns!D46)*(1+Returns!D47)*(1+Returns!D48)*(1+Returns!D49)-1</f>
        <v>-7.035108797223355E-2</v>
      </c>
      <c r="E52" s="15">
        <f>(1+Returns!E44)*(1+Returns!E45)*(1+Returns!E46)*(1+Returns!E47)*(1+Returns!E48)*(1+Returns!E49)-1</f>
        <v>-1.9062547403549512E-2</v>
      </c>
      <c r="F52" s="15">
        <f>(1+Returns!F44)*(1+Returns!F45)*(1+Returns!F46)*(1+Returns!F47)*(1+Returns!F48)*(1+Returns!F49)-1</f>
        <v>-0.14423247297856001</v>
      </c>
      <c r="G52" s="15">
        <f>(1+Returns!G44)*(1+Returns!G45)*(1+Returns!G46)*(1+Returns!G47)*(1+Returns!G48)*(1+Returns!G49)-1</f>
        <v>-5.9561128526645635E-2</v>
      </c>
      <c r="H52" s="15">
        <f>(1+Returns!H44)*(1+Returns!H45)*(1+Returns!H46)*(1+Returns!H47)*(1+Returns!H48)*(1+Returns!H49)-1</f>
        <v>-0.19956540634506714</v>
      </c>
      <c r="I52" s="15">
        <f>(1+Returns!I44)*(1+Returns!I45)*(1+Returns!I46)*(1+Returns!I47)*(1+Returns!I48)*(1+Returns!I49)-1</f>
        <v>-0.12276769575591062</v>
      </c>
      <c r="J52" s="15">
        <f>(1+Returns!J44)*(1+Returns!J45)*(1+Returns!J46)*(1+Returns!J47)*(1+Returns!J48)*(1+Returns!J49)-1</f>
        <v>-0.1155840127508595</v>
      </c>
    </row>
    <row r="53" spans="1:10" ht="15" customHeight="1" x14ac:dyDescent="0.25">
      <c r="A53">
        <v>49</v>
      </c>
      <c r="B53" s="12">
        <f>Returns!A50</f>
        <v>43466</v>
      </c>
      <c r="C53" s="15">
        <f>(1+Returns!C45)*(1+Returns!C46)*(1+Returns!C47)*(1+Returns!C48)*(1+Returns!C49)*(1+Returns!C50)-1</f>
        <v>0.11467717717717729</v>
      </c>
      <c r="D53" s="15">
        <f>(1+Returns!D45)*(1+Returns!D46)*(1+Returns!D47)*(1+Returns!D48)*(1+Returns!D49)*(1+Returns!D50)-1</f>
        <v>-3.9873417721518978E-2</v>
      </c>
      <c r="E53" s="15">
        <f>(1+Returns!E45)*(1+Returns!E46)*(1+Returns!E47)*(1+Returns!E48)*(1+Returns!E49)*(1+Returns!E50)-1</f>
        <v>6.4734299516908678E-3</v>
      </c>
      <c r="F53" s="15">
        <f>(1+Returns!F45)*(1+Returns!F46)*(1+Returns!F47)*(1+Returns!F48)*(1+Returns!F49)*(1+Returns!F50)-1</f>
        <v>-0.14829939380739754</v>
      </c>
      <c r="G53" s="15">
        <f>(1+Returns!G45)*(1+Returns!G46)*(1+Returns!G47)*(1+Returns!G48)*(1+Returns!G49)*(1+Returns!G50)-1</f>
        <v>6.9706709521896615E-2</v>
      </c>
      <c r="H53" s="15">
        <f>(1+Returns!H45)*(1+Returns!H46)*(1+Returns!H47)*(1+Returns!H48)*(1+Returns!H49)*(1+Returns!H50)-1</f>
        <v>-0.28300146075190291</v>
      </c>
      <c r="I53" s="15">
        <f>(1+Returns!I45)*(1+Returns!I46)*(1+Returns!I47)*(1+Returns!I48)*(1+Returns!I49)*(1+Returns!I50)-1</f>
        <v>-2.6085656626055442E-2</v>
      </c>
      <c r="J53" s="15">
        <f>(1+Returns!J45)*(1+Returns!J46)*(1+Returns!J47)*(1+Returns!J48)*(1+Returns!J49)*(1+Returns!J50)-1</f>
        <v>-4.4785791864335511E-2</v>
      </c>
    </row>
    <row r="54" spans="1:10" ht="15" customHeight="1" x14ac:dyDescent="0.25">
      <c r="A54">
        <v>50</v>
      </c>
      <c r="B54" s="12">
        <f>Returns!A51</f>
        <v>43497</v>
      </c>
      <c r="C54" s="15">
        <f>(1+Returns!C46)*(1+Returns!C47)*(1+Returns!C48)*(1+Returns!C49)*(1+Returns!C50)*(1+Returns!C51)-1</f>
        <v>0.13933836749370743</v>
      </c>
      <c r="D54" s="15">
        <f>(1+Returns!D46)*(1+Returns!D47)*(1+Returns!D48)*(1+Returns!D49)*(1+Returns!D50)*(1+Returns!D51)-1</f>
        <v>-6.9629066970502529E-2</v>
      </c>
      <c r="E54" s="15">
        <f>(1+Returns!E46)*(1+Returns!E47)*(1+Returns!E48)*(1+Returns!E49)*(1+Returns!E50)*(1+Returns!E51)-1</f>
        <v>2.5649999999999951E-2</v>
      </c>
      <c r="F54" s="15">
        <f>(1+Returns!F46)*(1+Returns!F47)*(1+Returns!F48)*(1+Returns!F49)*(1+Returns!F50)*(1+Returns!F51)-1</f>
        <v>-0.13691334738710714</v>
      </c>
      <c r="G54" s="15">
        <f>(1+Returns!G46)*(1+Returns!G47)*(1+Returns!G48)*(1+Returns!G49)*(1+Returns!G50)*(1+Returns!G51)-1</f>
        <v>9.5053147996729592E-2</v>
      </c>
      <c r="H54" s="15">
        <f>(1+Returns!H46)*(1+Returns!H47)*(1+Returns!H48)*(1+Returns!H49)*(1+Returns!H50)*(1+Returns!H51)-1</f>
        <v>-0.16850142045454553</v>
      </c>
      <c r="I54" s="15">
        <f>(1+Returns!I46)*(1+Returns!I47)*(1+Returns!I48)*(1+Returns!I49)*(1+Returns!I50)*(1+Returns!I51)-1</f>
        <v>-6.683221000354711E-2</v>
      </c>
      <c r="J54" s="15">
        <f>(1+Returns!J46)*(1+Returns!J47)*(1+Returns!J48)*(1+Returns!J49)*(1+Returns!J50)*(1+Returns!J51)-1</f>
        <v>-6.4386578199923994E-2</v>
      </c>
    </row>
    <row r="55" spans="1:10" ht="15" customHeight="1" x14ac:dyDescent="0.25">
      <c r="A55">
        <v>51</v>
      </c>
      <c r="B55" s="12">
        <f>Returns!A52</f>
        <v>43525</v>
      </c>
      <c r="C55" s="15">
        <f>(1+Returns!C47)*(1+Returns!C48)*(1+Returns!C49)*(1+Returns!C50)*(1+Returns!C51)*(1+Returns!C52)-1</f>
        <v>0.10111779879621663</v>
      </c>
      <c r="D55" s="15">
        <f>(1+Returns!D47)*(1+Returns!D48)*(1+Returns!D49)*(1+Returns!D50)*(1+Returns!D51)*(1+Returns!D52)-1</f>
        <v>-5.396825396825411E-2</v>
      </c>
      <c r="E55" s="15">
        <f>(1+Returns!E47)*(1+Returns!E48)*(1+Returns!E49)*(1+Returns!E50)*(1+Returns!E51)*(1+Returns!E52)-1</f>
        <v>-1.2662044015676832E-2</v>
      </c>
      <c r="F55" s="15">
        <f>(1+Returns!F47)*(1+Returns!F48)*(1+Returns!F49)*(1+Returns!F50)*(1+Returns!F51)*(1+Returns!F52)-1</f>
        <v>-0.16684824902723716</v>
      </c>
      <c r="G55" s="15">
        <f>(1+Returns!G47)*(1+Returns!G48)*(1+Returns!G49)*(1+Returns!G50)*(1+Returns!G51)*(1+Returns!G52)-1</f>
        <v>6.9053708439898109E-2</v>
      </c>
      <c r="H55" s="15">
        <f>(1+Returns!H47)*(1+Returns!H48)*(1+Returns!H49)*(1+Returns!H50)*(1+Returns!H51)*(1+Returns!H52)-1</f>
        <v>-0.18011686002201699</v>
      </c>
      <c r="I55" s="15">
        <f>(1+Returns!I47)*(1+Returns!I48)*(1+Returns!I49)*(1+Returns!I50)*(1+Returns!I51)*(1+Returns!I52)-1</f>
        <v>-0.12565445026178002</v>
      </c>
      <c r="J55" s="15">
        <f>(1+Returns!J47)*(1+Returns!J48)*(1+Returns!J49)*(1+Returns!J50)*(1+Returns!J51)*(1+Returns!J52)-1</f>
        <v>-5.7300751074609968E-2</v>
      </c>
    </row>
    <row r="56" spans="1:10" ht="15" customHeight="1" x14ac:dyDescent="0.25">
      <c r="A56">
        <v>52</v>
      </c>
      <c r="B56" s="12">
        <f>Returns!A53</f>
        <v>43556</v>
      </c>
      <c r="C56" s="15">
        <f>(1+Returns!C48)*(1+Returns!C49)*(1+Returns!C50)*(1+Returns!C51)*(1+Returns!C52)*(1+Returns!C53)-1</f>
        <v>-4.902711812471261E-2</v>
      </c>
      <c r="D56" s="15">
        <f>(1+Returns!D48)*(1+Returns!D49)*(1+Returns!D50)*(1+Returns!D51)*(1+Returns!D52)*(1+Returns!D53)-1</f>
        <v>-0.13878562577447351</v>
      </c>
      <c r="E56" s="15">
        <f>(1+Returns!E48)*(1+Returns!E49)*(1+Returns!E50)*(1+Returns!E51)*(1+Returns!E52)*(1+Returns!E53)-1</f>
        <v>-3.5532994923857864E-2</v>
      </c>
      <c r="F56" s="15">
        <f>(1+Returns!F48)*(1+Returns!F49)*(1+Returns!F50)*(1+Returns!F51)*(1+Returns!F52)*(1+Returns!F53)-1</f>
        <v>-0.22151515151515133</v>
      </c>
      <c r="G56" s="15">
        <f>(1+Returns!G48)*(1+Returns!G49)*(1+Returns!G50)*(1+Returns!G51)*(1+Returns!G52)*(1+Returns!G53)-1</f>
        <v>5.5837563451776706E-2</v>
      </c>
      <c r="H56" s="15">
        <f>(1+Returns!H48)*(1+Returns!H49)*(1+Returns!H50)*(1+Returns!H51)*(1+Returns!H52)*(1+Returns!H53)-1</f>
        <v>-0.14294559929234851</v>
      </c>
      <c r="I56" s="15">
        <f>(1+Returns!I48)*(1+Returns!I49)*(1+Returns!I50)*(1+Returns!I51)*(1+Returns!I52)*(1+Returns!I53)-1</f>
        <v>-0.20947714611718904</v>
      </c>
      <c r="J56" s="15">
        <f>(1+Returns!J48)*(1+Returns!J49)*(1+Returns!J50)*(1+Returns!J51)*(1+Returns!J52)*(1+Returns!J53)-1</f>
        <v>-0.11680659678804184</v>
      </c>
    </row>
    <row r="57" spans="1:10" ht="15" customHeight="1" x14ac:dyDescent="0.25">
      <c r="A57">
        <v>53</v>
      </c>
      <c r="B57" s="12">
        <f>Returns!A54</f>
        <v>43586</v>
      </c>
      <c r="C57" s="15">
        <f>(1+Returns!C49)*(1+Returns!C50)*(1+Returns!C51)*(1+Returns!C52)*(1+Returns!C53)*(1+Returns!C54)-1</f>
        <v>4.8070939639079047E-2</v>
      </c>
      <c r="D57" s="15">
        <f>(1+Returns!D49)*(1+Returns!D50)*(1+Returns!D51)*(1+Returns!D52)*(1+Returns!D53)*(1+Returns!D54)-1</f>
        <v>-9.6503862773340554E-2</v>
      </c>
      <c r="E57" s="15">
        <f>(1+Returns!E49)*(1+Returns!E50)*(1+Returns!E51)*(1+Returns!E52)*(1+Returns!E53)*(1+Returns!E54)-1</f>
        <v>-0.14556040756914113</v>
      </c>
      <c r="F57" s="15">
        <f>(1+Returns!F49)*(1+Returns!F50)*(1+Returns!F51)*(1+Returns!F52)*(1+Returns!F53)*(1+Returns!F54)-1</f>
        <v>-0.14194606413994149</v>
      </c>
      <c r="G57" s="15">
        <f>(1+Returns!G49)*(1+Returns!G50)*(1+Returns!G51)*(1+Returns!G52)*(1+Returns!G53)*(1+Returns!G54)-1</f>
        <v>-5.8227848101265578E-2</v>
      </c>
      <c r="H57" s="15">
        <f>(1+Returns!H49)*(1+Returns!H50)*(1+Returns!H51)*(1+Returns!H52)*(1+Returns!H53)*(1+Returns!H54)-1</f>
        <v>-3.6502206177296381E-2</v>
      </c>
      <c r="I57" s="15">
        <f>(1+Returns!I49)*(1+Returns!I50)*(1+Returns!I51)*(1+Returns!I52)*(1+Returns!I53)*(1+Returns!I54)-1</f>
        <v>-0.1735913488901536</v>
      </c>
      <c r="J57" s="15">
        <f>(1+Returns!J49)*(1+Returns!J50)*(1+Returns!J51)*(1+Returns!J52)*(1+Returns!J53)*(1+Returns!J54)-1</f>
        <v>-0.11164649966922668</v>
      </c>
    </row>
    <row r="58" spans="1:10" ht="15" customHeight="1" x14ac:dyDescent="0.25">
      <c r="A58">
        <v>54</v>
      </c>
      <c r="B58" s="12">
        <f>Returns!A55</f>
        <v>43617</v>
      </c>
      <c r="C58" s="15">
        <f>(1+Returns!C50)*(1+Returns!C51)*(1+Returns!C52)*(1+Returns!C53)*(1+Returns!C54)*(1+Returns!C55)-1</f>
        <v>5.8823529411764719E-2</v>
      </c>
      <c r="D58" s="15">
        <f>(1+Returns!D50)*(1+Returns!D51)*(1+Returns!D52)*(1+Returns!D53)*(1+Returns!D54)*(1+Returns!D55)-1</f>
        <v>-8.5726593911545024E-2</v>
      </c>
      <c r="E58" s="15">
        <f>(1+Returns!E50)*(1+Returns!E51)*(1+Returns!E52)*(1+Returns!E53)*(1+Returns!E54)*(1+Returns!E55)-1</f>
        <v>-0.10077319587628875</v>
      </c>
      <c r="F58" s="15">
        <f>(1+Returns!F50)*(1+Returns!F51)*(1+Returns!F52)*(1+Returns!F53)*(1+Returns!F54)*(1+Returns!F55)-1</f>
        <v>-0.13152506499183303</v>
      </c>
      <c r="G58" s="15">
        <f>(1+Returns!G50)*(1+Returns!G51)*(1+Returns!G52)*(1+Returns!G53)*(1+Returns!G54)*(1+Returns!G55)-1</f>
        <v>-6.967741935483851E-2</v>
      </c>
      <c r="H58" s="15">
        <f>(1+Returns!H50)*(1+Returns!H51)*(1+Returns!H52)*(1+Returns!H53)*(1+Returns!H54)*(1+Returns!H55)-1</f>
        <v>-3.8983602997068156E-2</v>
      </c>
      <c r="I58" s="15">
        <f>(1+Returns!I50)*(1+Returns!I51)*(1+Returns!I52)*(1+Returns!I53)*(1+Returns!I54)*(1+Returns!I55)-1</f>
        <v>-0.14662490727767241</v>
      </c>
      <c r="J58" s="15">
        <f>(1+Returns!J50)*(1+Returns!J51)*(1+Returns!J52)*(1+Returns!J53)*(1+Returns!J54)*(1+Returns!J55)-1</f>
        <v>-8.5389111026158759E-2</v>
      </c>
    </row>
    <row r="59" spans="1:10" ht="15" customHeight="1" x14ac:dyDescent="0.25">
      <c r="A59">
        <v>55</v>
      </c>
      <c r="B59" s="12">
        <f>Returns!A56</f>
        <v>43647</v>
      </c>
      <c r="C59" s="15">
        <f>(1+Returns!C51)*(1+Returns!C52)*(1+Returns!C53)*(1+Returns!C54)*(1+Returns!C55)*(1+Returns!C56)-1</f>
        <v>-7.9137902003703076E-3</v>
      </c>
      <c r="D59" s="15">
        <f>(1+Returns!D51)*(1+Returns!D52)*(1+Returns!D53)*(1+Returns!D54)*(1+Returns!D55)*(1+Returns!D56)-1</f>
        <v>-0.15491100856954509</v>
      </c>
      <c r="E59" s="15">
        <f>(1+Returns!E51)*(1+Returns!E52)*(1+Returns!E53)*(1+Returns!E54)*(1+Returns!E55)*(1+Returns!E56)-1</f>
        <v>-0.16213881155803023</v>
      </c>
      <c r="F59" s="15">
        <f>(1+Returns!F51)*(1+Returns!F52)*(1+Returns!F53)*(1+Returns!F54)*(1+Returns!F55)*(1+Returns!F56)-1</f>
        <v>-0.19236260574935538</v>
      </c>
      <c r="G59" s="15">
        <f>(1+Returns!G51)*(1+Returns!G52)*(1+Returns!G53)*(1+Returns!G54)*(1+Returns!G55)*(1+Returns!G56)-1</f>
        <v>-0.10751173708920192</v>
      </c>
      <c r="H59" s="15">
        <f>(1+Returns!H51)*(1+Returns!H52)*(1+Returns!H53)*(1+Returns!H54)*(1+Returns!H55)*(1+Returns!H56)-1</f>
        <v>-0.15805275573665023</v>
      </c>
      <c r="I59" s="15">
        <f>(1+Returns!I51)*(1+Returns!I52)*(1+Returns!I53)*(1+Returns!I54)*(1+Returns!I55)*(1+Returns!I56)-1</f>
        <v>-0.27129700690713743</v>
      </c>
      <c r="J59" s="15">
        <f>(1+Returns!J51)*(1+Returns!J52)*(1+Returns!J53)*(1+Returns!J54)*(1+Returns!J55)*(1+Returns!J56)-1</f>
        <v>-0.21718490805774171</v>
      </c>
    </row>
    <row r="60" spans="1:10" ht="15" customHeight="1" x14ac:dyDescent="0.25">
      <c r="A60">
        <v>56</v>
      </c>
      <c r="B60" s="12">
        <f>Returns!A57</f>
        <v>43678</v>
      </c>
      <c r="C60" s="15">
        <f>(1+Returns!C52)*(1+Returns!C53)*(1+Returns!C54)*(1+Returns!C55)*(1+Returns!C56)*(1+Returns!C57)-1</f>
        <v>-0.14502130345589392</v>
      </c>
      <c r="D60" s="15">
        <f>(1+Returns!D52)*(1+Returns!D53)*(1+Returns!D54)*(1+Returns!D55)*(1+Returns!D56)*(1+Returns!D57)-1</f>
        <v>-0.10464008708667849</v>
      </c>
      <c r="E60" s="15">
        <f>(1+Returns!E52)*(1+Returns!E53)*(1+Returns!E54)*(1+Returns!E55)*(1+Returns!E56)*(1+Returns!E57)-1</f>
        <v>-0.17852093794179302</v>
      </c>
      <c r="F60" s="15">
        <f>(1+Returns!F52)*(1+Returns!F53)*(1+Returns!F54)*(1+Returns!F55)*(1+Returns!F56)*(1+Returns!F57)-1</f>
        <v>-0.25005356301152692</v>
      </c>
      <c r="G60" s="15">
        <f>(1+Returns!G52)*(1+Returns!G53)*(1+Returns!G54)*(1+Returns!G55)*(1+Returns!G56)*(1+Returns!G57)-1</f>
        <v>-0.14775060668284479</v>
      </c>
      <c r="H60" s="15">
        <f>(1+Returns!H52)*(1+Returns!H53)*(1+Returns!H54)*(1+Returns!H55)*(1+Returns!H56)*(1+Returns!H57)-1</f>
        <v>-8.5628870382233546E-2</v>
      </c>
      <c r="I60" s="15">
        <f>(1+Returns!I52)*(1+Returns!I53)*(1+Returns!I54)*(1+Returns!I55)*(1+Returns!I56)*(1+Returns!I57)-1</f>
        <v>-0.35680072987151223</v>
      </c>
      <c r="J60" s="15">
        <f>(1+Returns!J52)*(1+Returns!J53)*(1+Returns!J54)*(1+Returns!J55)*(1+Returns!J56)*(1+Returns!J57)-1</f>
        <v>-0.24024007415259663</v>
      </c>
    </row>
    <row r="61" spans="1:10" ht="15" customHeight="1" x14ac:dyDescent="0.25">
      <c r="A61">
        <v>57</v>
      </c>
      <c r="B61" s="12">
        <f>Returns!A58</f>
        <v>43709</v>
      </c>
      <c r="C61" s="15">
        <f>(1+Returns!C53)*(1+Returns!C54)*(1+Returns!C55)*(1+Returns!C56)*(1+Returns!C57)*(1+Returns!C58)-1</f>
        <v>-0.18850538809932849</v>
      </c>
      <c r="D61" s="15">
        <f>(1+Returns!D53)*(1+Returns!D54)*(1+Returns!D55)*(1+Returns!D56)*(1+Returns!D57)*(1+Returns!D58)-1</f>
        <v>-4.9217002237136542E-2</v>
      </c>
      <c r="E61" s="15">
        <f>(1+Returns!E53)*(1+Returns!E54)*(1+Returns!E55)*(1+Returns!E56)*(1+Returns!E57)*(1+Returns!E58)-1</f>
        <v>-0.12977099236641221</v>
      </c>
      <c r="F61" s="15">
        <f>(1+Returns!F53)*(1+Returns!F54)*(1+Returns!F55)*(1+Returns!F56)*(1+Returns!F57)*(1+Returns!F58)-1</f>
        <v>-0.20163926770035512</v>
      </c>
      <c r="G61" s="15">
        <f>(1+Returns!G53)*(1+Returns!G54)*(1+Returns!G55)*(1+Returns!G56)*(1+Returns!G57)*(1+Returns!G58)-1</f>
        <v>-0.10574162679425836</v>
      </c>
      <c r="H61" s="15">
        <f>(1+Returns!H53)*(1+Returns!H54)*(1+Returns!H55)*(1+Returns!H56)*(1+Returns!H57)*(1+Returns!H58)-1</f>
        <v>-0.18271018384631266</v>
      </c>
      <c r="I61" s="15">
        <f>(1+Returns!I53)*(1+Returns!I54)*(1+Returns!I55)*(1+Returns!I56)*(1+Returns!I57)*(1+Returns!I58)-1</f>
        <v>-0.27417165668662669</v>
      </c>
      <c r="J61" s="15">
        <f>(1+Returns!J53)*(1+Returns!J54)*(1+Returns!J55)*(1+Returns!J56)*(1+Returns!J57)*(1+Returns!J58)-1</f>
        <v>-0.17000264428836298</v>
      </c>
    </row>
    <row r="62" spans="1:10" ht="15" customHeight="1" x14ac:dyDescent="0.25">
      <c r="A62">
        <v>58</v>
      </c>
      <c r="B62" s="12">
        <f>Returns!A59</f>
        <v>43739</v>
      </c>
      <c r="C62" s="15">
        <f>(1+Returns!C54)*(1+Returns!C55)*(1+Returns!C56)*(1+Returns!C57)*(1+Returns!C58)*(1+Returns!C59)-1</f>
        <v>-9.6826164008377624E-2</v>
      </c>
      <c r="D62" s="15">
        <f>(1+Returns!D54)*(1+Returns!D55)*(1+Returns!D56)*(1+Returns!D57)*(1+Returns!D58)*(1+Returns!D59)-1</f>
        <v>2.6474820143884914E-2</v>
      </c>
      <c r="E62" s="15">
        <f>(1+Returns!E54)*(1+Returns!E55)*(1+Returns!E56)*(1+Returns!E57)*(1+Returns!E58)*(1+Returns!E59)-1</f>
        <v>-7.9473684210526252E-2</v>
      </c>
      <c r="F62" s="15">
        <f>(1+Returns!F54)*(1+Returns!F55)*(1+Returns!F56)*(1+Returns!F57)*(1+Returns!F58)*(1+Returns!F59)-1</f>
        <v>-9.1734786557675085E-2</v>
      </c>
      <c r="G62" s="15">
        <f>(1+Returns!G54)*(1+Returns!G55)*(1+Returns!G56)*(1+Returns!G57)*(1+Returns!G58)*(1+Returns!G59)-1</f>
        <v>-9.6153846153846145E-2</v>
      </c>
      <c r="H62" s="15">
        <f>(1+Returns!H54)*(1+Returns!H55)*(1+Returns!H56)*(1+Returns!H57)*(1+Returns!H58)*(1+Returns!H59)-1</f>
        <v>-0.16668386830426252</v>
      </c>
      <c r="I62" s="15">
        <f>(1+Returns!I54)*(1+Returns!I55)*(1+Returns!I56)*(1+Returns!I57)*(1+Returns!I58)*(1+Returns!I59)-1</f>
        <v>3.4640855832908768E-2</v>
      </c>
      <c r="J62" s="15">
        <f>(1+Returns!J54)*(1+Returns!J55)*(1+Returns!J56)*(1+Returns!J57)*(1+Returns!J58)*(1+Returns!J59)-1</f>
        <v>-7.0159012886970684E-2</v>
      </c>
    </row>
    <row r="63" spans="1:10" ht="15" customHeight="1" x14ac:dyDescent="0.25">
      <c r="A63">
        <v>59</v>
      </c>
      <c r="B63" s="12">
        <f>Returns!A60</f>
        <v>43770</v>
      </c>
      <c r="C63" s="15">
        <f>(1+Returns!C55)*(1+Returns!C56)*(1+Returns!C57)*(1+Returns!C58)*(1+Returns!C59)*(1+Returns!C60)-1</f>
        <v>-7.1693632180495959E-2</v>
      </c>
      <c r="D63" s="15">
        <f>(1+Returns!D55)*(1+Returns!D56)*(1+Returns!D57)*(1+Returns!D58)*(1+Returns!D59)*(1+Returns!D60)-1</f>
        <v>-2.8985507246381825E-4</v>
      </c>
      <c r="E63" s="15">
        <f>(1+Returns!E55)*(1+Returns!E56)*(1+Returns!E57)*(1+Returns!E58)*(1+Returns!E59)*(1+Returns!E60)-1</f>
        <v>0.130039750141965</v>
      </c>
      <c r="F63" s="15">
        <f>(1+Returns!F55)*(1+Returns!F56)*(1+Returns!F57)*(1+Returns!F58)*(1+Returns!F59)*(1+Returns!F60)-1</f>
        <v>-8.3056086453835443E-3</v>
      </c>
      <c r="G63" s="15">
        <f>(1+Returns!G55)*(1+Returns!G56)*(1+Returns!G57)*(1+Returns!G58)*(1+Returns!G59)*(1+Returns!G60)-1</f>
        <v>0.13989247311827979</v>
      </c>
      <c r="H63" s="15">
        <f>(1+Returns!H55)*(1+Returns!H56)*(1+Returns!H57)*(1+Returns!H58)*(1+Returns!H59)*(1+Returns!H60)-1</f>
        <v>-0.15965861781848456</v>
      </c>
      <c r="I63" s="15">
        <f>(1+Returns!I55)*(1+Returns!I56)*(1+Returns!I57)*(1+Returns!I58)*(1+Returns!I59)*(1+Returns!I60)-1</f>
        <v>0.16795798898071612</v>
      </c>
      <c r="J63" s="15">
        <f>(1+Returns!J55)*(1+Returns!J56)*(1+Returns!J57)*(1+Returns!J58)*(1+Returns!J59)*(1+Returns!J60)-1</f>
        <v>9.2088376332426058E-2</v>
      </c>
    </row>
    <row r="64" spans="1:10" ht="15" customHeight="1" x14ac:dyDescent="0.25">
      <c r="A64">
        <v>60</v>
      </c>
      <c r="B64" s="12">
        <f>Returns!A61</f>
        <v>43800</v>
      </c>
      <c r="C64" s="15">
        <f>(1+Returns!C56)*(1+Returns!C57)*(1+Returns!C58)*(1+Returns!C59)*(1+Returns!C60)*(1+Returns!C61)-1</f>
        <v>9.0038314176245304E-2</v>
      </c>
      <c r="D64" s="15">
        <f>(1+Returns!D56)*(1+Returns!D57)*(1+Returns!D58)*(1+Returns!D59)*(1+Returns!D60)*(1+Returns!D61)-1</f>
        <v>0.1465368305324326</v>
      </c>
      <c r="E64" s="15">
        <f>(1+Returns!E56)*(1+Returns!E57)*(1+Returns!E58)*(1+Returns!E59)*(1+Returns!E60)*(1+Returns!E61)-1</f>
        <v>0.20951562052163974</v>
      </c>
      <c r="F64" s="15">
        <f>(1+Returns!F56)*(1+Returns!F57)*(1+Returns!F58)*(1+Returns!F59)*(1+Returns!F60)*(1+Returns!F61)-1</f>
        <v>0.12916556291390724</v>
      </c>
      <c r="G64" s="15">
        <f>(1+Returns!G56)*(1+Returns!G57)*(1+Returns!G58)*(1+Returns!G59)*(1+Returns!G60)*(1+Returns!G61)-1</f>
        <v>0.17360147942672244</v>
      </c>
      <c r="H64" s="15">
        <f>(1+Returns!H56)*(1+Returns!H57)*(1+Returns!H58)*(1+Returns!H59)*(1+Returns!H60)*(1+Returns!H61)-1</f>
        <v>9.0282485875706531E-2</v>
      </c>
      <c r="I64" s="15">
        <f>(1+Returns!I56)*(1+Returns!I57)*(1+Returns!I58)*(1+Returns!I59)*(1+Returns!I60)*(1+Returns!I61)-1</f>
        <v>0.42186594552829826</v>
      </c>
      <c r="J64" s="15">
        <f>(1+Returns!J56)*(1+Returns!J57)*(1+Returns!J58)*(1+Returns!J59)*(1+Returns!J60)*(1+Returns!J61)-1</f>
        <v>0.2015687764405083</v>
      </c>
    </row>
    <row r="65" spans="1:10" ht="15" customHeight="1" x14ac:dyDescent="0.25">
      <c r="A65">
        <v>61</v>
      </c>
      <c r="B65" s="12">
        <f>Returns!A62</f>
        <v>43831</v>
      </c>
      <c r="C65" s="15">
        <f>(1+Returns!C57)*(1+Returns!C58)*(1+Returns!C59)*(1+Returns!C60)*(1+Returns!C61)*(1+Returns!C62)-1</f>
        <v>0.25627970128988453</v>
      </c>
      <c r="D65" s="15">
        <f>(1+Returns!D57)*(1+Returns!D58)*(1+Returns!D59)*(1+Returns!D60)*(1+Returns!D61)*(1+Returns!D62)-1</f>
        <v>5.5694227769110816E-2</v>
      </c>
      <c r="E65" s="15">
        <f>(1+Returns!E57)*(1+Returns!E58)*(1+Returns!E59)*(1+Returns!E60)*(1+Returns!E61)*(1+Returns!E62)-1</f>
        <v>0.20875343721356598</v>
      </c>
      <c r="F65" s="15">
        <f>(1+Returns!F57)*(1+Returns!F58)*(1+Returns!F59)*(1+Returns!F60)*(1+Returns!F61)*(1+Returns!F62)-1</f>
        <v>0.25593667546174159</v>
      </c>
      <c r="G65" s="15">
        <f>(1+Returns!G57)*(1+Returns!G58)*(1+Returns!G59)*(1+Returns!G60)*(1+Returns!G61)*(1+Returns!G62)-1</f>
        <v>0.10615465544450298</v>
      </c>
      <c r="H65" s="15">
        <f>(1+Returns!H57)*(1+Returns!H58)*(1+Returns!H59)*(1+Returns!H60)*(1+Returns!H61)*(1+Returns!H62)-1</f>
        <v>0.21332144676515563</v>
      </c>
      <c r="I65" s="15">
        <f>(1+Returns!I57)*(1+Returns!I58)*(1+Returns!I59)*(1+Returns!I60)*(1+Returns!I61)*(1+Returns!I62)-1</f>
        <v>0.59031068983675627</v>
      </c>
      <c r="J65" s="15">
        <f>(1+Returns!J57)*(1+Returns!J58)*(1+Returns!J59)*(1+Returns!J60)*(1+Returns!J61)*(1+Returns!J62)-1</f>
        <v>0.30347280146080835</v>
      </c>
    </row>
    <row r="66" spans="1:10" ht="15" customHeight="1" x14ac:dyDescent="0.25">
      <c r="A66">
        <v>62</v>
      </c>
      <c r="B66" s="12">
        <f>Returns!A63</f>
        <v>43862</v>
      </c>
      <c r="C66" s="15">
        <f>(1+Returns!C58)*(1+Returns!C59)*(1+Returns!C60)*(1+Returns!C61)*(1+Returns!C62)*(1+Returns!C63)-1</f>
        <v>0.32502768549280159</v>
      </c>
      <c r="D66" s="15">
        <f>(1+Returns!D58)*(1+Returns!D59)*(1+Returns!D60)*(1+Returns!D61)*(1+Returns!D62)*(1+Returns!D63)-1</f>
        <v>-4.0273556231003149E-2</v>
      </c>
      <c r="E66" s="15">
        <f>(1+Returns!E58)*(1+Returns!E59)*(1+Returns!E60)*(1+Returns!E61)*(1+Returns!E62)*(1+Returns!E63)-1</f>
        <v>0.18034538009613721</v>
      </c>
      <c r="F66" s="15">
        <f>(1+Returns!F58)*(1+Returns!F59)*(1+Returns!F60)*(1+Returns!F61)*(1+Returns!F62)*(1+Returns!F63)-1</f>
        <v>0.39728023312287553</v>
      </c>
      <c r="G66" s="15">
        <f>(1+Returns!G58)*(1+Returns!G59)*(1+Returns!G60)*(1+Returns!G61)*(1+Returns!G62)*(1+Returns!G63)-1</f>
        <v>0.13240608914686236</v>
      </c>
      <c r="H66" s="15">
        <f>(1+Returns!H58)*(1+Returns!H59)*(1+Returns!H60)*(1+Returns!H61)*(1+Returns!H62)*(1+Returns!H63)-1</f>
        <v>0.2113498365249884</v>
      </c>
      <c r="I66" s="15">
        <f>(1+Returns!I58)*(1+Returns!I59)*(1+Returns!I60)*(1+Returns!I61)*(1+Returns!I62)*(1+Returns!I63)-1</f>
        <v>0.58912529550827442</v>
      </c>
      <c r="J66" s="15">
        <f>(1+Returns!J58)*(1+Returns!J59)*(1+Returns!J60)*(1+Returns!J61)*(1+Returns!J62)*(1+Returns!J63)-1</f>
        <v>0.28011143120208493</v>
      </c>
    </row>
    <row r="67" spans="1:10" ht="15" customHeight="1" x14ac:dyDescent="0.25">
      <c r="A67">
        <v>63</v>
      </c>
      <c r="B67" s="12">
        <f>Returns!A64</f>
        <v>43891</v>
      </c>
      <c r="C67" s="15">
        <f>(1+Returns!C59)*(1+Returns!C60)*(1+Returns!C61)*(1+Returns!C62)*(1+Returns!C63)*(1+Returns!C64)-1</f>
        <v>-0.10103926096997706</v>
      </c>
      <c r="D67" s="15">
        <f>(1+Returns!D59)*(1+Returns!D60)*(1+Returns!D61)*(1+Returns!D62)*(1+Returns!D63)*(1+Returns!D64)-1</f>
        <v>-0.15426470588235308</v>
      </c>
      <c r="E67" s="15">
        <f>(1+Returns!E59)*(1+Returns!E60)*(1+Returns!E61)*(1+Returns!E62)*(1+Returns!E63)*(1+Returns!E64)-1</f>
        <v>-0.12573099415204658</v>
      </c>
      <c r="F67" s="15">
        <f>(1+Returns!F59)*(1+Returns!F60)*(1+Returns!F61)*(1+Returns!F62)*(1+Returns!F63)*(1+Returns!F64)-1</f>
        <v>7.9294509930094348E-2</v>
      </c>
      <c r="G67" s="15">
        <f>(1+Returns!G59)*(1+Returns!G60)*(1+Returns!G61)*(1+Returns!G62)*(1+Returns!G63)*(1+Returns!G64)-1</f>
        <v>-4.2803638309255598E-3</v>
      </c>
      <c r="H67" s="15">
        <f>(1+Returns!H59)*(1+Returns!H60)*(1+Returns!H61)*(1+Returns!H62)*(1+Returns!H63)*(1+Returns!H64)-1</f>
        <v>-0.25969922911664334</v>
      </c>
      <c r="I67" s="15">
        <f>(1+Returns!I59)*(1+Returns!I60)*(1+Returns!I61)*(1+Returns!I62)*(1+Returns!I63)*(1+Returns!I64)-1</f>
        <v>9.1079089209107789E-2</v>
      </c>
      <c r="J67" s="15">
        <f>(1+Returns!J59)*(1+Returns!J60)*(1+Returns!J61)*(1+Returns!J62)*(1+Returns!J63)*(1+Returns!J64)-1</f>
        <v>-8.8756922395908711E-2</v>
      </c>
    </row>
    <row r="68" spans="1:10" ht="15" customHeight="1" x14ac:dyDescent="0.25">
      <c r="A68">
        <v>64</v>
      </c>
      <c r="B68" s="12">
        <f>Returns!A65</f>
        <v>43922</v>
      </c>
      <c r="C68" s="15">
        <f>(1+Returns!C60)*(1+Returns!C61)*(1+Returns!C62)*(1+Returns!C63)*(1+Returns!C64)*(1+Returns!C65)-1</f>
        <v>-0.160185515519087</v>
      </c>
      <c r="D68" s="15">
        <f>(1+Returns!D60)*(1+Returns!D61)*(1+Returns!D62)*(1+Returns!D63)*(1+Returns!D64)*(1+Returns!D65)-1</f>
        <v>-0.13232408186150846</v>
      </c>
      <c r="E68" s="15">
        <f>(1+Returns!E60)*(1+Returns!E61)*(1+Returns!E62)*(1+Returns!E63)*(1+Returns!E64)*(1+Returns!E65)-1</f>
        <v>-6.803887935963393E-2</v>
      </c>
      <c r="F68" s="15">
        <f>(1+Returns!F60)*(1+Returns!F61)*(1+Returns!F62)*(1+Returns!F63)*(1+Returns!F64)*(1+Returns!F65)-1</f>
        <v>0.34002857142857179</v>
      </c>
      <c r="G68" s="15">
        <f>(1+Returns!G60)*(1+Returns!G61)*(1+Returns!G62)*(1+Returns!G63)*(1+Returns!G64)*(1+Returns!G65)-1</f>
        <v>0.18936170212765968</v>
      </c>
      <c r="H68" s="15">
        <f>(1+Returns!H60)*(1+Returns!H61)*(1+Returns!H62)*(1+Returns!H63)*(1+Returns!H64)*(1+Returns!H65)-1</f>
        <v>-0.3938568243745354</v>
      </c>
      <c r="I68" s="15">
        <f>(1+Returns!I60)*(1+Returns!I61)*(1+Returns!I62)*(1+Returns!I63)*(1+Returns!I64)*(1+Returns!I65)-1</f>
        <v>6.9095683571311461E-2</v>
      </c>
      <c r="J68" s="15">
        <f>(1+Returns!J60)*(1+Returns!J61)*(1+Returns!J62)*(1+Returns!J63)*(1+Returns!J64)*(1+Returns!J65)-1</f>
        <v>-2.6909385188963464E-3</v>
      </c>
    </row>
    <row r="69" spans="1:10" ht="15" customHeight="1" x14ac:dyDescent="0.25">
      <c r="A69">
        <v>65</v>
      </c>
      <c r="B69" s="12">
        <f>Returns!A66</f>
        <v>43952</v>
      </c>
      <c r="C69" s="15">
        <f>(1+Returns!C61)*(1+Returns!C62)*(1+Returns!C63)*(1+Returns!C64)*(1+Returns!C65)*(1+Returns!C66)-1</f>
        <v>-0.28749600255836283</v>
      </c>
      <c r="D69" s="15">
        <f>(1+Returns!D61)*(1+Returns!D62)*(1+Returns!D63)*(1+Returns!D64)*(1+Returns!D65)*(1+Returns!D66)-1</f>
        <v>-0.12728327051319233</v>
      </c>
      <c r="E69" s="15">
        <f>(1+Returns!E61)*(1+Returns!E62)*(1+Returns!E63)*(1+Returns!E64)*(1+Returns!E65)*(1+Returns!E66)-1</f>
        <v>-0.2412060301507537</v>
      </c>
      <c r="F69" s="15">
        <f>(1+Returns!F61)*(1+Returns!F62)*(1+Returns!F63)*(1+Returns!F64)*(1+Returns!F65)*(1+Returns!F66)-1</f>
        <v>8.7582383592281543E-2</v>
      </c>
      <c r="G69" s="15">
        <f>(1+Returns!G61)*(1+Returns!G62)*(1+Returns!G63)*(1+Returns!G64)*(1+Returns!G65)*(1+Returns!G66)-1</f>
        <v>2.7261579096311772E-2</v>
      </c>
      <c r="H69" s="15">
        <f>(1+Returns!H61)*(1+Returns!H62)*(1+Returns!H63)*(1+Returns!H64)*(1+Returns!H65)*(1+Returns!H66)-1</f>
        <v>-0.17921724052514232</v>
      </c>
      <c r="I69" s="15">
        <f>(1+Returns!I61)*(1+Returns!I62)*(1+Returns!I63)*(1+Returns!I64)*(1+Returns!I65)*(1+Returns!I66)-1</f>
        <v>1.5552443428908491E-2</v>
      </c>
      <c r="J69" s="15">
        <f>(1+Returns!J61)*(1+Returns!J62)*(1+Returns!J63)*(1+Returns!J64)*(1+Returns!J65)*(1+Returns!J66)-1</f>
        <v>-0.13633851859299306</v>
      </c>
    </row>
    <row r="70" spans="1:10" ht="15" customHeight="1" x14ac:dyDescent="0.25">
      <c r="A70">
        <v>66</v>
      </c>
      <c r="B70" s="12">
        <f>Returns!A67</f>
        <v>43983</v>
      </c>
      <c r="C70" s="15">
        <f>(1+Returns!C62)*(1+Returns!C63)*(1+Returns!C64)*(1+Returns!C65)*(1+Returns!C66)*(1+Returns!C67)-1</f>
        <v>-0.27416520210896311</v>
      </c>
      <c r="D70" s="15">
        <f>(1+Returns!D62)*(1+Returns!D63)*(1+Returns!D64)*(1+Returns!D65)*(1+Returns!D66)*(1+Returns!D67)-1</f>
        <v>-0.1727397260273974</v>
      </c>
      <c r="E70" s="15">
        <f>(1+Returns!E62)*(1+Returns!E63)*(1+Returns!E64)*(1+Returns!E65)*(1+Returns!E66)*(1+Returns!E67)-1</f>
        <v>-0.2345971563981043</v>
      </c>
      <c r="F70" s="15">
        <f>(1+Returns!F62)*(1+Returns!F63)*(1+Returns!F64)*(1+Returns!F65)*(1+Returns!F66)*(1+Returns!F67)-1</f>
        <v>8.3869000140758931E-2</v>
      </c>
      <c r="G70" s="15">
        <f>(1+Returns!G62)*(1+Returns!G63)*(1+Returns!G64)*(1+Returns!G65)*(1+Returns!G66)*(1+Returns!G67)-1</f>
        <v>8.3809336222178343E-2</v>
      </c>
      <c r="H70" s="15">
        <f>(1+Returns!H62)*(1+Returns!H63)*(1+Returns!H64)*(1+Returns!H65)*(1+Returns!H66)*(1+Returns!H67)-1</f>
        <v>-0.22789926417245299</v>
      </c>
      <c r="I70" s="15">
        <f>(1+Returns!I62)*(1+Returns!I63)*(1+Returns!I64)*(1+Returns!I65)*(1+Returns!I66)*(1+Returns!I67)-1</f>
        <v>-6.0453742698002855E-2</v>
      </c>
      <c r="J70" s="15">
        <f>(1+Returns!J62)*(1+Returns!J63)*(1+Returns!J64)*(1+Returns!J65)*(1+Returns!J66)*(1+Returns!J67)-1</f>
        <v>-0.1549809157119616</v>
      </c>
    </row>
    <row r="71" spans="1:10" ht="15" customHeight="1" x14ac:dyDescent="0.25">
      <c r="A71">
        <v>67</v>
      </c>
      <c r="B71" s="12">
        <f>Returns!A68</f>
        <v>44013</v>
      </c>
      <c r="C71" s="15">
        <f>(1+Returns!C63)*(1+Returns!C64)*(1+Returns!C65)*(1+Returns!C66)*(1+Returns!C67)*(1+Returns!C68)-1</f>
        <v>-0.17765468792218309</v>
      </c>
      <c r="D71" s="15">
        <f>(1+Returns!D63)*(1+Returns!D64)*(1+Returns!D65)*(1+Returns!D66)*(1+Returns!D67)*(1+Returns!D68)-1</f>
        <v>-1.2856509531550486E-2</v>
      </c>
      <c r="E71" s="15">
        <f>(1+Returns!E63)*(1+Returns!E64)*(1+Returns!E65)*(1+Returns!E66)*(1+Returns!E67)*(1+Returns!E68)-1</f>
        <v>-0.15876777251184837</v>
      </c>
      <c r="F71" s="15">
        <f>(1+Returns!F63)*(1+Returns!F64)*(1+Returns!F65)*(1+Returns!F66)*(1+Returns!F67)*(1+Returns!F68)-1</f>
        <v>0.22271008403361336</v>
      </c>
      <c r="G71" s="15">
        <f>(1+Returns!G63)*(1+Returns!G64)*(1+Returns!G65)*(1+Returns!G66)*(1+Returns!G67)*(1+Returns!G68)-1</f>
        <v>4.9552976983070041E-2</v>
      </c>
      <c r="H71" s="15">
        <f>(1+Returns!H63)*(1+Returns!H64)*(1+Returns!H65)*(1+Returns!H66)*(1+Returns!H67)*(1+Returns!H68)-1</f>
        <v>-8.4496693607641338E-2</v>
      </c>
      <c r="I71" s="15">
        <f>(1+Returns!I63)*(1+Returns!I64)*(1+Returns!I65)*(1+Returns!I66)*(1+Returns!I67)*(1+Returns!I68)-1</f>
        <v>1.543046357615907E-2</v>
      </c>
      <c r="J71" s="15">
        <f>(1+Returns!J63)*(1+Returns!J64)*(1+Returns!J65)*(1+Returns!J66)*(1+Returns!J67)*(1+Returns!J68)-1</f>
        <v>-5.6988864532004468E-2</v>
      </c>
    </row>
    <row r="72" spans="1:10" ht="15" customHeight="1" x14ac:dyDescent="0.25">
      <c r="A72">
        <v>68</v>
      </c>
      <c r="B72" s="12">
        <f>Returns!A69</f>
        <v>44044</v>
      </c>
      <c r="C72" s="15">
        <f>(1+Returns!C64)*(1+Returns!C65)*(1+Returns!C66)*(1+Returns!C67)*(1+Returns!C68)*(1+Returns!C69)-1</f>
        <v>-9.4999303524167855E-2</v>
      </c>
      <c r="D72" s="15">
        <f>(1+Returns!D64)*(1+Returns!D65)*(1+Returns!D66)*(1+Returns!D67)*(1+Returns!D68)*(1+Returns!D69)-1</f>
        <v>2.3752969121138001E-3</v>
      </c>
      <c r="E72" s="15">
        <f>(1+Returns!E64)*(1+Returns!E65)*(1+Returns!E66)*(1+Returns!E67)*(1+Returns!E68)*(1+Returns!E69)-1</f>
        <v>-0.14032176973353427</v>
      </c>
      <c r="F72" s="15">
        <f>(1+Returns!F64)*(1+Returns!F65)*(1+Returns!F66)*(1+Returns!F67)*(1+Returns!F68)*(1+Returns!F69)-1</f>
        <v>0.2553926680161116</v>
      </c>
      <c r="G72" s="15">
        <f>(1+Returns!G64)*(1+Returns!G65)*(1+Returns!G66)*(1+Returns!G67)*(1+Returns!G68)*(1+Returns!G69)-1</f>
        <v>4.4487427466150642E-2</v>
      </c>
      <c r="H72" s="15">
        <f>(1+Returns!H64)*(1+Returns!H65)*(1+Returns!H66)*(1+Returns!H67)*(1+Returns!H68)*(1+Returns!H69)-1</f>
        <v>1.9664545980335513E-2</v>
      </c>
      <c r="I72" s="15">
        <f>(1+Returns!I64)*(1+Returns!I65)*(1+Returns!I66)*(1+Returns!I67)*(1+Returns!I68)*(1+Returns!I69)-1</f>
        <v>0.19339482296935429</v>
      </c>
      <c r="J72" s="15">
        <f>(1+Returns!J64)*(1+Returns!J65)*(1+Returns!J66)*(1+Returns!J67)*(1+Returns!J68)*(1+Returns!J69)-1</f>
        <v>8.233312148763039E-2</v>
      </c>
    </row>
    <row r="73" spans="1:10" ht="15" customHeight="1" x14ac:dyDescent="0.25">
      <c r="A73">
        <v>69</v>
      </c>
      <c r="B73" s="12">
        <f>Returns!A70</f>
        <v>44075</v>
      </c>
      <c r="C73" s="15">
        <f>(1+Returns!C65)*(1+Returns!C66)*(1+Returns!C67)*(1+Returns!C68)*(1+Returns!C69)*(1+Returns!C70)-1</f>
        <v>0.39713123528152439</v>
      </c>
      <c r="D73" s="15">
        <f>(1+Returns!D65)*(1+Returns!D66)*(1+Returns!D67)*(1+Returns!D68)*(1+Returns!D69)*(1+Returns!D70)-1</f>
        <v>6.2423926273691199E-2</v>
      </c>
      <c r="E73" s="15">
        <f>(1+Returns!E65)*(1+Returns!E66)*(1+Returns!E67)*(1+Returns!E68)*(1+Returns!E69)*(1+Returns!E70)-1</f>
        <v>0.16394648829431424</v>
      </c>
      <c r="F73" s="15">
        <f>(1+Returns!F65)*(1+Returns!F66)*(1+Returns!F67)*(1+Returns!F68)*(1+Returns!F69)*(1+Returns!F70)-1</f>
        <v>0.75609756097560976</v>
      </c>
      <c r="G73" s="15">
        <f>(1+Returns!G65)*(1+Returns!G66)*(1+Returns!G67)*(1+Returns!G68)*(1+Returns!G69)*(1+Returns!G70)-1</f>
        <v>0.16066630843632468</v>
      </c>
      <c r="H73" s="15">
        <f>(1+Returns!H65)*(1+Returns!H66)*(1+Returns!H67)*(1+Returns!H68)*(1+Returns!H69)*(1+Returns!H70)-1</f>
        <v>0.72721065209969282</v>
      </c>
      <c r="I73" s="15">
        <f>(1+Returns!I65)*(1+Returns!I66)*(1+Returns!I67)*(1+Returns!I68)*(1+Returns!I69)*(1+Returns!I70)-1</f>
        <v>0.54027623752394405</v>
      </c>
      <c r="J73" s="15">
        <f>(1+Returns!J65)*(1+Returns!J66)*(1+Returns!J67)*(1+Returns!J68)*(1+Returns!J69)*(1+Returns!J70)-1</f>
        <v>0.38793081330052392</v>
      </c>
    </row>
    <row r="74" spans="1:10" ht="15" customHeight="1" x14ac:dyDescent="0.25">
      <c r="A74">
        <v>70</v>
      </c>
      <c r="B74" s="12">
        <f>Returns!A71</f>
        <v>44105</v>
      </c>
      <c r="C74" s="15">
        <f>(1+Returns!C66)*(1+Returns!C67)*(1+Returns!C68)*(1+Returns!C69)*(1+Returns!C70)*(1+Returns!C71)-1</f>
        <v>0.45327102803738306</v>
      </c>
      <c r="D74" s="15">
        <f>(1+Returns!D66)*(1+Returns!D67)*(1+Returns!D68)*(1+Returns!D69)*(1+Returns!D70)*(1+Returns!D71)-1</f>
        <v>4.2003231017770482E-2</v>
      </c>
      <c r="E74" s="15">
        <f>(1+Returns!E66)*(1+Returns!E67)*(1+Returns!E68)*(1+Returns!E69)*(1+Returns!E70)*(1+Returns!E71)-1</f>
        <v>1.5398773006135125E-2</v>
      </c>
      <c r="F74" s="15">
        <f>(1+Returns!F66)*(1+Returns!F67)*(1+Returns!F68)*(1+Returns!F69)*(1+Returns!F70)*(1+Returns!F71)-1</f>
        <v>0.4349374213769428</v>
      </c>
      <c r="G74" s="15">
        <f>(1+Returns!G66)*(1+Returns!G67)*(1+Returns!G68)*(1+Returns!G69)*(1+Returns!G70)*(1+Returns!G71)-1</f>
        <v>-5.2057245080500802E-2</v>
      </c>
      <c r="H74" s="15">
        <f>(1+Returns!H66)*(1+Returns!H67)*(1+Returns!H68)*(1+Returns!H69)*(1+Returns!H70)*(1+Returns!H71)-1</f>
        <v>1.4991826726604005</v>
      </c>
      <c r="I74" s="15">
        <f>(1+Returns!I66)*(1+Returns!I67)*(1+Returns!I68)*(1+Returns!I69)*(1+Returns!I70)*(1+Returns!I71)-1</f>
        <v>6.4860300890389855E-2</v>
      </c>
      <c r="J74" s="15">
        <f>(1+Returns!J66)*(1+Returns!J67)*(1+Returns!J68)*(1+Returns!J69)*(1+Returns!J70)*(1+Returns!J71)-1</f>
        <v>0.16933691842432674</v>
      </c>
    </row>
    <row r="75" spans="1:10" ht="15" customHeight="1" x14ac:dyDescent="0.25">
      <c r="A75">
        <v>71</v>
      </c>
      <c r="B75" s="12">
        <f>Returns!A72</f>
        <v>44136</v>
      </c>
      <c r="C75" s="15">
        <f>(1+Returns!C67)*(1+Returns!C68)*(1+Returns!C69)*(1+Returns!C70)*(1+Returns!C71)*(1+Returns!C72)-1</f>
        <v>0.68177737881508049</v>
      </c>
      <c r="D75" s="15">
        <f>(1+Returns!D67)*(1+Returns!D68)*(1+Returns!D69)*(1+Returns!D70)*(1+Returns!D71)*(1+Returns!D72)-1</f>
        <v>6.8106312292357529E-3</v>
      </c>
      <c r="E75" s="15">
        <f>(1+Returns!E67)*(1+Returns!E68)*(1+Returns!E69)*(1+Returns!E70)*(1+Returns!E71)*(1+Returns!E72)-1</f>
        <v>0.1659602649006624</v>
      </c>
      <c r="F75" s="15">
        <f>(1+Returns!F67)*(1+Returns!F68)*(1+Returns!F69)*(1+Returns!F70)*(1+Returns!F71)*(1+Returns!F72)-1</f>
        <v>0.43152483045285472</v>
      </c>
      <c r="G75" s="15">
        <f>(1+Returns!G67)*(1+Returns!G68)*(1+Returns!G69)*(1+Returns!G70)*(1+Returns!G71)*(1+Returns!G72)-1</f>
        <v>-5.1882460973370126E-2</v>
      </c>
      <c r="H75" s="15">
        <f>(1+Returns!H67)*(1+Returns!H68)*(1+Returns!H69)*(1+Returns!H70)*(1+Returns!H71)*(1+Returns!H72)-1</f>
        <v>0.80503998792817266</v>
      </c>
      <c r="I75" s="15">
        <f>(1+Returns!I67)*(1+Returns!I68)*(1+Returns!I69)*(1+Returns!I70)*(1+Returns!I71)*(1+Returns!I72)-1</f>
        <v>9.0288866308608107E-2</v>
      </c>
      <c r="J75" s="15">
        <f>(1+Returns!J67)*(1+Returns!J68)*(1+Returns!J69)*(1+Returns!J70)*(1+Returns!J71)*(1+Returns!J72)-1</f>
        <v>0.21035459074133178</v>
      </c>
    </row>
    <row r="76" spans="1:10" ht="15" customHeight="1" x14ac:dyDescent="0.25">
      <c r="A76">
        <v>72</v>
      </c>
      <c r="B76" s="12">
        <f>Returns!A73</f>
        <v>44166</v>
      </c>
      <c r="C76" s="15">
        <f>(1+Returns!C68)*(1+Returns!C69)*(1+Returns!C70)*(1+Returns!C71)*(1+Returns!C72)*(1+Returns!C73)-1</f>
        <v>0.67473769168684394</v>
      </c>
      <c r="D76" s="15">
        <f>(1+Returns!D68)*(1+Returns!D69)*(1+Returns!D70)*(1+Returns!D71)*(1+Returns!D72)*(1+Returns!D73)-1</f>
        <v>4.6530882596456324E-2</v>
      </c>
      <c r="E76" s="15">
        <f>(1+Returns!E68)*(1+Returns!E69)*(1+Returns!E70)*(1+Returns!E71)*(1+Returns!E72)*(1+Returns!E73)-1</f>
        <v>0.16222910216718245</v>
      </c>
      <c r="F76" s="15">
        <f>(1+Returns!F68)*(1+Returns!F69)*(1+Returns!F70)*(1+Returns!F71)*(1+Returns!F72)*(1+Returns!F73)-1</f>
        <v>0.50646089911473791</v>
      </c>
      <c r="G76" s="15">
        <f>(1+Returns!G68)*(1+Returns!G69)*(1+Returns!G70)*(1+Returns!G71)*(1+Returns!G72)*(1+Returns!G73)-1</f>
        <v>-1.0904134484325367E-2</v>
      </c>
      <c r="H76" s="15">
        <f>(1+Returns!H68)*(1+Returns!H69)*(1+Returns!H70)*(1+Returns!H71)*(1+Returns!H72)*(1+Returns!H73)-1</f>
        <v>0.87395973154362427</v>
      </c>
      <c r="I76" s="15">
        <f>(1+Returns!I68)*(1+Returns!I69)*(1+Returns!I70)*(1+Returns!I71)*(1+Returns!I72)*(1+Returns!I73)-1</f>
        <v>8.3646616541353414E-2</v>
      </c>
      <c r="J76" s="15">
        <f>(1+Returns!J68)*(1+Returns!J69)*(1+Returns!J70)*(1+Returns!J71)*(1+Returns!J72)*(1+Returns!J73)-1</f>
        <v>0.27114873313284105</v>
      </c>
    </row>
    <row r="77" spans="1:10" ht="15" customHeight="1" x14ac:dyDescent="0.25">
      <c r="A77">
        <v>73</v>
      </c>
      <c r="B77" s="12">
        <f>Returns!A74</f>
        <v>44197</v>
      </c>
      <c r="C77" s="15">
        <f>(1+Returns!C69)*(1+Returns!C70)*(1+Returns!C71)*(1+Returns!C72)*(1+Returns!C73)*(1+Returns!C74)-1</f>
        <v>0.45523246262526684</v>
      </c>
      <c r="D77" s="15">
        <f>(1+Returns!D69)*(1+Returns!D70)*(1+Returns!D71)*(1+Returns!D72)*(1+Returns!D73)*(1+Returns!D74)-1</f>
        <v>-2.7095808383233666E-2</v>
      </c>
      <c r="E77" s="15">
        <f>(1+Returns!E69)*(1+Returns!E70)*(1+Returns!E71)*(1+Returns!E72)*(1+Returns!E73)*(1+Returns!E74)-1</f>
        <v>8.4901408450704263E-2</v>
      </c>
      <c r="F77" s="15">
        <f>(1+Returns!F69)*(1+Returns!F70)*(1+Returns!F71)*(1+Returns!F72)*(1+Returns!F73)*(1+Returns!F74)-1</f>
        <v>0.24961770416315909</v>
      </c>
      <c r="G77" s="15">
        <f>(1+Returns!G69)*(1+Returns!G70)*(1+Returns!G71)*(1+Returns!G72)*(1+Returns!G73)*(1+Returns!G74)-1</f>
        <v>-2.1748980516538285E-3</v>
      </c>
      <c r="H77" s="15">
        <f>(1+Returns!H69)*(1+Returns!H70)*(1+Returns!H71)*(1+Returns!H72)*(1+Returns!H73)*(1+Returns!H74)-1</f>
        <v>0.65730337078651724</v>
      </c>
      <c r="I77" s="15">
        <f>(1+Returns!I69)*(1+Returns!I70)*(1+Returns!I71)*(1+Returns!I72)*(1+Returns!I73)*(1+Returns!I74)-1</f>
        <v>2.1783082240918183E-2</v>
      </c>
      <c r="J77" s="15">
        <f>(1+Returns!J69)*(1+Returns!J70)*(1+Returns!J71)*(1+Returns!J72)*(1+Returns!J73)*(1+Returns!J74)-1</f>
        <v>0.18154312805093631</v>
      </c>
    </row>
    <row r="78" spans="1:10" ht="15" customHeight="1" x14ac:dyDescent="0.25">
      <c r="A78">
        <v>74</v>
      </c>
      <c r="B78" s="12">
        <f>Returns!A75</f>
        <v>44228</v>
      </c>
      <c r="C78" s="15">
        <f>(1+Returns!C70)*(1+Returns!C71)*(1+Returns!C72)*(1+Returns!C73)*(1+Returns!C74)*(1+Returns!C75)-1</f>
        <v>0.32137909804525133</v>
      </c>
      <c r="D78" s="15">
        <f>(1+Returns!D70)*(1+Returns!D71)*(1+Returns!D72)*(1+Returns!D73)*(1+Returns!D74)*(1+Returns!D75)-1</f>
        <v>2.9383886255923919E-2</v>
      </c>
      <c r="E78" s="15">
        <f>(1+Returns!E70)*(1+Returns!E71)*(1+Returns!E72)*(1+Returns!E73)*(1+Returns!E74)*(1+Returns!E75)-1</f>
        <v>7.0822855137727014E-2</v>
      </c>
      <c r="F78" s="15">
        <f>(1+Returns!F70)*(1+Returns!F71)*(1+Returns!F72)*(1+Returns!F73)*(1+Returns!F74)*(1+Returns!F75)-1</f>
        <v>0.44092833876221493</v>
      </c>
      <c r="G78" s="15">
        <f>(1+Returns!G70)*(1+Returns!G71)*(1+Returns!G72)*(1+Returns!G73)*(1+Returns!G74)*(1+Returns!G75)-1</f>
        <v>2.5462962962963021E-2</v>
      </c>
      <c r="H78" s="15">
        <f>(1+Returns!H70)*(1+Returns!H71)*(1+Returns!H72)*(1+Returns!H73)*(1+Returns!H74)*(1+Returns!H75)-1</f>
        <v>0.35838532803932721</v>
      </c>
      <c r="I78" s="15">
        <f>(1+Returns!I70)*(1+Returns!I71)*(1+Returns!I72)*(1+Returns!I73)*(1+Returns!I74)*(1+Returns!I75)-1</f>
        <v>0.10807778608825735</v>
      </c>
      <c r="J78" s="15">
        <f>(1+Returns!J70)*(1+Returns!J71)*(1+Returns!J72)*(1+Returns!J73)*(1+Returns!J74)*(1+Returns!J75)-1</f>
        <v>0.11564053647047134</v>
      </c>
    </row>
    <row r="79" spans="1:10" ht="15" customHeight="1" x14ac:dyDescent="0.25">
      <c r="A79">
        <v>75</v>
      </c>
      <c r="B79" s="12">
        <f>Returns!A76</f>
        <v>44256</v>
      </c>
      <c r="C79" s="15">
        <f>(1+Returns!C71)*(1+Returns!C72)*(1+Returns!C73)*(1+Returns!C74)*(1+Returns!C75)*(1+Returns!C76)-1</f>
        <v>0.37971192154459099</v>
      </c>
      <c r="D79" s="15">
        <f>(1+Returns!D71)*(1+Returns!D72)*(1+Returns!D73)*(1+Returns!D74)*(1+Returns!D75)*(1+Returns!D76)-1</f>
        <v>2.2094926350245681E-2</v>
      </c>
      <c r="E79" s="15">
        <f>(1+Returns!E71)*(1+Returns!E72)*(1+Returns!E73)*(1+Returns!E74)*(1+Returns!E75)*(1+Returns!E76)-1</f>
        <v>-1.1551060283891856E-2</v>
      </c>
      <c r="F79" s="15">
        <f>(1+Returns!F71)*(1+Returns!F72)*(1+Returns!F73)*(1+Returns!F74)*(1+Returns!F75)*(1+Returns!F76)-1</f>
        <v>0.26466049382716039</v>
      </c>
      <c r="G79" s="15">
        <f>(1+Returns!G71)*(1+Returns!G72)*(1+Returns!G73)*(1+Returns!G74)*(1+Returns!G75)*(1+Returns!G76)-1</f>
        <v>-3.7037037037036979E-2</v>
      </c>
      <c r="H79" s="15">
        <f>(1+Returns!H71)*(1+Returns!H72)*(1+Returns!H73)*(1+Returns!H74)*(1+Returns!H75)*(1+Returns!H76)-1</f>
        <v>0.35708638070764986</v>
      </c>
      <c r="I79" s="15">
        <f>(1+Returns!I71)*(1+Returns!I72)*(1+Returns!I73)*(1+Returns!I74)*(1+Returns!I75)*(1+Returns!I76)-1</f>
        <v>0.11997643670637514</v>
      </c>
      <c r="J79" s="15">
        <f>(1+Returns!J71)*(1+Returns!J72)*(1+Returns!J73)*(1+Returns!J74)*(1+Returns!J75)*(1+Returns!J76)-1</f>
        <v>9.8994909724762215E-2</v>
      </c>
    </row>
    <row r="80" spans="1:10" ht="15" customHeight="1" x14ac:dyDescent="0.25">
      <c r="A80">
        <v>76</v>
      </c>
      <c r="B80" s="12">
        <f>Returns!A77</f>
        <v>44287</v>
      </c>
      <c r="C80" s="15">
        <f>(1+Returns!C72)*(1+Returns!C73)*(1+Returns!C74)*(1+Returns!C75)*(1+Returns!C76)*(1+Returns!C77)-1</f>
        <v>0.2478807366267175</v>
      </c>
      <c r="D80" s="15">
        <f>(1+Returns!D72)*(1+Returns!D73)*(1+Returns!D74)*(1+Returns!D75)*(1+Returns!D76)*(1+Returns!D77)-1</f>
        <v>3.8759689922480689E-2</v>
      </c>
      <c r="E80" s="15">
        <f>(1+Returns!E72)*(1+Returns!E73)*(1+Returns!E74)*(1+Returns!E75)*(1+Returns!E76)*(1+Returns!E77)-1</f>
        <v>-1.5165246812881339E-2</v>
      </c>
      <c r="F80" s="15">
        <f>(1+Returns!F72)*(1+Returns!F73)*(1+Returns!F74)*(1+Returns!F75)*(1+Returns!F76)*(1+Returns!F77)-1</f>
        <v>0.24072808320950956</v>
      </c>
      <c r="G80" s="15">
        <f>(1+Returns!G72)*(1+Returns!G73)*(1+Returns!G74)*(1+Returns!G75)*(1+Returns!G76)*(1+Returns!G77)-1</f>
        <v>-9.2470277410835466E-3</v>
      </c>
      <c r="H80" s="15">
        <f>(1+Returns!H72)*(1+Returns!H73)*(1+Returns!H74)*(1+Returns!H75)*(1+Returns!H76)*(1+Returns!H77)-1</f>
        <v>3.1068596190009234E-3</v>
      </c>
      <c r="I80" s="15">
        <f>(1+Returns!I72)*(1+Returns!I73)*(1+Returns!I74)*(1+Returns!I75)*(1+Returns!I76)*(1+Returns!I77)-1</f>
        <v>0.21336408851726363</v>
      </c>
      <c r="J80" s="15">
        <f>(1+Returns!J72)*(1+Returns!J73)*(1+Returns!J74)*(1+Returns!J75)*(1+Returns!J76)*(1+Returns!J77)-1</f>
        <v>0.10966581427998401</v>
      </c>
    </row>
    <row r="81" spans="1:10" ht="15" customHeight="1" x14ac:dyDescent="0.25">
      <c r="A81">
        <v>77</v>
      </c>
      <c r="B81" s="12">
        <f>Returns!A78</f>
        <v>44317</v>
      </c>
      <c r="C81" s="15">
        <f>(1+Returns!C73)*(1+Returns!C74)*(1+Returns!C75)*(1+Returns!C76)*(1+Returns!C77)*(1+Returns!C78)-1</f>
        <v>0.20269548972511364</v>
      </c>
      <c r="D81" s="15">
        <f>(1+Returns!D73)*(1+Returns!D74)*(1+Returns!D75)*(1+Returns!D76)*(1+Returns!D77)*(1+Returns!D78)-1</f>
        <v>0.17554858934169304</v>
      </c>
      <c r="E81" s="15">
        <f>(1+Returns!E73)*(1+Returns!E74)*(1+Returns!E75)*(1+Returns!E76)*(1+Returns!E77)*(1+Returns!E78)-1</f>
        <v>-5.7139611496080822E-2</v>
      </c>
      <c r="F81" s="15">
        <f>(1+Returns!F73)*(1+Returns!F74)*(1+Returns!F75)*(1+Returns!F76)*(1+Returns!F77)*(1+Returns!F78)-1</f>
        <v>0.42431420493619632</v>
      </c>
      <c r="G81" s="15">
        <f>(1+Returns!G73)*(1+Returns!G74)*(1+Returns!G75)*(1+Returns!G76)*(1+Returns!G77)*(1+Returns!G78)-1</f>
        <v>4.009685230024207E-2</v>
      </c>
      <c r="H81" s="15">
        <f>(1+Returns!H73)*(1+Returns!H74)*(1+Returns!H75)*(1+Returns!H76)*(1+Returns!H77)*(1+Returns!H78)-1</f>
        <v>0.10282561444574467</v>
      </c>
      <c r="I81" s="15">
        <f>(1+Returns!I73)*(1+Returns!I74)*(1+Returns!I75)*(1+Returns!I76)*(1+Returns!I77)*(1+Returns!I78)-1</f>
        <v>0.15384103315137798</v>
      </c>
      <c r="J81" s="15">
        <f>(1+Returns!J73)*(1+Returns!J74)*(1+Returns!J75)*(1+Returns!J76)*(1+Returns!J77)*(1+Returns!J78)-1</f>
        <v>0.16624582834374091</v>
      </c>
    </row>
    <row r="82" spans="1:10" ht="15" customHeight="1" x14ac:dyDescent="0.25">
      <c r="A82">
        <v>78</v>
      </c>
      <c r="B82" s="12">
        <f>Returns!A79</f>
        <v>44348</v>
      </c>
      <c r="C82" s="15">
        <f>(1+Returns!C74)*(1+Returns!C75)*(1+Returns!C76)*(1+Returns!C77)*(1+Returns!C78)*(1+Returns!C79)-1</f>
        <v>9.6024096385542324E-2</v>
      </c>
      <c r="D82" s="15">
        <f>(1+Returns!D74)*(1+Returns!D75)*(1+Returns!D76)*(1+Returns!D77)*(1+Returns!D78)*(1+Returns!D79)-1</f>
        <v>0.10996835443038</v>
      </c>
      <c r="E82" s="15">
        <f>(1+Returns!E74)*(1+Returns!E75)*(1+Returns!E76)*(1+Returns!E77)*(1+Returns!E78)*(1+Returns!E79)-1</f>
        <v>-0.14224826851358552</v>
      </c>
      <c r="F82" s="15">
        <f>(1+Returns!F74)*(1+Returns!F75)*(1+Returns!F76)*(1+Returns!F77)*(1+Returns!F78)*(1+Returns!F79)-1</f>
        <v>0.242801724137931</v>
      </c>
      <c r="G82" s="15">
        <f>(1+Returns!G74)*(1+Returns!G75)*(1+Returns!G76)*(1+Returns!G77)*(1+Returns!G78)*(1+Returns!G79)-1</f>
        <v>-2.5907211759301774E-2</v>
      </c>
      <c r="H82" s="15">
        <f>(1+Returns!H74)*(1+Returns!H75)*(1+Returns!H76)*(1+Returns!H77)*(1+Returns!H78)*(1+Returns!H79)-1</f>
        <v>-6.9909032304276364E-2</v>
      </c>
      <c r="I82" s="15">
        <f>(1+Returns!I74)*(1+Returns!I75)*(1+Returns!I76)*(1+Returns!I77)*(1+Returns!I78)*(1+Returns!I79)-1</f>
        <v>0.13042898125291869</v>
      </c>
      <c r="J82" s="15">
        <f>(1+Returns!J74)*(1+Returns!J75)*(1+Returns!J76)*(1+Returns!J77)*(1+Returns!J78)*(1+Returns!J79)-1</f>
        <v>8.2290223510800287E-2</v>
      </c>
    </row>
    <row r="83" spans="1:10" ht="15" customHeight="1" x14ac:dyDescent="0.25">
      <c r="A83">
        <v>79</v>
      </c>
      <c r="B83" s="12">
        <f>Returns!A80</f>
        <v>44378</v>
      </c>
      <c r="C83" s="15">
        <f>(1+Returns!C75)*(1+Returns!C76)*(1+Returns!C77)*(1+Returns!C78)*(1+Returns!C79)*(1+Returns!C80)-1</f>
        <v>0.11548882366222624</v>
      </c>
      <c r="D83" s="15">
        <f>(1+Returns!D75)*(1+Returns!D76)*(1+Returns!D77)*(1+Returns!D78)*(1+Returns!D79)*(1+Returns!D80)-1</f>
        <v>0.17094937682720457</v>
      </c>
      <c r="E83" s="15">
        <f>(1+Returns!E75)*(1+Returns!E76)*(1+Returns!E77)*(1+Returns!E78)*(1+Returns!E79)*(1+Returns!E80)-1</f>
        <v>-0.16014955600560854</v>
      </c>
      <c r="F83" s="15">
        <f>(1+Returns!F75)*(1+Returns!F76)*(1+Returns!F77)*(1+Returns!F78)*(1+Returns!F79)*(1+Returns!F80)-1</f>
        <v>0.21615861623286414</v>
      </c>
      <c r="G83" s="15">
        <f>(1+Returns!G75)*(1+Returns!G76)*(1+Returns!G77)*(1+Returns!G78)*(1+Returns!G79)*(1+Returns!G80)-1</f>
        <v>-3.2785396421760038E-2</v>
      </c>
      <c r="H83" s="15">
        <f>(1+Returns!H75)*(1+Returns!H76)*(1+Returns!H77)*(1+Returns!H78)*(1+Returns!H79)*(1+Returns!H80)-1</f>
        <v>-0.14645451400899345</v>
      </c>
      <c r="I83" s="15">
        <f>(1+Returns!I75)*(1+Returns!I76)*(1+Returns!I77)*(1+Returns!I78)*(1+Returns!I79)*(1+Returns!I80)-1</f>
        <v>7.1615497542605544E-2</v>
      </c>
      <c r="J83" s="15">
        <f>(1+Returns!J75)*(1+Returns!J76)*(1+Returns!J77)*(1+Returns!J78)*(1+Returns!J79)*(1+Returns!J80)-1</f>
        <v>1.4438766908825285E-2</v>
      </c>
    </row>
    <row r="84" spans="1:10" ht="15" customHeight="1" x14ac:dyDescent="0.25">
      <c r="A84">
        <v>80</v>
      </c>
      <c r="B84" s="12">
        <f>Returns!A81</f>
        <v>44409</v>
      </c>
      <c r="C84" s="15">
        <f>(1+Returns!C76)*(1+Returns!C77)*(1+Returns!C78)*(1+Returns!C79)*(1+Returns!C80)*(1+Returns!C81)-1</f>
        <v>0.42259755387303466</v>
      </c>
      <c r="D84" s="15">
        <f>(1+Returns!D76)*(1+Returns!D77)*(1+Returns!D78)*(1+Returns!D79)*(1+Returns!D80)*(1+Returns!D81)-1</f>
        <v>0.1855432780847146</v>
      </c>
      <c r="E84" s="15">
        <f>(1+Returns!E76)*(1+Returns!E77)*(1+Returns!E78)*(1+Returns!E79)*(1+Returns!E80)*(1+Returns!E81)-1</f>
        <v>-0.10152921900600798</v>
      </c>
      <c r="F84" s="15">
        <f>(1+Returns!F76)*(1+Returns!F77)*(1+Returns!F78)*(1+Returns!F79)*(1+Returns!F80)*(1+Returns!F81)-1</f>
        <v>-6.1860680659636569E-2</v>
      </c>
      <c r="G84" s="15">
        <f>(1+Returns!G76)*(1+Returns!G77)*(1+Returns!G78)*(1+Returns!G79)*(1+Returns!G80)*(1+Returns!G81)-1</f>
        <v>-4.3340857787810272E-2</v>
      </c>
      <c r="H84" s="15">
        <f>(1+Returns!H76)*(1+Returns!H77)*(1+Returns!H78)*(1+Returns!H79)*(1+Returns!H80)*(1+Returns!H81)-1</f>
        <v>-0.11670958313035018</v>
      </c>
      <c r="I84" s="15">
        <f>(1+Returns!I76)*(1+Returns!I77)*(1+Returns!I78)*(1+Returns!I79)*(1+Returns!I80)*(1+Returns!I81)-1</f>
        <v>-3.751828102148691E-2</v>
      </c>
      <c r="J84" s="15">
        <f>(1+Returns!J76)*(1+Returns!J77)*(1+Returns!J78)*(1+Returns!J79)*(1+Returns!J80)*(1+Returns!J81)-1</f>
        <v>3.3897728595779553E-2</v>
      </c>
    </row>
    <row r="85" spans="1:10" ht="15" customHeight="1" x14ac:dyDescent="0.25">
      <c r="A85">
        <v>81</v>
      </c>
      <c r="B85" s="12">
        <f>Returns!A82</f>
        <v>44440</v>
      </c>
      <c r="C85" s="15">
        <f>(1+Returns!C77)*(1+Returns!C78)*(1+Returns!C79)*(1+Returns!C80)*(1+Returns!C81)*(1+Returns!C82)-1</f>
        <v>0.41348289649044889</v>
      </c>
      <c r="D85" s="15">
        <f>(1+Returns!D77)*(1+Returns!D78)*(1+Returns!D79)*(1+Returns!D80)*(1+Returns!D81)*(1+Returns!D82)-1</f>
        <v>0.12073658927141717</v>
      </c>
      <c r="E85" s="15">
        <f>(1+Returns!E77)*(1+Returns!E78)*(1+Returns!E79)*(1+Returns!E80)*(1+Returns!E81)*(1+Returns!E82)-1</f>
        <v>-0.11104651162790724</v>
      </c>
      <c r="F85" s="15">
        <f>(1+Returns!F77)*(1+Returns!F78)*(1+Returns!F79)*(1+Returns!F80)*(1+Returns!F81)*(1+Returns!F82)-1</f>
        <v>-0.12007321537522897</v>
      </c>
      <c r="G85" s="15">
        <f>(1+Returns!G77)*(1+Returns!G78)*(1+Returns!G79)*(1+Returns!G80)*(1+Returns!G81)*(1+Returns!G82)-1</f>
        <v>-1.9326923076922853E-2</v>
      </c>
      <c r="H85" s="15">
        <f>(1+Returns!H77)*(1+Returns!H78)*(1+Returns!H79)*(1+Returns!H80)*(1+Returns!H81)*(1+Returns!H82)-1</f>
        <v>-0.26050542567912038</v>
      </c>
      <c r="I85" s="15">
        <f>(1+Returns!I77)*(1+Returns!I78)*(1+Returns!I79)*(1+Returns!I80)*(1+Returns!I81)*(1+Returns!I82)-1</f>
        <v>1.2331248904213554E-2</v>
      </c>
      <c r="J85" s="15">
        <f>(1+Returns!J77)*(1+Returns!J78)*(1+Returns!J79)*(1+Returns!J80)*(1+Returns!J81)*(1+Returns!J82)-1</f>
        <v>6.9918150348131647E-3</v>
      </c>
    </row>
    <row r="86" spans="1:10" ht="15" customHeight="1" x14ac:dyDescent="0.25">
      <c r="A86">
        <v>82</v>
      </c>
      <c r="B86" s="12">
        <f>Returns!A83</f>
        <v>44470</v>
      </c>
      <c r="C86" s="15">
        <f>(1+Returns!C78)*(1+Returns!C79)*(1+Returns!C80)*(1+Returns!C81)*(1+Returns!C82)*(1+Returns!C83)-1</f>
        <v>0.41613961115015252</v>
      </c>
      <c r="D86" s="15">
        <f>(1+Returns!D78)*(1+Returns!D79)*(1+Returns!D80)*(1+Returns!D81)*(1+Returns!D82)*(1+Returns!D83)-1</f>
        <v>6.7164179104477695E-2</v>
      </c>
      <c r="E86" s="15">
        <f>(1+Returns!E78)*(1+Returns!E79)*(1+Returns!E80)*(1+Returns!E81)*(1+Returns!E82)*(1+Returns!E83)-1</f>
        <v>6.1349693251528947E-3</v>
      </c>
      <c r="F86" s="15">
        <f>(1+Returns!F78)*(1+Returns!F79)*(1+Returns!F80)*(1+Returns!F81)*(1+Returns!F82)*(1+Returns!F83)-1</f>
        <v>-7.1867402785595447E-2</v>
      </c>
      <c r="G86" s="15">
        <f>(1+Returns!G78)*(1+Returns!G79)*(1+Returns!G80)*(1+Returns!G81)*(1+Returns!G82)*(1+Returns!G83)-1</f>
        <v>-1.9047619047619091E-2</v>
      </c>
      <c r="H86" s="15">
        <f>(1+Returns!H78)*(1+Returns!H79)*(1+Returns!H80)*(1+Returns!H81)*(1+Returns!H82)*(1+Returns!H83)-1</f>
        <v>-3.0075800798761376E-2</v>
      </c>
      <c r="I86" s="15">
        <f>(1+Returns!I78)*(1+Returns!I79)*(1+Returns!I80)*(1+Returns!I81)*(1+Returns!I82)*(1+Returns!I83)-1</f>
        <v>0.12214103249569264</v>
      </c>
      <c r="J86" s="15">
        <f>(1+Returns!J78)*(1+Returns!J79)*(1+Returns!J80)*(1+Returns!J81)*(1+Returns!J82)*(1+Returns!J83)-1</f>
        <v>4.4204159968912693E-2</v>
      </c>
    </row>
    <row r="87" spans="1:10" ht="15" customHeight="1" x14ac:dyDescent="0.25">
      <c r="A87">
        <v>83</v>
      </c>
      <c r="B87" s="12">
        <f>Returns!A84</f>
        <v>44501</v>
      </c>
      <c r="C87" s="15">
        <f>(1+Returns!C79)*(1+Returns!C80)*(1+Returns!C81)*(1+Returns!C82)*(1+Returns!C83)*(1+Returns!C84)-1</f>
        <v>0.50282924664373696</v>
      </c>
      <c r="D87" s="15">
        <f>(1+Returns!D79)*(1+Returns!D80)*(1+Returns!D81)*(1+Returns!D82)*(1+Returns!D83)*(1+Returns!D84)-1</f>
        <v>3.8596491228070517E-2</v>
      </c>
      <c r="E87" s="15">
        <f>(1+Returns!E79)*(1+Returns!E80)*(1+Returns!E81)*(1+Returns!E82)*(1+Returns!E83)*(1+Returns!E84)-1</f>
        <v>-5.4216867469879859E-2</v>
      </c>
      <c r="F87" s="15">
        <f>(1+Returns!F79)*(1+Returns!F80)*(1+Returns!F81)*(1+Returns!F82)*(1+Returns!F83)*(1+Returns!F84)-1</f>
        <v>-0.22854077253218896</v>
      </c>
      <c r="G87" s="15">
        <f>(1+Returns!G79)*(1+Returns!G80)*(1+Returns!G81)*(1+Returns!G82)*(1+Returns!G83)*(1+Returns!G84)-1</f>
        <v>-6.4158673991991599E-2</v>
      </c>
      <c r="H87" s="15">
        <f>(1+Returns!H79)*(1+Returns!H80)*(1+Returns!H81)*(1+Returns!H82)*(1+Returns!H83)*(1+Returns!H84)-1</f>
        <v>-0.22301394784718009</v>
      </c>
      <c r="I87" s="15">
        <f>(1+Returns!I79)*(1+Returns!I80)*(1+Returns!I81)*(1+Returns!I82)*(1+Returns!I83)*(1+Returns!I84)-1</f>
        <v>9.6174926440892872E-2</v>
      </c>
      <c r="J87" s="15">
        <f>(1+Returns!J79)*(1+Returns!J80)*(1+Returns!J81)*(1+Returns!J82)*(1+Returns!J83)*(1+Returns!J84)-1</f>
        <v>-5.8959828663317393E-2</v>
      </c>
    </row>
    <row r="88" spans="1:10" ht="15" customHeight="1" x14ac:dyDescent="0.25">
      <c r="A88">
        <v>84</v>
      </c>
      <c r="B88" s="12">
        <f>Returns!A85</f>
        <v>44531</v>
      </c>
      <c r="C88" s="15">
        <f>(1+Returns!C80)*(1+Returns!C81)*(1+Returns!C82)*(1+Returns!C83)*(1+Returns!C84)*(1+Returns!C85)-1</f>
        <v>0.34022205122567883</v>
      </c>
      <c r="D88" s="15">
        <f>(1+Returns!D80)*(1+Returns!D81)*(1+Returns!D82)*(1+Returns!D83)*(1+Returns!D84)*(1+Returns!D85)-1</f>
        <v>8.4675694939415846E-2</v>
      </c>
      <c r="E88" s="15">
        <f>(1+Returns!E80)*(1+Returns!E81)*(1+Returns!E82)*(1+Returns!E83)*(1+Returns!E84)*(1+Returns!E85)-1</f>
        <v>-4.7515527950310887E-2</v>
      </c>
      <c r="F88" s="15">
        <f>(1+Returns!F80)*(1+Returns!F81)*(1+Returns!F82)*(1+Returns!F83)*(1+Returns!F84)*(1+Returns!F85)-1</f>
        <v>-0.21469612365460877</v>
      </c>
      <c r="G88" s="15">
        <f>(1+Returns!G80)*(1+Returns!G81)*(1+Returns!G82)*(1+Returns!G83)*(1+Returns!G84)*(1+Returns!G85)-1</f>
        <v>-5.4418560784683323E-2</v>
      </c>
      <c r="H88" s="15">
        <f>(1+Returns!H80)*(1+Returns!H81)*(1+Returns!H82)*(1+Returns!H83)*(1+Returns!H84)*(1+Returns!H85)-1</f>
        <v>-0.25051983057373906</v>
      </c>
      <c r="I88" s="15">
        <f>(1+Returns!I80)*(1+Returns!I81)*(1+Returns!I82)*(1+Returns!I83)*(1+Returns!I84)*(1+Returns!I85)-1</f>
        <v>8.5280925401322039E-2</v>
      </c>
      <c r="J88" s="15">
        <f>(1+Returns!J80)*(1+Returns!J81)*(1+Returns!J82)*(1+Returns!J83)*(1+Returns!J84)*(1+Returns!J85)-1</f>
        <v>-5.8280869042626193E-2</v>
      </c>
    </row>
    <row r="89" spans="1:10" ht="15" customHeight="1" x14ac:dyDescent="0.25">
      <c r="A89">
        <v>85</v>
      </c>
      <c r="B89" s="12">
        <f>Returns!A86</f>
        <v>44562</v>
      </c>
      <c r="C89" s="15">
        <f>(1+Returns!C81)*(1+Returns!C82)*(1+Returns!C83)*(1+Returns!C84)*(1+Returns!C85)*(1+Returns!C86)-1</f>
        <v>0.26039874506628902</v>
      </c>
      <c r="D89" s="15">
        <f>(1+Returns!D81)*(1+Returns!D82)*(1+Returns!D83)*(1+Returns!D84)*(1+Returns!D85)*(1+Returns!D86)-1</f>
        <v>7.7529566360052815E-2</v>
      </c>
      <c r="E89" s="15">
        <f>(1+Returns!E81)*(1+Returns!E82)*(1+Returns!E83)*(1+Returns!E84)*(1+Returns!E85)*(1+Returns!E86)-1</f>
        <v>-3.2770667161321487E-3</v>
      </c>
      <c r="F89" s="15">
        <f>(1+Returns!F81)*(1+Returns!F82)*(1+Returns!F83)*(1+Returns!F84)*(1+Returns!F85)*(1+Returns!F86)-1</f>
        <v>-0.23007348784624071</v>
      </c>
      <c r="G89" s="15">
        <f>(1+Returns!G81)*(1+Returns!G82)*(1+Returns!G83)*(1+Returns!G84)*(1+Returns!G85)*(1+Returns!G86)-1</f>
        <v>2.8169014084509225E-3</v>
      </c>
      <c r="H89" s="15">
        <f>(1+Returns!H81)*(1+Returns!H82)*(1+Returns!H83)*(1+Returns!H84)*(1+Returns!H85)*(1+Returns!H86)-1</f>
        <v>-0.24906792024639335</v>
      </c>
      <c r="I89" s="15">
        <f>(1+Returns!I81)*(1+Returns!I82)*(1+Returns!I83)*(1+Returns!I84)*(1+Returns!I85)*(1+Returns!I86)-1</f>
        <v>0.12508189886235033</v>
      </c>
      <c r="J89" s="15">
        <f>(1+Returns!J81)*(1+Returns!J82)*(1+Returns!J83)*(1+Returns!J84)*(1+Returns!J85)*(1+Returns!J86)-1</f>
        <v>-3.5715644298441096E-2</v>
      </c>
    </row>
    <row r="90" spans="1:10" ht="15" customHeight="1" x14ac:dyDescent="0.25">
      <c r="A90">
        <v>86</v>
      </c>
      <c r="B90" s="12">
        <f>Returns!A87</f>
        <v>44593</v>
      </c>
      <c r="C90" s="15">
        <f>(1+Returns!C82)*(1+Returns!C83)*(1+Returns!C84)*(1+Returns!C85)*(1+Returns!C86)*(1+Returns!C87)-1</f>
        <v>3.7664783427495463E-2</v>
      </c>
      <c r="D90" s="15">
        <f>(1+Returns!D82)*(1+Returns!D83)*(1+Returns!D84)*(1+Returns!D85)*(1+Returns!D86)*(1+Returns!D87)-1</f>
        <v>0.14822006472491944</v>
      </c>
      <c r="E90" s="15">
        <f>(1+Returns!E82)*(1+Returns!E83)*(1+Returns!E84)*(1+Returns!E85)*(1+Returns!E86)*(1+Returns!E87)-1</f>
        <v>-4.2307458513160201E-2</v>
      </c>
      <c r="F90" s="15">
        <f>(1+Returns!F82)*(1+Returns!F83)*(1+Returns!F84)*(1+Returns!F85)*(1+Returns!F86)*(1+Returns!F87)-1</f>
        <v>-0.21084337349397575</v>
      </c>
      <c r="G90" s="15">
        <f>(1+Returns!G82)*(1+Returns!G83)*(1+Returns!G84)*(1+Returns!G85)*(1+Returns!G86)*(1+Returns!G87)-1</f>
        <v>3.7187352524776118E-2</v>
      </c>
      <c r="H90" s="15">
        <f>(1+Returns!H82)*(1+Returns!H83)*(1+Returns!H84)*(1+Returns!H85)*(1+Returns!H86)*(1+Returns!H87)-1</f>
        <v>-0.33107469271982348</v>
      </c>
      <c r="I90" s="15">
        <f>(1+Returns!I82)*(1+Returns!I83)*(1+Returns!I84)*(1+Returns!I85)*(1+Returns!I86)*(1+Returns!I87)-1</f>
        <v>0.1623517035824904</v>
      </c>
      <c r="J90" s="15">
        <f>(1+Returns!J82)*(1+Returns!J83)*(1+Returns!J84)*(1+Returns!J85)*(1+Returns!J86)*(1+Returns!J87)-1</f>
        <v>-6.2394479598580466E-2</v>
      </c>
    </row>
    <row r="91" spans="1:10" ht="15" customHeight="1" x14ac:dyDescent="0.25">
      <c r="A91">
        <v>87</v>
      </c>
      <c r="B91" s="12">
        <f>Returns!A88</f>
        <v>44621</v>
      </c>
      <c r="C91" s="15">
        <f>(1+Returns!C83)*(1+Returns!C84)*(1+Returns!C85)*(1+Returns!C86)*(1+Returns!C87)*(1+Returns!C88)-1</f>
        <v>-6.4587098294963452E-2</v>
      </c>
      <c r="D91" s="15">
        <f>(1+Returns!D83)*(1+Returns!D84)*(1+Returns!D85)*(1+Returns!D86)*(1+Returns!D87)*(1+Returns!D88)-1</f>
        <v>0.31118731247321052</v>
      </c>
      <c r="E91" s="15">
        <f>(1+Returns!E83)*(1+Returns!E84)*(1+Returns!E85)*(1+Returns!E86)*(1+Returns!E87)*(1+Returns!E88)-1</f>
        <v>-4.7351209941138284E-2</v>
      </c>
      <c r="F91" s="15">
        <f>(1+Returns!F83)*(1+Returns!F84)*(1+Returns!F85)*(1+Returns!F86)*(1+Returns!F87)*(1+Returns!F88)-1</f>
        <v>-0.11752877548190255</v>
      </c>
      <c r="G91" s="15">
        <f>(1+Returns!G83)*(1+Returns!G84)*(1+Returns!G85)*(1+Returns!G86)*(1+Returns!G87)*(1+Returns!G88)-1</f>
        <v>0.11305029904892683</v>
      </c>
      <c r="H91" s="15">
        <f>(1+Returns!H83)*(1+Returns!H84)*(1+Returns!H85)*(1+Returns!H86)*(1+Returns!H87)*(1+Returns!H88)-1</f>
        <v>-0.25152649202284805</v>
      </c>
      <c r="I91" s="15">
        <f>(1+Returns!I83)*(1+Returns!I84)*(1+Returns!I85)*(1+Returns!I86)*(1+Returns!I87)*(1+Returns!I88)-1</f>
        <v>0.13214409421544859</v>
      </c>
      <c r="J91" s="15">
        <f>(1+Returns!J83)*(1+Returns!J84)*(1+Returns!J85)*(1+Returns!J86)*(1+Returns!J87)*(1+Returns!J88)-1</f>
        <v>6.5100802679785019E-4</v>
      </c>
    </row>
    <row r="92" spans="1:10" ht="15" customHeight="1" x14ac:dyDescent="0.25">
      <c r="A92">
        <v>88</v>
      </c>
      <c r="B92" s="12">
        <f>Returns!A89</f>
        <v>44652</v>
      </c>
      <c r="C92" s="15">
        <f>(1+Returns!C84)*(1+Returns!C85)*(1+Returns!C86)*(1+Returns!C87)*(1+Returns!C88)*(1+Returns!C89)-1</f>
        <v>5.2601108262343876E-2</v>
      </c>
      <c r="D92" s="15">
        <f>(1+Returns!D84)*(1+Returns!D85)*(1+Returns!D86)*(1+Returns!D87)*(1+Returns!D88)*(1+Returns!D89)-1</f>
        <v>0.32867132867132876</v>
      </c>
      <c r="E92" s="15">
        <f>(1+Returns!E84)*(1+Returns!E85)*(1+Returns!E86)*(1+Returns!E87)*(1+Returns!E88)*(1+Returns!E89)-1</f>
        <v>-7.6890243902439148E-2</v>
      </c>
      <c r="F92" s="15">
        <f>(1+Returns!F84)*(1+Returns!F85)*(1+Returns!F86)*(1+Returns!F87)*(1+Returns!F88)*(1+Returns!F89)-1</f>
        <v>-0.27032258064516113</v>
      </c>
      <c r="G92" s="15">
        <f>(1+Returns!G84)*(1+Returns!G85)*(1+Returns!G86)*(1+Returns!G87)*(1+Returns!G88)*(1+Returns!G89)-1</f>
        <v>0.17475728155339865</v>
      </c>
      <c r="H92" s="15">
        <f>(1+Returns!H84)*(1+Returns!H85)*(1+Returns!H86)*(1+Returns!H87)*(1+Returns!H88)*(1+Returns!H89)-1</f>
        <v>-0.35865546218487399</v>
      </c>
      <c r="I92" s="15">
        <f>(1+Returns!I84)*(1+Returns!I85)*(1+Returns!I86)*(1+Returns!I87)*(1+Returns!I88)*(1+Returns!I89)-1</f>
        <v>5.8764360209648814E-3</v>
      </c>
      <c r="J92" s="15">
        <f>(1+Returns!J84)*(1+Returns!J85)*(1+Returns!J86)*(1+Returns!J87)*(1+Returns!J88)*(1+Returns!J89)-1</f>
        <v>-2.0976686392350508E-2</v>
      </c>
    </row>
    <row r="93" spans="1:10" ht="15" customHeight="1" x14ac:dyDescent="0.25">
      <c r="A93">
        <v>89</v>
      </c>
      <c r="B93" s="12">
        <f>Returns!A90</f>
        <v>44682</v>
      </c>
      <c r="C93" s="15">
        <f>(1+Returns!C85)*(1+Returns!C86)*(1+Returns!C87)*(1+Returns!C88)*(1+Returns!C89)*(1+Returns!C90)-1</f>
        <v>-0.11908453303802125</v>
      </c>
      <c r="D93" s="15">
        <f>(1+Returns!D85)*(1+Returns!D86)*(1+Returns!D87)*(1+Returns!D88)*(1+Returns!D89)*(1+Returns!D90)-1</f>
        <v>0.17027027027027053</v>
      </c>
      <c r="E93" s="15">
        <f>(1+Returns!E85)*(1+Returns!E86)*(1+Returns!E87)*(1+Returns!E88)*(1+Returns!E89)*(1+Returns!E90)-1</f>
        <v>-0.14974522292993608</v>
      </c>
      <c r="F93" s="15">
        <f>(1+Returns!F85)*(1+Returns!F86)*(1+Returns!F87)*(1+Returns!F88)*(1+Returns!F89)*(1+Returns!F90)-1</f>
        <v>-0.34214186369958255</v>
      </c>
      <c r="G93" s="15">
        <f>(1+Returns!G85)*(1+Returns!G86)*(1+Returns!G87)*(1+Returns!G88)*(1+Returns!G89)*(1+Returns!G90)-1</f>
        <v>0.13432835820895561</v>
      </c>
      <c r="H93" s="15">
        <f>(1+Returns!H85)*(1+Returns!H86)*(1+Returns!H87)*(1+Returns!H88)*(1+Returns!H89)*(1+Returns!H90)-1</f>
        <v>-0.34195121951219498</v>
      </c>
      <c r="I93" s="15">
        <f>(1+Returns!I85)*(1+Returns!I86)*(1+Returns!I87)*(1+Returns!I88)*(1+Returns!I89)*(1+Returns!I90)-1</f>
        <v>-5.8421052631578929E-2</v>
      </c>
      <c r="J93" s="15">
        <f>(1+Returns!J85)*(1+Returns!J86)*(1+Returns!J87)*(1+Returns!J88)*(1+Returns!J89)*(1+Returns!J90)-1</f>
        <v>-4.424527837225356E-2</v>
      </c>
    </row>
    <row r="94" spans="1:10" ht="15" customHeight="1" x14ac:dyDescent="0.25">
      <c r="A94">
        <v>90</v>
      </c>
      <c r="B94" s="12">
        <f>Returns!A91</f>
        <v>44713</v>
      </c>
      <c r="C94" s="15">
        <f>(1+Returns!C86)*(1+Returns!C87)*(1+Returns!C88)*(1+Returns!C89)*(1+Returns!C90)*(1+Returns!C91)-1</f>
        <v>-0.16117125984251979</v>
      </c>
      <c r="D94" s="15">
        <f>(1+Returns!D86)*(1+Returns!D87)*(1+Returns!D88)*(1+Returns!D89)*(1+Returns!D90)*(1+Returns!D91)-1</f>
        <v>0.16769614929688514</v>
      </c>
      <c r="E94" s="15">
        <f>(1+Returns!E86)*(1+Returns!E87)*(1+Returns!E88)*(1+Returns!E89)*(1+Returns!E90)*(1+Returns!E91)-1</f>
        <v>-0.19465275513531133</v>
      </c>
      <c r="F94" s="15">
        <f>(1+Returns!F86)*(1+Returns!F87)*(1+Returns!F88)*(1+Returns!F89)*(1+Returns!F90)*(1+Returns!F91)-1</f>
        <v>-0.32870097750559402</v>
      </c>
      <c r="G94" s="15">
        <f>(1+Returns!G86)*(1+Returns!G87)*(1+Returns!G88)*(1+Returns!G89)*(1+Returns!G90)*(1+Returns!G91)-1</f>
        <v>9.9142230201476389E-2</v>
      </c>
      <c r="H94" s="15">
        <f>(1+Returns!H86)*(1+Returns!H87)*(1+Returns!H88)*(1+Returns!H89)*(1+Returns!H90)*(1+Returns!H91)-1</f>
        <v>-0.36292642827784627</v>
      </c>
      <c r="I94" s="15">
        <f>(1+Returns!I86)*(1+Returns!I87)*(1+Returns!I88)*(1+Returns!I89)*(1+Returns!I90)*(1+Returns!I91)-1</f>
        <v>4.9540486160204456E-2</v>
      </c>
      <c r="J94" s="15">
        <f>(1+Returns!J86)*(1+Returns!J87)*(1+Returns!J88)*(1+Returns!J89)*(1+Returns!J90)*(1+Returns!J91)-1</f>
        <v>-6.8509175808540768E-2</v>
      </c>
    </row>
    <row r="95" spans="1:10" ht="15" customHeight="1" x14ac:dyDescent="0.25">
      <c r="A95">
        <v>91</v>
      </c>
      <c r="B95" s="12">
        <f>Returns!A92</f>
        <v>44743</v>
      </c>
      <c r="C95" s="15">
        <f>(1+Returns!C87)*(1+Returns!C88)*(1+Returns!C89)*(1+Returns!C90)*(1+Returns!C91)*(1+Returns!C92)-1</f>
        <v>-0.13537819174562382</v>
      </c>
      <c r="D95" s="15">
        <f>(1+Returns!D87)*(1+Returns!D88)*(1+Returns!D89)*(1+Returns!D90)*(1+Returns!D91)*(1+Returns!D92)-1</f>
        <v>-3.658536585365868E-2</v>
      </c>
      <c r="E95" s="15">
        <f>(1+Returns!E87)*(1+Returns!E88)*(1+Returns!E89)*(1+Returns!E90)*(1+Returns!E91)*(1+Returns!E92)-1</f>
        <v>-0.24007444168734482</v>
      </c>
      <c r="F95" s="15">
        <f>(1+Returns!F87)*(1+Returns!F88)*(1+Returns!F89)*(1+Returns!F90)*(1+Returns!F91)*(1+Returns!F92)-1</f>
        <v>-0.39511013215859025</v>
      </c>
      <c r="G95" s="15">
        <f>(1+Returns!G87)*(1+Returns!G88)*(1+Returns!G89)*(1+Returns!G90)*(1+Returns!G91)*(1+Returns!G92)-1</f>
        <v>-3.0805243445692465E-2</v>
      </c>
      <c r="H95" s="15">
        <f>(1+Returns!H87)*(1+Returns!H88)*(1+Returns!H89)*(1+Returns!H90)*(1+Returns!H91)*(1+Returns!H92)-1</f>
        <v>-0.34700485698866712</v>
      </c>
      <c r="I95" s="15">
        <f>(1+Returns!I87)*(1+Returns!I88)*(1+Returns!I89)*(1+Returns!I90)*(1+Returns!I91)*(1+Returns!I92)-1</f>
        <v>-3.5470379586001188E-3</v>
      </c>
      <c r="J95" s="15">
        <f>(1+Returns!J87)*(1+Returns!J88)*(1+Returns!J89)*(1+Returns!J90)*(1+Returns!J91)*(1+Returns!J92)-1</f>
        <v>-0.11513734091347871</v>
      </c>
    </row>
    <row r="96" spans="1:10" ht="15" customHeight="1" x14ac:dyDescent="0.25">
      <c r="A96">
        <v>92</v>
      </c>
      <c r="B96" s="12">
        <f>Returns!A93</f>
        <v>44774</v>
      </c>
      <c r="C96" s="15">
        <f>(1+Returns!C88)*(1+Returns!C89)*(1+Returns!C90)*(1+Returns!C91)*(1+Returns!C92)*(1+Returns!C93)-1</f>
        <v>-4.3636076698493009E-2</v>
      </c>
      <c r="D96" s="15">
        <f>(1+Returns!D88)*(1+Returns!D89)*(1+Returns!D90)*(1+Returns!D91)*(1+Returns!D92)*(1+Returns!D93)-1</f>
        <v>-5.0169109357384278E-2</v>
      </c>
      <c r="E96" s="15">
        <f>(1+Returns!E88)*(1+Returns!E89)*(1+Returns!E90)*(1+Returns!E91)*(1+Returns!E92)*(1+Returns!E93)-1</f>
        <v>-0.23960647413519509</v>
      </c>
      <c r="F96" s="15">
        <f>(1+Returns!F88)*(1+Returns!F89)*(1+Returns!F90)*(1+Returns!F91)*(1+Returns!F92)*(1+Returns!F93)-1</f>
        <v>-0.20839694656488528</v>
      </c>
      <c r="G96" s="15">
        <f>(1+Returns!G88)*(1+Returns!G89)*(1+Returns!G90)*(1+Returns!G91)*(1+Returns!G92)*(1+Returns!G93)-1</f>
        <v>-5.2598052598052614E-2</v>
      </c>
      <c r="H96" s="15">
        <f>(1+Returns!H88)*(1+Returns!H89)*(1+Returns!H90)*(1+Returns!H91)*(1+Returns!H92)*(1+Returns!H93)-1</f>
        <v>-0.23592461719670188</v>
      </c>
      <c r="I96" s="15">
        <f>(1+Returns!I88)*(1+Returns!I89)*(1+Returns!I90)*(1+Returns!I91)*(1+Returns!I92)*(1+Returns!I93)-1</f>
        <v>-5.5860023128362468E-2</v>
      </c>
      <c r="J96" s="15">
        <f>(1+Returns!J88)*(1+Returns!J89)*(1+Returns!J90)*(1+Returns!J91)*(1+Returns!J92)*(1+Returns!J93)-1</f>
        <v>-4.745416264722746E-2</v>
      </c>
    </row>
    <row r="97" spans="1:10" ht="15" customHeight="1" x14ac:dyDescent="0.25">
      <c r="A97">
        <v>93</v>
      </c>
      <c r="B97" s="12">
        <f>Returns!A94</f>
        <v>44805</v>
      </c>
      <c r="C97" s="15">
        <f>(1+Returns!C89)*(1+Returns!C90)*(1+Returns!C91)*(1+Returns!C92)*(1+Returns!C93)*(1+Returns!C94)-1</f>
        <v>-7.8118437631247262E-2</v>
      </c>
      <c r="D97" s="15">
        <f>(1+Returns!D89)*(1+Returns!D90)*(1+Returns!D91)*(1+Returns!D92)*(1+Returns!D93)*(1+Returns!D94)-1</f>
        <v>-0.14983109948785012</v>
      </c>
      <c r="E97" s="15">
        <f>(1+Returns!E89)*(1+Returns!E90)*(1+Returns!E91)*(1+Returns!E92)*(1+Returns!E93)*(1+Returns!E94)-1</f>
        <v>-0.18302897157764642</v>
      </c>
      <c r="F97" s="15">
        <f>(1+Returns!F89)*(1+Returns!F90)*(1+Returns!F91)*(1+Returns!F92)*(1+Returns!F93)*(1+Returns!F94)-1</f>
        <v>-0.21967470731515659</v>
      </c>
      <c r="G97" s="15">
        <f>(1+Returns!G89)*(1+Returns!G90)*(1+Returns!G91)*(1+Returns!G92)*(1+Returns!G93)*(1+Returns!G94)-1</f>
        <v>-0.10755813953488358</v>
      </c>
      <c r="H97" s="15">
        <f>(1+Returns!H89)*(1+Returns!H90)*(1+Returns!H91)*(1+Returns!H92)*(1+Returns!H93)*(1+Returns!H94)-1</f>
        <v>-0.21710526315789469</v>
      </c>
      <c r="I97" s="15">
        <f>(1+Returns!I89)*(1+Returns!I90)*(1+Returns!I91)*(1+Returns!I92)*(1+Returns!I93)*(1+Returns!I94)-1</f>
        <v>-0.11049920962725013</v>
      </c>
      <c r="J97" s="15">
        <f>(1+Returns!J89)*(1+Returns!J90)*(1+Returns!J91)*(1+Returns!J92)*(1+Returns!J93)*(1+Returns!J94)-1</f>
        <v>-8.4581770769459164E-2</v>
      </c>
    </row>
    <row r="98" spans="1:10" ht="15" customHeight="1" x14ac:dyDescent="0.25">
      <c r="A98">
        <v>94</v>
      </c>
      <c r="B98" s="12">
        <f>Returns!A95</f>
        <v>44835</v>
      </c>
      <c r="C98" s="15">
        <f>(1+Returns!C90)*(1+Returns!C91)*(1+Returns!C92)*(1+Returns!C93)*(1+Returns!C94)*(1+Returns!C95)-1</f>
        <v>-0.16712500982163891</v>
      </c>
      <c r="D98" s="15">
        <f>(1+Returns!D90)*(1+Returns!D91)*(1+Returns!D92)*(1+Returns!D93)*(1+Returns!D94)*(1+Returns!D95)-1</f>
        <v>-0.14842105263157879</v>
      </c>
      <c r="E98" s="15">
        <f>(1+Returns!E90)*(1+Returns!E91)*(1+Returns!E92)*(1+Returns!E93)*(1+Returns!E94)*(1+Returns!E95)-1</f>
        <v>-0.19420040953827844</v>
      </c>
      <c r="F98" s="15">
        <f>(1+Returns!F90)*(1+Returns!F91)*(1+Returns!F92)*(1+Returns!F93)*(1+Returns!F94)*(1+Returns!F95)-1</f>
        <v>-0.14060123784261702</v>
      </c>
      <c r="G98" s="15">
        <f>(1+Returns!G90)*(1+Returns!G91)*(1+Returns!G92)*(1+Returns!G93)*(1+Returns!G94)*(1+Returns!G95)-1</f>
        <v>-0.14586776859504114</v>
      </c>
      <c r="H98" s="15">
        <f>(1+Returns!H90)*(1+Returns!H91)*(1+Returns!H92)*(1+Returns!H93)*(1+Returns!H94)*(1+Returns!H95)-1</f>
        <v>-0.324554507337526</v>
      </c>
      <c r="I98" s="15">
        <f>(1+Returns!I90)*(1+Returns!I91)*(1+Returns!I92)*(1+Returns!I93)*(1+Returns!I94)*(1+Returns!I95)-1</f>
        <v>-1.7526315789473945E-2</v>
      </c>
      <c r="J98" s="15">
        <f>(1+Returns!J90)*(1+Returns!J91)*(1+Returns!J92)*(1+Returns!J93)*(1+Returns!J94)*(1+Returns!J95)-1</f>
        <v>-8.8061921691354517E-2</v>
      </c>
    </row>
    <row r="99" spans="1:10" ht="15" customHeight="1" x14ac:dyDescent="0.25">
      <c r="A99">
        <v>95</v>
      </c>
      <c r="B99" s="12">
        <f>Returns!A96</f>
        <v>44866</v>
      </c>
      <c r="C99" s="15">
        <f>(1+Returns!C91)*(1+Returns!C92)*(1+Returns!C93)*(1+Returns!C94)*(1+Returns!C95)*(1+Returns!C96)-1</f>
        <v>-8.0204492122024629E-2</v>
      </c>
      <c r="D99" s="15">
        <f>(1+Returns!D91)*(1+Returns!D92)*(1+Returns!D93)*(1+Returns!D94)*(1+Returns!D95)*(1+Returns!D96)-1</f>
        <v>-6.3510392609699817E-2</v>
      </c>
      <c r="E99" s="15">
        <f>(1+Returns!E91)*(1+Returns!E92)*(1+Returns!E93)*(1+Returns!E94)*(1+Returns!E95)*(1+Returns!E96)-1</f>
        <v>-0.10517641770919162</v>
      </c>
      <c r="F99" s="15">
        <f>(1+Returns!F91)*(1+Returns!F92)*(1+Returns!F93)*(1+Returns!F94)*(1+Returns!F95)*(1+Returns!F96)-1</f>
        <v>0</v>
      </c>
      <c r="G99" s="15">
        <f>(1+Returns!G91)*(1+Returns!G92)*(1+Returns!G93)*(1+Returns!G94)*(1+Returns!G95)*(1+Returns!G96)-1</f>
        <v>-0.10140350877192972</v>
      </c>
      <c r="H99" s="15">
        <f>(1+Returns!H91)*(1+Returns!H92)*(1+Returns!H93)*(1+Returns!H94)*(1+Returns!H95)*(1+Returns!H96)-1</f>
        <v>-0.13194959229058567</v>
      </c>
      <c r="I99" s="15">
        <f>(1+Returns!I91)*(1+Returns!I92)*(1+Returns!I93)*(1+Returns!I94)*(1+Returns!I95)*(1+Returns!I96)-1</f>
        <v>3.6556735606483759E-2</v>
      </c>
      <c r="J99" s="15">
        <f>(1+Returns!J91)*(1+Returns!J92)*(1+Returns!J93)*(1+Returns!J94)*(1+Returns!J95)*(1+Returns!J96)-1</f>
        <v>-1.6934575169679889E-2</v>
      </c>
    </row>
    <row r="100" spans="1:10" ht="15" customHeight="1" x14ac:dyDescent="0.25">
      <c r="A100">
        <v>96</v>
      </c>
      <c r="B100" s="12">
        <f>Returns!A97</f>
        <v>44896</v>
      </c>
      <c r="C100" s="15">
        <f>(1+Returns!C92)*(1+Returns!C93)*(1+Returns!C94)*(1+Returns!C95)*(1+Returns!C96)*(1+Returns!C97)-1</f>
        <v>-2.6694045174537662E-2</v>
      </c>
      <c r="D100" s="15">
        <f>(1+Returns!D92)*(1+Returns!D93)*(1+Returns!D94)*(1+Returns!D95)*(1+Returns!D96)*(1+Returns!D97)-1</f>
        <v>-0.13460889138998311</v>
      </c>
      <c r="E100" s="15">
        <f>(1+Returns!E92)*(1+Returns!E93)*(1+Returns!E94)*(1+Returns!E95)*(1+Returns!E96)*(1+Returns!E97)-1</f>
        <v>-6.8825910931174072E-2</v>
      </c>
      <c r="F100" s="15">
        <f>(1+Returns!F92)*(1+Returns!F93)*(1+Returns!F94)*(1+Returns!F95)*(1+Returns!F96)*(1+Returns!F97)-1</f>
        <v>-2.1929824561403355E-2</v>
      </c>
      <c r="G100" s="15">
        <f>(1+Returns!G92)*(1+Returns!G93)*(1+Returns!G94)*(1+Returns!G95)*(1+Returns!G96)*(1+Returns!G97)-1</f>
        <v>-0.10426497277676938</v>
      </c>
      <c r="H100" s="15">
        <f>(1+Returns!H92)*(1+Returns!H93)*(1+Returns!H94)*(1+Returns!H95)*(1+Returns!H96)*(1+Returns!H97)-1</f>
        <v>-0.22016129032258058</v>
      </c>
      <c r="I100" s="15">
        <f>(1+Returns!I92)*(1+Returns!I93)*(1+Returns!I94)*(1+Returns!I95)*(1+Returns!I96)*(1+Returns!I97)-1</f>
        <v>-9.3264248704663322E-2</v>
      </c>
      <c r="J100" s="15">
        <f>(1+Returns!J92)*(1+Returns!J93)*(1+Returns!J94)*(1+Returns!J95)*(1+Returns!J96)*(1+Returns!J97)-1</f>
        <v>-2.6970573288978561E-2</v>
      </c>
    </row>
    <row r="101" spans="1:10" ht="15" customHeight="1" x14ac:dyDescent="0.25">
      <c r="A101">
        <v>97</v>
      </c>
      <c r="B101" s="12">
        <f>Returns!A98</f>
        <v>44927</v>
      </c>
      <c r="C101" s="15">
        <f>(1+Returns!C93)*(1+Returns!C94)*(1+Returns!C95)*(1+Returns!C96)*(1+Returns!C97)*(1+Returns!C98)-1</f>
        <v>-0.14097325408618133</v>
      </c>
      <c r="D101" s="15">
        <f>(1+Returns!D93)*(1+Returns!D94)*(1+Returns!D95)*(1+Returns!D96)*(1+Returns!D97)*(1+Returns!D98)-1</f>
        <v>3.4177215189873156E-2</v>
      </c>
      <c r="E101" s="15">
        <f>(1+Returns!E93)*(1+Returns!E94)*(1+Returns!E95)*(1+Returns!E96)*(1+Returns!E97)*(1+Returns!E98)-1</f>
        <v>-7.6571428571428513E-2</v>
      </c>
      <c r="F101" s="15">
        <f>(1+Returns!F93)*(1+Returns!F94)*(1+Returns!F95)*(1+Returns!F96)*(1+Returns!F97)*(1+Returns!F98)-1</f>
        <v>-7.112858980894754E-3</v>
      </c>
      <c r="G101" s="15">
        <f>(1+Returns!G93)*(1+Returns!G94)*(1+Returns!G95)*(1+Returns!G96)*(1+Returns!G97)*(1+Returns!G98)-1</f>
        <v>8.6948120954510877E-4</v>
      </c>
      <c r="H101" s="15">
        <f>(1+Returns!H93)*(1+Returns!H94)*(1+Returns!H95)*(1+Returns!H96)*(1+Returns!H97)*(1+Returns!H98)-1</f>
        <v>-0.20578512396694226</v>
      </c>
      <c r="I101" s="15">
        <f>(1+Returns!I93)*(1+Returns!I94)*(1+Returns!I95)*(1+Returns!I96)*(1+Returns!I97)*(1+Returns!I98)-1</f>
        <v>-0.10386781425990876</v>
      </c>
      <c r="J101" s="15">
        <f>(1+Returns!J93)*(1+Returns!J94)*(1+Returns!J95)*(1+Returns!J96)*(1+Returns!J97)*(1+Returns!J98)-1</f>
        <v>1.3018563220853041E-2</v>
      </c>
    </row>
    <row r="102" spans="1:10" ht="15" customHeight="1" x14ac:dyDescent="0.25">
      <c r="A102">
        <v>98</v>
      </c>
      <c r="B102" s="12">
        <f>Returns!A99</f>
        <v>44958</v>
      </c>
      <c r="C102" s="15">
        <f>(1+Returns!C94)*(1+Returns!C95)*(1+Returns!C96)*(1+Returns!C97)*(1+Returns!C98)*(1+Returns!C99)-1</f>
        <v>-0.21658415841584155</v>
      </c>
      <c r="D102" s="15">
        <f>(1+Returns!D94)*(1+Returns!D95)*(1+Returns!D96)*(1+Returns!D97)*(1+Returns!D98)*(1+Returns!D99)-1</f>
        <v>3.7982195845698286E-3</v>
      </c>
      <c r="E102" s="15">
        <f>(1+Returns!E94)*(1+Returns!E95)*(1+Returns!E96)*(1+Returns!E97)*(1+Returns!E98)*(1+Returns!E99)-1</f>
        <v>-2.5041736227045086E-2</v>
      </c>
      <c r="F102" s="15">
        <f>(1+Returns!F94)*(1+Returns!F95)*(1+Returns!F96)*(1+Returns!F97)*(1+Returns!F98)*(1+Returns!F99)-1</f>
        <v>-0.20250723240115709</v>
      </c>
      <c r="G102" s="15">
        <f>(1+Returns!G94)*(1+Returns!G95)*(1+Returns!G96)*(1+Returns!G97)*(1+Returns!G98)*(1+Returns!G99)-1</f>
        <v>-2.2668331572375244E-2</v>
      </c>
      <c r="H102" s="15">
        <f>(1+Returns!H94)*(1+Returns!H95)*(1+Returns!H96)*(1+Returns!H97)*(1+Returns!H98)*(1+Returns!H99)-1</f>
        <v>-0.19454293201788209</v>
      </c>
      <c r="I102" s="15">
        <f>(1+Returns!I94)*(1+Returns!I95)*(1+Returns!I96)*(1+Returns!I97)*(1+Returns!I98)*(1+Returns!I99)-1</f>
        <v>-0.15001597614229423</v>
      </c>
      <c r="J102" s="15">
        <f>(1+Returns!J94)*(1+Returns!J95)*(1+Returns!J96)*(1+Returns!J97)*(1+Returns!J98)*(1+Returns!J99)-1</f>
        <v>-4.3464699305685861E-2</v>
      </c>
    </row>
    <row r="103" spans="1:10" ht="15" customHeight="1" x14ac:dyDescent="0.25">
      <c r="A103">
        <v>99</v>
      </c>
      <c r="B103" s="12">
        <f>Returns!A100</f>
        <v>44986</v>
      </c>
      <c r="C103" s="15">
        <f>(1+Returns!C95)*(1+Returns!C96)*(1+Returns!C97)*(1+Returns!C98)*(1+Returns!C99)*(1+Returns!C100)-1</f>
        <v>-0.13530751708428257</v>
      </c>
      <c r="D103" s="15">
        <f>(1+Returns!D95)*(1+Returns!D96)*(1+Returns!D97)*(1+Returns!D98)*(1+Returns!D99)*(1+Returns!D100)-1</f>
        <v>8.7541655985644784E-2</v>
      </c>
      <c r="E103" s="15">
        <f>(1+Returns!E95)*(1+Returns!E96)*(1+Returns!E97)*(1+Returns!E98)*(1+Returns!E99)*(1+Returns!E100)-1</f>
        <v>-3.3697478991596808E-2</v>
      </c>
      <c r="F103" s="15">
        <f>(1+Returns!F95)*(1+Returns!F96)*(1+Returns!F97)*(1+Returns!F98)*(1+Returns!F99)*(1+Returns!F100)-1</f>
        <v>-0.18438859352344117</v>
      </c>
      <c r="G103" s="15">
        <f>(1+Returns!G95)*(1+Returns!G96)*(1+Returns!G97)*(1+Returns!G98)*(1+Returns!G99)*(1+Returns!G100)-1</f>
        <v>-1.4115092290987619E-2</v>
      </c>
      <c r="H103" s="15">
        <f>(1+Returns!H95)*(1+Returns!H96)*(1+Returns!H97)*(1+Returns!H98)*(1+Returns!H99)*(1+Returns!H100)-1</f>
        <v>-0.23529411764705888</v>
      </c>
      <c r="I103" s="15">
        <f>(1+Returns!I95)*(1+Returns!I96)*(1+Returns!I97)*(1+Returns!I98)*(1+Returns!I99)*(1+Returns!I100)-1</f>
        <v>-3.2446686539784331E-2</v>
      </c>
      <c r="J103" s="15">
        <f>(1+Returns!J95)*(1+Returns!J96)*(1+Returns!J97)*(1+Returns!J98)*(1+Returns!J99)*(1+Returns!J100)-1</f>
        <v>-2.742223368759511E-2</v>
      </c>
    </row>
    <row r="104" spans="1:10" ht="15" customHeight="1" x14ac:dyDescent="0.25">
      <c r="A104">
        <v>100</v>
      </c>
      <c r="B104" s="12">
        <f>Returns!A101</f>
        <v>45017</v>
      </c>
      <c r="C104" s="15">
        <f>(1+Returns!C96)*(1+Returns!C97)*(1+Returns!C98)*(1+Returns!C99)*(1+Returns!C100)*(1+Returns!C101)-1</f>
        <v>-6.311320754716998E-2</v>
      </c>
      <c r="D104" s="15">
        <f>(1+Returns!D96)*(1+Returns!D97)*(1+Returns!D98)*(1+Returns!D99)*(1+Returns!D100)*(1+Returns!D101)-1</f>
        <v>3.9555006180469698E-2</v>
      </c>
      <c r="E104" s="15">
        <f>(1+Returns!E96)*(1+Returns!E97)*(1+Returns!E98)*(1+Returns!E99)*(1+Returns!E100)*(1+Returns!E101)-1</f>
        <v>-1.6312812525616671E-2</v>
      </c>
      <c r="F104" s="15">
        <f>(1+Returns!F96)*(1+Returns!F97)*(1+Returns!F98)*(1+Returns!F99)*(1+Returns!F100)*(1+Returns!F101)-1</f>
        <v>-0.17284306261445714</v>
      </c>
      <c r="G104" s="15">
        <f>(1+Returns!G96)*(1+Returns!G97)*(1+Returns!G98)*(1+Returns!G99)*(1+Returns!G100)*(1+Returns!G101)-1</f>
        <v>-3.3865505563616116E-3</v>
      </c>
      <c r="H104" s="15">
        <f>(1+Returns!H96)*(1+Returns!H97)*(1+Returns!H98)*(1+Returns!H99)*(1+Returns!H100)*(1+Returns!H101)-1</f>
        <v>3.7827352085354038E-2</v>
      </c>
      <c r="I104" s="15">
        <f>(1+Returns!I96)*(1+Returns!I97)*(1+Returns!I98)*(1+Returns!I99)*(1+Returns!I100)*(1+Returns!I101)-1</f>
        <v>-5.3677612899769467E-2</v>
      </c>
      <c r="J104" s="15">
        <f>(1+Returns!J96)*(1+Returns!J97)*(1+Returns!J98)*(1+Returns!J99)*(1+Returns!J100)*(1+Returns!J101)-1</f>
        <v>7.662488919089494E-3</v>
      </c>
    </row>
    <row r="105" spans="1:10" ht="15" customHeight="1" x14ac:dyDescent="0.25">
      <c r="A105">
        <v>101</v>
      </c>
      <c r="B105" s="12">
        <f>Returns!A102</f>
        <v>45047</v>
      </c>
      <c r="C105" s="15">
        <f>(1+Returns!C97)*(1+Returns!C98)*(1+Returns!C99)*(1+Returns!C100)*(1+Returns!C101)*(1+Returns!C102)-1</f>
        <v>-0.19088838268792729</v>
      </c>
      <c r="D105" s="15">
        <f>(1+Returns!D97)*(1+Returns!D98)*(1+Returns!D99)*(1+Returns!D100)*(1+Returns!D101)*(1+Returns!D102)-1</f>
        <v>6.0419235511713909E-2</v>
      </c>
      <c r="E105" s="15">
        <f>(1+Returns!E97)*(1+Returns!E98)*(1+Returns!E99)*(1+Returns!E100)*(1+Returns!E101)*(1+Returns!E102)-1</f>
        <v>-3.3235663457513498E-2</v>
      </c>
      <c r="F105" s="15">
        <f>(1+Returns!F97)*(1+Returns!F98)*(1+Returns!F99)*(1+Returns!F100)*(1+Returns!F101)*(1+Returns!F102)-1</f>
        <v>9.0909090909090828E-2</v>
      </c>
      <c r="G105" s="15">
        <f>(1+Returns!G97)*(1+Returns!G98)*(1+Returns!G99)*(1+Returns!G100)*(1+Returns!G101)*(1+Returns!G102)-1</f>
        <v>-1.2592737212026583E-2</v>
      </c>
      <c r="H105" s="15">
        <f>(1+Returns!H97)*(1+Returns!H98)*(1+Returns!H99)*(1+Returns!H100)*(1+Returns!H101)*(1+Returns!H102)-1</f>
        <v>-0.1689154568744663</v>
      </c>
      <c r="I105" s="15">
        <f>(1+Returns!I97)*(1+Returns!I98)*(1+Returns!I99)*(1+Returns!I100)*(1+Returns!I101)*(1+Returns!I102)-1</f>
        <v>-7.5496117342536584E-2</v>
      </c>
      <c r="J105" s="15">
        <f>(1+Returns!J97)*(1+Returns!J98)*(1+Returns!J99)*(1+Returns!J100)*(1+Returns!J101)*(1+Returns!J102)-1</f>
        <v>-2.3868776864800267E-2</v>
      </c>
    </row>
    <row r="106" spans="1:10" ht="15" customHeight="1" x14ac:dyDescent="0.25">
      <c r="A106">
        <v>102</v>
      </c>
      <c r="B106" s="12">
        <f>Returns!A103</f>
        <v>45078</v>
      </c>
      <c r="C106" s="15">
        <f>(1+Returns!C98)*(1+Returns!C99)*(1+Returns!C100)*(1+Returns!C101)*(1+Returns!C102)*(1+Returns!C103)-1</f>
        <v>-0.13602571830419952</v>
      </c>
      <c r="D106" s="15">
        <f>(1+Returns!D98)*(1+Returns!D99)*(1+Returns!D100)*(1+Returns!D101)*(1+Returns!D102)*(1+Returns!D103)-1</f>
        <v>6.5808297567954366E-2</v>
      </c>
      <c r="E106" s="15">
        <f>(1+Returns!E98)*(1+Returns!E99)*(1+Returns!E100)*(1+Returns!E101)*(1+Returns!E102)*(1+Returns!E103)-1</f>
        <v>-1.0869565217391242E-2</v>
      </c>
      <c r="F106" s="15">
        <f>(1+Returns!F98)*(1+Returns!F99)*(1+Returns!F100)*(1+Returns!F101)*(1+Returns!F102)*(1+Returns!F103)-1</f>
        <v>0.16928251121076232</v>
      </c>
      <c r="G106" s="15">
        <f>(1+Returns!G98)*(1+Returns!G99)*(1+Returns!G100)*(1+Returns!G101)*(1+Returns!G102)*(1+Returns!G103)-1</f>
        <v>-3.1405126127036498E-3</v>
      </c>
      <c r="H106" s="15">
        <f>(1+Returns!H98)*(1+Returns!H99)*(1+Returns!H100)*(1+Returns!H101)*(1+Returns!H102)*(1+Returns!H103)-1</f>
        <v>5.0672182006204602E-2</v>
      </c>
      <c r="I106" s="15">
        <f>(1+Returns!I98)*(1+Returns!I99)*(1+Returns!I100)*(1+Returns!I101)*(1+Returns!I102)*(1+Returns!I103)-1</f>
        <v>-4.1257142857142659E-2</v>
      </c>
      <c r="J106" s="15">
        <f>(1+Returns!J98)*(1+Returns!J99)*(1+Returns!J100)*(1+Returns!J101)*(1+Returns!J102)*(1+Returns!J103)-1</f>
        <v>2.5537320836359179E-2</v>
      </c>
    </row>
    <row r="107" spans="1:10" ht="15" customHeight="1" x14ac:dyDescent="0.25">
      <c r="A107">
        <v>103</v>
      </c>
      <c r="B107" s="12">
        <f>Returns!A104</f>
        <v>45108</v>
      </c>
      <c r="C107" s="15">
        <f>(1+Returns!C99)*(1+Returns!C100)*(1+Returns!C101)*(1+Returns!C102)*(1+Returns!C103)*(1+Returns!C104)-1</f>
        <v>0.42810810810810773</v>
      </c>
      <c r="D107" s="15">
        <f>(1+Returns!D99)*(1+Returns!D100)*(1+Returns!D101)*(1+Returns!D102)*(1+Returns!D103)*(1+Returns!D104)-1</f>
        <v>4.8959608323135839E-3</v>
      </c>
      <c r="E107" s="15">
        <f>(1+Returns!E99)*(1+Returns!E100)*(1+Returns!E101)*(1+Returns!E102)*(1+Returns!E103)*(1+Returns!E104)-1</f>
        <v>0.30357142857142883</v>
      </c>
      <c r="F107" s="15">
        <f>(1+Returns!F99)*(1+Returns!F100)*(1+Returns!F101)*(1+Returns!F102)*(1+Returns!F103)*(1+Returns!F104)-1</f>
        <v>0.44132029339853274</v>
      </c>
      <c r="G107" s="15">
        <f>(1+Returns!G99)*(1+Returns!G100)*(1+Returns!G101)*(1+Returns!G102)*(1+Returns!G103)*(1+Returns!G104)-1</f>
        <v>-2.7316602316602379E-2</v>
      </c>
      <c r="H107" s="15">
        <f>(1+Returns!H99)*(1+Returns!H100)*(1+Returns!H101)*(1+Returns!H102)*(1+Returns!H103)*(1+Returns!H104)-1</f>
        <v>0.4724245577523416</v>
      </c>
      <c r="I107" s="15">
        <f>(1+Returns!I99)*(1+Returns!I100)*(1+Returns!I101)*(1+Returns!I102)*(1+Returns!I103)*(1+Returns!I104)-1</f>
        <v>5.7271595423015409E-2</v>
      </c>
      <c r="J107" s="15">
        <f>(1+Returns!J99)*(1+Returns!J100)*(1+Returns!J101)*(1+Returns!J102)*(1+Returns!J103)*(1+Returns!J104)-1</f>
        <v>0.18099277507028022</v>
      </c>
    </row>
    <row r="108" spans="1:10" ht="15" customHeight="1" x14ac:dyDescent="0.25">
      <c r="A108">
        <v>104</v>
      </c>
      <c r="B108" s="12">
        <f>Returns!A105</f>
        <v>45139</v>
      </c>
      <c r="C108" s="15">
        <f>(1+Returns!C100)*(1+Returns!C101)*(1+Returns!C102)*(1+Returns!C103)*(1+Returns!C104)*(1+Returns!C105)-1</f>
        <v>0.22169562927856745</v>
      </c>
      <c r="D108" s="15">
        <f>(1+Returns!D100)*(1+Returns!D101)*(1+Returns!D102)*(1+Returns!D103)*(1+Returns!D104)*(1+Returns!D105)-1</f>
        <v>-8.8329194749911299E-2</v>
      </c>
      <c r="E108" s="15">
        <f>(1+Returns!E100)*(1+Returns!E101)*(1+Returns!E102)*(1+Returns!E103)*(1+Returns!E104)*(1+Returns!E105)-1</f>
        <v>0.10667808219178099</v>
      </c>
      <c r="F108" s="15">
        <f>(1+Returns!F100)*(1+Returns!F101)*(1+Returns!F102)*(1+Returns!F103)*(1+Returns!F104)*(1+Returns!F105)-1</f>
        <v>0.34464328899637242</v>
      </c>
      <c r="G108" s="15">
        <f>(1+Returns!G100)*(1+Returns!G101)*(1+Returns!G102)*(1+Returns!G103)*(1+Returns!G104)*(1+Returns!G105)-1</f>
        <v>-6.879606879606881E-2</v>
      </c>
      <c r="H108" s="15">
        <f>(1+Returns!H100)*(1+Returns!H101)*(1+Returns!H102)*(1+Returns!H103)*(1+Returns!H104)*(1+Returns!H105)-1</f>
        <v>0.24401913875598091</v>
      </c>
      <c r="I108" s="15">
        <f>(1+Returns!I100)*(1+Returns!I101)*(1+Returns!I102)*(1+Returns!I103)*(1+Returns!I104)*(1+Returns!I105)-1</f>
        <v>0.11377733224735276</v>
      </c>
      <c r="J108" s="15">
        <f>(1+Returns!J100)*(1+Returns!J101)*(1+Returns!J102)*(1+Returns!J103)*(1+Returns!J104)*(1+Returns!J105)-1</f>
        <v>0.1108861755644297</v>
      </c>
    </row>
    <row r="109" spans="1:10" ht="15" customHeight="1" x14ac:dyDescent="0.25">
      <c r="A109">
        <v>105</v>
      </c>
      <c r="B109" s="12">
        <f>Returns!A106</f>
        <v>45170</v>
      </c>
      <c r="C109" s="15">
        <f>(1+Returns!C101)*(1+Returns!C102)*(1+Returns!C103)*(1+Returns!C104)*(1+Returns!C105)*(1+Returns!C106)-1</f>
        <v>0.20653319283456262</v>
      </c>
      <c r="D109" s="15">
        <f>(1+Returns!D101)*(1+Returns!D102)*(1+Returns!D103)*(1+Returns!D104)*(1+Returns!D105)*(1+Returns!D106)-1</f>
        <v>-0.10430170889805512</v>
      </c>
      <c r="E109" s="15">
        <f>(1+Returns!E101)*(1+Returns!E102)*(1+Returns!E103)*(1+Returns!E104)*(1+Returns!E105)*(1+Returns!E106)-1</f>
        <v>0.12618488564222963</v>
      </c>
      <c r="F109" s="15">
        <f>(1+Returns!F101)*(1+Returns!F102)*(1+Returns!F103)*(1+Returns!F104)*(1+Returns!F105)*(1+Returns!F106)-1</f>
        <v>0.39037037037037026</v>
      </c>
      <c r="G109" s="15">
        <f>(1+Returns!G101)*(1+Returns!G102)*(1+Returns!G103)*(1+Returns!G104)*(1+Returns!G105)*(1+Returns!G106)-1</f>
        <v>-7.1385662795354521E-2</v>
      </c>
      <c r="H109" s="15">
        <f>(1+Returns!H101)*(1+Returns!H102)*(1+Returns!H103)*(1+Returns!H104)*(1+Returns!H105)*(1+Returns!H106)-1</f>
        <v>1.0435164835164836</v>
      </c>
      <c r="I109" s="15">
        <f>(1+Returns!I101)*(1+Returns!I102)*(1+Returns!I103)*(1+Returns!I104)*(1+Returns!I105)*(1+Returns!I106)-1</f>
        <v>2.8202393648536273E-2</v>
      </c>
      <c r="J109" s="15">
        <f>(1+Returns!J101)*(1+Returns!J102)*(1+Returns!J103)*(1+Returns!J104)*(1+Returns!J105)*(1+Returns!J106)-1</f>
        <v>0.15579076734157771</v>
      </c>
    </row>
    <row r="110" spans="1:10" ht="15" customHeight="1" x14ac:dyDescent="0.25">
      <c r="A110">
        <v>106</v>
      </c>
      <c r="B110" s="12">
        <f>Returns!A107</f>
        <v>45200</v>
      </c>
      <c r="C110" s="15">
        <f>(1+Returns!C102)*(1+Returns!C103)*(1+Returns!C104)*(1+Returns!C105)*(1+Returns!C106)*(1+Returns!C107)-1</f>
        <v>0.38445272379417994</v>
      </c>
      <c r="D110" s="15">
        <f>(1+Returns!D102)*(1+Returns!D103)*(1+Returns!D104)*(1+Returns!D105)*(1+Returns!D106)*(1+Returns!D107)-1</f>
        <v>3.2104637336504371E-2</v>
      </c>
      <c r="E110" s="15">
        <f>(1+Returns!E102)*(1+Returns!E103)*(1+Returns!E104)*(1+Returns!E105)*(1+Returns!E106)*(1+Returns!E107)-1</f>
        <v>0.27075000000000005</v>
      </c>
      <c r="F110" s="15">
        <f>(1+Returns!F102)*(1+Returns!F103)*(1+Returns!F104)*(1+Returns!F105)*(1+Returns!F106)*(1+Returns!F107)-1</f>
        <v>0.57964128460906972</v>
      </c>
      <c r="G110" s="15">
        <f>(1+Returns!G102)*(1+Returns!G103)*(1+Returns!G104)*(1+Returns!G105)*(1+Returns!G106)*(1+Returns!G107)-1</f>
        <v>2.4271844660193054E-3</v>
      </c>
      <c r="H110" s="15">
        <f>(1+Returns!H102)*(1+Returns!H103)*(1+Returns!H104)*(1+Returns!H105)*(1+Returns!H106)*(1+Returns!H107)-1</f>
        <v>2.0485981308411216</v>
      </c>
      <c r="I110" s="15">
        <f>(1+Returns!I102)*(1+Returns!I103)*(1+Returns!I104)*(1+Returns!I105)*(1+Returns!I106)*(1+Returns!I107)-1</f>
        <v>-1.0076422303990973E-2</v>
      </c>
      <c r="J110" s="15">
        <f>(1+Returns!J102)*(1+Returns!J103)*(1+Returns!J104)*(1+Returns!J105)*(1+Returns!J106)*(1+Returns!J107)-1</f>
        <v>0.25000595225927302</v>
      </c>
    </row>
    <row r="111" spans="1:10" ht="15" customHeight="1" x14ac:dyDescent="0.25">
      <c r="A111">
        <v>107</v>
      </c>
      <c r="B111" s="12">
        <f>Returns!A108</f>
        <v>45231</v>
      </c>
      <c r="C111" s="15">
        <f>(1+Returns!C103)*(1+Returns!C104)*(1+Returns!C105)*(1+Returns!C106)*(1+Returns!C107)*(1+Returns!C108)-1</f>
        <v>0.73986486486486491</v>
      </c>
      <c r="D111" s="15">
        <f>(1+Returns!D103)*(1+Returns!D104)*(1+Returns!D105)*(1+Returns!D106)*(1+Returns!D107)*(1+Returns!D108)-1</f>
        <v>0.17406976744186076</v>
      </c>
      <c r="E111" s="15">
        <f>(1+Returns!E103)*(1+Returns!E104)*(1+Returns!E105)*(1+Returns!E106)*(1+Returns!E107)*(1+Returns!E108)-1</f>
        <v>0.45046761343955621</v>
      </c>
      <c r="F111" s="15">
        <f>(1+Returns!F103)*(1+Returns!F104)*(1+Returns!F105)*(1+Returns!F106)*(1+Returns!F107)*(1+Returns!F108)-1</f>
        <v>0.52906976744186029</v>
      </c>
      <c r="G111" s="15">
        <f>(1+Returns!G103)*(1+Returns!G104)*(1+Returns!G105)*(1+Returns!G106)*(1+Returns!G107)*(1+Returns!G108)-1</f>
        <v>0.10776075135936702</v>
      </c>
      <c r="H111" s="15">
        <f>(1+Returns!H103)*(1+Returns!H104)*(1+Returns!H105)*(1+Returns!H106)*(1+Returns!H107)*(1+Returns!H108)-1</f>
        <v>2.8224414303329222</v>
      </c>
      <c r="I111" s="15">
        <f>(1+Returns!I103)*(1+Returns!I104)*(1+Returns!I105)*(1+Returns!I106)*(1+Returns!I107)*(1+Returns!I108)-1</f>
        <v>0.10569295380307997</v>
      </c>
      <c r="J111" s="15">
        <f>(1+Returns!J103)*(1+Returns!J104)*(1+Returns!J105)*(1+Returns!J106)*(1+Returns!J107)*(1+Returns!J108)-1</f>
        <v>0.46419840233471388</v>
      </c>
    </row>
    <row r="112" spans="1:10" ht="15" customHeight="1" x14ac:dyDescent="0.25">
      <c r="A112">
        <v>108</v>
      </c>
      <c r="B112" s="12">
        <f>Returns!A109</f>
        <v>45261</v>
      </c>
      <c r="C112" s="15">
        <f>(1+Returns!C104)*(1+Returns!C105)*(1+Returns!C106)*(1+Returns!C107)*(1+Returns!C108)*(1+Returns!C109)-1</f>
        <v>0.87197674418604665</v>
      </c>
      <c r="D112" s="15">
        <f>(1+Returns!D104)*(1+Returns!D105)*(1+Returns!D106)*(1+Returns!D107)*(1+Returns!D108)*(1+Returns!D109)-1</f>
        <v>0.37034777303233679</v>
      </c>
      <c r="E112" s="15">
        <f>(1+Returns!E104)*(1+Returns!E105)*(1+Returns!E106)*(1+Returns!E107)*(1+Returns!E108)*(1+Returns!E109)-1</f>
        <v>0.51208791208791182</v>
      </c>
      <c r="F112" s="15">
        <f>(1+Returns!F104)*(1+Returns!F105)*(1+Returns!F106)*(1+Returns!F107)*(1+Returns!F108)*(1+Returns!F109)-1</f>
        <v>0.51486097794822627</v>
      </c>
      <c r="G112" s="15">
        <f>(1+Returns!G104)*(1+Returns!G105)*(1+Returns!G106)*(1+Returns!G107)*(1+Returns!G108)*(1+Returns!G109)-1</f>
        <v>0.151422764227642</v>
      </c>
      <c r="H112" s="15">
        <f>(1+Returns!H104)*(1+Returns!H105)*(1+Returns!H106)*(1+Returns!H107)*(1+Returns!H108)*(1+Returns!H109)-1</f>
        <v>2.4940944881889764</v>
      </c>
      <c r="I112" s="15">
        <f>(1+Returns!I104)*(1+Returns!I105)*(1+Returns!I106)*(1+Returns!I107)*(1+Returns!I108)*(1+Returns!I109)-1</f>
        <v>0.38407438312075315</v>
      </c>
      <c r="J112" s="15">
        <f>(1+Returns!J104)*(1+Returns!J105)*(1+Returns!J106)*(1+Returns!J107)*(1+Returns!J108)*(1+Returns!J109)-1</f>
        <v>0.50656218126306873</v>
      </c>
    </row>
    <row r="113" spans="1:10" ht="15" customHeight="1" x14ac:dyDescent="0.25">
      <c r="A113">
        <v>109</v>
      </c>
      <c r="B113" s="12">
        <f>Returns!A110</f>
        <v>45292</v>
      </c>
      <c r="C113" s="15">
        <f>(1+Returns!C105)*(1+Returns!C106)*(1+Returns!C107)*(1+Returns!C108)*(1+Returns!C109)*(1+Returns!C110)-1</f>
        <v>0.22634367903103692</v>
      </c>
      <c r="D113" s="15">
        <f>(1+Returns!D105)*(1+Returns!D106)*(1+Returns!D107)*(1+Returns!D108)*(1+Returns!D109)*(1+Returns!D110)-1</f>
        <v>0.48599269183922056</v>
      </c>
      <c r="E113" s="15">
        <f>(1+Returns!E105)*(1+Returns!E106)*(1+Returns!E107)*(1+Returns!E108)*(1+Returns!E109)*(1+Returns!E110)-1</f>
        <v>0.21795741217957398</v>
      </c>
      <c r="F113" s="15">
        <f>(1+Returns!F105)*(1+Returns!F106)*(1+Returns!F107)*(1+Returns!F108)*(1+Returns!F109)*(1+Returns!F110)-1</f>
        <v>0.25012722646310448</v>
      </c>
      <c r="G113" s="15">
        <f>(1+Returns!G105)*(1+Returns!G106)*(1+Returns!G107)*(1+Returns!G108)*(1+Returns!G109)*(1+Returns!G110)-1</f>
        <v>0.12136548575965067</v>
      </c>
      <c r="H113" s="15">
        <f>(1+Returns!H105)*(1+Returns!H106)*(1+Returns!H107)*(1+Returns!H108)*(1+Returns!H109)*(1+Returns!H110)-1</f>
        <v>1.985159010600706</v>
      </c>
      <c r="I113" s="15">
        <f>(1+Returns!I105)*(1+Returns!I106)*(1+Returns!I107)*(1+Returns!I108)*(1+Returns!I109)*(1+Returns!I110)-1</f>
        <v>0.40200751415914326</v>
      </c>
      <c r="J113" s="15">
        <f>(1+Returns!J105)*(1+Returns!J106)*(1+Returns!J107)*(1+Returns!J108)*(1+Returns!J109)*(1+Returns!J110)-1</f>
        <v>0.29030309200099302</v>
      </c>
    </row>
    <row r="114" spans="1:10" ht="15" customHeight="1" x14ac:dyDescent="0.25">
      <c r="A114">
        <v>110</v>
      </c>
      <c r="B114" s="12">
        <f>Returns!A111</f>
        <v>45323</v>
      </c>
      <c r="C114" s="15">
        <f>(1+Returns!C106)*(1+Returns!C107)*(1+Returns!C108)*(1+Returns!C109)*(1+Returns!C110)*(1+Returns!C111)-1</f>
        <v>0.6163793103448274</v>
      </c>
      <c r="D114" s="15">
        <f>(1+Returns!D106)*(1+Returns!D107)*(1+Returns!D108)*(1+Returns!D109)*(1+Returns!D110)*(1+Returns!D111)-1</f>
        <v>0.90635538261997417</v>
      </c>
      <c r="E114" s="15">
        <f>(1+Returns!E106)*(1+Returns!E107)*(1+Returns!E108)*(1+Returns!E109)*(1+Returns!E110)*(1+Returns!E111)-1</f>
        <v>0.5395327247408328</v>
      </c>
      <c r="F114" s="15">
        <f>(1+Returns!F106)*(1+Returns!F107)*(1+Returns!F108)*(1+Returns!F109)*(1+Returns!F110)*(1+Returns!F111)-1</f>
        <v>0.34736785309616747</v>
      </c>
      <c r="G114" s="15">
        <f>(1+Returns!G106)*(1+Returns!G107)*(1+Returns!G108)*(1+Returns!G109)*(1+Returns!G110)*(1+Returns!G111)-1</f>
        <v>0.26015831134564626</v>
      </c>
      <c r="H114" s="15">
        <f>(1+Returns!H106)*(1+Returns!H107)*(1+Returns!H108)*(1+Returns!H109)*(1+Returns!H110)*(1+Returns!H111)-1</f>
        <v>4.5538461538461537</v>
      </c>
      <c r="I114" s="15">
        <f>(1+Returns!I106)*(1+Returns!I107)*(1+Returns!I108)*(1+Returns!I109)*(1+Returns!I110)*(1+Returns!I111)-1</f>
        <v>0.46757045620745874</v>
      </c>
      <c r="J114" s="15">
        <f>(1+Returns!J106)*(1+Returns!J107)*(1+Returns!J108)*(1+Returns!J109)*(1+Returns!J110)*(1+Returns!J111)-1</f>
        <v>0.43500136992663219</v>
      </c>
    </row>
    <row r="115" spans="1:10" ht="15" customHeight="1" x14ac:dyDescent="0.25">
      <c r="A115">
        <v>111</v>
      </c>
      <c r="B115" s="12">
        <f>Returns!A112</f>
        <v>45352</v>
      </c>
      <c r="C115" s="15">
        <f>(1+Returns!C107)*(1+Returns!C108)*(1+Returns!C109)*(1+Returns!C110)*(1+Returns!C111)*(1+Returns!C112)-1</f>
        <v>0.87318777292576399</v>
      </c>
      <c r="D115" s="15">
        <f>(1+Returns!D107)*(1+Returns!D108)*(1+Returns!D109)*(1+Returns!D110)*(1+Returns!D111)*(1+Returns!D112)-1</f>
        <v>0.9446052631578945</v>
      </c>
      <c r="E115" s="15">
        <f>(1+Returns!E107)*(1+Returns!E108)*(1+Returns!E109)*(1+Returns!E110)*(1+Returns!E111)*(1+Returns!E112)-1</f>
        <v>0.56756756756756777</v>
      </c>
      <c r="F115" s="15">
        <f>(1+Returns!F107)*(1+Returns!F108)*(1+Returns!F109)*(1+Returns!F110)*(1+Returns!F111)*(1+Returns!F112)-1</f>
        <v>0.35855087906233352</v>
      </c>
      <c r="G115" s="15">
        <f>(1+Returns!G107)*(1+Returns!G108)*(1+Returns!G109)*(1+Returns!G110)*(1+Returns!G111)*(1+Returns!G112)-1</f>
        <v>0.36388140161725047</v>
      </c>
      <c r="H115" s="15">
        <f>(1+Returns!H107)*(1+Returns!H108)*(1+Returns!H109)*(1+Returns!H110)*(1+Returns!H111)*(1+Returns!H112)-1</f>
        <v>3.1729404172940407</v>
      </c>
      <c r="I115" s="15">
        <f>(1+Returns!I107)*(1+Returns!I108)*(1+Returns!I109)*(1+Returns!I110)*(1+Returns!I111)*(1+Returns!I112)-1</f>
        <v>0.61985709346548323</v>
      </c>
      <c r="J115" s="15">
        <f>(1+Returns!J107)*(1+Returns!J108)*(1+Returns!J109)*(1+Returns!J110)*(1+Returns!J111)*(1+Returns!J112)-1</f>
        <v>0.44930470042885307</v>
      </c>
    </row>
    <row r="116" spans="1:10" ht="15" customHeight="1" x14ac:dyDescent="0.25">
      <c r="A116">
        <v>112</v>
      </c>
      <c r="B116" s="12">
        <f>Returns!A113</f>
        <v>45383</v>
      </c>
      <c r="C116" s="15">
        <f>(1+Returns!C108)*(1+Returns!C109)*(1+Returns!C110)*(1+Returns!C111)*(1+Returns!C112)*(1+Returns!C113)-1</f>
        <v>0.55276747399810877</v>
      </c>
      <c r="D116" s="15">
        <f>(1+Returns!D108)*(1+Returns!D109)*(1+Returns!D110)*(1+Returns!D111)*(1+Returns!D112)*(1+Returns!D113)-1</f>
        <v>0.81232718894009248</v>
      </c>
      <c r="E116" s="15">
        <f>(1+Returns!E108)*(1+Returns!E109)*(1+Returns!E110)*(1+Returns!E111)*(1+Returns!E112)*(1+Returns!E113)-1</f>
        <v>0.3741228933044789</v>
      </c>
      <c r="F116" s="15">
        <f>(1+Returns!F108)*(1+Returns!F109)*(1+Returns!F110)*(1+Returns!F111)*(1+Returns!F112)*(1+Returns!F113)-1</f>
        <v>0.31653543307086607</v>
      </c>
      <c r="G116" s="15">
        <f>(1+Returns!G108)*(1+Returns!G109)*(1+Returns!G110)*(1+Returns!G111)*(1+Returns!G112)*(1+Returns!G113)-1</f>
        <v>0.40920096852300225</v>
      </c>
      <c r="H116" s="15">
        <f>(1+Returns!H108)*(1+Returns!H109)*(1+Returns!H110)*(1+Returns!H111)*(1+Returns!H112)*(1+Returns!H113)-1</f>
        <v>3.3041079092581249</v>
      </c>
      <c r="I116" s="15">
        <f>(1+Returns!I108)*(1+Returns!I109)*(1+Returns!I110)*(1+Returns!I111)*(1+Returns!I112)*(1+Returns!I113)-1</f>
        <v>0.73334477040086932</v>
      </c>
      <c r="J116" s="15">
        <f>(1+Returns!J108)*(1+Returns!J109)*(1+Returns!J110)*(1+Returns!J111)*(1+Returns!J112)*(1+Returns!J113)-1</f>
        <v>0.36797995086607727</v>
      </c>
    </row>
    <row r="117" spans="1:10" ht="15" customHeight="1" x14ac:dyDescent="0.25">
      <c r="A117">
        <v>113</v>
      </c>
      <c r="B117" s="12">
        <f>Returns!A114</f>
        <v>45413</v>
      </c>
      <c r="C117" s="15">
        <f>(1+Returns!C109)*(1+Returns!C110)*(1+Returns!C111)*(1+Returns!C112)*(1+Returns!C113)*(1+Returns!C114)-1</f>
        <v>0.59669902912621309</v>
      </c>
      <c r="D117" s="15">
        <f>(1+Returns!D109)*(1+Returns!D110)*(1+Returns!D111)*(1+Returns!D112)*(1+Returns!D113)*(1+Returns!D114)-1</f>
        <v>0.58561949093790266</v>
      </c>
      <c r="E117" s="15">
        <f>(1+Returns!E109)*(1+Returns!E110)*(1+Returns!E111)*(1+Returns!E112)*(1+Returns!E113)*(1+Returns!E114)-1</f>
        <v>0.23582089552238794</v>
      </c>
      <c r="F117" s="15">
        <f>(1+Returns!F109)*(1+Returns!F110)*(1+Returns!F111)*(1+Returns!F112)*(1+Returns!F113)*(1+Returns!F114)-1</f>
        <v>0.13751584283903662</v>
      </c>
      <c r="G117" s="15">
        <f>(1+Returns!G109)*(1+Returns!G110)*(1+Returns!G111)*(1+Returns!G112)*(1+Returns!G113)*(1+Returns!G114)-1</f>
        <v>0.2672913877733154</v>
      </c>
      <c r="H117" s="15">
        <f>(1+Returns!H109)*(1+Returns!H110)*(1+Returns!H111)*(1+Returns!H112)*(1+Returns!H113)*(1+Returns!H114)-1</f>
        <v>3.2265591397849471</v>
      </c>
      <c r="I117" s="15">
        <f>(1+Returns!I109)*(1+Returns!I110)*(1+Returns!I111)*(1+Returns!I112)*(1+Returns!I113)*(1+Returns!I114)-1</f>
        <v>0.63478581979320547</v>
      </c>
      <c r="J117" s="15">
        <f>(1+Returns!J109)*(1+Returns!J110)*(1+Returns!J111)*(1+Returns!J112)*(1+Returns!J113)*(1+Returns!J114)-1</f>
        <v>0.25363504446049223</v>
      </c>
    </row>
    <row r="118" spans="1:10" ht="15" customHeight="1" x14ac:dyDescent="0.25">
      <c r="A118">
        <v>114</v>
      </c>
      <c r="B118" s="12">
        <f>Returns!A115</f>
        <v>45444</v>
      </c>
      <c r="C118" s="15">
        <f>(1+Returns!C110)*(1+Returns!C111)*(1+Returns!C112)*(1+Returns!C113)*(1+Returns!C114)*(1+Returns!C115)-1</f>
        <v>0.48456425864960551</v>
      </c>
      <c r="D118" s="15">
        <f>(1+Returns!D110)*(1+Returns!D111)*(1+Returns!D112)*(1+Returns!D113)*(1+Returns!D114)*(1+Returns!D115)-1</f>
        <v>0.47836153161175465</v>
      </c>
      <c r="E118" s="15">
        <f>(1+Returns!E110)*(1+Returns!E111)*(1+Returns!E112)*(1+Returns!E113)*(1+Returns!E114)*(1+Returns!E115)-1</f>
        <v>0.31976744186046502</v>
      </c>
      <c r="F118" s="15">
        <f>(1+Returns!F110)*(1+Returns!F111)*(1+Returns!F112)*(1+Returns!F113)*(1+Returns!F114)*(1+Returns!F115)-1</f>
        <v>0.14320253164556962</v>
      </c>
      <c r="G118" s="15">
        <f>(1+Returns!G110)*(1+Returns!G111)*(1+Returns!G112)*(1+Returns!G113)*(1+Returns!G114)*(1+Returns!G115)-1</f>
        <v>0.44042365401588701</v>
      </c>
      <c r="H118" s="15">
        <f>(1+Returns!H110)*(1+Returns!H111)*(1+Returns!H112)*(1+Returns!H113)*(1+Returns!H114)*(1+Returns!H115)-1</f>
        <v>3.7012957746478872</v>
      </c>
      <c r="I118" s="15">
        <f>(1+Returns!I110)*(1+Returns!I111)*(1+Returns!I112)*(1+Returns!I113)*(1+Returns!I114)*(1+Returns!I115)-1</f>
        <v>0.29329945741107566</v>
      </c>
      <c r="J118" s="15">
        <f>(1+Returns!J110)*(1+Returns!J111)*(1+Returns!J112)*(1+Returns!J113)*(1+Returns!J114)*(1+Returns!J115)-1</f>
        <v>0.25610334111329469</v>
      </c>
    </row>
    <row r="119" spans="1:10" ht="15" customHeight="1" x14ac:dyDescent="0.25">
      <c r="A119">
        <v>115</v>
      </c>
      <c r="B119" s="12">
        <f>Returns!A116</f>
        <v>45474</v>
      </c>
      <c r="C119" s="15">
        <f>(1+Returns!C111)*(1+Returns!C112)*(1+Returns!C113)*(1+Returns!C114)*(1+Returns!C115)*(1+Returns!C116)-1</f>
        <v>0.469753086419753</v>
      </c>
      <c r="D119" s="15">
        <f>(1+Returns!D111)*(1+Returns!D112)*(1+Returns!D113)*(1+Returns!D114)*(1+Returns!D115)*(1+Returns!D116)-1</f>
        <v>0.37295081967213117</v>
      </c>
      <c r="E119" s="15">
        <f>(1+Returns!E111)*(1+Returns!E112)*(1+Returns!E113)*(1+Returns!E114)*(1+Returns!E115)*(1+Returns!E116)-1</f>
        <v>0.26531180400890864</v>
      </c>
      <c r="F119" s="15">
        <f>(1+Returns!F111)*(1+Returns!F112)*(1+Returns!F113)*(1+Returns!F114)*(1+Returns!F115)*(1+Returns!F116)-1</f>
        <v>0.18325530904403298</v>
      </c>
      <c r="G119" s="15">
        <f>(1+Returns!G111)*(1+Returns!G112)*(1+Returns!G113)*(1+Returns!G114)*(1+Returns!G115)*(1+Returns!G116)-1</f>
        <v>0.60398230088495564</v>
      </c>
      <c r="H119" s="15">
        <f>(1+Returns!H111)*(1+Returns!H112)*(1+Returns!H113)*(1+Returns!H114)*(1+Returns!H115)*(1+Returns!H116)-1</f>
        <v>4.0331439393939394</v>
      </c>
      <c r="I119" s="15">
        <f>(1+Returns!I111)*(1+Returns!I112)*(1+Returns!I113)*(1+Returns!I114)*(1+Returns!I115)*(1+Returns!I116)-1</f>
        <v>0.17814574834013275</v>
      </c>
      <c r="J119" s="15">
        <f>(1+Returns!J111)*(1+Returns!J112)*(1+Returns!J113)*(1+Returns!J114)*(1+Returns!J115)*(1+Returns!J116)-1</f>
        <v>0.25666376999502072</v>
      </c>
    </row>
    <row r="120" spans="1:10" ht="15" customHeight="1" x14ac:dyDescent="0.25">
      <c r="A120">
        <v>116</v>
      </c>
      <c r="B120" s="12">
        <f>Returns!A117</f>
        <v>45505</v>
      </c>
      <c r="C120" s="15">
        <f>(1+Returns!C112)*(1+Returns!C113)*(1+Returns!C114)*(1+Returns!C115)*(1+Returns!C116)*(1+Returns!C117)-1</f>
        <v>0.25333333333333319</v>
      </c>
      <c r="D120" s="15">
        <f>(1+Returns!D112)*(1+Returns!D113)*(1+Returns!D114)*(1+Returns!D115)*(1+Returns!D116)*(1+Returns!D117)-1</f>
        <v>9.5387127500340396E-2</v>
      </c>
      <c r="E120" s="15">
        <f>(1+Returns!E112)*(1+Returns!E113)*(1+Returns!E114)*(1+Returns!E115)*(1+Returns!E116)*(1+Returns!E117)-1</f>
        <v>7.7386934673366881E-2</v>
      </c>
      <c r="F120" s="15">
        <f>(1+Returns!F112)*(1+Returns!F113)*(1+Returns!F114)*(1+Returns!F115)*(1+Returns!F116)*(1+Returns!F117)-1</f>
        <v>0.10925715811252745</v>
      </c>
      <c r="G120" s="15">
        <f>(1+Returns!G112)*(1+Returns!G113)*(1+Returns!G114)*(1+Returns!G115)*(1+Returns!G116)*(1+Returns!G117)-1</f>
        <v>0.51582914572864325</v>
      </c>
      <c r="H120" s="15">
        <f>(1+Returns!H112)*(1+Returns!H113)*(1+Returns!H114)*(1+Returns!H115)*(1+Returns!H116)*(1+Returns!H117)-1</f>
        <v>1.7980886426592795</v>
      </c>
      <c r="I120" s="15">
        <f>(1+Returns!I112)*(1+Returns!I113)*(1+Returns!I114)*(1+Returns!I115)*(1+Returns!I116)*(1+Returns!I117)-1</f>
        <v>0.44505347081145308</v>
      </c>
      <c r="J120" s="15">
        <f>(1+Returns!J112)*(1+Returns!J113)*(1+Returns!J114)*(1+Returns!J115)*(1+Returns!J116)*(1+Returns!J117)-1</f>
        <v>0.2153920529612634</v>
      </c>
    </row>
    <row r="121" spans="1:10" ht="15" customHeight="1" x14ac:dyDescent="0.25">
      <c r="A121">
        <v>117</v>
      </c>
      <c r="B121" s="12">
        <f>Returns!A118</f>
        <v>45536</v>
      </c>
      <c r="C121" s="15">
        <f>(1+Returns!C113)*(1+Returns!C114)*(1+Returns!C115)*(1+Returns!C116)*(1+Returns!C117)*(1+Returns!C118)-1</f>
        <v>6.3735546437896362E-2</v>
      </c>
      <c r="D121" s="15">
        <f>(1+Returns!D113)*(1+Returns!D114)*(1+Returns!D115)*(1+Returns!D116)*(1+Returns!D117)*(1+Returns!D118)-1</f>
        <v>0.28736721023073342</v>
      </c>
      <c r="E121" s="15">
        <f>(1+Returns!E113)*(1+Returns!E114)*(1+Returns!E115)*(1+Returns!E116)*(1+Returns!E117)*(1+Returns!E118)-1</f>
        <v>0.18423645320197024</v>
      </c>
      <c r="F121" s="15">
        <f>(1+Returns!F113)*(1+Returns!F114)*(1+Returns!F115)*(1+Returns!F116)*(1+Returns!F117)*(1+Returns!F118)-1</f>
        <v>0.15560784313725495</v>
      </c>
      <c r="G121" s="15">
        <f>(1+Returns!G113)*(1+Returns!G114)*(1+Returns!G115)*(1+Returns!G116)*(1+Returns!G117)*(1+Returns!G118)-1</f>
        <v>0.75849802371541464</v>
      </c>
      <c r="H121" s="15">
        <f>(1+Returns!H113)*(1+Returns!H114)*(1+Returns!H115)*(1+Returns!H116)*(1+Returns!H117)*(1+Returns!H118)-1</f>
        <v>1.4809020618556703</v>
      </c>
      <c r="I121" s="15">
        <f>(1+Returns!I113)*(1+Returns!I114)*(1+Returns!I115)*(1+Returns!I116)*(1+Returns!I117)*(1+Returns!I118)-1</f>
        <v>0.51378463946497832</v>
      </c>
      <c r="J121" s="15">
        <f>(1+Returns!J113)*(1+Returns!J114)*(1+Returns!J115)*(1+Returns!J116)*(1+Returns!J117)*(1+Returns!J118)-1</f>
        <v>0.21056737314512275</v>
      </c>
    </row>
    <row r="122" spans="1:10" ht="15" customHeight="1" x14ac:dyDescent="0.25">
      <c r="A122">
        <v>118</v>
      </c>
      <c r="B122" s="12">
        <f>Returns!A119</f>
        <v>45566</v>
      </c>
      <c r="C122" s="15">
        <f>(1+Returns!C114)*(1+Returns!C115)*(1+Returns!C116)*(1+Returns!C117)*(1+Returns!C118)*(1+Returns!C119)-1</f>
        <v>8.6139866035879642E-2</v>
      </c>
      <c r="D122" s="15">
        <f>(1+Returns!D114)*(1+Returns!D115)*(1+Returns!D116)*(1+Returns!D117)*(1+Returns!D118)*(1+Returns!D119)-1</f>
        <v>0.23253448604665983</v>
      </c>
      <c r="E122" s="15">
        <f>(1+Returns!E114)*(1+Returns!E115)*(1+Returns!E116)*(1+Returns!E117)*(1+Returns!E118)*(1+Returns!E119)-1</f>
        <v>0.16507588050014288</v>
      </c>
      <c r="F122" s="15">
        <f>(1+Returns!F114)*(1+Returns!F115)*(1+Returns!F116)*(1+Returns!F117)*(1+Returns!F118)*(1+Returns!F119)-1</f>
        <v>5.6459330143540765E-2</v>
      </c>
      <c r="G122" s="15">
        <f>(1+Returns!G114)*(1+Returns!G115)*(1+Returns!G116)*(1+Returns!G117)*(1+Returns!G118)*(1+Returns!G119)-1</f>
        <v>0.93408934707903768</v>
      </c>
      <c r="H122" s="15">
        <f>(1+Returns!H114)*(1+Returns!H115)*(1+Returns!H116)*(1+Returns!H117)*(1+Returns!H118)*(1+Returns!H119)-1</f>
        <v>0.48880341880341915</v>
      </c>
      <c r="I122" s="15">
        <f>(1+Returns!I114)*(1+Returns!I115)*(1+Returns!I116)*(1+Returns!I117)*(1+Returns!I118)*(1+Returns!I119)-1</f>
        <v>0.34099831744251263</v>
      </c>
      <c r="J122" s="15">
        <f>(1+Returns!J114)*(1+Returns!J115)*(1+Returns!J116)*(1+Returns!J117)*(1+Returns!J118)*(1+Returns!J119)-1</f>
        <v>0.25124584139387407</v>
      </c>
    </row>
    <row r="123" spans="1:10" ht="15" customHeight="1" x14ac:dyDescent="0.25">
      <c r="A123">
        <v>119</v>
      </c>
      <c r="B123" s="12">
        <f>Returns!A120</f>
        <v>45597</v>
      </c>
      <c r="C123" s="15">
        <f>(1+Returns!C115)*(1+Returns!C116)*(1+Returns!C117)*(1+Returns!C118)*(1+Returns!C119)*(1+Returns!C120)-1</f>
        <v>-7.8276379261421281E-2</v>
      </c>
      <c r="D123" s="15">
        <f>(1+Returns!D115)*(1+Returns!D116)*(1+Returns!D117)*(1+Returns!D118)*(1+Returns!D119)*(1+Returns!D120)-1</f>
        <v>0.25053091817614037</v>
      </c>
      <c r="E123" s="15">
        <f>(1+Returns!E115)*(1+Returns!E116)*(1+Returns!E117)*(1+Returns!E118)*(1+Returns!E119)*(1+Returns!E120)-1</f>
        <v>0.3104347826086955</v>
      </c>
      <c r="F123" s="15">
        <f>(1+Returns!F115)*(1+Returns!F116)*(1+Returns!F117)*(1+Returns!F118)*(1+Returns!F119)*(1+Returns!F120)-1</f>
        <v>0.13598885793871873</v>
      </c>
      <c r="G123" s="15">
        <f>(1+Returns!G115)*(1+Returns!G116)*(1+Returns!G117)*(1+Returns!G118)*(1+Returns!G119)*(1+Returns!G120)-1</f>
        <v>1.287957746478873</v>
      </c>
      <c r="H123" s="15">
        <f>(1+Returns!H115)*(1+Returns!H116)*(1+Returns!H117)*(1+Returns!H118)*(1+Returns!H119)*(1+Returns!H120)-1</f>
        <v>0.27774951026534733</v>
      </c>
      <c r="I123" s="15">
        <f>(1+Returns!I115)*(1+Returns!I116)*(1+Returns!I117)*(1+Returns!I118)*(1+Returns!I119)*(1+Returns!I120)-1</f>
        <v>0.49156152183032686</v>
      </c>
      <c r="J123" s="15">
        <f>(1+Returns!J115)*(1+Returns!J116)*(1+Returns!J117)*(1+Returns!J118)*(1+Returns!J119)*(1+Returns!J120)-1</f>
        <v>0.3357847969542882</v>
      </c>
    </row>
    <row r="124" spans="1:10" ht="15" customHeight="1" x14ac:dyDescent="0.25">
      <c r="A124">
        <v>120</v>
      </c>
      <c r="B124" s="12">
        <f>Returns!A121</f>
        <v>45627</v>
      </c>
      <c r="C124" s="15">
        <f>(1+Returns!C116)*(1+Returns!C117)*(1+Returns!C118)*(1+Returns!C119)*(1+Returns!C120)*(1+Returns!C121)-1</f>
        <v>1.2426778242677905E-2</v>
      </c>
      <c r="D124" s="15">
        <f>(1+Returns!D116)*(1+Returns!D117)*(1+Returns!D118)*(1+Returns!D119)*(1+Returns!D120)*(1+Returns!D121)-1</f>
        <v>0.22991205878809806</v>
      </c>
      <c r="E124" s="15">
        <f>(1+Returns!E116)*(1+Returns!E117)*(1+Returns!E118)*(1+Returns!E119)*(1+Returns!E120)*(1+Returns!E121)-1</f>
        <v>0.23920704845814988</v>
      </c>
      <c r="F124" s="15">
        <f>(1+Returns!F116)*(1+Returns!F117)*(1+Returns!F118)*(1+Returns!F119)*(1+Returns!F120)*(1+Returns!F121)-1</f>
        <v>0.21852889395768038</v>
      </c>
      <c r="G124" s="15">
        <f>(1+Returns!G116)*(1+Returns!G117)*(1+Returns!G118)*(1+Returns!G119)*(1+Returns!G120)*(1+Returns!G121)-1</f>
        <v>1.2446078431372549</v>
      </c>
      <c r="H124" s="15">
        <f>(1+Returns!H116)*(1+Returns!H117)*(1+Returns!H118)*(1+Returns!H119)*(1+Returns!H120)*(1+Returns!H121)-1</f>
        <v>0.34021186846898654</v>
      </c>
      <c r="I124" s="15">
        <f>(1+Returns!I116)*(1+Returns!I117)*(1+Returns!I118)*(1+Returns!I119)*(1+Returns!I120)*(1+Returns!I121)-1</f>
        <v>1.3960643292378387</v>
      </c>
      <c r="J124" s="15">
        <f>(1+Returns!J116)*(1+Returns!J117)*(1+Returns!J118)*(1+Returns!J119)*(1+Returns!J120)*(1+Returns!J121)-1</f>
        <v>0.46761372559817715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2" customWidth="1"/>
    <col min="3" max="10" width="10" customWidth="1"/>
  </cols>
  <sheetData>
    <row r="1" spans="1:10" ht="17.25" customHeight="1" x14ac:dyDescent="0.25">
      <c r="A1" s="1" t="s">
        <v>67</v>
      </c>
    </row>
    <row r="4" spans="1:10" ht="15" customHeight="1" x14ac:dyDescent="0.25">
      <c r="A4" s="11" t="s">
        <v>66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</row>
    <row r="5" spans="1:10" ht="15" customHeight="1" x14ac:dyDescent="0.25">
      <c r="A5">
        <v>1</v>
      </c>
      <c r="B5" s="12">
        <f>Momentum_Signal!B5</f>
        <v>42005</v>
      </c>
      <c r="C5" s="16"/>
      <c r="D5" s="16"/>
      <c r="E5" s="16"/>
      <c r="F5" s="16"/>
      <c r="G5" s="16"/>
      <c r="H5" s="16"/>
      <c r="I5" s="16"/>
      <c r="J5" s="16"/>
    </row>
    <row r="6" spans="1:10" ht="15" customHeight="1" x14ac:dyDescent="0.25">
      <c r="A6">
        <v>2</v>
      </c>
      <c r="B6" s="12">
        <f>Momentum_Signal!B6</f>
        <v>42036</v>
      </c>
      <c r="C6" s="16"/>
      <c r="D6" s="16"/>
      <c r="E6" s="16"/>
      <c r="F6" s="16"/>
      <c r="G6" s="16"/>
      <c r="H6" s="16"/>
      <c r="I6" s="16"/>
      <c r="J6" s="16"/>
    </row>
    <row r="7" spans="1:10" ht="15" customHeight="1" x14ac:dyDescent="0.25">
      <c r="A7">
        <v>3</v>
      </c>
      <c r="B7" s="12">
        <f>Momentum_Signal!B7</f>
        <v>42064</v>
      </c>
      <c r="C7" s="16"/>
      <c r="D7" s="16"/>
      <c r="E7" s="16"/>
      <c r="F7" s="16"/>
      <c r="G7" s="16"/>
      <c r="H7" s="16"/>
      <c r="I7" s="16"/>
      <c r="J7" s="16"/>
    </row>
    <row r="8" spans="1:10" ht="15" customHeight="1" x14ac:dyDescent="0.25">
      <c r="A8">
        <v>4</v>
      </c>
      <c r="B8" s="12">
        <f>Momentum_Signal!B8</f>
        <v>42095</v>
      </c>
      <c r="C8" s="16"/>
      <c r="D8" s="16"/>
      <c r="E8" s="16"/>
      <c r="F8" s="16"/>
      <c r="G8" s="16"/>
      <c r="H8" s="16"/>
      <c r="I8" s="16"/>
      <c r="J8" s="16"/>
    </row>
    <row r="9" spans="1:10" ht="15" customHeight="1" x14ac:dyDescent="0.25">
      <c r="A9">
        <v>5</v>
      </c>
      <c r="B9" s="12">
        <f>Momentum_Signal!B9</f>
        <v>42125</v>
      </c>
      <c r="C9" s="16"/>
      <c r="D9" s="16"/>
      <c r="E9" s="16"/>
      <c r="F9" s="16"/>
      <c r="G9" s="16"/>
      <c r="H9" s="16"/>
      <c r="I9" s="16"/>
      <c r="J9" s="16"/>
    </row>
    <row r="10" spans="1:10" ht="15" customHeight="1" x14ac:dyDescent="0.25">
      <c r="A10">
        <v>6</v>
      </c>
      <c r="B10" s="12">
        <f>Momentum_Signal!B10</f>
        <v>42156</v>
      </c>
      <c r="C10" s="16"/>
      <c r="D10" s="16"/>
      <c r="E10" s="16"/>
      <c r="F10" s="16"/>
      <c r="G10" s="16"/>
      <c r="H10" s="16"/>
      <c r="I10" s="16"/>
      <c r="J10" s="16"/>
    </row>
    <row r="11" spans="1:10" ht="15" customHeight="1" x14ac:dyDescent="0.25">
      <c r="A11">
        <v>7</v>
      </c>
      <c r="B11" s="12">
        <f>Momentum_Signal!B11</f>
        <v>42186</v>
      </c>
      <c r="C11" s="16">
        <f>RANK(Momentum_Signal!C11,Momentum_Signal!$C11:$J11,0)</f>
        <v>6</v>
      </c>
      <c r="D11" s="16">
        <f>RANK(Momentum_Signal!D11,Momentum_Signal!$C11:$J11,0)</f>
        <v>3</v>
      </c>
      <c r="E11" s="16">
        <f>RANK(Momentum_Signal!E11,Momentum_Signal!$C11:$J11,0)</f>
        <v>7</v>
      </c>
      <c r="F11" s="16">
        <f>RANK(Momentum_Signal!F11,Momentum_Signal!$C11:$J11,0)</f>
        <v>4</v>
      </c>
      <c r="G11" s="16">
        <f>RANK(Momentum_Signal!G11,Momentum_Signal!$C11:$J11,0)</f>
        <v>2</v>
      </c>
      <c r="H11" s="16">
        <f>RANK(Momentum_Signal!H11,Momentum_Signal!$C11:$J11,0)</f>
        <v>1</v>
      </c>
      <c r="I11" s="16">
        <f>RANK(Momentum_Signal!I11,Momentum_Signal!$C11:$J11,0)</f>
        <v>8</v>
      </c>
      <c r="J11" s="16">
        <f>RANK(Momentum_Signal!J11,Momentum_Signal!$C11:$J11,0)</f>
        <v>5</v>
      </c>
    </row>
    <row r="12" spans="1:10" ht="15" customHeight="1" x14ac:dyDescent="0.25">
      <c r="A12">
        <v>8</v>
      </c>
      <c r="B12" s="12">
        <f>Momentum_Signal!B12</f>
        <v>42217</v>
      </c>
      <c r="C12" s="16">
        <f>RANK(Momentum_Signal!C12,Momentum_Signal!$C12:$J12,0)</f>
        <v>4</v>
      </c>
      <c r="D12" s="16">
        <f>RANK(Momentum_Signal!D12,Momentum_Signal!$C12:$J12,0)</f>
        <v>1</v>
      </c>
      <c r="E12" s="16">
        <f>RANK(Momentum_Signal!E12,Momentum_Signal!$C12:$J12,0)</f>
        <v>7</v>
      </c>
      <c r="F12" s="16">
        <f>RANK(Momentum_Signal!F12,Momentum_Signal!$C12:$J12,0)</f>
        <v>2</v>
      </c>
      <c r="G12" s="16">
        <f>RANK(Momentum_Signal!G12,Momentum_Signal!$C12:$J12,0)</f>
        <v>5</v>
      </c>
      <c r="H12" s="16">
        <f>RANK(Momentum_Signal!H12,Momentum_Signal!$C12:$J12,0)</f>
        <v>6</v>
      </c>
      <c r="I12" s="16">
        <f>RANK(Momentum_Signal!I12,Momentum_Signal!$C12:$J12,0)</f>
        <v>8</v>
      </c>
      <c r="J12" s="16">
        <f>RANK(Momentum_Signal!J12,Momentum_Signal!$C12:$J12,0)</f>
        <v>3</v>
      </c>
    </row>
    <row r="13" spans="1:10" ht="15" customHeight="1" x14ac:dyDescent="0.25">
      <c r="A13">
        <v>9</v>
      </c>
      <c r="B13" s="12">
        <f>Momentum_Signal!B13</f>
        <v>42248</v>
      </c>
      <c r="C13" s="16">
        <f>RANK(Momentum_Signal!C13,Momentum_Signal!$C13:$J13,0)</f>
        <v>3</v>
      </c>
      <c r="D13" s="16">
        <f>RANK(Momentum_Signal!D13,Momentum_Signal!$C13:$J13,0)</f>
        <v>2</v>
      </c>
      <c r="E13" s="16">
        <f>RANK(Momentum_Signal!E13,Momentum_Signal!$C13:$J13,0)</f>
        <v>6</v>
      </c>
      <c r="F13" s="16">
        <f>RANK(Momentum_Signal!F13,Momentum_Signal!$C13:$J13,0)</f>
        <v>1</v>
      </c>
      <c r="G13" s="16">
        <f>RANK(Momentum_Signal!G13,Momentum_Signal!$C13:$J13,0)</f>
        <v>5</v>
      </c>
      <c r="H13" s="16">
        <f>RANK(Momentum_Signal!H13,Momentum_Signal!$C13:$J13,0)</f>
        <v>7</v>
      </c>
      <c r="I13" s="16">
        <f>RANK(Momentum_Signal!I13,Momentum_Signal!$C13:$J13,0)</f>
        <v>8</v>
      </c>
      <c r="J13" s="16">
        <f>RANK(Momentum_Signal!J13,Momentum_Signal!$C13:$J13,0)</f>
        <v>4</v>
      </c>
    </row>
    <row r="14" spans="1:10" ht="15" customHeight="1" x14ac:dyDescent="0.25">
      <c r="A14">
        <v>10</v>
      </c>
      <c r="B14" s="12">
        <f>Momentum_Signal!B14</f>
        <v>42278</v>
      </c>
      <c r="C14" s="16">
        <f>RANK(Momentum_Signal!C14,Momentum_Signal!$C14:$J14,0)</f>
        <v>2</v>
      </c>
      <c r="D14" s="16">
        <f>RANK(Momentum_Signal!D14,Momentum_Signal!$C14:$J14,0)</f>
        <v>3</v>
      </c>
      <c r="E14" s="16">
        <f>RANK(Momentum_Signal!E14,Momentum_Signal!$C14:$J14,0)</f>
        <v>5</v>
      </c>
      <c r="F14" s="16">
        <f>RANK(Momentum_Signal!F14,Momentum_Signal!$C14:$J14,0)</f>
        <v>1</v>
      </c>
      <c r="G14" s="16">
        <f>RANK(Momentum_Signal!G14,Momentum_Signal!$C14:$J14,0)</f>
        <v>6</v>
      </c>
      <c r="H14" s="16">
        <f>RANK(Momentum_Signal!H14,Momentum_Signal!$C14:$J14,0)</f>
        <v>7</v>
      </c>
      <c r="I14" s="16">
        <f>RANK(Momentum_Signal!I14,Momentum_Signal!$C14:$J14,0)</f>
        <v>8</v>
      </c>
      <c r="J14" s="16">
        <f>RANK(Momentum_Signal!J14,Momentum_Signal!$C14:$J14,0)</f>
        <v>4</v>
      </c>
    </row>
    <row r="15" spans="1:10" ht="15" customHeight="1" x14ac:dyDescent="0.25">
      <c r="A15">
        <v>11</v>
      </c>
      <c r="B15" s="12">
        <f>Momentum_Signal!B15</f>
        <v>42309</v>
      </c>
      <c r="C15" s="16">
        <f>RANK(Momentum_Signal!C15,Momentum_Signal!$C15:$J15,0)</f>
        <v>1</v>
      </c>
      <c r="D15" s="16">
        <f>RANK(Momentum_Signal!D15,Momentum_Signal!$C15:$J15,0)</f>
        <v>5</v>
      </c>
      <c r="E15" s="16">
        <f>RANK(Momentum_Signal!E15,Momentum_Signal!$C15:$J15,0)</f>
        <v>8</v>
      </c>
      <c r="F15" s="16">
        <f>RANK(Momentum_Signal!F15,Momentum_Signal!$C15:$J15,0)</f>
        <v>3</v>
      </c>
      <c r="G15" s="16">
        <f>RANK(Momentum_Signal!G15,Momentum_Signal!$C15:$J15,0)</f>
        <v>6</v>
      </c>
      <c r="H15" s="16">
        <f>RANK(Momentum_Signal!H15,Momentum_Signal!$C15:$J15,0)</f>
        <v>7</v>
      </c>
      <c r="I15" s="16">
        <f>RANK(Momentum_Signal!I15,Momentum_Signal!$C15:$J15,0)</f>
        <v>2</v>
      </c>
      <c r="J15" s="16">
        <f>RANK(Momentum_Signal!J15,Momentum_Signal!$C15:$J15,0)</f>
        <v>4</v>
      </c>
    </row>
    <row r="16" spans="1:10" ht="15" customHeight="1" x14ac:dyDescent="0.25">
      <c r="A16">
        <v>12</v>
      </c>
      <c r="B16" s="12">
        <f>Momentum_Signal!B16</f>
        <v>42339</v>
      </c>
      <c r="C16" s="16">
        <f>RANK(Momentum_Signal!C16,Momentum_Signal!$C16:$J16,0)</f>
        <v>2</v>
      </c>
      <c r="D16" s="16">
        <f>RANK(Momentum_Signal!D16,Momentum_Signal!$C16:$J16,0)</f>
        <v>5</v>
      </c>
      <c r="E16" s="16">
        <f>RANK(Momentum_Signal!E16,Momentum_Signal!$C16:$J16,0)</f>
        <v>6</v>
      </c>
      <c r="F16" s="16">
        <f>RANK(Momentum_Signal!F16,Momentum_Signal!$C16:$J16,0)</f>
        <v>4</v>
      </c>
      <c r="G16" s="16">
        <f>RANK(Momentum_Signal!G16,Momentum_Signal!$C16:$J16,0)</f>
        <v>8</v>
      </c>
      <c r="H16" s="16">
        <f>RANK(Momentum_Signal!H16,Momentum_Signal!$C16:$J16,0)</f>
        <v>7</v>
      </c>
      <c r="I16" s="16">
        <f>RANK(Momentum_Signal!I16,Momentum_Signal!$C16:$J16,0)</f>
        <v>1</v>
      </c>
      <c r="J16" s="16">
        <f>RANK(Momentum_Signal!J16,Momentum_Signal!$C16:$J16,0)</f>
        <v>3</v>
      </c>
    </row>
    <row r="17" spans="1:10" ht="15" customHeight="1" x14ac:dyDescent="0.25">
      <c r="A17">
        <v>13</v>
      </c>
      <c r="B17" s="12">
        <f>Momentum_Signal!B17</f>
        <v>42370</v>
      </c>
      <c r="C17" s="16">
        <f>RANK(Momentum_Signal!C17,Momentum_Signal!$C17:$J17,0)</f>
        <v>2</v>
      </c>
      <c r="D17" s="16">
        <f>RANK(Momentum_Signal!D17,Momentum_Signal!$C17:$J17,0)</f>
        <v>5</v>
      </c>
      <c r="E17" s="16">
        <f>RANK(Momentum_Signal!E17,Momentum_Signal!$C17:$J17,0)</f>
        <v>8</v>
      </c>
      <c r="F17" s="16">
        <f>RANK(Momentum_Signal!F17,Momentum_Signal!$C17:$J17,0)</f>
        <v>4</v>
      </c>
      <c r="G17" s="16">
        <f>RANK(Momentum_Signal!G17,Momentum_Signal!$C17:$J17,0)</f>
        <v>6</v>
      </c>
      <c r="H17" s="16">
        <f>RANK(Momentum_Signal!H17,Momentum_Signal!$C17:$J17,0)</f>
        <v>7</v>
      </c>
      <c r="I17" s="16">
        <f>RANK(Momentum_Signal!I17,Momentum_Signal!$C17:$J17,0)</f>
        <v>1</v>
      </c>
      <c r="J17" s="16">
        <f>RANK(Momentum_Signal!J17,Momentum_Signal!$C17:$J17,0)</f>
        <v>3</v>
      </c>
    </row>
    <row r="18" spans="1:10" ht="15" customHeight="1" x14ac:dyDescent="0.25">
      <c r="A18">
        <v>14</v>
      </c>
      <c r="B18" s="12">
        <f>Momentum_Signal!B18</f>
        <v>42401</v>
      </c>
      <c r="C18" s="16">
        <f>RANK(Momentum_Signal!C18,Momentum_Signal!$C18:$J18,0)</f>
        <v>4</v>
      </c>
      <c r="D18" s="16">
        <f>RANK(Momentum_Signal!D18,Momentum_Signal!$C18:$J18,0)</f>
        <v>5</v>
      </c>
      <c r="E18" s="16">
        <f>RANK(Momentum_Signal!E18,Momentum_Signal!$C18:$J18,0)</f>
        <v>7</v>
      </c>
      <c r="F18" s="16">
        <f>RANK(Momentum_Signal!F18,Momentum_Signal!$C18:$J18,0)</f>
        <v>2</v>
      </c>
      <c r="G18" s="16">
        <f>RANK(Momentum_Signal!G18,Momentum_Signal!$C18:$J18,0)</f>
        <v>6</v>
      </c>
      <c r="H18" s="16">
        <f>RANK(Momentum_Signal!H18,Momentum_Signal!$C18:$J18,0)</f>
        <v>8</v>
      </c>
      <c r="I18" s="16">
        <f>RANK(Momentum_Signal!I18,Momentum_Signal!$C18:$J18,0)</f>
        <v>1</v>
      </c>
      <c r="J18" s="16">
        <f>RANK(Momentum_Signal!J18,Momentum_Signal!$C18:$J18,0)</f>
        <v>3</v>
      </c>
    </row>
    <row r="19" spans="1:10" ht="15" customHeight="1" x14ac:dyDescent="0.25">
      <c r="A19">
        <v>15</v>
      </c>
      <c r="B19" s="12">
        <f>Momentum_Signal!B19</f>
        <v>42430</v>
      </c>
      <c r="C19" s="16">
        <f>RANK(Momentum_Signal!C19,Momentum_Signal!$C19:$J19,0)</f>
        <v>7</v>
      </c>
      <c r="D19" s="16">
        <f>RANK(Momentum_Signal!D19,Momentum_Signal!$C19:$J19,0)</f>
        <v>8</v>
      </c>
      <c r="E19" s="16">
        <f>RANK(Momentum_Signal!E19,Momentum_Signal!$C19:$J19,0)</f>
        <v>5</v>
      </c>
      <c r="F19" s="16">
        <f>RANK(Momentum_Signal!F19,Momentum_Signal!$C19:$J19,0)</f>
        <v>3</v>
      </c>
      <c r="G19" s="16">
        <f>RANK(Momentum_Signal!G19,Momentum_Signal!$C19:$J19,0)</f>
        <v>6</v>
      </c>
      <c r="H19" s="16">
        <f>RANK(Momentum_Signal!H19,Momentum_Signal!$C19:$J19,0)</f>
        <v>4</v>
      </c>
      <c r="I19" s="16">
        <f>RANK(Momentum_Signal!I19,Momentum_Signal!$C19:$J19,0)</f>
        <v>1</v>
      </c>
      <c r="J19" s="16">
        <f>RANK(Momentum_Signal!J19,Momentum_Signal!$C19:$J19,0)</f>
        <v>2</v>
      </c>
    </row>
    <row r="20" spans="1:10" ht="15" customHeight="1" x14ac:dyDescent="0.25">
      <c r="A20">
        <v>16</v>
      </c>
      <c r="B20" s="12">
        <f>Momentum_Signal!B20</f>
        <v>42461</v>
      </c>
      <c r="C20" s="16">
        <f>RANK(Momentum_Signal!C20,Momentum_Signal!$C20:$J20,0)</f>
        <v>5</v>
      </c>
      <c r="D20" s="16">
        <f>RANK(Momentum_Signal!D20,Momentum_Signal!$C20:$J20,0)</f>
        <v>8</v>
      </c>
      <c r="E20" s="16">
        <f>RANK(Momentum_Signal!E20,Momentum_Signal!$C20:$J20,0)</f>
        <v>6</v>
      </c>
      <c r="F20" s="16">
        <f>RANK(Momentum_Signal!F20,Momentum_Signal!$C20:$J20,0)</f>
        <v>2</v>
      </c>
      <c r="G20" s="16">
        <f>RANK(Momentum_Signal!G20,Momentum_Signal!$C20:$J20,0)</f>
        <v>7</v>
      </c>
      <c r="H20" s="16">
        <f>RANK(Momentum_Signal!H20,Momentum_Signal!$C20:$J20,0)</f>
        <v>3</v>
      </c>
      <c r="I20" s="16">
        <f>RANK(Momentum_Signal!I20,Momentum_Signal!$C20:$J20,0)</f>
        <v>1</v>
      </c>
      <c r="J20" s="16">
        <f>RANK(Momentum_Signal!J20,Momentum_Signal!$C20:$J20,0)</f>
        <v>4</v>
      </c>
    </row>
    <row r="21" spans="1:10" ht="15" customHeight="1" x14ac:dyDescent="0.25">
      <c r="A21">
        <v>17</v>
      </c>
      <c r="B21" s="12">
        <f>Momentum_Signal!B21</f>
        <v>42491</v>
      </c>
      <c r="C21" s="16">
        <f>RANK(Momentum_Signal!C21,Momentum_Signal!$C21:$J21,0)</f>
        <v>7</v>
      </c>
      <c r="D21" s="16">
        <f>RANK(Momentum_Signal!D21,Momentum_Signal!$C21:$J21,0)</f>
        <v>8</v>
      </c>
      <c r="E21" s="16">
        <f>RANK(Momentum_Signal!E21,Momentum_Signal!$C21:$J21,0)</f>
        <v>5</v>
      </c>
      <c r="F21" s="16">
        <f>RANK(Momentum_Signal!F21,Momentum_Signal!$C21:$J21,0)</f>
        <v>2</v>
      </c>
      <c r="G21" s="16">
        <f>RANK(Momentum_Signal!G21,Momentum_Signal!$C21:$J21,0)</f>
        <v>6</v>
      </c>
      <c r="H21" s="16">
        <f>RANK(Momentum_Signal!H21,Momentum_Signal!$C21:$J21,0)</f>
        <v>4</v>
      </c>
      <c r="I21" s="16">
        <f>RANK(Momentum_Signal!I21,Momentum_Signal!$C21:$J21,0)</f>
        <v>1</v>
      </c>
      <c r="J21" s="16">
        <f>RANK(Momentum_Signal!J21,Momentum_Signal!$C21:$J21,0)</f>
        <v>3</v>
      </c>
    </row>
    <row r="22" spans="1:10" ht="15" customHeight="1" x14ac:dyDescent="0.25">
      <c r="A22">
        <v>18</v>
      </c>
      <c r="B22" s="12">
        <f>Momentum_Signal!B22</f>
        <v>42522</v>
      </c>
      <c r="C22" s="16">
        <f>RANK(Momentum_Signal!C22,Momentum_Signal!$C22:$J22,0)</f>
        <v>7</v>
      </c>
      <c r="D22" s="16">
        <f>RANK(Momentum_Signal!D22,Momentum_Signal!$C22:$J22,0)</f>
        <v>8</v>
      </c>
      <c r="E22" s="16">
        <f>RANK(Momentum_Signal!E22,Momentum_Signal!$C22:$J22,0)</f>
        <v>4</v>
      </c>
      <c r="F22" s="16">
        <f>RANK(Momentum_Signal!F22,Momentum_Signal!$C22:$J22,0)</f>
        <v>1</v>
      </c>
      <c r="G22" s="16">
        <f>RANK(Momentum_Signal!G22,Momentum_Signal!$C22:$J22,0)</f>
        <v>6</v>
      </c>
      <c r="H22" s="16">
        <f>RANK(Momentum_Signal!H22,Momentum_Signal!$C22:$J22,0)</f>
        <v>5</v>
      </c>
      <c r="I22" s="16">
        <f>RANK(Momentum_Signal!I22,Momentum_Signal!$C22:$J22,0)</f>
        <v>2</v>
      </c>
      <c r="J22" s="16">
        <f>RANK(Momentum_Signal!J22,Momentum_Signal!$C22:$J22,0)</f>
        <v>3</v>
      </c>
    </row>
    <row r="23" spans="1:10" ht="15" customHeight="1" x14ac:dyDescent="0.25">
      <c r="A23">
        <v>19</v>
      </c>
      <c r="B23" s="12">
        <f>Momentum_Signal!B23</f>
        <v>42552</v>
      </c>
      <c r="C23" s="16">
        <f>RANK(Momentum_Signal!C23,Momentum_Signal!$C23:$J23,0)</f>
        <v>6</v>
      </c>
      <c r="D23" s="16">
        <f>RANK(Momentum_Signal!D23,Momentum_Signal!$C23:$J23,0)</f>
        <v>8</v>
      </c>
      <c r="E23" s="16">
        <f>RANK(Momentum_Signal!E23,Momentum_Signal!$C23:$J23,0)</f>
        <v>4</v>
      </c>
      <c r="F23" s="16">
        <f>RANK(Momentum_Signal!F23,Momentum_Signal!$C23:$J23,0)</f>
        <v>2</v>
      </c>
      <c r="G23" s="16">
        <f>RANK(Momentum_Signal!G23,Momentum_Signal!$C23:$J23,0)</f>
        <v>7</v>
      </c>
      <c r="H23" s="16">
        <f>RANK(Momentum_Signal!H23,Momentum_Signal!$C23:$J23,0)</f>
        <v>5</v>
      </c>
      <c r="I23" s="16">
        <f>RANK(Momentum_Signal!I23,Momentum_Signal!$C23:$J23,0)</f>
        <v>1</v>
      </c>
      <c r="J23" s="16">
        <f>RANK(Momentum_Signal!J23,Momentum_Signal!$C23:$J23,0)</f>
        <v>3</v>
      </c>
    </row>
    <row r="24" spans="1:10" ht="15" customHeight="1" x14ac:dyDescent="0.25">
      <c r="A24">
        <v>20</v>
      </c>
      <c r="B24" s="12">
        <f>Momentum_Signal!B24</f>
        <v>42583</v>
      </c>
      <c r="C24" s="16">
        <f>RANK(Momentum_Signal!C24,Momentum_Signal!$C24:$J24,0)</f>
        <v>5</v>
      </c>
      <c r="D24" s="16">
        <f>RANK(Momentum_Signal!D24,Momentum_Signal!$C24:$J24,0)</f>
        <v>8</v>
      </c>
      <c r="E24" s="16">
        <f>RANK(Momentum_Signal!E24,Momentum_Signal!$C24:$J24,0)</f>
        <v>6</v>
      </c>
      <c r="F24" s="16">
        <f>RANK(Momentum_Signal!F24,Momentum_Signal!$C24:$J24,0)</f>
        <v>2</v>
      </c>
      <c r="G24" s="16">
        <f>RANK(Momentum_Signal!G24,Momentum_Signal!$C24:$J24,0)</f>
        <v>7</v>
      </c>
      <c r="H24" s="16">
        <f>RANK(Momentum_Signal!H24,Momentum_Signal!$C24:$J24,0)</f>
        <v>3</v>
      </c>
      <c r="I24" s="16">
        <f>RANK(Momentum_Signal!I24,Momentum_Signal!$C24:$J24,0)</f>
        <v>1</v>
      </c>
      <c r="J24" s="16">
        <f>RANK(Momentum_Signal!J24,Momentum_Signal!$C24:$J24,0)</f>
        <v>4</v>
      </c>
    </row>
    <row r="25" spans="1:10" ht="15" customHeight="1" x14ac:dyDescent="0.25">
      <c r="A25">
        <v>21</v>
      </c>
      <c r="B25" s="12">
        <f>Momentum_Signal!B25</f>
        <v>42614</v>
      </c>
      <c r="C25" s="16">
        <f>RANK(Momentum_Signal!C25,Momentum_Signal!$C25:$J25,0)</f>
        <v>3</v>
      </c>
      <c r="D25" s="16">
        <f>RANK(Momentum_Signal!D25,Momentum_Signal!$C25:$J25,0)</f>
        <v>8</v>
      </c>
      <c r="E25" s="16">
        <f>RANK(Momentum_Signal!E25,Momentum_Signal!$C25:$J25,0)</f>
        <v>6</v>
      </c>
      <c r="F25" s="16">
        <f>RANK(Momentum_Signal!F25,Momentum_Signal!$C25:$J25,0)</f>
        <v>4</v>
      </c>
      <c r="G25" s="16">
        <f>RANK(Momentum_Signal!G25,Momentum_Signal!$C25:$J25,0)</f>
        <v>7</v>
      </c>
      <c r="H25" s="16">
        <f>RANK(Momentum_Signal!H25,Momentum_Signal!$C25:$J25,0)</f>
        <v>1</v>
      </c>
      <c r="I25" s="16">
        <f>RANK(Momentum_Signal!I25,Momentum_Signal!$C25:$J25,0)</f>
        <v>2</v>
      </c>
      <c r="J25" s="16">
        <f>RANK(Momentum_Signal!J25,Momentum_Signal!$C25:$J25,0)</f>
        <v>5</v>
      </c>
    </row>
    <row r="26" spans="1:10" ht="15" customHeight="1" x14ac:dyDescent="0.25">
      <c r="A26">
        <v>22</v>
      </c>
      <c r="B26" s="12">
        <f>Momentum_Signal!B26</f>
        <v>42644</v>
      </c>
      <c r="C26" s="16">
        <f>RANK(Momentum_Signal!C26,Momentum_Signal!$C26:$J26,0)</f>
        <v>3</v>
      </c>
      <c r="D26" s="16">
        <f>RANK(Momentum_Signal!D26,Momentum_Signal!$C26:$J26,0)</f>
        <v>8</v>
      </c>
      <c r="E26" s="16">
        <f>RANK(Momentum_Signal!E26,Momentum_Signal!$C26:$J26,0)</f>
        <v>6</v>
      </c>
      <c r="F26" s="16">
        <f>RANK(Momentum_Signal!F26,Momentum_Signal!$C26:$J26,0)</f>
        <v>4</v>
      </c>
      <c r="G26" s="16">
        <f>RANK(Momentum_Signal!G26,Momentum_Signal!$C26:$J26,0)</f>
        <v>7</v>
      </c>
      <c r="H26" s="16">
        <f>RANK(Momentum_Signal!H26,Momentum_Signal!$C26:$J26,0)</f>
        <v>1</v>
      </c>
      <c r="I26" s="16">
        <f>RANK(Momentum_Signal!I26,Momentum_Signal!$C26:$J26,0)</f>
        <v>2</v>
      </c>
      <c r="J26" s="16">
        <f>RANK(Momentum_Signal!J26,Momentum_Signal!$C26:$J26,0)</f>
        <v>5</v>
      </c>
    </row>
    <row r="27" spans="1:10" ht="15" customHeight="1" x14ac:dyDescent="0.25">
      <c r="A27">
        <v>23</v>
      </c>
      <c r="B27" s="12">
        <f>Momentum_Signal!B27</f>
        <v>42675</v>
      </c>
      <c r="C27" s="16">
        <f>RANK(Momentum_Signal!C27,Momentum_Signal!$C27:$J27,0)</f>
        <v>2</v>
      </c>
      <c r="D27" s="16">
        <f>RANK(Momentum_Signal!D27,Momentum_Signal!$C27:$J27,0)</f>
        <v>8</v>
      </c>
      <c r="E27" s="16">
        <f>RANK(Momentum_Signal!E27,Momentum_Signal!$C27:$J27,0)</f>
        <v>6</v>
      </c>
      <c r="F27" s="16">
        <f>RANK(Momentum_Signal!F27,Momentum_Signal!$C27:$J27,0)</f>
        <v>3</v>
      </c>
      <c r="G27" s="16">
        <f>RANK(Momentum_Signal!G27,Momentum_Signal!$C27:$J27,0)</f>
        <v>7</v>
      </c>
      <c r="H27" s="16">
        <f>RANK(Momentum_Signal!H27,Momentum_Signal!$C27:$J27,0)</f>
        <v>1</v>
      </c>
      <c r="I27" s="16">
        <f>RANK(Momentum_Signal!I27,Momentum_Signal!$C27:$J27,0)</f>
        <v>4</v>
      </c>
      <c r="J27" s="16">
        <f>RANK(Momentum_Signal!J27,Momentum_Signal!$C27:$J27,0)</f>
        <v>5</v>
      </c>
    </row>
    <row r="28" spans="1:10" ht="15" customHeight="1" x14ac:dyDescent="0.25">
      <c r="A28">
        <v>24</v>
      </c>
      <c r="B28" s="12">
        <f>Momentum_Signal!B28</f>
        <v>42705</v>
      </c>
      <c r="C28" s="16">
        <f>RANK(Momentum_Signal!C28,Momentum_Signal!$C28:$J28,0)</f>
        <v>2</v>
      </c>
      <c r="D28" s="16">
        <f>RANK(Momentum_Signal!D28,Momentum_Signal!$C28:$J28,0)</f>
        <v>7</v>
      </c>
      <c r="E28" s="16">
        <f>RANK(Momentum_Signal!E28,Momentum_Signal!$C28:$J28,0)</f>
        <v>6</v>
      </c>
      <c r="F28" s="16">
        <f>RANK(Momentum_Signal!F28,Momentum_Signal!$C28:$J28,0)</f>
        <v>4</v>
      </c>
      <c r="G28" s="16">
        <f>RANK(Momentum_Signal!G28,Momentum_Signal!$C28:$J28,0)</f>
        <v>8</v>
      </c>
      <c r="H28" s="16">
        <f>RANK(Momentum_Signal!H28,Momentum_Signal!$C28:$J28,0)</f>
        <v>1</v>
      </c>
      <c r="I28" s="16">
        <f>RANK(Momentum_Signal!I28,Momentum_Signal!$C28:$J28,0)</f>
        <v>3</v>
      </c>
      <c r="J28" s="16">
        <f>RANK(Momentum_Signal!J28,Momentum_Signal!$C28:$J28,0)</f>
        <v>5</v>
      </c>
    </row>
    <row r="29" spans="1:10" ht="15" customHeight="1" x14ac:dyDescent="0.25">
      <c r="A29">
        <v>25</v>
      </c>
      <c r="B29" s="12">
        <f>Momentum_Signal!B29</f>
        <v>42736</v>
      </c>
      <c r="C29" s="16">
        <f>RANK(Momentum_Signal!C29,Momentum_Signal!$C29:$J29,0)</f>
        <v>2</v>
      </c>
      <c r="D29" s="16">
        <f>RANK(Momentum_Signal!D29,Momentum_Signal!$C29:$J29,0)</f>
        <v>7</v>
      </c>
      <c r="E29" s="16">
        <f>RANK(Momentum_Signal!E29,Momentum_Signal!$C29:$J29,0)</f>
        <v>6</v>
      </c>
      <c r="F29" s="16">
        <f>RANK(Momentum_Signal!F29,Momentum_Signal!$C29:$J29,0)</f>
        <v>5</v>
      </c>
      <c r="G29" s="16">
        <f>RANK(Momentum_Signal!G29,Momentum_Signal!$C29:$J29,0)</f>
        <v>8</v>
      </c>
      <c r="H29" s="16">
        <f>RANK(Momentum_Signal!H29,Momentum_Signal!$C29:$J29,0)</f>
        <v>1</v>
      </c>
      <c r="I29" s="16">
        <f>RANK(Momentum_Signal!I29,Momentum_Signal!$C29:$J29,0)</f>
        <v>3</v>
      </c>
      <c r="J29" s="16">
        <f>RANK(Momentum_Signal!J29,Momentum_Signal!$C29:$J29,0)</f>
        <v>4</v>
      </c>
    </row>
    <row r="30" spans="1:10" ht="15" customHeight="1" x14ac:dyDescent="0.25">
      <c r="A30">
        <v>26</v>
      </c>
      <c r="B30" s="12">
        <f>Momentum_Signal!B30</f>
        <v>42767</v>
      </c>
      <c r="C30" s="16">
        <f>RANK(Momentum_Signal!C30,Momentum_Signal!$C30:$J30,0)</f>
        <v>5</v>
      </c>
      <c r="D30" s="16">
        <f>RANK(Momentum_Signal!D30,Momentum_Signal!$C30:$J30,0)</f>
        <v>7</v>
      </c>
      <c r="E30" s="16">
        <f>RANK(Momentum_Signal!E30,Momentum_Signal!$C30:$J30,0)</f>
        <v>6</v>
      </c>
      <c r="F30" s="16">
        <f>RANK(Momentum_Signal!F30,Momentum_Signal!$C30:$J30,0)</f>
        <v>3</v>
      </c>
      <c r="G30" s="16">
        <f>RANK(Momentum_Signal!G30,Momentum_Signal!$C30:$J30,0)</f>
        <v>8</v>
      </c>
      <c r="H30" s="16">
        <f>RANK(Momentum_Signal!H30,Momentum_Signal!$C30:$J30,0)</f>
        <v>1</v>
      </c>
      <c r="I30" s="16">
        <f>RANK(Momentum_Signal!I30,Momentum_Signal!$C30:$J30,0)</f>
        <v>2</v>
      </c>
      <c r="J30" s="16">
        <f>RANK(Momentum_Signal!J30,Momentum_Signal!$C30:$J30,0)</f>
        <v>4</v>
      </c>
    </row>
    <row r="31" spans="1:10" ht="15" customHeight="1" x14ac:dyDescent="0.25">
      <c r="A31">
        <v>27</v>
      </c>
      <c r="B31" s="12">
        <f>Momentum_Signal!B31</f>
        <v>42795</v>
      </c>
      <c r="C31" s="16">
        <f>RANK(Momentum_Signal!C31,Momentum_Signal!$C31:$J31,0)</f>
        <v>3</v>
      </c>
      <c r="D31" s="16">
        <f>RANK(Momentum_Signal!D31,Momentum_Signal!$C31:$J31,0)</f>
        <v>7</v>
      </c>
      <c r="E31" s="16">
        <f>RANK(Momentum_Signal!E31,Momentum_Signal!$C31:$J31,0)</f>
        <v>6</v>
      </c>
      <c r="F31" s="16">
        <f>RANK(Momentum_Signal!F31,Momentum_Signal!$C31:$J31,0)</f>
        <v>4</v>
      </c>
      <c r="G31" s="16">
        <f>RANK(Momentum_Signal!G31,Momentum_Signal!$C31:$J31,0)</f>
        <v>8</v>
      </c>
      <c r="H31" s="16">
        <f>RANK(Momentum_Signal!H31,Momentum_Signal!$C31:$J31,0)</f>
        <v>2</v>
      </c>
      <c r="I31" s="16">
        <f>RANK(Momentum_Signal!I31,Momentum_Signal!$C31:$J31,0)</f>
        <v>1</v>
      </c>
      <c r="J31" s="16">
        <f>RANK(Momentum_Signal!J31,Momentum_Signal!$C31:$J31,0)</f>
        <v>5</v>
      </c>
    </row>
    <row r="32" spans="1:10" ht="15" customHeight="1" x14ac:dyDescent="0.25">
      <c r="A32">
        <v>28</v>
      </c>
      <c r="B32" s="12">
        <f>Momentum_Signal!B32</f>
        <v>42826</v>
      </c>
      <c r="C32" s="16">
        <f>RANK(Momentum_Signal!C32,Momentum_Signal!$C32:$J32,0)</f>
        <v>3</v>
      </c>
      <c r="D32" s="16">
        <f>RANK(Momentum_Signal!D32,Momentum_Signal!$C32:$J32,0)</f>
        <v>7</v>
      </c>
      <c r="E32" s="16">
        <f>RANK(Momentum_Signal!E32,Momentum_Signal!$C32:$J32,0)</f>
        <v>6</v>
      </c>
      <c r="F32" s="16">
        <f>RANK(Momentum_Signal!F32,Momentum_Signal!$C32:$J32,0)</f>
        <v>4</v>
      </c>
      <c r="G32" s="16">
        <f>RANK(Momentum_Signal!G32,Momentum_Signal!$C32:$J32,0)</f>
        <v>8</v>
      </c>
      <c r="H32" s="16">
        <f>RANK(Momentum_Signal!H32,Momentum_Signal!$C32:$J32,0)</f>
        <v>1</v>
      </c>
      <c r="I32" s="16">
        <f>RANK(Momentum_Signal!I32,Momentum_Signal!$C32:$J32,0)</f>
        <v>2</v>
      </c>
      <c r="J32" s="16">
        <f>RANK(Momentum_Signal!J32,Momentum_Signal!$C32:$J32,0)</f>
        <v>5</v>
      </c>
    </row>
    <row r="33" spans="1:10" ht="15" customHeight="1" x14ac:dyDescent="0.25">
      <c r="A33">
        <v>29</v>
      </c>
      <c r="B33" s="12">
        <f>Momentum_Signal!B33</f>
        <v>42856</v>
      </c>
      <c r="C33" s="16">
        <f>RANK(Momentum_Signal!C33,Momentum_Signal!$C33:$J33,0)</f>
        <v>3</v>
      </c>
      <c r="D33" s="16">
        <f>RANK(Momentum_Signal!D33,Momentum_Signal!$C33:$J33,0)</f>
        <v>7</v>
      </c>
      <c r="E33" s="16">
        <f>RANK(Momentum_Signal!E33,Momentum_Signal!$C33:$J33,0)</f>
        <v>6</v>
      </c>
      <c r="F33" s="16">
        <f>RANK(Momentum_Signal!F33,Momentum_Signal!$C33:$J33,0)</f>
        <v>5</v>
      </c>
      <c r="G33" s="16">
        <f>RANK(Momentum_Signal!G33,Momentum_Signal!$C33:$J33,0)</f>
        <v>8</v>
      </c>
      <c r="H33" s="16">
        <f>RANK(Momentum_Signal!H33,Momentum_Signal!$C33:$J33,0)</f>
        <v>1</v>
      </c>
      <c r="I33" s="16">
        <f>RANK(Momentum_Signal!I33,Momentum_Signal!$C33:$J33,0)</f>
        <v>2</v>
      </c>
      <c r="J33" s="16">
        <f>RANK(Momentum_Signal!J33,Momentum_Signal!$C33:$J33,0)</f>
        <v>4</v>
      </c>
    </row>
    <row r="34" spans="1:10" ht="15" customHeight="1" x14ac:dyDescent="0.25">
      <c r="A34">
        <v>30</v>
      </c>
      <c r="B34" s="12">
        <f>Momentum_Signal!B34</f>
        <v>42887</v>
      </c>
      <c r="C34" s="16">
        <f>RANK(Momentum_Signal!C34,Momentum_Signal!$C34:$J34,0)</f>
        <v>2</v>
      </c>
      <c r="D34" s="16">
        <f>RANK(Momentum_Signal!D34,Momentum_Signal!$C34:$J34,0)</f>
        <v>7</v>
      </c>
      <c r="E34" s="16">
        <f>RANK(Momentum_Signal!E34,Momentum_Signal!$C34:$J34,0)</f>
        <v>6</v>
      </c>
      <c r="F34" s="16">
        <f>RANK(Momentum_Signal!F34,Momentum_Signal!$C34:$J34,0)</f>
        <v>5</v>
      </c>
      <c r="G34" s="16">
        <f>RANK(Momentum_Signal!G34,Momentum_Signal!$C34:$J34,0)</f>
        <v>8</v>
      </c>
      <c r="H34" s="16">
        <f>RANK(Momentum_Signal!H34,Momentum_Signal!$C34:$J34,0)</f>
        <v>1</v>
      </c>
      <c r="I34" s="16">
        <f>RANK(Momentum_Signal!I34,Momentum_Signal!$C34:$J34,0)</f>
        <v>3</v>
      </c>
      <c r="J34" s="16">
        <f>RANK(Momentum_Signal!J34,Momentum_Signal!$C34:$J34,0)</f>
        <v>4</v>
      </c>
    </row>
    <row r="35" spans="1:10" ht="15" customHeight="1" x14ac:dyDescent="0.25">
      <c r="A35">
        <v>31</v>
      </c>
      <c r="B35" s="12">
        <f>Momentum_Signal!B35</f>
        <v>42917</v>
      </c>
      <c r="C35" s="16">
        <f>RANK(Momentum_Signal!C35,Momentum_Signal!$C35:$J35,0)</f>
        <v>3</v>
      </c>
      <c r="D35" s="16">
        <f>RANK(Momentum_Signal!D35,Momentum_Signal!$C35:$J35,0)</f>
        <v>7</v>
      </c>
      <c r="E35" s="16">
        <f>RANK(Momentum_Signal!E35,Momentum_Signal!$C35:$J35,0)</f>
        <v>5</v>
      </c>
      <c r="F35" s="16">
        <f>RANK(Momentum_Signal!F35,Momentum_Signal!$C35:$J35,0)</f>
        <v>6</v>
      </c>
      <c r="G35" s="16">
        <f>RANK(Momentum_Signal!G35,Momentum_Signal!$C35:$J35,0)</f>
        <v>8</v>
      </c>
      <c r="H35" s="16">
        <f>RANK(Momentum_Signal!H35,Momentum_Signal!$C35:$J35,0)</f>
        <v>1</v>
      </c>
      <c r="I35" s="16">
        <f>RANK(Momentum_Signal!I35,Momentum_Signal!$C35:$J35,0)</f>
        <v>2</v>
      </c>
      <c r="J35" s="16">
        <f>RANK(Momentum_Signal!J35,Momentum_Signal!$C35:$J35,0)</f>
        <v>4</v>
      </c>
    </row>
    <row r="36" spans="1:10" ht="15" customHeight="1" x14ac:dyDescent="0.25">
      <c r="A36">
        <v>32</v>
      </c>
      <c r="B36" s="12">
        <f>Momentum_Signal!B36</f>
        <v>42948</v>
      </c>
      <c r="C36" s="16">
        <f>RANK(Momentum_Signal!C36,Momentum_Signal!$C36:$J36,0)</f>
        <v>2</v>
      </c>
      <c r="D36" s="16">
        <f>RANK(Momentum_Signal!D36,Momentum_Signal!$C36:$J36,0)</f>
        <v>5</v>
      </c>
      <c r="E36" s="16">
        <f>RANK(Momentum_Signal!E36,Momentum_Signal!$C36:$J36,0)</f>
        <v>4</v>
      </c>
      <c r="F36" s="16">
        <f>RANK(Momentum_Signal!F36,Momentum_Signal!$C36:$J36,0)</f>
        <v>7</v>
      </c>
      <c r="G36" s="16">
        <f>RANK(Momentum_Signal!G36,Momentum_Signal!$C36:$J36,0)</f>
        <v>8</v>
      </c>
      <c r="H36" s="16">
        <f>RANK(Momentum_Signal!H36,Momentum_Signal!$C36:$J36,0)</f>
        <v>1</v>
      </c>
      <c r="I36" s="16">
        <f>RANK(Momentum_Signal!I36,Momentum_Signal!$C36:$J36,0)</f>
        <v>3</v>
      </c>
      <c r="J36" s="16">
        <f>RANK(Momentum_Signal!J36,Momentum_Signal!$C36:$J36,0)</f>
        <v>6</v>
      </c>
    </row>
    <row r="37" spans="1:10" ht="15" customHeight="1" x14ac:dyDescent="0.25">
      <c r="A37">
        <v>33</v>
      </c>
      <c r="B37" s="12">
        <f>Momentum_Signal!B37</f>
        <v>42979</v>
      </c>
      <c r="C37" s="16">
        <f>RANK(Momentum_Signal!C37,Momentum_Signal!$C37:$J37,0)</f>
        <v>2</v>
      </c>
      <c r="D37" s="16">
        <f>RANK(Momentum_Signal!D37,Momentum_Signal!$C37:$J37,0)</f>
        <v>3</v>
      </c>
      <c r="E37" s="16">
        <f>RANK(Momentum_Signal!E37,Momentum_Signal!$C37:$J37,0)</f>
        <v>5</v>
      </c>
      <c r="F37" s="16">
        <f>RANK(Momentum_Signal!F37,Momentum_Signal!$C37:$J37,0)</f>
        <v>8</v>
      </c>
      <c r="G37" s="16">
        <f>RANK(Momentum_Signal!G37,Momentum_Signal!$C37:$J37,0)</f>
        <v>7</v>
      </c>
      <c r="H37" s="16">
        <f>RANK(Momentum_Signal!H37,Momentum_Signal!$C37:$J37,0)</f>
        <v>1</v>
      </c>
      <c r="I37" s="16">
        <f>RANK(Momentum_Signal!I37,Momentum_Signal!$C37:$J37,0)</f>
        <v>4</v>
      </c>
      <c r="J37" s="16">
        <f>RANK(Momentum_Signal!J37,Momentum_Signal!$C37:$J37,0)</f>
        <v>6</v>
      </c>
    </row>
    <row r="38" spans="1:10" ht="15" customHeight="1" x14ac:dyDescent="0.25">
      <c r="A38">
        <v>34</v>
      </c>
      <c r="B38" s="12">
        <f>Momentum_Signal!B38</f>
        <v>43009</v>
      </c>
      <c r="C38" s="16">
        <f>RANK(Momentum_Signal!C38,Momentum_Signal!$C38:$J38,0)</f>
        <v>5</v>
      </c>
      <c r="D38" s="16">
        <f>RANK(Momentum_Signal!D38,Momentum_Signal!$C38:$J38,0)</f>
        <v>2</v>
      </c>
      <c r="E38" s="16">
        <f>RANK(Momentum_Signal!E38,Momentum_Signal!$C38:$J38,0)</f>
        <v>3</v>
      </c>
      <c r="F38" s="16">
        <f>RANK(Momentum_Signal!F38,Momentum_Signal!$C38:$J38,0)</f>
        <v>8</v>
      </c>
      <c r="G38" s="16">
        <f>RANK(Momentum_Signal!G38,Momentum_Signal!$C38:$J38,0)</f>
        <v>6</v>
      </c>
      <c r="H38" s="16">
        <f>RANK(Momentum_Signal!H38,Momentum_Signal!$C38:$J38,0)</f>
        <v>1</v>
      </c>
      <c r="I38" s="16">
        <f>RANK(Momentum_Signal!I38,Momentum_Signal!$C38:$J38,0)</f>
        <v>4</v>
      </c>
      <c r="J38" s="16">
        <f>RANK(Momentum_Signal!J38,Momentum_Signal!$C38:$J38,0)</f>
        <v>7</v>
      </c>
    </row>
    <row r="39" spans="1:10" ht="15" customHeight="1" x14ac:dyDescent="0.25">
      <c r="A39">
        <v>35</v>
      </c>
      <c r="B39" s="12">
        <f>Momentum_Signal!B39</f>
        <v>43040</v>
      </c>
      <c r="C39" s="16">
        <f>RANK(Momentum_Signal!C39,Momentum_Signal!$C39:$J39,0)</f>
        <v>6</v>
      </c>
      <c r="D39" s="16">
        <f>RANK(Momentum_Signal!D39,Momentum_Signal!$C39:$J39,0)</f>
        <v>2</v>
      </c>
      <c r="E39" s="16">
        <f>RANK(Momentum_Signal!E39,Momentum_Signal!$C39:$J39,0)</f>
        <v>3</v>
      </c>
      <c r="F39" s="16">
        <f>RANK(Momentum_Signal!F39,Momentum_Signal!$C39:$J39,0)</f>
        <v>8</v>
      </c>
      <c r="G39" s="16">
        <f>RANK(Momentum_Signal!G39,Momentum_Signal!$C39:$J39,0)</f>
        <v>5</v>
      </c>
      <c r="H39" s="16">
        <f>RANK(Momentum_Signal!H39,Momentum_Signal!$C39:$J39,0)</f>
        <v>1</v>
      </c>
      <c r="I39" s="16">
        <f>RANK(Momentum_Signal!I39,Momentum_Signal!$C39:$J39,0)</f>
        <v>4</v>
      </c>
      <c r="J39" s="16">
        <f>RANK(Momentum_Signal!J39,Momentum_Signal!$C39:$J39,0)</f>
        <v>7</v>
      </c>
    </row>
    <row r="40" spans="1:10" ht="15" customHeight="1" x14ac:dyDescent="0.25">
      <c r="A40">
        <v>36</v>
      </c>
      <c r="B40" s="12">
        <f>Momentum_Signal!B40</f>
        <v>43070</v>
      </c>
      <c r="C40" s="16">
        <f>RANK(Momentum_Signal!C40,Momentum_Signal!$C40:$J40,0)</f>
        <v>5</v>
      </c>
      <c r="D40" s="16">
        <f>RANK(Momentum_Signal!D40,Momentum_Signal!$C40:$J40,0)</f>
        <v>1</v>
      </c>
      <c r="E40" s="16">
        <f>RANK(Momentum_Signal!E40,Momentum_Signal!$C40:$J40,0)</f>
        <v>2</v>
      </c>
      <c r="F40" s="16">
        <f>RANK(Momentum_Signal!F40,Momentum_Signal!$C40:$J40,0)</f>
        <v>8</v>
      </c>
      <c r="G40" s="16">
        <f>RANK(Momentum_Signal!G40,Momentum_Signal!$C40:$J40,0)</f>
        <v>3</v>
      </c>
      <c r="H40" s="16">
        <f>RANK(Momentum_Signal!H40,Momentum_Signal!$C40:$J40,0)</f>
        <v>7</v>
      </c>
      <c r="I40" s="16">
        <f>RANK(Momentum_Signal!I40,Momentum_Signal!$C40:$J40,0)</f>
        <v>4</v>
      </c>
      <c r="J40" s="16">
        <f>RANK(Momentum_Signal!J40,Momentum_Signal!$C40:$J40,0)</f>
        <v>6</v>
      </c>
    </row>
    <row r="41" spans="1:10" ht="15" customHeight="1" x14ac:dyDescent="0.25">
      <c r="A41">
        <v>37</v>
      </c>
      <c r="B41" s="12">
        <f>Momentum_Signal!B41</f>
        <v>43101</v>
      </c>
      <c r="C41" s="16">
        <f>RANK(Momentum_Signal!C41,Momentum_Signal!$C41:$J41,0)</f>
        <v>4</v>
      </c>
      <c r="D41" s="16">
        <f>RANK(Momentum_Signal!D41,Momentum_Signal!$C41:$J41,0)</f>
        <v>1</v>
      </c>
      <c r="E41" s="16">
        <f>RANK(Momentum_Signal!E41,Momentum_Signal!$C41:$J41,0)</f>
        <v>3</v>
      </c>
      <c r="F41" s="16">
        <f>RANK(Momentum_Signal!F41,Momentum_Signal!$C41:$J41,0)</f>
        <v>8</v>
      </c>
      <c r="G41" s="16">
        <f>RANK(Momentum_Signal!G41,Momentum_Signal!$C41:$J41,0)</f>
        <v>2</v>
      </c>
      <c r="H41" s="16">
        <f>RANK(Momentum_Signal!H41,Momentum_Signal!$C41:$J41,0)</f>
        <v>6</v>
      </c>
      <c r="I41" s="16">
        <f>RANK(Momentum_Signal!I41,Momentum_Signal!$C41:$J41,0)</f>
        <v>7</v>
      </c>
      <c r="J41" s="16">
        <f>RANK(Momentum_Signal!J41,Momentum_Signal!$C41:$J41,0)</f>
        <v>5</v>
      </c>
    </row>
    <row r="42" spans="1:10" ht="15" customHeight="1" x14ac:dyDescent="0.25">
      <c r="A42">
        <v>38</v>
      </c>
      <c r="B42" s="12">
        <f>Momentum_Signal!B42</f>
        <v>43132</v>
      </c>
      <c r="C42" s="16">
        <f>RANK(Momentum_Signal!C42,Momentum_Signal!$C42:$J42,0)</f>
        <v>6</v>
      </c>
      <c r="D42" s="16">
        <f>RANK(Momentum_Signal!D42,Momentum_Signal!$C42:$J42,0)</f>
        <v>3</v>
      </c>
      <c r="E42" s="16">
        <f>RANK(Momentum_Signal!E42,Momentum_Signal!$C42:$J42,0)</f>
        <v>4</v>
      </c>
      <c r="F42" s="16">
        <f>RANK(Momentum_Signal!F42,Momentum_Signal!$C42:$J42,0)</f>
        <v>7</v>
      </c>
      <c r="G42" s="16">
        <f>RANK(Momentum_Signal!G42,Momentum_Signal!$C42:$J42,0)</f>
        <v>2</v>
      </c>
      <c r="H42" s="16">
        <f>RANK(Momentum_Signal!H42,Momentum_Signal!$C42:$J42,0)</f>
        <v>1</v>
      </c>
      <c r="I42" s="16">
        <f>RANK(Momentum_Signal!I42,Momentum_Signal!$C42:$J42,0)</f>
        <v>8</v>
      </c>
      <c r="J42" s="16">
        <f>RANK(Momentum_Signal!J42,Momentum_Signal!$C42:$J42,0)</f>
        <v>5</v>
      </c>
    </row>
    <row r="43" spans="1:10" ht="15" customHeight="1" x14ac:dyDescent="0.25">
      <c r="A43">
        <v>39</v>
      </c>
      <c r="B43" s="12">
        <f>Momentum_Signal!B43</f>
        <v>43160</v>
      </c>
      <c r="C43" s="16">
        <f>RANK(Momentum_Signal!C43,Momentum_Signal!$C43:$J43,0)</f>
        <v>6</v>
      </c>
      <c r="D43" s="16">
        <f>RANK(Momentum_Signal!D43,Momentum_Signal!$C43:$J43,0)</f>
        <v>4</v>
      </c>
      <c r="E43" s="16">
        <f>RANK(Momentum_Signal!E43,Momentum_Signal!$C43:$J43,0)</f>
        <v>7</v>
      </c>
      <c r="F43" s="16">
        <f>RANK(Momentum_Signal!F43,Momentum_Signal!$C43:$J43,0)</f>
        <v>2</v>
      </c>
      <c r="G43" s="16">
        <f>RANK(Momentum_Signal!G43,Momentum_Signal!$C43:$J43,0)</f>
        <v>3</v>
      </c>
      <c r="H43" s="16">
        <f>RANK(Momentum_Signal!H43,Momentum_Signal!$C43:$J43,0)</f>
        <v>1</v>
      </c>
      <c r="I43" s="16">
        <f>RANK(Momentum_Signal!I43,Momentum_Signal!$C43:$J43,0)</f>
        <v>8</v>
      </c>
      <c r="J43" s="16">
        <f>RANK(Momentum_Signal!J43,Momentum_Signal!$C43:$J43,0)</f>
        <v>5</v>
      </c>
    </row>
    <row r="44" spans="1:10" ht="15" customHeight="1" x14ac:dyDescent="0.25">
      <c r="A44">
        <v>40</v>
      </c>
      <c r="B44" s="12">
        <f>Momentum_Signal!B44</f>
        <v>43191</v>
      </c>
      <c r="C44" s="16">
        <f>RANK(Momentum_Signal!C44,Momentum_Signal!$C44:$J44,0)</f>
        <v>4</v>
      </c>
      <c r="D44" s="16">
        <f>RANK(Momentum_Signal!D44,Momentum_Signal!$C44:$J44,0)</f>
        <v>6</v>
      </c>
      <c r="E44" s="16">
        <f>RANK(Momentum_Signal!E44,Momentum_Signal!$C44:$J44,0)</f>
        <v>8</v>
      </c>
      <c r="F44" s="16">
        <f>RANK(Momentum_Signal!F44,Momentum_Signal!$C44:$J44,0)</f>
        <v>2</v>
      </c>
      <c r="G44" s="16">
        <f>RANK(Momentum_Signal!G44,Momentum_Signal!$C44:$J44,0)</f>
        <v>3</v>
      </c>
      <c r="H44" s="16">
        <f>RANK(Momentum_Signal!H44,Momentum_Signal!$C44:$J44,0)</f>
        <v>1</v>
      </c>
      <c r="I44" s="16">
        <f>RANK(Momentum_Signal!I44,Momentum_Signal!$C44:$J44,0)</f>
        <v>7</v>
      </c>
      <c r="J44" s="16">
        <f>RANK(Momentum_Signal!J44,Momentum_Signal!$C44:$J44,0)</f>
        <v>5</v>
      </c>
    </row>
    <row r="45" spans="1:10" ht="15" customHeight="1" x14ac:dyDescent="0.25">
      <c r="A45">
        <v>41</v>
      </c>
      <c r="B45" s="12">
        <f>Momentum_Signal!B45</f>
        <v>43221</v>
      </c>
      <c r="C45" s="16">
        <f>RANK(Momentum_Signal!C45,Momentum_Signal!$C45:$J45,0)</f>
        <v>4</v>
      </c>
      <c r="D45" s="16">
        <f>RANK(Momentum_Signal!D45,Momentum_Signal!$C45:$J45,0)</f>
        <v>3</v>
      </c>
      <c r="E45" s="16">
        <f>RANK(Momentum_Signal!E45,Momentum_Signal!$C45:$J45,0)</f>
        <v>8</v>
      </c>
      <c r="F45" s="16">
        <f>RANK(Momentum_Signal!F45,Momentum_Signal!$C45:$J45,0)</f>
        <v>5</v>
      </c>
      <c r="G45" s="16">
        <f>RANK(Momentum_Signal!G45,Momentum_Signal!$C45:$J45,0)</f>
        <v>2</v>
      </c>
      <c r="H45" s="16">
        <f>RANK(Momentum_Signal!H45,Momentum_Signal!$C45:$J45,0)</f>
        <v>1</v>
      </c>
      <c r="I45" s="16">
        <f>RANK(Momentum_Signal!I45,Momentum_Signal!$C45:$J45,0)</f>
        <v>7</v>
      </c>
      <c r="J45" s="16">
        <f>RANK(Momentum_Signal!J45,Momentum_Signal!$C45:$J45,0)</f>
        <v>6</v>
      </c>
    </row>
    <row r="46" spans="1:10" ht="15" customHeight="1" x14ac:dyDescent="0.25">
      <c r="A46">
        <v>42</v>
      </c>
      <c r="B46" s="12">
        <f>Momentum_Signal!B46</f>
        <v>43252</v>
      </c>
      <c r="C46" s="16">
        <f>RANK(Momentum_Signal!C46,Momentum_Signal!$C46:$J46,0)</f>
        <v>3</v>
      </c>
      <c r="D46" s="16">
        <f>RANK(Momentum_Signal!D46,Momentum_Signal!$C46:$J46,0)</f>
        <v>4</v>
      </c>
      <c r="E46" s="16">
        <f>RANK(Momentum_Signal!E46,Momentum_Signal!$C46:$J46,0)</f>
        <v>8</v>
      </c>
      <c r="F46" s="16">
        <f>RANK(Momentum_Signal!F46,Momentum_Signal!$C46:$J46,0)</f>
        <v>7</v>
      </c>
      <c r="G46" s="16">
        <f>RANK(Momentum_Signal!G46,Momentum_Signal!$C46:$J46,0)</f>
        <v>2</v>
      </c>
      <c r="H46" s="16">
        <f>RANK(Momentum_Signal!H46,Momentum_Signal!$C46:$J46,0)</f>
        <v>1</v>
      </c>
      <c r="I46" s="16">
        <f>RANK(Momentum_Signal!I46,Momentum_Signal!$C46:$J46,0)</f>
        <v>6</v>
      </c>
      <c r="J46" s="16">
        <f>RANK(Momentum_Signal!J46,Momentum_Signal!$C46:$J46,0)</f>
        <v>5</v>
      </c>
    </row>
    <row r="47" spans="1:10" ht="15" customHeight="1" x14ac:dyDescent="0.25">
      <c r="A47">
        <v>43</v>
      </c>
      <c r="B47" s="12">
        <f>Momentum_Signal!B47</f>
        <v>43282</v>
      </c>
      <c r="C47" s="16">
        <f>RANK(Momentum_Signal!C47,Momentum_Signal!$C47:$J47,0)</f>
        <v>2</v>
      </c>
      <c r="D47" s="16">
        <f>RANK(Momentum_Signal!D47,Momentum_Signal!$C47:$J47,0)</f>
        <v>3</v>
      </c>
      <c r="E47" s="16">
        <f>RANK(Momentum_Signal!E47,Momentum_Signal!$C47:$J47,0)</f>
        <v>7</v>
      </c>
      <c r="F47" s="16">
        <f>RANK(Momentum_Signal!F47,Momentum_Signal!$C47:$J47,0)</f>
        <v>8</v>
      </c>
      <c r="G47" s="16">
        <f>RANK(Momentum_Signal!G47,Momentum_Signal!$C47:$J47,0)</f>
        <v>4</v>
      </c>
      <c r="H47" s="16">
        <f>RANK(Momentum_Signal!H47,Momentum_Signal!$C47:$J47,0)</f>
        <v>1</v>
      </c>
      <c r="I47" s="16">
        <f>RANK(Momentum_Signal!I47,Momentum_Signal!$C47:$J47,0)</f>
        <v>6</v>
      </c>
      <c r="J47" s="16">
        <f>RANK(Momentum_Signal!J47,Momentum_Signal!$C47:$J47,0)</f>
        <v>5</v>
      </c>
    </row>
    <row r="48" spans="1:10" ht="15" customHeight="1" x14ac:dyDescent="0.25">
      <c r="A48">
        <v>44</v>
      </c>
      <c r="B48" s="12">
        <f>Momentum_Signal!B48</f>
        <v>43313</v>
      </c>
      <c r="C48" s="16">
        <f>RANK(Momentum_Signal!C48,Momentum_Signal!$C48:$J48,0)</f>
        <v>2</v>
      </c>
      <c r="D48" s="16">
        <f>RANK(Momentum_Signal!D48,Momentum_Signal!$C48:$J48,0)</f>
        <v>3</v>
      </c>
      <c r="E48" s="16">
        <f>RANK(Momentum_Signal!E48,Momentum_Signal!$C48:$J48,0)</f>
        <v>7</v>
      </c>
      <c r="F48" s="16">
        <f>RANK(Momentum_Signal!F48,Momentum_Signal!$C48:$J48,0)</f>
        <v>8</v>
      </c>
      <c r="G48" s="16">
        <f>RANK(Momentum_Signal!G48,Momentum_Signal!$C48:$J48,0)</f>
        <v>4</v>
      </c>
      <c r="H48" s="16">
        <f>RANK(Momentum_Signal!H48,Momentum_Signal!$C48:$J48,0)</f>
        <v>1</v>
      </c>
      <c r="I48" s="16">
        <f>RANK(Momentum_Signal!I48,Momentum_Signal!$C48:$J48,0)</f>
        <v>5</v>
      </c>
      <c r="J48" s="16">
        <f>RANK(Momentum_Signal!J48,Momentum_Signal!$C48:$J48,0)</f>
        <v>6</v>
      </c>
    </row>
    <row r="49" spans="1:10" ht="15" customHeight="1" x14ac:dyDescent="0.25">
      <c r="A49">
        <v>45</v>
      </c>
      <c r="B49" s="12">
        <f>Momentum_Signal!B49</f>
        <v>43344</v>
      </c>
      <c r="C49" s="16">
        <f>RANK(Momentum_Signal!C49,Momentum_Signal!$C49:$J49,0)</f>
        <v>1</v>
      </c>
      <c r="D49" s="16">
        <f>RANK(Momentum_Signal!D49,Momentum_Signal!$C49:$J49,0)</f>
        <v>3</v>
      </c>
      <c r="E49" s="16">
        <f>RANK(Momentum_Signal!E49,Momentum_Signal!$C49:$J49,0)</f>
        <v>6</v>
      </c>
      <c r="F49" s="16">
        <f>RANK(Momentum_Signal!F49,Momentum_Signal!$C49:$J49,0)</f>
        <v>8</v>
      </c>
      <c r="G49" s="16">
        <f>RANK(Momentum_Signal!G49,Momentum_Signal!$C49:$J49,0)</f>
        <v>5</v>
      </c>
      <c r="H49" s="16">
        <f>RANK(Momentum_Signal!H49,Momentum_Signal!$C49:$J49,0)</f>
        <v>2</v>
      </c>
      <c r="I49" s="16">
        <f>RANK(Momentum_Signal!I49,Momentum_Signal!$C49:$J49,0)</f>
        <v>4</v>
      </c>
      <c r="J49" s="16">
        <f>RANK(Momentum_Signal!J49,Momentum_Signal!$C49:$J49,0)</f>
        <v>7</v>
      </c>
    </row>
    <row r="50" spans="1:10" ht="15" customHeight="1" x14ac:dyDescent="0.25">
      <c r="A50">
        <v>46</v>
      </c>
      <c r="B50" s="12">
        <f>Momentum_Signal!B50</f>
        <v>43374</v>
      </c>
      <c r="C50" s="16">
        <f>RANK(Momentum_Signal!C50,Momentum_Signal!$C50:$J50,0)</f>
        <v>1</v>
      </c>
      <c r="D50" s="16">
        <f>RANK(Momentum_Signal!D50,Momentum_Signal!$C50:$J50,0)</f>
        <v>2</v>
      </c>
      <c r="E50" s="16">
        <f>RANK(Momentum_Signal!E50,Momentum_Signal!$C50:$J50,0)</f>
        <v>6</v>
      </c>
      <c r="F50" s="16">
        <f>RANK(Momentum_Signal!F50,Momentum_Signal!$C50:$J50,0)</f>
        <v>8</v>
      </c>
      <c r="G50" s="16">
        <f>RANK(Momentum_Signal!G50,Momentum_Signal!$C50:$J50,0)</f>
        <v>5</v>
      </c>
      <c r="H50" s="16">
        <f>RANK(Momentum_Signal!H50,Momentum_Signal!$C50:$J50,0)</f>
        <v>3</v>
      </c>
      <c r="I50" s="16">
        <f>RANK(Momentum_Signal!I50,Momentum_Signal!$C50:$J50,0)</f>
        <v>4</v>
      </c>
      <c r="J50" s="16">
        <f>RANK(Momentum_Signal!J50,Momentum_Signal!$C50:$J50,0)</f>
        <v>7</v>
      </c>
    </row>
    <row r="51" spans="1:10" ht="15" customHeight="1" x14ac:dyDescent="0.25">
      <c r="A51">
        <v>47</v>
      </c>
      <c r="B51" s="12">
        <f>Momentum_Signal!B51</f>
        <v>43405</v>
      </c>
      <c r="C51" s="16">
        <f>RANK(Momentum_Signal!C51,Momentum_Signal!$C51:$J51,0)</f>
        <v>1</v>
      </c>
      <c r="D51" s="16">
        <f>RANK(Momentum_Signal!D51,Momentum_Signal!$C51:$J51,0)</f>
        <v>2</v>
      </c>
      <c r="E51" s="16">
        <f>RANK(Momentum_Signal!E51,Momentum_Signal!$C51:$J51,0)</f>
        <v>4</v>
      </c>
      <c r="F51" s="16">
        <f>RANK(Momentum_Signal!F51,Momentum_Signal!$C51:$J51,0)</f>
        <v>8</v>
      </c>
      <c r="G51" s="16">
        <f>RANK(Momentum_Signal!G51,Momentum_Signal!$C51:$J51,0)</f>
        <v>5</v>
      </c>
      <c r="H51" s="16">
        <f>RANK(Momentum_Signal!H51,Momentum_Signal!$C51:$J51,0)</f>
        <v>7</v>
      </c>
      <c r="I51" s="16">
        <f>RANK(Momentum_Signal!I51,Momentum_Signal!$C51:$J51,0)</f>
        <v>3</v>
      </c>
      <c r="J51" s="16">
        <f>RANK(Momentum_Signal!J51,Momentum_Signal!$C51:$J51,0)</f>
        <v>6</v>
      </c>
    </row>
    <row r="52" spans="1:10" ht="15" customHeight="1" x14ac:dyDescent="0.25">
      <c r="A52">
        <v>48</v>
      </c>
      <c r="B52" s="12">
        <f>Momentum_Signal!B52</f>
        <v>43435</v>
      </c>
      <c r="C52" s="16">
        <f>RANK(Momentum_Signal!C52,Momentum_Signal!$C52:$J52,0)</f>
        <v>1</v>
      </c>
      <c r="D52" s="16">
        <f>RANK(Momentum_Signal!D52,Momentum_Signal!$C52:$J52,0)</f>
        <v>4</v>
      </c>
      <c r="E52" s="16">
        <f>RANK(Momentum_Signal!E52,Momentum_Signal!$C52:$J52,0)</f>
        <v>2</v>
      </c>
      <c r="F52" s="16">
        <f>RANK(Momentum_Signal!F52,Momentum_Signal!$C52:$J52,0)</f>
        <v>7</v>
      </c>
      <c r="G52" s="16">
        <f>RANK(Momentum_Signal!G52,Momentum_Signal!$C52:$J52,0)</f>
        <v>3</v>
      </c>
      <c r="H52" s="16">
        <f>RANK(Momentum_Signal!H52,Momentum_Signal!$C52:$J52,0)</f>
        <v>8</v>
      </c>
      <c r="I52" s="16">
        <f>RANK(Momentum_Signal!I52,Momentum_Signal!$C52:$J52,0)</f>
        <v>6</v>
      </c>
      <c r="J52" s="16">
        <f>RANK(Momentum_Signal!J52,Momentum_Signal!$C52:$J52,0)</f>
        <v>5</v>
      </c>
    </row>
    <row r="53" spans="1:10" ht="15" customHeight="1" x14ac:dyDescent="0.25">
      <c r="A53">
        <v>49</v>
      </c>
      <c r="B53" s="12">
        <f>Momentum_Signal!B53</f>
        <v>43466</v>
      </c>
      <c r="C53" s="16">
        <f>RANK(Momentum_Signal!C53,Momentum_Signal!$C53:$J53,0)</f>
        <v>1</v>
      </c>
      <c r="D53" s="16">
        <f>RANK(Momentum_Signal!D53,Momentum_Signal!$C53:$J53,0)</f>
        <v>5</v>
      </c>
      <c r="E53" s="16">
        <f>RANK(Momentum_Signal!E53,Momentum_Signal!$C53:$J53,0)</f>
        <v>3</v>
      </c>
      <c r="F53" s="16">
        <f>RANK(Momentum_Signal!F53,Momentum_Signal!$C53:$J53,0)</f>
        <v>7</v>
      </c>
      <c r="G53" s="16">
        <f>RANK(Momentum_Signal!G53,Momentum_Signal!$C53:$J53,0)</f>
        <v>2</v>
      </c>
      <c r="H53" s="16">
        <f>RANK(Momentum_Signal!H53,Momentum_Signal!$C53:$J53,0)</f>
        <v>8</v>
      </c>
      <c r="I53" s="16">
        <f>RANK(Momentum_Signal!I53,Momentum_Signal!$C53:$J53,0)</f>
        <v>4</v>
      </c>
      <c r="J53" s="16">
        <f>RANK(Momentum_Signal!J53,Momentum_Signal!$C53:$J53,0)</f>
        <v>6</v>
      </c>
    </row>
    <row r="54" spans="1:10" ht="15" customHeight="1" x14ac:dyDescent="0.25">
      <c r="A54">
        <v>50</v>
      </c>
      <c r="B54" s="12">
        <f>Momentum_Signal!B54</f>
        <v>43497</v>
      </c>
      <c r="C54" s="16">
        <f>RANK(Momentum_Signal!C54,Momentum_Signal!$C54:$J54,0)</f>
        <v>1</v>
      </c>
      <c r="D54" s="16">
        <f>RANK(Momentum_Signal!D54,Momentum_Signal!$C54:$J54,0)</f>
        <v>6</v>
      </c>
      <c r="E54" s="16">
        <f>RANK(Momentum_Signal!E54,Momentum_Signal!$C54:$J54,0)</f>
        <v>3</v>
      </c>
      <c r="F54" s="16">
        <f>RANK(Momentum_Signal!F54,Momentum_Signal!$C54:$J54,0)</f>
        <v>7</v>
      </c>
      <c r="G54" s="16">
        <f>RANK(Momentum_Signal!G54,Momentum_Signal!$C54:$J54,0)</f>
        <v>2</v>
      </c>
      <c r="H54" s="16">
        <f>RANK(Momentum_Signal!H54,Momentum_Signal!$C54:$J54,0)</f>
        <v>8</v>
      </c>
      <c r="I54" s="16">
        <f>RANK(Momentum_Signal!I54,Momentum_Signal!$C54:$J54,0)</f>
        <v>5</v>
      </c>
      <c r="J54" s="16">
        <f>RANK(Momentum_Signal!J54,Momentum_Signal!$C54:$J54,0)</f>
        <v>4</v>
      </c>
    </row>
    <row r="55" spans="1:10" ht="15" customHeight="1" x14ac:dyDescent="0.25">
      <c r="A55">
        <v>51</v>
      </c>
      <c r="B55" s="12">
        <f>Momentum_Signal!B55</f>
        <v>43525</v>
      </c>
      <c r="C55" s="16">
        <f>RANK(Momentum_Signal!C55,Momentum_Signal!$C55:$J55,0)</f>
        <v>1</v>
      </c>
      <c r="D55" s="16">
        <f>RANK(Momentum_Signal!D55,Momentum_Signal!$C55:$J55,0)</f>
        <v>4</v>
      </c>
      <c r="E55" s="16">
        <f>RANK(Momentum_Signal!E55,Momentum_Signal!$C55:$J55,0)</f>
        <v>3</v>
      </c>
      <c r="F55" s="16">
        <f>RANK(Momentum_Signal!F55,Momentum_Signal!$C55:$J55,0)</f>
        <v>7</v>
      </c>
      <c r="G55" s="16">
        <f>RANK(Momentum_Signal!G55,Momentum_Signal!$C55:$J55,0)</f>
        <v>2</v>
      </c>
      <c r="H55" s="16">
        <f>RANK(Momentum_Signal!H55,Momentum_Signal!$C55:$J55,0)</f>
        <v>8</v>
      </c>
      <c r="I55" s="16">
        <f>RANK(Momentum_Signal!I55,Momentum_Signal!$C55:$J55,0)</f>
        <v>6</v>
      </c>
      <c r="J55" s="16">
        <f>RANK(Momentum_Signal!J55,Momentum_Signal!$C55:$J55,0)</f>
        <v>5</v>
      </c>
    </row>
    <row r="56" spans="1:10" ht="15" customHeight="1" x14ac:dyDescent="0.25">
      <c r="A56">
        <v>52</v>
      </c>
      <c r="B56" s="12">
        <f>Momentum_Signal!B56</f>
        <v>43556</v>
      </c>
      <c r="C56" s="16">
        <f>RANK(Momentum_Signal!C56,Momentum_Signal!$C56:$J56,0)</f>
        <v>3</v>
      </c>
      <c r="D56" s="16">
        <f>RANK(Momentum_Signal!D56,Momentum_Signal!$C56:$J56,0)</f>
        <v>5</v>
      </c>
      <c r="E56" s="16">
        <f>RANK(Momentum_Signal!E56,Momentum_Signal!$C56:$J56,0)</f>
        <v>2</v>
      </c>
      <c r="F56" s="16">
        <f>RANK(Momentum_Signal!F56,Momentum_Signal!$C56:$J56,0)</f>
        <v>8</v>
      </c>
      <c r="G56" s="16">
        <f>RANK(Momentum_Signal!G56,Momentum_Signal!$C56:$J56,0)</f>
        <v>1</v>
      </c>
      <c r="H56" s="16">
        <f>RANK(Momentum_Signal!H56,Momentum_Signal!$C56:$J56,0)</f>
        <v>6</v>
      </c>
      <c r="I56" s="16">
        <f>RANK(Momentum_Signal!I56,Momentum_Signal!$C56:$J56,0)</f>
        <v>7</v>
      </c>
      <c r="J56" s="16">
        <f>RANK(Momentum_Signal!J56,Momentum_Signal!$C56:$J56,0)</f>
        <v>4</v>
      </c>
    </row>
    <row r="57" spans="1:10" ht="15" customHeight="1" x14ac:dyDescent="0.25">
      <c r="A57">
        <v>53</v>
      </c>
      <c r="B57" s="12">
        <f>Momentum_Signal!B57</f>
        <v>43586</v>
      </c>
      <c r="C57" s="16">
        <f>RANK(Momentum_Signal!C57,Momentum_Signal!$C57:$J57,0)</f>
        <v>1</v>
      </c>
      <c r="D57" s="16">
        <f>RANK(Momentum_Signal!D57,Momentum_Signal!$C57:$J57,0)</f>
        <v>4</v>
      </c>
      <c r="E57" s="16">
        <f>RANK(Momentum_Signal!E57,Momentum_Signal!$C57:$J57,0)</f>
        <v>7</v>
      </c>
      <c r="F57" s="16">
        <f>RANK(Momentum_Signal!F57,Momentum_Signal!$C57:$J57,0)</f>
        <v>6</v>
      </c>
      <c r="G57" s="16">
        <f>RANK(Momentum_Signal!G57,Momentum_Signal!$C57:$J57,0)</f>
        <v>3</v>
      </c>
      <c r="H57" s="16">
        <f>RANK(Momentum_Signal!H57,Momentum_Signal!$C57:$J57,0)</f>
        <v>2</v>
      </c>
      <c r="I57" s="16">
        <f>RANK(Momentum_Signal!I57,Momentum_Signal!$C57:$J57,0)</f>
        <v>8</v>
      </c>
      <c r="J57" s="16">
        <f>RANK(Momentum_Signal!J57,Momentum_Signal!$C57:$J57,0)</f>
        <v>5</v>
      </c>
    </row>
    <row r="58" spans="1:10" ht="15" customHeight="1" x14ac:dyDescent="0.25">
      <c r="A58">
        <v>54</v>
      </c>
      <c r="B58" s="12">
        <f>Momentum_Signal!B58</f>
        <v>43617</v>
      </c>
      <c r="C58" s="16">
        <f>RANK(Momentum_Signal!C58,Momentum_Signal!$C58:$J58,0)</f>
        <v>1</v>
      </c>
      <c r="D58" s="16">
        <f>RANK(Momentum_Signal!D58,Momentum_Signal!$C58:$J58,0)</f>
        <v>5</v>
      </c>
      <c r="E58" s="16">
        <f>RANK(Momentum_Signal!E58,Momentum_Signal!$C58:$J58,0)</f>
        <v>6</v>
      </c>
      <c r="F58" s="16">
        <f>RANK(Momentum_Signal!F58,Momentum_Signal!$C58:$J58,0)</f>
        <v>7</v>
      </c>
      <c r="G58" s="16">
        <f>RANK(Momentum_Signal!G58,Momentum_Signal!$C58:$J58,0)</f>
        <v>3</v>
      </c>
      <c r="H58" s="16">
        <f>RANK(Momentum_Signal!H58,Momentum_Signal!$C58:$J58,0)</f>
        <v>2</v>
      </c>
      <c r="I58" s="16">
        <f>RANK(Momentum_Signal!I58,Momentum_Signal!$C58:$J58,0)</f>
        <v>8</v>
      </c>
      <c r="J58" s="16">
        <f>RANK(Momentum_Signal!J58,Momentum_Signal!$C58:$J58,0)</f>
        <v>4</v>
      </c>
    </row>
    <row r="59" spans="1:10" ht="15" customHeight="1" x14ac:dyDescent="0.25">
      <c r="A59">
        <v>55</v>
      </c>
      <c r="B59" s="12">
        <f>Momentum_Signal!B59</f>
        <v>43647</v>
      </c>
      <c r="C59" s="16">
        <f>RANK(Momentum_Signal!C59,Momentum_Signal!$C59:$J59,0)</f>
        <v>1</v>
      </c>
      <c r="D59" s="16">
        <f>RANK(Momentum_Signal!D59,Momentum_Signal!$C59:$J59,0)</f>
        <v>3</v>
      </c>
      <c r="E59" s="16">
        <f>RANK(Momentum_Signal!E59,Momentum_Signal!$C59:$J59,0)</f>
        <v>5</v>
      </c>
      <c r="F59" s="16">
        <f>RANK(Momentum_Signal!F59,Momentum_Signal!$C59:$J59,0)</f>
        <v>6</v>
      </c>
      <c r="G59" s="16">
        <f>RANK(Momentum_Signal!G59,Momentum_Signal!$C59:$J59,0)</f>
        <v>2</v>
      </c>
      <c r="H59" s="16">
        <f>RANK(Momentum_Signal!H59,Momentum_Signal!$C59:$J59,0)</f>
        <v>4</v>
      </c>
      <c r="I59" s="16">
        <f>RANK(Momentum_Signal!I59,Momentum_Signal!$C59:$J59,0)</f>
        <v>8</v>
      </c>
      <c r="J59" s="16">
        <f>RANK(Momentum_Signal!J59,Momentum_Signal!$C59:$J59,0)</f>
        <v>7</v>
      </c>
    </row>
    <row r="60" spans="1:10" ht="15" customHeight="1" x14ac:dyDescent="0.25">
      <c r="A60">
        <v>56</v>
      </c>
      <c r="B60" s="12">
        <f>Momentum_Signal!B60</f>
        <v>43678</v>
      </c>
      <c r="C60" s="16">
        <f>RANK(Momentum_Signal!C60,Momentum_Signal!$C60:$J60,0)</f>
        <v>3</v>
      </c>
      <c r="D60" s="16">
        <f>RANK(Momentum_Signal!D60,Momentum_Signal!$C60:$J60,0)</f>
        <v>2</v>
      </c>
      <c r="E60" s="16">
        <f>RANK(Momentum_Signal!E60,Momentum_Signal!$C60:$J60,0)</f>
        <v>5</v>
      </c>
      <c r="F60" s="16">
        <f>RANK(Momentum_Signal!F60,Momentum_Signal!$C60:$J60,0)</f>
        <v>7</v>
      </c>
      <c r="G60" s="16">
        <f>RANK(Momentum_Signal!G60,Momentum_Signal!$C60:$J60,0)</f>
        <v>4</v>
      </c>
      <c r="H60" s="16">
        <f>RANK(Momentum_Signal!H60,Momentum_Signal!$C60:$J60,0)</f>
        <v>1</v>
      </c>
      <c r="I60" s="16">
        <f>RANK(Momentum_Signal!I60,Momentum_Signal!$C60:$J60,0)</f>
        <v>8</v>
      </c>
      <c r="J60" s="16">
        <f>RANK(Momentum_Signal!J60,Momentum_Signal!$C60:$J60,0)</f>
        <v>6</v>
      </c>
    </row>
    <row r="61" spans="1:10" ht="15" customHeight="1" x14ac:dyDescent="0.25">
      <c r="A61">
        <v>57</v>
      </c>
      <c r="B61" s="12">
        <f>Momentum_Signal!B61</f>
        <v>43709</v>
      </c>
      <c r="C61" s="16">
        <f>RANK(Momentum_Signal!C61,Momentum_Signal!$C61:$J61,0)</f>
        <v>6</v>
      </c>
      <c r="D61" s="16">
        <f>RANK(Momentum_Signal!D61,Momentum_Signal!$C61:$J61,0)</f>
        <v>1</v>
      </c>
      <c r="E61" s="16">
        <f>RANK(Momentum_Signal!E61,Momentum_Signal!$C61:$J61,0)</f>
        <v>3</v>
      </c>
      <c r="F61" s="16">
        <f>RANK(Momentum_Signal!F61,Momentum_Signal!$C61:$J61,0)</f>
        <v>7</v>
      </c>
      <c r="G61" s="16">
        <f>RANK(Momentum_Signal!G61,Momentum_Signal!$C61:$J61,0)</f>
        <v>2</v>
      </c>
      <c r="H61" s="16">
        <f>RANK(Momentum_Signal!H61,Momentum_Signal!$C61:$J61,0)</f>
        <v>5</v>
      </c>
      <c r="I61" s="16">
        <f>RANK(Momentum_Signal!I61,Momentum_Signal!$C61:$J61,0)</f>
        <v>8</v>
      </c>
      <c r="J61" s="16">
        <f>RANK(Momentum_Signal!J61,Momentum_Signal!$C61:$J61,0)</f>
        <v>4</v>
      </c>
    </row>
    <row r="62" spans="1:10" ht="15" customHeight="1" x14ac:dyDescent="0.25">
      <c r="A62">
        <v>58</v>
      </c>
      <c r="B62" s="12">
        <f>Momentum_Signal!B62</f>
        <v>43739</v>
      </c>
      <c r="C62" s="16">
        <f>RANK(Momentum_Signal!C62,Momentum_Signal!$C62:$J62,0)</f>
        <v>7</v>
      </c>
      <c r="D62" s="16">
        <f>RANK(Momentum_Signal!D62,Momentum_Signal!$C62:$J62,0)</f>
        <v>2</v>
      </c>
      <c r="E62" s="16">
        <f>RANK(Momentum_Signal!E62,Momentum_Signal!$C62:$J62,0)</f>
        <v>4</v>
      </c>
      <c r="F62" s="16">
        <f>RANK(Momentum_Signal!F62,Momentum_Signal!$C62:$J62,0)</f>
        <v>5</v>
      </c>
      <c r="G62" s="16">
        <f>RANK(Momentum_Signal!G62,Momentum_Signal!$C62:$J62,0)</f>
        <v>6</v>
      </c>
      <c r="H62" s="16">
        <f>RANK(Momentum_Signal!H62,Momentum_Signal!$C62:$J62,0)</f>
        <v>8</v>
      </c>
      <c r="I62" s="16">
        <f>RANK(Momentum_Signal!I62,Momentum_Signal!$C62:$J62,0)</f>
        <v>1</v>
      </c>
      <c r="J62" s="16">
        <f>RANK(Momentum_Signal!J62,Momentum_Signal!$C62:$J62,0)</f>
        <v>3</v>
      </c>
    </row>
    <row r="63" spans="1:10" ht="15" customHeight="1" x14ac:dyDescent="0.25">
      <c r="A63">
        <v>59</v>
      </c>
      <c r="B63" s="12">
        <f>Momentum_Signal!B63</f>
        <v>43770</v>
      </c>
      <c r="C63" s="16">
        <f>RANK(Momentum_Signal!C63,Momentum_Signal!$C63:$J63,0)</f>
        <v>7</v>
      </c>
      <c r="D63" s="16">
        <f>RANK(Momentum_Signal!D63,Momentum_Signal!$C63:$J63,0)</f>
        <v>5</v>
      </c>
      <c r="E63" s="16">
        <f>RANK(Momentum_Signal!E63,Momentum_Signal!$C63:$J63,0)</f>
        <v>3</v>
      </c>
      <c r="F63" s="16">
        <f>RANK(Momentum_Signal!F63,Momentum_Signal!$C63:$J63,0)</f>
        <v>6</v>
      </c>
      <c r="G63" s="16">
        <f>RANK(Momentum_Signal!G63,Momentum_Signal!$C63:$J63,0)</f>
        <v>2</v>
      </c>
      <c r="H63" s="16">
        <f>RANK(Momentum_Signal!H63,Momentum_Signal!$C63:$J63,0)</f>
        <v>8</v>
      </c>
      <c r="I63" s="16">
        <f>RANK(Momentum_Signal!I63,Momentum_Signal!$C63:$J63,0)</f>
        <v>1</v>
      </c>
      <c r="J63" s="16">
        <f>RANK(Momentum_Signal!J63,Momentum_Signal!$C63:$J63,0)</f>
        <v>4</v>
      </c>
    </row>
    <row r="64" spans="1:10" ht="15" customHeight="1" x14ac:dyDescent="0.25">
      <c r="A64">
        <v>60</v>
      </c>
      <c r="B64" s="12">
        <f>Momentum_Signal!B64</f>
        <v>43800</v>
      </c>
      <c r="C64" s="16">
        <f>RANK(Momentum_Signal!C64,Momentum_Signal!$C64:$J64,0)</f>
        <v>8</v>
      </c>
      <c r="D64" s="16">
        <f>RANK(Momentum_Signal!D64,Momentum_Signal!$C64:$J64,0)</f>
        <v>5</v>
      </c>
      <c r="E64" s="16">
        <f>RANK(Momentum_Signal!E64,Momentum_Signal!$C64:$J64,0)</f>
        <v>2</v>
      </c>
      <c r="F64" s="16">
        <f>RANK(Momentum_Signal!F64,Momentum_Signal!$C64:$J64,0)</f>
        <v>6</v>
      </c>
      <c r="G64" s="16">
        <f>RANK(Momentum_Signal!G64,Momentum_Signal!$C64:$J64,0)</f>
        <v>4</v>
      </c>
      <c r="H64" s="16">
        <f>RANK(Momentum_Signal!H64,Momentum_Signal!$C64:$J64,0)</f>
        <v>7</v>
      </c>
      <c r="I64" s="16">
        <f>RANK(Momentum_Signal!I64,Momentum_Signal!$C64:$J64,0)</f>
        <v>1</v>
      </c>
      <c r="J64" s="16">
        <f>RANK(Momentum_Signal!J64,Momentum_Signal!$C64:$J64,0)</f>
        <v>3</v>
      </c>
    </row>
    <row r="65" spans="1:10" ht="15" customHeight="1" x14ac:dyDescent="0.25">
      <c r="A65">
        <v>61</v>
      </c>
      <c r="B65" s="12">
        <f>Momentum_Signal!B65</f>
        <v>43831</v>
      </c>
      <c r="C65" s="16">
        <f>RANK(Momentum_Signal!C65,Momentum_Signal!$C65:$J65,0)</f>
        <v>3</v>
      </c>
      <c r="D65" s="16">
        <f>RANK(Momentum_Signal!D65,Momentum_Signal!$C65:$J65,0)</f>
        <v>8</v>
      </c>
      <c r="E65" s="16">
        <f>RANK(Momentum_Signal!E65,Momentum_Signal!$C65:$J65,0)</f>
        <v>6</v>
      </c>
      <c r="F65" s="16">
        <f>RANK(Momentum_Signal!F65,Momentum_Signal!$C65:$J65,0)</f>
        <v>4</v>
      </c>
      <c r="G65" s="16">
        <f>RANK(Momentum_Signal!G65,Momentum_Signal!$C65:$J65,0)</f>
        <v>7</v>
      </c>
      <c r="H65" s="16">
        <f>RANK(Momentum_Signal!H65,Momentum_Signal!$C65:$J65,0)</f>
        <v>5</v>
      </c>
      <c r="I65" s="16">
        <f>RANK(Momentum_Signal!I65,Momentum_Signal!$C65:$J65,0)</f>
        <v>1</v>
      </c>
      <c r="J65" s="16">
        <f>RANK(Momentum_Signal!J65,Momentum_Signal!$C65:$J65,0)</f>
        <v>2</v>
      </c>
    </row>
    <row r="66" spans="1:10" ht="15" customHeight="1" x14ac:dyDescent="0.25">
      <c r="A66">
        <v>62</v>
      </c>
      <c r="B66" s="12">
        <f>Momentum_Signal!B66</f>
        <v>43862</v>
      </c>
      <c r="C66" s="16">
        <f>RANK(Momentum_Signal!C66,Momentum_Signal!$C66:$J66,0)</f>
        <v>3</v>
      </c>
      <c r="D66" s="16">
        <f>RANK(Momentum_Signal!D66,Momentum_Signal!$C66:$J66,0)</f>
        <v>8</v>
      </c>
      <c r="E66" s="16">
        <f>RANK(Momentum_Signal!E66,Momentum_Signal!$C66:$J66,0)</f>
        <v>6</v>
      </c>
      <c r="F66" s="16">
        <f>RANK(Momentum_Signal!F66,Momentum_Signal!$C66:$J66,0)</f>
        <v>2</v>
      </c>
      <c r="G66" s="16">
        <f>RANK(Momentum_Signal!G66,Momentum_Signal!$C66:$J66,0)</f>
        <v>7</v>
      </c>
      <c r="H66" s="16">
        <f>RANK(Momentum_Signal!H66,Momentum_Signal!$C66:$J66,0)</f>
        <v>5</v>
      </c>
      <c r="I66" s="16">
        <f>RANK(Momentum_Signal!I66,Momentum_Signal!$C66:$J66,0)</f>
        <v>1</v>
      </c>
      <c r="J66" s="16">
        <f>RANK(Momentum_Signal!J66,Momentum_Signal!$C66:$J66,0)</f>
        <v>4</v>
      </c>
    </row>
    <row r="67" spans="1:10" ht="15" customHeight="1" x14ac:dyDescent="0.25">
      <c r="A67">
        <v>63</v>
      </c>
      <c r="B67" s="12">
        <f>Momentum_Signal!B67</f>
        <v>43891</v>
      </c>
      <c r="C67" s="16">
        <f>RANK(Momentum_Signal!C67,Momentum_Signal!$C67:$J67,0)</f>
        <v>5</v>
      </c>
      <c r="D67" s="16">
        <f>RANK(Momentum_Signal!D67,Momentum_Signal!$C67:$J67,0)</f>
        <v>7</v>
      </c>
      <c r="E67" s="16">
        <f>RANK(Momentum_Signal!E67,Momentum_Signal!$C67:$J67,0)</f>
        <v>6</v>
      </c>
      <c r="F67" s="16">
        <f>RANK(Momentum_Signal!F67,Momentum_Signal!$C67:$J67,0)</f>
        <v>2</v>
      </c>
      <c r="G67" s="16">
        <f>RANK(Momentum_Signal!G67,Momentum_Signal!$C67:$J67,0)</f>
        <v>3</v>
      </c>
      <c r="H67" s="16">
        <f>RANK(Momentum_Signal!H67,Momentum_Signal!$C67:$J67,0)</f>
        <v>8</v>
      </c>
      <c r="I67" s="16">
        <f>RANK(Momentum_Signal!I67,Momentum_Signal!$C67:$J67,0)</f>
        <v>1</v>
      </c>
      <c r="J67" s="16">
        <f>RANK(Momentum_Signal!J67,Momentum_Signal!$C67:$J67,0)</f>
        <v>4</v>
      </c>
    </row>
    <row r="68" spans="1:10" ht="15" customHeight="1" x14ac:dyDescent="0.25">
      <c r="A68">
        <v>64</v>
      </c>
      <c r="B68" s="12">
        <f>Momentum_Signal!B68</f>
        <v>43922</v>
      </c>
      <c r="C68" s="16">
        <f>RANK(Momentum_Signal!C68,Momentum_Signal!$C68:$J68,0)</f>
        <v>7</v>
      </c>
      <c r="D68" s="16">
        <f>RANK(Momentum_Signal!D68,Momentum_Signal!$C68:$J68,0)</f>
        <v>6</v>
      </c>
      <c r="E68" s="16">
        <f>RANK(Momentum_Signal!E68,Momentum_Signal!$C68:$J68,0)</f>
        <v>5</v>
      </c>
      <c r="F68" s="16">
        <f>RANK(Momentum_Signal!F68,Momentum_Signal!$C68:$J68,0)</f>
        <v>1</v>
      </c>
      <c r="G68" s="16">
        <f>RANK(Momentum_Signal!G68,Momentum_Signal!$C68:$J68,0)</f>
        <v>2</v>
      </c>
      <c r="H68" s="16">
        <f>RANK(Momentum_Signal!H68,Momentum_Signal!$C68:$J68,0)</f>
        <v>8</v>
      </c>
      <c r="I68" s="16">
        <f>RANK(Momentum_Signal!I68,Momentum_Signal!$C68:$J68,0)</f>
        <v>3</v>
      </c>
      <c r="J68" s="16">
        <f>RANK(Momentum_Signal!J68,Momentum_Signal!$C68:$J68,0)</f>
        <v>4</v>
      </c>
    </row>
    <row r="69" spans="1:10" ht="15" customHeight="1" x14ac:dyDescent="0.25">
      <c r="A69">
        <v>65</v>
      </c>
      <c r="B69" s="12">
        <f>Momentum_Signal!B69</f>
        <v>43952</v>
      </c>
      <c r="C69" s="16">
        <f>RANK(Momentum_Signal!C69,Momentum_Signal!$C69:$J69,0)</f>
        <v>8</v>
      </c>
      <c r="D69" s="16">
        <f>RANK(Momentum_Signal!D69,Momentum_Signal!$C69:$J69,0)</f>
        <v>4</v>
      </c>
      <c r="E69" s="16">
        <f>RANK(Momentum_Signal!E69,Momentum_Signal!$C69:$J69,0)</f>
        <v>7</v>
      </c>
      <c r="F69" s="16">
        <f>RANK(Momentum_Signal!F69,Momentum_Signal!$C69:$J69,0)</f>
        <v>1</v>
      </c>
      <c r="G69" s="16">
        <f>RANK(Momentum_Signal!G69,Momentum_Signal!$C69:$J69,0)</f>
        <v>2</v>
      </c>
      <c r="H69" s="16">
        <f>RANK(Momentum_Signal!H69,Momentum_Signal!$C69:$J69,0)</f>
        <v>6</v>
      </c>
      <c r="I69" s="16">
        <f>RANK(Momentum_Signal!I69,Momentum_Signal!$C69:$J69,0)</f>
        <v>3</v>
      </c>
      <c r="J69" s="16">
        <f>RANK(Momentum_Signal!J69,Momentum_Signal!$C69:$J69,0)</f>
        <v>5</v>
      </c>
    </row>
    <row r="70" spans="1:10" ht="15" customHeight="1" x14ac:dyDescent="0.25">
      <c r="A70">
        <v>66</v>
      </c>
      <c r="B70" s="12">
        <f>Momentum_Signal!B70</f>
        <v>43983</v>
      </c>
      <c r="C70" s="16">
        <f>RANK(Momentum_Signal!C70,Momentum_Signal!$C70:$J70,0)</f>
        <v>8</v>
      </c>
      <c r="D70" s="16">
        <f>RANK(Momentum_Signal!D70,Momentum_Signal!$C70:$J70,0)</f>
        <v>5</v>
      </c>
      <c r="E70" s="16">
        <f>RANK(Momentum_Signal!E70,Momentum_Signal!$C70:$J70,0)</f>
        <v>7</v>
      </c>
      <c r="F70" s="16">
        <f>RANK(Momentum_Signal!F70,Momentum_Signal!$C70:$J70,0)</f>
        <v>1</v>
      </c>
      <c r="G70" s="16">
        <f>RANK(Momentum_Signal!G70,Momentum_Signal!$C70:$J70,0)</f>
        <v>2</v>
      </c>
      <c r="H70" s="16">
        <f>RANK(Momentum_Signal!H70,Momentum_Signal!$C70:$J70,0)</f>
        <v>6</v>
      </c>
      <c r="I70" s="16">
        <f>RANK(Momentum_Signal!I70,Momentum_Signal!$C70:$J70,0)</f>
        <v>3</v>
      </c>
      <c r="J70" s="16">
        <f>RANK(Momentum_Signal!J70,Momentum_Signal!$C70:$J70,0)</f>
        <v>4</v>
      </c>
    </row>
    <row r="71" spans="1:10" ht="15" customHeight="1" x14ac:dyDescent="0.25">
      <c r="A71">
        <v>67</v>
      </c>
      <c r="B71" s="12">
        <f>Momentum_Signal!B71</f>
        <v>44013</v>
      </c>
      <c r="C71" s="16">
        <f>RANK(Momentum_Signal!C71,Momentum_Signal!$C71:$J71,0)</f>
        <v>8</v>
      </c>
      <c r="D71" s="16">
        <f>RANK(Momentum_Signal!D71,Momentum_Signal!$C71:$J71,0)</f>
        <v>4</v>
      </c>
      <c r="E71" s="16">
        <f>RANK(Momentum_Signal!E71,Momentum_Signal!$C71:$J71,0)</f>
        <v>7</v>
      </c>
      <c r="F71" s="16">
        <f>RANK(Momentum_Signal!F71,Momentum_Signal!$C71:$J71,0)</f>
        <v>1</v>
      </c>
      <c r="G71" s="16">
        <f>RANK(Momentum_Signal!G71,Momentum_Signal!$C71:$J71,0)</f>
        <v>2</v>
      </c>
      <c r="H71" s="16">
        <f>RANK(Momentum_Signal!H71,Momentum_Signal!$C71:$J71,0)</f>
        <v>6</v>
      </c>
      <c r="I71" s="16">
        <f>RANK(Momentum_Signal!I71,Momentum_Signal!$C71:$J71,0)</f>
        <v>3</v>
      </c>
      <c r="J71" s="16">
        <f>RANK(Momentum_Signal!J71,Momentum_Signal!$C71:$J71,0)</f>
        <v>5</v>
      </c>
    </row>
    <row r="72" spans="1:10" ht="15" customHeight="1" x14ac:dyDescent="0.25">
      <c r="A72">
        <v>68</v>
      </c>
      <c r="B72" s="12">
        <f>Momentum_Signal!B72</f>
        <v>44044</v>
      </c>
      <c r="C72" s="16">
        <f>RANK(Momentum_Signal!C72,Momentum_Signal!$C72:$J72,0)</f>
        <v>7</v>
      </c>
      <c r="D72" s="16">
        <f>RANK(Momentum_Signal!D72,Momentum_Signal!$C72:$J72,0)</f>
        <v>6</v>
      </c>
      <c r="E72" s="16">
        <f>RANK(Momentum_Signal!E72,Momentum_Signal!$C72:$J72,0)</f>
        <v>8</v>
      </c>
      <c r="F72" s="16">
        <f>RANK(Momentum_Signal!F72,Momentum_Signal!$C72:$J72,0)</f>
        <v>1</v>
      </c>
      <c r="G72" s="16">
        <f>RANK(Momentum_Signal!G72,Momentum_Signal!$C72:$J72,0)</f>
        <v>4</v>
      </c>
      <c r="H72" s="16">
        <f>RANK(Momentum_Signal!H72,Momentum_Signal!$C72:$J72,0)</f>
        <v>5</v>
      </c>
      <c r="I72" s="16">
        <f>RANK(Momentum_Signal!I72,Momentum_Signal!$C72:$J72,0)</f>
        <v>2</v>
      </c>
      <c r="J72" s="16">
        <f>RANK(Momentum_Signal!J72,Momentum_Signal!$C72:$J72,0)</f>
        <v>3</v>
      </c>
    </row>
    <row r="73" spans="1:10" ht="15" customHeight="1" x14ac:dyDescent="0.25">
      <c r="A73">
        <v>69</v>
      </c>
      <c r="B73" s="12">
        <f>Momentum_Signal!B73</f>
        <v>44075</v>
      </c>
      <c r="C73" s="16">
        <f>RANK(Momentum_Signal!C73,Momentum_Signal!$C73:$J73,0)</f>
        <v>4</v>
      </c>
      <c r="D73" s="16">
        <f>RANK(Momentum_Signal!D73,Momentum_Signal!$C73:$J73,0)</f>
        <v>8</v>
      </c>
      <c r="E73" s="16">
        <f>RANK(Momentum_Signal!E73,Momentum_Signal!$C73:$J73,0)</f>
        <v>6</v>
      </c>
      <c r="F73" s="16">
        <f>RANK(Momentum_Signal!F73,Momentum_Signal!$C73:$J73,0)</f>
        <v>1</v>
      </c>
      <c r="G73" s="16">
        <f>RANK(Momentum_Signal!G73,Momentum_Signal!$C73:$J73,0)</f>
        <v>7</v>
      </c>
      <c r="H73" s="16">
        <f>RANK(Momentum_Signal!H73,Momentum_Signal!$C73:$J73,0)</f>
        <v>2</v>
      </c>
      <c r="I73" s="16">
        <f>RANK(Momentum_Signal!I73,Momentum_Signal!$C73:$J73,0)</f>
        <v>3</v>
      </c>
      <c r="J73" s="16">
        <f>RANK(Momentum_Signal!J73,Momentum_Signal!$C73:$J73,0)</f>
        <v>5</v>
      </c>
    </row>
    <row r="74" spans="1:10" ht="15" customHeight="1" x14ac:dyDescent="0.25">
      <c r="A74">
        <v>70</v>
      </c>
      <c r="B74" s="12">
        <f>Momentum_Signal!B74</f>
        <v>44105</v>
      </c>
      <c r="C74" s="16">
        <f>RANK(Momentum_Signal!C74,Momentum_Signal!$C74:$J74,0)</f>
        <v>2</v>
      </c>
      <c r="D74" s="16">
        <f>RANK(Momentum_Signal!D74,Momentum_Signal!$C74:$J74,0)</f>
        <v>6</v>
      </c>
      <c r="E74" s="16">
        <f>RANK(Momentum_Signal!E74,Momentum_Signal!$C74:$J74,0)</f>
        <v>7</v>
      </c>
      <c r="F74" s="16">
        <f>RANK(Momentum_Signal!F74,Momentum_Signal!$C74:$J74,0)</f>
        <v>3</v>
      </c>
      <c r="G74" s="16">
        <f>RANK(Momentum_Signal!G74,Momentum_Signal!$C74:$J74,0)</f>
        <v>8</v>
      </c>
      <c r="H74" s="16">
        <f>RANK(Momentum_Signal!H74,Momentum_Signal!$C74:$J74,0)</f>
        <v>1</v>
      </c>
      <c r="I74" s="16">
        <f>RANK(Momentum_Signal!I74,Momentum_Signal!$C74:$J74,0)</f>
        <v>5</v>
      </c>
      <c r="J74" s="16">
        <f>RANK(Momentum_Signal!J74,Momentum_Signal!$C74:$J74,0)</f>
        <v>4</v>
      </c>
    </row>
    <row r="75" spans="1:10" ht="15" customHeight="1" x14ac:dyDescent="0.25">
      <c r="A75">
        <v>71</v>
      </c>
      <c r="B75" s="12">
        <f>Momentum_Signal!B75</f>
        <v>44136</v>
      </c>
      <c r="C75" s="16">
        <f>RANK(Momentum_Signal!C75,Momentum_Signal!$C75:$J75,0)</f>
        <v>2</v>
      </c>
      <c r="D75" s="16">
        <f>RANK(Momentum_Signal!D75,Momentum_Signal!$C75:$J75,0)</f>
        <v>7</v>
      </c>
      <c r="E75" s="16">
        <f>RANK(Momentum_Signal!E75,Momentum_Signal!$C75:$J75,0)</f>
        <v>5</v>
      </c>
      <c r="F75" s="16">
        <f>RANK(Momentum_Signal!F75,Momentum_Signal!$C75:$J75,0)</f>
        <v>3</v>
      </c>
      <c r="G75" s="16">
        <f>RANK(Momentum_Signal!G75,Momentum_Signal!$C75:$J75,0)</f>
        <v>8</v>
      </c>
      <c r="H75" s="16">
        <f>RANK(Momentum_Signal!H75,Momentum_Signal!$C75:$J75,0)</f>
        <v>1</v>
      </c>
      <c r="I75" s="16">
        <f>RANK(Momentum_Signal!I75,Momentum_Signal!$C75:$J75,0)</f>
        <v>6</v>
      </c>
      <c r="J75" s="16">
        <f>RANK(Momentum_Signal!J75,Momentum_Signal!$C75:$J75,0)</f>
        <v>4</v>
      </c>
    </row>
    <row r="76" spans="1:10" ht="15" customHeight="1" x14ac:dyDescent="0.25">
      <c r="A76">
        <v>72</v>
      </c>
      <c r="B76" s="12">
        <f>Momentum_Signal!B76</f>
        <v>44166</v>
      </c>
      <c r="C76" s="16">
        <f>RANK(Momentum_Signal!C76,Momentum_Signal!$C76:$J76,0)</f>
        <v>2</v>
      </c>
      <c r="D76" s="16">
        <f>RANK(Momentum_Signal!D76,Momentum_Signal!$C76:$J76,0)</f>
        <v>7</v>
      </c>
      <c r="E76" s="16">
        <f>RANK(Momentum_Signal!E76,Momentum_Signal!$C76:$J76,0)</f>
        <v>5</v>
      </c>
      <c r="F76" s="16">
        <f>RANK(Momentum_Signal!F76,Momentum_Signal!$C76:$J76,0)</f>
        <v>3</v>
      </c>
      <c r="G76" s="16">
        <f>RANK(Momentum_Signal!G76,Momentum_Signal!$C76:$J76,0)</f>
        <v>8</v>
      </c>
      <c r="H76" s="16">
        <f>RANK(Momentum_Signal!H76,Momentum_Signal!$C76:$J76,0)</f>
        <v>1</v>
      </c>
      <c r="I76" s="16">
        <f>RANK(Momentum_Signal!I76,Momentum_Signal!$C76:$J76,0)</f>
        <v>6</v>
      </c>
      <c r="J76" s="16">
        <f>RANK(Momentum_Signal!J76,Momentum_Signal!$C76:$J76,0)</f>
        <v>4</v>
      </c>
    </row>
    <row r="77" spans="1:10" ht="15" customHeight="1" x14ac:dyDescent="0.25">
      <c r="A77">
        <v>73</v>
      </c>
      <c r="B77" s="12">
        <f>Momentum_Signal!B77</f>
        <v>44197</v>
      </c>
      <c r="C77" s="16">
        <f>RANK(Momentum_Signal!C77,Momentum_Signal!$C77:$J77,0)</f>
        <v>2</v>
      </c>
      <c r="D77" s="16">
        <f>RANK(Momentum_Signal!D77,Momentum_Signal!$C77:$J77,0)</f>
        <v>8</v>
      </c>
      <c r="E77" s="16">
        <f>RANK(Momentum_Signal!E77,Momentum_Signal!$C77:$J77,0)</f>
        <v>5</v>
      </c>
      <c r="F77" s="16">
        <f>RANK(Momentum_Signal!F77,Momentum_Signal!$C77:$J77,0)</f>
        <v>3</v>
      </c>
      <c r="G77" s="16">
        <f>RANK(Momentum_Signal!G77,Momentum_Signal!$C77:$J77,0)</f>
        <v>7</v>
      </c>
      <c r="H77" s="16">
        <f>RANK(Momentum_Signal!H77,Momentum_Signal!$C77:$J77,0)</f>
        <v>1</v>
      </c>
      <c r="I77" s="16">
        <f>RANK(Momentum_Signal!I77,Momentum_Signal!$C77:$J77,0)</f>
        <v>6</v>
      </c>
      <c r="J77" s="16">
        <f>RANK(Momentum_Signal!J77,Momentum_Signal!$C77:$J77,0)</f>
        <v>4</v>
      </c>
    </row>
    <row r="78" spans="1:10" ht="15" customHeight="1" x14ac:dyDescent="0.25">
      <c r="A78">
        <v>74</v>
      </c>
      <c r="B78" s="12">
        <f>Momentum_Signal!B78</f>
        <v>44228</v>
      </c>
      <c r="C78" s="16">
        <f>RANK(Momentum_Signal!C78,Momentum_Signal!$C78:$J78,0)</f>
        <v>3</v>
      </c>
      <c r="D78" s="16">
        <f>RANK(Momentum_Signal!D78,Momentum_Signal!$C78:$J78,0)</f>
        <v>7</v>
      </c>
      <c r="E78" s="16">
        <f>RANK(Momentum_Signal!E78,Momentum_Signal!$C78:$J78,0)</f>
        <v>6</v>
      </c>
      <c r="F78" s="16">
        <f>RANK(Momentum_Signal!F78,Momentum_Signal!$C78:$J78,0)</f>
        <v>1</v>
      </c>
      <c r="G78" s="16">
        <f>RANK(Momentum_Signal!G78,Momentum_Signal!$C78:$J78,0)</f>
        <v>8</v>
      </c>
      <c r="H78" s="16">
        <f>RANK(Momentum_Signal!H78,Momentum_Signal!$C78:$J78,0)</f>
        <v>2</v>
      </c>
      <c r="I78" s="16">
        <f>RANK(Momentum_Signal!I78,Momentum_Signal!$C78:$J78,0)</f>
        <v>5</v>
      </c>
      <c r="J78" s="16">
        <f>RANK(Momentum_Signal!J78,Momentum_Signal!$C78:$J78,0)</f>
        <v>4</v>
      </c>
    </row>
    <row r="79" spans="1:10" ht="15" customHeight="1" x14ac:dyDescent="0.25">
      <c r="A79">
        <v>75</v>
      </c>
      <c r="B79" s="12">
        <f>Momentum_Signal!B79</f>
        <v>44256</v>
      </c>
      <c r="C79" s="16">
        <f>RANK(Momentum_Signal!C79,Momentum_Signal!$C79:$J79,0)</f>
        <v>1</v>
      </c>
      <c r="D79" s="16">
        <f>RANK(Momentum_Signal!D79,Momentum_Signal!$C79:$J79,0)</f>
        <v>6</v>
      </c>
      <c r="E79" s="16">
        <f>RANK(Momentum_Signal!E79,Momentum_Signal!$C79:$J79,0)</f>
        <v>7</v>
      </c>
      <c r="F79" s="16">
        <f>RANK(Momentum_Signal!F79,Momentum_Signal!$C79:$J79,0)</f>
        <v>3</v>
      </c>
      <c r="G79" s="16">
        <f>RANK(Momentum_Signal!G79,Momentum_Signal!$C79:$J79,0)</f>
        <v>8</v>
      </c>
      <c r="H79" s="16">
        <f>RANK(Momentum_Signal!H79,Momentum_Signal!$C79:$J79,0)</f>
        <v>2</v>
      </c>
      <c r="I79" s="16">
        <f>RANK(Momentum_Signal!I79,Momentum_Signal!$C79:$J79,0)</f>
        <v>4</v>
      </c>
      <c r="J79" s="16">
        <f>RANK(Momentum_Signal!J79,Momentum_Signal!$C79:$J79,0)</f>
        <v>5</v>
      </c>
    </row>
    <row r="80" spans="1:10" ht="15" customHeight="1" x14ac:dyDescent="0.25">
      <c r="A80">
        <v>76</v>
      </c>
      <c r="B80" s="12">
        <f>Momentum_Signal!B80</f>
        <v>44287</v>
      </c>
      <c r="C80" s="16">
        <f>RANK(Momentum_Signal!C80,Momentum_Signal!$C80:$J80,0)</f>
        <v>1</v>
      </c>
      <c r="D80" s="16">
        <f>RANK(Momentum_Signal!D80,Momentum_Signal!$C80:$J80,0)</f>
        <v>5</v>
      </c>
      <c r="E80" s="16">
        <f>RANK(Momentum_Signal!E80,Momentum_Signal!$C80:$J80,0)</f>
        <v>8</v>
      </c>
      <c r="F80" s="16">
        <f>RANK(Momentum_Signal!F80,Momentum_Signal!$C80:$J80,0)</f>
        <v>2</v>
      </c>
      <c r="G80" s="16">
        <f>RANK(Momentum_Signal!G80,Momentum_Signal!$C80:$J80,0)</f>
        <v>7</v>
      </c>
      <c r="H80" s="16">
        <f>RANK(Momentum_Signal!H80,Momentum_Signal!$C80:$J80,0)</f>
        <v>6</v>
      </c>
      <c r="I80" s="16">
        <f>RANK(Momentum_Signal!I80,Momentum_Signal!$C80:$J80,0)</f>
        <v>3</v>
      </c>
      <c r="J80" s="16">
        <f>RANK(Momentum_Signal!J80,Momentum_Signal!$C80:$J80,0)</f>
        <v>4</v>
      </c>
    </row>
    <row r="81" spans="1:10" ht="15" customHeight="1" x14ac:dyDescent="0.25">
      <c r="A81">
        <v>77</v>
      </c>
      <c r="B81" s="12">
        <f>Momentum_Signal!B81</f>
        <v>44317</v>
      </c>
      <c r="C81" s="16">
        <f>RANK(Momentum_Signal!C81,Momentum_Signal!$C81:$J81,0)</f>
        <v>2</v>
      </c>
      <c r="D81" s="16">
        <f>RANK(Momentum_Signal!D81,Momentum_Signal!$C81:$J81,0)</f>
        <v>3</v>
      </c>
      <c r="E81" s="16">
        <f>RANK(Momentum_Signal!E81,Momentum_Signal!$C81:$J81,0)</f>
        <v>8</v>
      </c>
      <c r="F81" s="16">
        <f>RANK(Momentum_Signal!F81,Momentum_Signal!$C81:$J81,0)</f>
        <v>1</v>
      </c>
      <c r="G81" s="16">
        <f>RANK(Momentum_Signal!G81,Momentum_Signal!$C81:$J81,0)</f>
        <v>7</v>
      </c>
      <c r="H81" s="16">
        <f>RANK(Momentum_Signal!H81,Momentum_Signal!$C81:$J81,0)</f>
        <v>6</v>
      </c>
      <c r="I81" s="16">
        <f>RANK(Momentum_Signal!I81,Momentum_Signal!$C81:$J81,0)</f>
        <v>5</v>
      </c>
      <c r="J81" s="16">
        <f>RANK(Momentum_Signal!J81,Momentum_Signal!$C81:$J81,0)</f>
        <v>4</v>
      </c>
    </row>
    <row r="82" spans="1:10" ht="15" customHeight="1" x14ac:dyDescent="0.25">
      <c r="A82">
        <v>78</v>
      </c>
      <c r="B82" s="12">
        <f>Momentum_Signal!B82</f>
        <v>44348</v>
      </c>
      <c r="C82" s="16">
        <f>RANK(Momentum_Signal!C82,Momentum_Signal!$C82:$J82,0)</f>
        <v>4</v>
      </c>
      <c r="D82" s="16">
        <f>RANK(Momentum_Signal!D82,Momentum_Signal!$C82:$J82,0)</f>
        <v>3</v>
      </c>
      <c r="E82" s="16">
        <f>RANK(Momentum_Signal!E82,Momentum_Signal!$C82:$J82,0)</f>
        <v>8</v>
      </c>
      <c r="F82" s="16">
        <f>RANK(Momentum_Signal!F82,Momentum_Signal!$C82:$J82,0)</f>
        <v>1</v>
      </c>
      <c r="G82" s="16">
        <f>RANK(Momentum_Signal!G82,Momentum_Signal!$C82:$J82,0)</f>
        <v>6</v>
      </c>
      <c r="H82" s="16">
        <f>RANK(Momentum_Signal!H82,Momentum_Signal!$C82:$J82,0)</f>
        <v>7</v>
      </c>
      <c r="I82" s="16">
        <f>RANK(Momentum_Signal!I82,Momentum_Signal!$C82:$J82,0)</f>
        <v>2</v>
      </c>
      <c r="J82" s="16">
        <f>RANK(Momentum_Signal!J82,Momentum_Signal!$C82:$J82,0)</f>
        <v>5</v>
      </c>
    </row>
    <row r="83" spans="1:10" ht="15" customHeight="1" x14ac:dyDescent="0.25">
      <c r="A83">
        <v>79</v>
      </c>
      <c r="B83" s="12">
        <f>Momentum_Signal!B83</f>
        <v>44378</v>
      </c>
      <c r="C83" s="16">
        <f>RANK(Momentum_Signal!C83,Momentum_Signal!$C83:$J83,0)</f>
        <v>3</v>
      </c>
      <c r="D83" s="16">
        <f>RANK(Momentum_Signal!D83,Momentum_Signal!$C83:$J83,0)</f>
        <v>2</v>
      </c>
      <c r="E83" s="16">
        <f>RANK(Momentum_Signal!E83,Momentum_Signal!$C83:$J83,0)</f>
        <v>8</v>
      </c>
      <c r="F83" s="16">
        <f>RANK(Momentum_Signal!F83,Momentum_Signal!$C83:$J83,0)</f>
        <v>1</v>
      </c>
      <c r="G83" s="16">
        <f>RANK(Momentum_Signal!G83,Momentum_Signal!$C83:$J83,0)</f>
        <v>6</v>
      </c>
      <c r="H83" s="16">
        <f>RANK(Momentum_Signal!H83,Momentum_Signal!$C83:$J83,0)</f>
        <v>7</v>
      </c>
      <c r="I83" s="16">
        <f>RANK(Momentum_Signal!I83,Momentum_Signal!$C83:$J83,0)</f>
        <v>4</v>
      </c>
      <c r="J83" s="16">
        <f>RANK(Momentum_Signal!J83,Momentum_Signal!$C83:$J83,0)</f>
        <v>5</v>
      </c>
    </row>
    <row r="84" spans="1:10" ht="15" customHeight="1" x14ac:dyDescent="0.25">
      <c r="A84">
        <v>80</v>
      </c>
      <c r="B84" s="12">
        <f>Momentum_Signal!B84</f>
        <v>44409</v>
      </c>
      <c r="C84" s="16">
        <f>RANK(Momentum_Signal!C84,Momentum_Signal!$C84:$J84,0)</f>
        <v>1</v>
      </c>
      <c r="D84" s="16">
        <f>RANK(Momentum_Signal!D84,Momentum_Signal!$C84:$J84,0)</f>
        <v>2</v>
      </c>
      <c r="E84" s="16">
        <f>RANK(Momentum_Signal!E84,Momentum_Signal!$C84:$J84,0)</f>
        <v>7</v>
      </c>
      <c r="F84" s="16">
        <f>RANK(Momentum_Signal!F84,Momentum_Signal!$C84:$J84,0)</f>
        <v>6</v>
      </c>
      <c r="G84" s="16">
        <f>RANK(Momentum_Signal!G84,Momentum_Signal!$C84:$J84,0)</f>
        <v>5</v>
      </c>
      <c r="H84" s="16">
        <f>RANK(Momentum_Signal!H84,Momentum_Signal!$C84:$J84,0)</f>
        <v>8</v>
      </c>
      <c r="I84" s="16">
        <f>RANK(Momentum_Signal!I84,Momentum_Signal!$C84:$J84,0)</f>
        <v>4</v>
      </c>
      <c r="J84" s="16">
        <f>RANK(Momentum_Signal!J84,Momentum_Signal!$C84:$J84,0)</f>
        <v>3</v>
      </c>
    </row>
    <row r="85" spans="1:10" ht="15" customHeight="1" x14ac:dyDescent="0.25">
      <c r="A85">
        <v>81</v>
      </c>
      <c r="B85" s="12">
        <f>Momentum_Signal!B85</f>
        <v>44440</v>
      </c>
      <c r="C85" s="16">
        <f>RANK(Momentum_Signal!C85,Momentum_Signal!$C85:$J85,0)</f>
        <v>1</v>
      </c>
      <c r="D85" s="16">
        <f>RANK(Momentum_Signal!D85,Momentum_Signal!$C85:$J85,0)</f>
        <v>2</v>
      </c>
      <c r="E85" s="16">
        <f>RANK(Momentum_Signal!E85,Momentum_Signal!$C85:$J85,0)</f>
        <v>6</v>
      </c>
      <c r="F85" s="16">
        <f>RANK(Momentum_Signal!F85,Momentum_Signal!$C85:$J85,0)</f>
        <v>7</v>
      </c>
      <c r="G85" s="16">
        <f>RANK(Momentum_Signal!G85,Momentum_Signal!$C85:$J85,0)</f>
        <v>5</v>
      </c>
      <c r="H85" s="16">
        <f>RANK(Momentum_Signal!H85,Momentum_Signal!$C85:$J85,0)</f>
        <v>8</v>
      </c>
      <c r="I85" s="16">
        <f>RANK(Momentum_Signal!I85,Momentum_Signal!$C85:$J85,0)</f>
        <v>3</v>
      </c>
      <c r="J85" s="16">
        <f>RANK(Momentum_Signal!J85,Momentum_Signal!$C85:$J85,0)</f>
        <v>4</v>
      </c>
    </row>
    <row r="86" spans="1:10" ht="15" customHeight="1" x14ac:dyDescent="0.25">
      <c r="A86">
        <v>82</v>
      </c>
      <c r="B86" s="12">
        <f>Momentum_Signal!B86</f>
        <v>44470</v>
      </c>
      <c r="C86" s="16">
        <f>RANK(Momentum_Signal!C86,Momentum_Signal!$C86:$J86,0)</f>
        <v>1</v>
      </c>
      <c r="D86" s="16">
        <f>RANK(Momentum_Signal!D86,Momentum_Signal!$C86:$J86,0)</f>
        <v>3</v>
      </c>
      <c r="E86" s="16">
        <f>RANK(Momentum_Signal!E86,Momentum_Signal!$C86:$J86,0)</f>
        <v>5</v>
      </c>
      <c r="F86" s="16">
        <f>RANK(Momentum_Signal!F86,Momentum_Signal!$C86:$J86,0)</f>
        <v>8</v>
      </c>
      <c r="G86" s="16">
        <f>RANK(Momentum_Signal!G86,Momentum_Signal!$C86:$J86,0)</f>
        <v>6</v>
      </c>
      <c r="H86" s="16">
        <f>RANK(Momentum_Signal!H86,Momentum_Signal!$C86:$J86,0)</f>
        <v>7</v>
      </c>
      <c r="I86" s="16">
        <f>RANK(Momentum_Signal!I86,Momentum_Signal!$C86:$J86,0)</f>
        <v>2</v>
      </c>
      <c r="J86" s="16">
        <f>RANK(Momentum_Signal!J86,Momentum_Signal!$C86:$J86,0)</f>
        <v>4</v>
      </c>
    </row>
    <row r="87" spans="1:10" ht="15" customHeight="1" x14ac:dyDescent="0.25">
      <c r="A87">
        <v>83</v>
      </c>
      <c r="B87" s="12">
        <f>Momentum_Signal!B87</f>
        <v>44501</v>
      </c>
      <c r="C87" s="16">
        <f>RANK(Momentum_Signal!C87,Momentum_Signal!$C87:$J87,0)</f>
        <v>1</v>
      </c>
      <c r="D87" s="16">
        <f>RANK(Momentum_Signal!D87,Momentum_Signal!$C87:$J87,0)</f>
        <v>3</v>
      </c>
      <c r="E87" s="16">
        <f>RANK(Momentum_Signal!E87,Momentum_Signal!$C87:$J87,0)</f>
        <v>4</v>
      </c>
      <c r="F87" s="16">
        <f>RANK(Momentum_Signal!F87,Momentum_Signal!$C87:$J87,0)</f>
        <v>8</v>
      </c>
      <c r="G87" s="16">
        <f>RANK(Momentum_Signal!G87,Momentum_Signal!$C87:$J87,0)</f>
        <v>6</v>
      </c>
      <c r="H87" s="16">
        <f>RANK(Momentum_Signal!H87,Momentum_Signal!$C87:$J87,0)</f>
        <v>7</v>
      </c>
      <c r="I87" s="16">
        <f>RANK(Momentum_Signal!I87,Momentum_Signal!$C87:$J87,0)</f>
        <v>2</v>
      </c>
      <c r="J87" s="16">
        <f>RANK(Momentum_Signal!J87,Momentum_Signal!$C87:$J87,0)</f>
        <v>5</v>
      </c>
    </row>
    <row r="88" spans="1:10" ht="15" customHeight="1" x14ac:dyDescent="0.25">
      <c r="A88">
        <v>84</v>
      </c>
      <c r="B88" s="12">
        <f>Momentum_Signal!B88</f>
        <v>44531</v>
      </c>
      <c r="C88" s="16">
        <f>RANK(Momentum_Signal!C88,Momentum_Signal!$C88:$J88,0)</f>
        <v>1</v>
      </c>
      <c r="D88" s="16">
        <f>RANK(Momentum_Signal!D88,Momentum_Signal!$C88:$J88,0)</f>
        <v>3</v>
      </c>
      <c r="E88" s="16">
        <f>RANK(Momentum_Signal!E88,Momentum_Signal!$C88:$J88,0)</f>
        <v>4</v>
      </c>
      <c r="F88" s="16">
        <f>RANK(Momentum_Signal!F88,Momentum_Signal!$C88:$J88,0)</f>
        <v>7</v>
      </c>
      <c r="G88" s="16">
        <f>RANK(Momentum_Signal!G88,Momentum_Signal!$C88:$J88,0)</f>
        <v>5</v>
      </c>
      <c r="H88" s="16">
        <f>RANK(Momentum_Signal!H88,Momentum_Signal!$C88:$J88,0)</f>
        <v>8</v>
      </c>
      <c r="I88" s="16">
        <f>RANK(Momentum_Signal!I88,Momentum_Signal!$C88:$J88,0)</f>
        <v>2</v>
      </c>
      <c r="J88" s="16">
        <f>RANK(Momentum_Signal!J88,Momentum_Signal!$C88:$J88,0)</f>
        <v>6</v>
      </c>
    </row>
    <row r="89" spans="1:10" ht="15" customHeight="1" x14ac:dyDescent="0.25">
      <c r="A89">
        <v>85</v>
      </c>
      <c r="B89" s="12">
        <f>Momentum_Signal!B89</f>
        <v>44562</v>
      </c>
      <c r="C89" s="16">
        <f>RANK(Momentum_Signal!C89,Momentum_Signal!$C89:$J89,0)</f>
        <v>1</v>
      </c>
      <c r="D89" s="16">
        <f>RANK(Momentum_Signal!D89,Momentum_Signal!$C89:$J89,0)</f>
        <v>3</v>
      </c>
      <c r="E89" s="16">
        <f>RANK(Momentum_Signal!E89,Momentum_Signal!$C89:$J89,0)</f>
        <v>5</v>
      </c>
      <c r="F89" s="16">
        <f>RANK(Momentum_Signal!F89,Momentum_Signal!$C89:$J89,0)</f>
        <v>7</v>
      </c>
      <c r="G89" s="16">
        <f>RANK(Momentum_Signal!G89,Momentum_Signal!$C89:$J89,0)</f>
        <v>4</v>
      </c>
      <c r="H89" s="16">
        <f>RANK(Momentum_Signal!H89,Momentum_Signal!$C89:$J89,0)</f>
        <v>8</v>
      </c>
      <c r="I89" s="16">
        <f>RANK(Momentum_Signal!I89,Momentum_Signal!$C89:$J89,0)</f>
        <v>2</v>
      </c>
      <c r="J89" s="16">
        <f>RANK(Momentum_Signal!J89,Momentum_Signal!$C89:$J89,0)</f>
        <v>6</v>
      </c>
    </row>
    <row r="90" spans="1:10" ht="15" customHeight="1" x14ac:dyDescent="0.25">
      <c r="A90">
        <v>86</v>
      </c>
      <c r="B90" s="12">
        <f>Momentum_Signal!B90</f>
        <v>44593</v>
      </c>
      <c r="C90" s="16">
        <f>RANK(Momentum_Signal!C90,Momentum_Signal!$C90:$J90,0)</f>
        <v>3</v>
      </c>
      <c r="D90" s="16">
        <f>RANK(Momentum_Signal!D90,Momentum_Signal!$C90:$J90,0)</f>
        <v>2</v>
      </c>
      <c r="E90" s="16">
        <f>RANK(Momentum_Signal!E90,Momentum_Signal!$C90:$J90,0)</f>
        <v>5</v>
      </c>
      <c r="F90" s="16">
        <f>RANK(Momentum_Signal!F90,Momentum_Signal!$C90:$J90,0)</f>
        <v>7</v>
      </c>
      <c r="G90" s="16">
        <f>RANK(Momentum_Signal!G90,Momentum_Signal!$C90:$J90,0)</f>
        <v>4</v>
      </c>
      <c r="H90" s="16">
        <f>RANK(Momentum_Signal!H90,Momentum_Signal!$C90:$J90,0)</f>
        <v>8</v>
      </c>
      <c r="I90" s="16">
        <f>RANK(Momentum_Signal!I90,Momentum_Signal!$C90:$J90,0)</f>
        <v>1</v>
      </c>
      <c r="J90" s="16">
        <f>RANK(Momentum_Signal!J90,Momentum_Signal!$C90:$J90,0)</f>
        <v>6</v>
      </c>
    </row>
    <row r="91" spans="1:10" ht="15" customHeight="1" x14ac:dyDescent="0.25">
      <c r="A91">
        <v>87</v>
      </c>
      <c r="B91" s="12">
        <f>Momentum_Signal!B91</f>
        <v>44621</v>
      </c>
      <c r="C91" s="16">
        <f>RANK(Momentum_Signal!C91,Momentum_Signal!$C91:$J91,0)</f>
        <v>6</v>
      </c>
      <c r="D91" s="16">
        <f>RANK(Momentum_Signal!D91,Momentum_Signal!$C91:$J91,0)</f>
        <v>1</v>
      </c>
      <c r="E91" s="16">
        <f>RANK(Momentum_Signal!E91,Momentum_Signal!$C91:$J91,0)</f>
        <v>5</v>
      </c>
      <c r="F91" s="16">
        <f>RANK(Momentum_Signal!F91,Momentum_Signal!$C91:$J91,0)</f>
        <v>7</v>
      </c>
      <c r="G91" s="16">
        <f>RANK(Momentum_Signal!G91,Momentum_Signal!$C91:$J91,0)</f>
        <v>3</v>
      </c>
      <c r="H91" s="16">
        <f>RANK(Momentum_Signal!H91,Momentum_Signal!$C91:$J91,0)</f>
        <v>8</v>
      </c>
      <c r="I91" s="16">
        <f>RANK(Momentum_Signal!I91,Momentum_Signal!$C91:$J91,0)</f>
        <v>2</v>
      </c>
      <c r="J91" s="16">
        <f>RANK(Momentum_Signal!J91,Momentum_Signal!$C91:$J91,0)</f>
        <v>4</v>
      </c>
    </row>
    <row r="92" spans="1:10" ht="15" customHeight="1" x14ac:dyDescent="0.25">
      <c r="A92">
        <v>88</v>
      </c>
      <c r="B92" s="12">
        <f>Momentum_Signal!B92</f>
        <v>44652</v>
      </c>
      <c r="C92" s="16">
        <f>RANK(Momentum_Signal!C92,Momentum_Signal!$C92:$J92,0)</f>
        <v>3</v>
      </c>
      <c r="D92" s="16">
        <f>RANK(Momentum_Signal!D92,Momentum_Signal!$C92:$J92,0)</f>
        <v>1</v>
      </c>
      <c r="E92" s="16">
        <f>RANK(Momentum_Signal!E92,Momentum_Signal!$C92:$J92,0)</f>
        <v>6</v>
      </c>
      <c r="F92" s="16">
        <f>RANK(Momentum_Signal!F92,Momentum_Signal!$C92:$J92,0)</f>
        <v>7</v>
      </c>
      <c r="G92" s="16">
        <f>RANK(Momentum_Signal!G92,Momentum_Signal!$C92:$J92,0)</f>
        <v>2</v>
      </c>
      <c r="H92" s="16">
        <f>RANK(Momentum_Signal!H92,Momentum_Signal!$C92:$J92,0)</f>
        <v>8</v>
      </c>
      <c r="I92" s="16">
        <f>RANK(Momentum_Signal!I92,Momentum_Signal!$C92:$J92,0)</f>
        <v>4</v>
      </c>
      <c r="J92" s="16">
        <f>RANK(Momentum_Signal!J92,Momentum_Signal!$C92:$J92,0)</f>
        <v>5</v>
      </c>
    </row>
    <row r="93" spans="1:10" ht="15" customHeight="1" x14ac:dyDescent="0.25">
      <c r="A93">
        <v>89</v>
      </c>
      <c r="B93" s="12">
        <f>Momentum_Signal!B93</f>
        <v>44682</v>
      </c>
      <c r="C93" s="16">
        <f>RANK(Momentum_Signal!C93,Momentum_Signal!$C93:$J93,0)</f>
        <v>5</v>
      </c>
      <c r="D93" s="16">
        <f>RANK(Momentum_Signal!D93,Momentum_Signal!$C93:$J93,0)</f>
        <v>1</v>
      </c>
      <c r="E93" s="16">
        <f>RANK(Momentum_Signal!E93,Momentum_Signal!$C93:$J93,0)</f>
        <v>6</v>
      </c>
      <c r="F93" s="16">
        <f>RANK(Momentum_Signal!F93,Momentum_Signal!$C93:$J93,0)</f>
        <v>8</v>
      </c>
      <c r="G93" s="16">
        <f>RANK(Momentum_Signal!G93,Momentum_Signal!$C93:$J93,0)</f>
        <v>2</v>
      </c>
      <c r="H93" s="16">
        <f>RANK(Momentum_Signal!H93,Momentum_Signal!$C93:$J93,0)</f>
        <v>7</v>
      </c>
      <c r="I93" s="16">
        <f>RANK(Momentum_Signal!I93,Momentum_Signal!$C93:$J93,0)</f>
        <v>4</v>
      </c>
      <c r="J93" s="16">
        <f>RANK(Momentum_Signal!J93,Momentum_Signal!$C93:$J93,0)</f>
        <v>3</v>
      </c>
    </row>
    <row r="94" spans="1:10" ht="15" customHeight="1" x14ac:dyDescent="0.25">
      <c r="A94">
        <v>90</v>
      </c>
      <c r="B94" s="12">
        <f>Momentum_Signal!B94</f>
        <v>44713</v>
      </c>
      <c r="C94" s="16">
        <f>RANK(Momentum_Signal!C94,Momentum_Signal!$C94:$J94,0)</f>
        <v>5</v>
      </c>
      <c r="D94" s="16">
        <f>RANK(Momentum_Signal!D94,Momentum_Signal!$C94:$J94,0)</f>
        <v>1</v>
      </c>
      <c r="E94" s="16">
        <f>RANK(Momentum_Signal!E94,Momentum_Signal!$C94:$J94,0)</f>
        <v>6</v>
      </c>
      <c r="F94" s="16">
        <f>RANK(Momentum_Signal!F94,Momentum_Signal!$C94:$J94,0)</f>
        <v>7</v>
      </c>
      <c r="G94" s="16">
        <f>RANK(Momentum_Signal!G94,Momentum_Signal!$C94:$J94,0)</f>
        <v>2</v>
      </c>
      <c r="H94" s="16">
        <f>RANK(Momentum_Signal!H94,Momentum_Signal!$C94:$J94,0)</f>
        <v>8</v>
      </c>
      <c r="I94" s="16">
        <f>RANK(Momentum_Signal!I94,Momentum_Signal!$C94:$J94,0)</f>
        <v>3</v>
      </c>
      <c r="J94" s="16">
        <f>RANK(Momentum_Signal!J94,Momentum_Signal!$C94:$J94,0)</f>
        <v>4</v>
      </c>
    </row>
    <row r="95" spans="1:10" ht="15" customHeight="1" x14ac:dyDescent="0.25">
      <c r="A95">
        <v>91</v>
      </c>
      <c r="B95" s="12">
        <f>Momentum_Signal!B95</f>
        <v>44743</v>
      </c>
      <c r="C95" s="16">
        <f>RANK(Momentum_Signal!C95,Momentum_Signal!$C95:$J95,0)</f>
        <v>5</v>
      </c>
      <c r="D95" s="16">
        <f>RANK(Momentum_Signal!D95,Momentum_Signal!$C95:$J95,0)</f>
        <v>3</v>
      </c>
      <c r="E95" s="16">
        <f>RANK(Momentum_Signal!E95,Momentum_Signal!$C95:$J95,0)</f>
        <v>6</v>
      </c>
      <c r="F95" s="16">
        <f>RANK(Momentum_Signal!F95,Momentum_Signal!$C95:$J95,0)</f>
        <v>8</v>
      </c>
      <c r="G95" s="16">
        <f>RANK(Momentum_Signal!G95,Momentum_Signal!$C95:$J95,0)</f>
        <v>2</v>
      </c>
      <c r="H95" s="16">
        <f>RANK(Momentum_Signal!H95,Momentum_Signal!$C95:$J95,0)</f>
        <v>7</v>
      </c>
      <c r="I95" s="16">
        <f>RANK(Momentum_Signal!I95,Momentum_Signal!$C95:$J95,0)</f>
        <v>1</v>
      </c>
      <c r="J95" s="16">
        <f>RANK(Momentum_Signal!J95,Momentum_Signal!$C95:$J95,0)</f>
        <v>4</v>
      </c>
    </row>
    <row r="96" spans="1:10" ht="15" customHeight="1" x14ac:dyDescent="0.25">
      <c r="A96">
        <v>92</v>
      </c>
      <c r="B96" s="12">
        <f>Momentum_Signal!B96</f>
        <v>44774</v>
      </c>
      <c r="C96" s="16">
        <f>RANK(Momentum_Signal!C96,Momentum_Signal!$C96:$J96,0)</f>
        <v>1</v>
      </c>
      <c r="D96" s="16">
        <f>RANK(Momentum_Signal!D96,Momentum_Signal!$C96:$J96,0)</f>
        <v>3</v>
      </c>
      <c r="E96" s="16">
        <f>RANK(Momentum_Signal!E96,Momentum_Signal!$C96:$J96,0)</f>
        <v>8</v>
      </c>
      <c r="F96" s="16">
        <f>RANK(Momentum_Signal!F96,Momentum_Signal!$C96:$J96,0)</f>
        <v>6</v>
      </c>
      <c r="G96" s="16">
        <f>RANK(Momentum_Signal!G96,Momentum_Signal!$C96:$J96,0)</f>
        <v>4</v>
      </c>
      <c r="H96" s="16">
        <f>RANK(Momentum_Signal!H96,Momentum_Signal!$C96:$J96,0)</f>
        <v>7</v>
      </c>
      <c r="I96" s="16">
        <f>RANK(Momentum_Signal!I96,Momentum_Signal!$C96:$J96,0)</f>
        <v>5</v>
      </c>
      <c r="J96" s="16">
        <f>RANK(Momentum_Signal!J96,Momentum_Signal!$C96:$J96,0)</f>
        <v>2</v>
      </c>
    </row>
    <row r="97" spans="1:10" ht="15" customHeight="1" x14ac:dyDescent="0.25">
      <c r="A97">
        <v>93</v>
      </c>
      <c r="B97" s="12">
        <f>Momentum_Signal!B97</f>
        <v>44805</v>
      </c>
      <c r="C97" s="16">
        <f>RANK(Momentum_Signal!C97,Momentum_Signal!$C97:$J97,0)</f>
        <v>1</v>
      </c>
      <c r="D97" s="16">
        <f>RANK(Momentum_Signal!D97,Momentum_Signal!$C97:$J97,0)</f>
        <v>5</v>
      </c>
      <c r="E97" s="16">
        <f>RANK(Momentum_Signal!E97,Momentum_Signal!$C97:$J97,0)</f>
        <v>6</v>
      </c>
      <c r="F97" s="16">
        <f>RANK(Momentum_Signal!F97,Momentum_Signal!$C97:$J97,0)</f>
        <v>8</v>
      </c>
      <c r="G97" s="16">
        <f>RANK(Momentum_Signal!G97,Momentum_Signal!$C97:$J97,0)</f>
        <v>3</v>
      </c>
      <c r="H97" s="16">
        <f>RANK(Momentum_Signal!H97,Momentum_Signal!$C97:$J97,0)</f>
        <v>7</v>
      </c>
      <c r="I97" s="16">
        <f>RANK(Momentum_Signal!I97,Momentum_Signal!$C97:$J97,0)</f>
        <v>4</v>
      </c>
      <c r="J97" s="16">
        <f>RANK(Momentum_Signal!J97,Momentum_Signal!$C97:$J97,0)</f>
        <v>2</v>
      </c>
    </row>
    <row r="98" spans="1:10" ht="15" customHeight="1" x14ac:dyDescent="0.25">
      <c r="A98">
        <v>94</v>
      </c>
      <c r="B98" s="12">
        <f>Momentum_Signal!B98</f>
        <v>44835</v>
      </c>
      <c r="C98" s="16">
        <f>RANK(Momentum_Signal!C98,Momentum_Signal!$C98:$J98,0)</f>
        <v>6</v>
      </c>
      <c r="D98" s="16">
        <f>RANK(Momentum_Signal!D98,Momentum_Signal!$C98:$J98,0)</f>
        <v>5</v>
      </c>
      <c r="E98" s="16">
        <f>RANK(Momentum_Signal!E98,Momentum_Signal!$C98:$J98,0)</f>
        <v>7</v>
      </c>
      <c r="F98" s="16">
        <f>RANK(Momentum_Signal!F98,Momentum_Signal!$C98:$J98,0)</f>
        <v>3</v>
      </c>
      <c r="G98" s="16">
        <f>RANK(Momentum_Signal!G98,Momentum_Signal!$C98:$J98,0)</f>
        <v>4</v>
      </c>
      <c r="H98" s="16">
        <f>RANK(Momentum_Signal!H98,Momentum_Signal!$C98:$J98,0)</f>
        <v>8</v>
      </c>
      <c r="I98" s="16">
        <f>RANK(Momentum_Signal!I98,Momentum_Signal!$C98:$J98,0)</f>
        <v>1</v>
      </c>
      <c r="J98" s="16">
        <f>RANK(Momentum_Signal!J98,Momentum_Signal!$C98:$J98,0)</f>
        <v>2</v>
      </c>
    </row>
    <row r="99" spans="1:10" ht="15" customHeight="1" x14ac:dyDescent="0.25">
      <c r="A99">
        <v>95</v>
      </c>
      <c r="B99" s="12">
        <f>Momentum_Signal!B99</f>
        <v>44866</v>
      </c>
      <c r="C99" s="16">
        <f>RANK(Momentum_Signal!C99,Momentum_Signal!$C99:$J99,0)</f>
        <v>5</v>
      </c>
      <c r="D99" s="16">
        <f>RANK(Momentum_Signal!D99,Momentum_Signal!$C99:$J99,0)</f>
        <v>4</v>
      </c>
      <c r="E99" s="16">
        <f>RANK(Momentum_Signal!E99,Momentum_Signal!$C99:$J99,0)</f>
        <v>7</v>
      </c>
      <c r="F99" s="16">
        <f>RANK(Momentum_Signal!F99,Momentum_Signal!$C99:$J99,0)</f>
        <v>2</v>
      </c>
      <c r="G99" s="16">
        <f>RANK(Momentum_Signal!G99,Momentum_Signal!$C99:$J99,0)</f>
        <v>6</v>
      </c>
      <c r="H99" s="16">
        <f>RANK(Momentum_Signal!H99,Momentum_Signal!$C99:$J99,0)</f>
        <v>8</v>
      </c>
      <c r="I99" s="16">
        <f>RANK(Momentum_Signal!I99,Momentum_Signal!$C99:$J99,0)</f>
        <v>1</v>
      </c>
      <c r="J99" s="16">
        <f>RANK(Momentum_Signal!J99,Momentum_Signal!$C99:$J99,0)</f>
        <v>3</v>
      </c>
    </row>
    <row r="100" spans="1:10" ht="15" customHeight="1" x14ac:dyDescent="0.25">
      <c r="A100">
        <v>96</v>
      </c>
      <c r="B100" s="12">
        <f>Momentum_Signal!B100</f>
        <v>44896</v>
      </c>
      <c r="C100" s="16">
        <f>RANK(Momentum_Signal!C100,Momentum_Signal!$C100:$J100,0)</f>
        <v>2</v>
      </c>
      <c r="D100" s="16">
        <f>RANK(Momentum_Signal!D100,Momentum_Signal!$C100:$J100,0)</f>
        <v>7</v>
      </c>
      <c r="E100" s="16">
        <f>RANK(Momentum_Signal!E100,Momentum_Signal!$C100:$J100,0)</f>
        <v>4</v>
      </c>
      <c r="F100" s="16">
        <f>RANK(Momentum_Signal!F100,Momentum_Signal!$C100:$J100,0)</f>
        <v>1</v>
      </c>
      <c r="G100" s="16">
        <f>RANK(Momentum_Signal!G100,Momentum_Signal!$C100:$J100,0)</f>
        <v>6</v>
      </c>
      <c r="H100" s="16">
        <f>RANK(Momentum_Signal!H100,Momentum_Signal!$C100:$J100,0)</f>
        <v>8</v>
      </c>
      <c r="I100" s="16">
        <f>RANK(Momentum_Signal!I100,Momentum_Signal!$C100:$J100,0)</f>
        <v>5</v>
      </c>
      <c r="J100" s="16">
        <f>RANK(Momentum_Signal!J100,Momentum_Signal!$C100:$J100,0)</f>
        <v>3</v>
      </c>
    </row>
    <row r="101" spans="1:10" ht="15" customHeight="1" x14ac:dyDescent="0.25">
      <c r="A101">
        <v>97</v>
      </c>
      <c r="B101" s="12">
        <f>Momentum_Signal!B101</f>
        <v>44927</v>
      </c>
      <c r="C101" s="16">
        <f>RANK(Momentum_Signal!C101,Momentum_Signal!$C101:$J101,0)</f>
        <v>7</v>
      </c>
      <c r="D101" s="16">
        <f>RANK(Momentum_Signal!D101,Momentum_Signal!$C101:$J101,0)</f>
        <v>1</v>
      </c>
      <c r="E101" s="16">
        <f>RANK(Momentum_Signal!E101,Momentum_Signal!$C101:$J101,0)</f>
        <v>5</v>
      </c>
      <c r="F101" s="16">
        <f>RANK(Momentum_Signal!F101,Momentum_Signal!$C101:$J101,0)</f>
        <v>4</v>
      </c>
      <c r="G101" s="16">
        <f>RANK(Momentum_Signal!G101,Momentum_Signal!$C101:$J101,0)</f>
        <v>3</v>
      </c>
      <c r="H101" s="16">
        <f>RANK(Momentum_Signal!H101,Momentum_Signal!$C101:$J101,0)</f>
        <v>8</v>
      </c>
      <c r="I101" s="16">
        <f>RANK(Momentum_Signal!I101,Momentum_Signal!$C101:$J101,0)</f>
        <v>6</v>
      </c>
      <c r="J101" s="16">
        <f>RANK(Momentum_Signal!J101,Momentum_Signal!$C101:$J101,0)</f>
        <v>2</v>
      </c>
    </row>
    <row r="102" spans="1:10" ht="15" customHeight="1" x14ac:dyDescent="0.25">
      <c r="A102">
        <v>98</v>
      </c>
      <c r="B102" s="12">
        <f>Momentum_Signal!B102</f>
        <v>44958</v>
      </c>
      <c r="C102" s="16">
        <f>RANK(Momentum_Signal!C102,Momentum_Signal!$C102:$J102,0)</f>
        <v>8</v>
      </c>
      <c r="D102" s="16">
        <f>RANK(Momentum_Signal!D102,Momentum_Signal!$C102:$J102,0)</f>
        <v>1</v>
      </c>
      <c r="E102" s="16">
        <f>RANK(Momentum_Signal!E102,Momentum_Signal!$C102:$J102,0)</f>
        <v>3</v>
      </c>
      <c r="F102" s="16">
        <f>RANK(Momentum_Signal!F102,Momentum_Signal!$C102:$J102,0)</f>
        <v>7</v>
      </c>
      <c r="G102" s="16">
        <f>RANK(Momentum_Signal!G102,Momentum_Signal!$C102:$J102,0)</f>
        <v>2</v>
      </c>
      <c r="H102" s="16">
        <f>RANK(Momentum_Signal!H102,Momentum_Signal!$C102:$J102,0)</f>
        <v>6</v>
      </c>
      <c r="I102" s="16">
        <f>RANK(Momentum_Signal!I102,Momentum_Signal!$C102:$J102,0)</f>
        <v>5</v>
      </c>
      <c r="J102" s="16">
        <f>RANK(Momentum_Signal!J102,Momentum_Signal!$C102:$J102,0)</f>
        <v>4</v>
      </c>
    </row>
    <row r="103" spans="1:10" ht="15" customHeight="1" x14ac:dyDescent="0.25">
      <c r="A103">
        <v>99</v>
      </c>
      <c r="B103" s="12">
        <f>Momentum_Signal!B103</f>
        <v>44986</v>
      </c>
      <c r="C103" s="16">
        <f>RANK(Momentum_Signal!C103,Momentum_Signal!$C103:$J103,0)</f>
        <v>6</v>
      </c>
      <c r="D103" s="16">
        <f>RANK(Momentum_Signal!D103,Momentum_Signal!$C103:$J103,0)</f>
        <v>1</v>
      </c>
      <c r="E103" s="16">
        <f>RANK(Momentum_Signal!E103,Momentum_Signal!$C103:$J103,0)</f>
        <v>5</v>
      </c>
      <c r="F103" s="16">
        <f>RANK(Momentum_Signal!F103,Momentum_Signal!$C103:$J103,0)</f>
        <v>7</v>
      </c>
      <c r="G103" s="16">
        <f>RANK(Momentum_Signal!G103,Momentum_Signal!$C103:$J103,0)</f>
        <v>2</v>
      </c>
      <c r="H103" s="16">
        <f>RANK(Momentum_Signal!H103,Momentum_Signal!$C103:$J103,0)</f>
        <v>8</v>
      </c>
      <c r="I103" s="16">
        <f>RANK(Momentum_Signal!I103,Momentum_Signal!$C103:$J103,0)</f>
        <v>4</v>
      </c>
      <c r="J103" s="16">
        <f>RANK(Momentum_Signal!J103,Momentum_Signal!$C103:$J103,0)</f>
        <v>3</v>
      </c>
    </row>
    <row r="104" spans="1:10" ht="15" customHeight="1" x14ac:dyDescent="0.25">
      <c r="A104">
        <v>100</v>
      </c>
      <c r="B104" s="12">
        <f>Momentum_Signal!B104</f>
        <v>45017</v>
      </c>
      <c r="C104" s="16">
        <f>RANK(Momentum_Signal!C104,Momentum_Signal!$C104:$J104,0)</f>
        <v>7</v>
      </c>
      <c r="D104" s="16">
        <f>RANK(Momentum_Signal!D104,Momentum_Signal!$C104:$J104,0)</f>
        <v>1</v>
      </c>
      <c r="E104" s="16">
        <f>RANK(Momentum_Signal!E104,Momentum_Signal!$C104:$J104,0)</f>
        <v>5</v>
      </c>
      <c r="F104" s="16">
        <f>RANK(Momentum_Signal!F104,Momentum_Signal!$C104:$J104,0)</f>
        <v>8</v>
      </c>
      <c r="G104" s="16">
        <f>RANK(Momentum_Signal!G104,Momentum_Signal!$C104:$J104,0)</f>
        <v>4</v>
      </c>
      <c r="H104" s="16">
        <f>RANK(Momentum_Signal!H104,Momentum_Signal!$C104:$J104,0)</f>
        <v>2</v>
      </c>
      <c r="I104" s="16">
        <f>RANK(Momentum_Signal!I104,Momentum_Signal!$C104:$J104,0)</f>
        <v>6</v>
      </c>
      <c r="J104" s="16">
        <f>RANK(Momentum_Signal!J104,Momentum_Signal!$C104:$J104,0)</f>
        <v>3</v>
      </c>
    </row>
    <row r="105" spans="1:10" ht="15" customHeight="1" x14ac:dyDescent="0.25">
      <c r="A105">
        <v>101</v>
      </c>
      <c r="B105" s="12">
        <f>Momentum_Signal!B105</f>
        <v>45047</v>
      </c>
      <c r="C105" s="16">
        <f>RANK(Momentum_Signal!C105,Momentum_Signal!$C105:$J105,0)</f>
        <v>8</v>
      </c>
      <c r="D105" s="16">
        <f>RANK(Momentum_Signal!D105,Momentum_Signal!$C105:$J105,0)</f>
        <v>2</v>
      </c>
      <c r="E105" s="16">
        <f>RANK(Momentum_Signal!E105,Momentum_Signal!$C105:$J105,0)</f>
        <v>5</v>
      </c>
      <c r="F105" s="16">
        <f>RANK(Momentum_Signal!F105,Momentum_Signal!$C105:$J105,0)</f>
        <v>1</v>
      </c>
      <c r="G105" s="16">
        <f>RANK(Momentum_Signal!G105,Momentum_Signal!$C105:$J105,0)</f>
        <v>3</v>
      </c>
      <c r="H105" s="16">
        <f>RANK(Momentum_Signal!H105,Momentum_Signal!$C105:$J105,0)</f>
        <v>7</v>
      </c>
      <c r="I105" s="16">
        <f>RANK(Momentum_Signal!I105,Momentum_Signal!$C105:$J105,0)</f>
        <v>6</v>
      </c>
      <c r="J105" s="16">
        <f>RANK(Momentum_Signal!J105,Momentum_Signal!$C105:$J105,0)</f>
        <v>4</v>
      </c>
    </row>
    <row r="106" spans="1:10" ht="15" customHeight="1" x14ac:dyDescent="0.25">
      <c r="A106">
        <v>102</v>
      </c>
      <c r="B106" s="12">
        <f>Momentum_Signal!B106</f>
        <v>45078</v>
      </c>
      <c r="C106" s="16">
        <f>RANK(Momentum_Signal!C106,Momentum_Signal!$C106:$J106,0)</f>
        <v>8</v>
      </c>
      <c r="D106" s="16">
        <f>RANK(Momentum_Signal!D106,Momentum_Signal!$C106:$J106,0)</f>
        <v>2</v>
      </c>
      <c r="E106" s="16">
        <f>RANK(Momentum_Signal!E106,Momentum_Signal!$C106:$J106,0)</f>
        <v>6</v>
      </c>
      <c r="F106" s="16">
        <f>RANK(Momentum_Signal!F106,Momentum_Signal!$C106:$J106,0)</f>
        <v>1</v>
      </c>
      <c r="G106" s="16">
        <f>RANK(Momentum_Signal!G106,Momentum_Signal!$C106:$J106,0)</f>
        <v>5</v>
      </c>
      <c r="H106" s="16">
        <f>RANK(Momentum_Signal!H106,Momentum_Signal!$C106:$J106,0)</f>
        <v>3</v>
      </c>
      <c r="I106" s="16">
        <f>RANK(Momentum_Signal!I106,Momentum_Signal!$C106:$J106,0)</f>
        <v>7</v>
      </c>
      <c r="J106" s="16">
        <f>RANK(Momentum_Signal!J106,Momentum_Signal!$C106:$J106,0)</f>
        <v>4</v>
      </c>
    </row>
    <row r="107" spans="1:10" ht="15" customHeight="1" x14ac:dyDescent="0.25">
      <c r="A107">
        <v>103</v>
      </c>
      <c r="B107" s="12">
        <f>Momentum_Signal!B107</f>
        <v>45108</v>
      </c>
      <c r="C107" s="16">
        <f>RANK(Momentum_Signal!C107,Momentum_Signal!$C107:$J107,0)</f>
        <v>3</v>
      </c>
      <c r="D107" s="16">
        <f>RANK(Momentum_Signal!D107,Momentum_Signal!$C107:$J107,0)</f>
        <v>7</v>
      </c>
      <c r="E107" s="16">
        <f>RANK(Momentum_Signal!E107,Momentum_Signal!$C107:$J107,0)</f>
        <v>4</v>
      </c>
      <c r="F107" s="16">
        <f>RANK(Momentum_Signal!F107,Momentum_Signal!$C107:$J107,0)</f>
        <v>2</v>
      </c>
      <c r="G107" s="16">
        <f>RANK(Momentum_Signal!G107,Momentum_Signal!$C107:$J107,0)</f>
        <v>8</v>
      </c>
      <c r="H107" s="16">
        <f>RANK(Momentum_Signal!H107,Momentum_Signal!$C107:$J107,0)</f>
        <v>1</v>
      </c>
      <c r="I107" s="16">
        <f>RANK(Momentum_Signal!I107,Momentum_Signal!$C107:$J107,0)</f>
        <v>6</v>
      </c>
      <c r="J107" s="16">
        <f>RANK(Momentum_Signal!J107,Momentum_Signal!$C107:$J107,0)</f>
        <v>5</v>
      </c>
    </row>
    <row r="108" spans="1:10" ht="15" customHeight="1" x14ac:dyDescent="0.25">
      <c r="A108">
        <v>104</v>
      </c>
      <c r="B108" s="12">
        <f>Momentum_Signal!B108</f>
        <v>45139</v>
      </c>
      <c r="C108" s="16">
        <f>RANK(Momentum_Signal!C108,Momentum_Signal!$C108:$J108,0)</f>
        <v>3</v>
      </c>
      <c r="D108" s="16">
        <f>RANK(Momentum_Signal!D108,Momentum_Signal!$C108:$J108,0)</f>
        <v>8</v>
      </c>
      <c r="E108" s="16">
        <f>RANK(Momentum_Signal!E108,Momentum_Signal!$C108:$J108,0)</f>
        <v>6</v>
      </c>
      <c r="F108" s="16">
        <f>RANK(Momentum_Signal!F108,Momentum_Signal!$C108:$J108,0)</f>
        <v>1</v>
      </c>
      <c r="G108" s="16">
        <f>RANK(Momentum_Signal!G108,Momentum_Signal!$C108:$J108,0)</f>
        <v>7</v>
      </c>
      <c r="H108" s="16">
        <f>RANK(Momentum_Signal!H108,Momentum_Signal!$C108:$J108,0)</f>
        <v>2</v>
      </c>
      <c r="I108" s="16">
        <f>RANK(Momentum_Signal!I108,Momentum_Signal!$C108:$J108,0)</f>
        <v>4</v>
      </c>
      <c r="J108" s="16">
        <f>RANK(Momentum_Signal!J108,Momentum_Signal!$C108:$J108,0)</f>
        <v>5</v>
      </c>
    </row>
    <row r="109" spans="1:10" ht="15" customHeight="1" x14ac:dyDescent="0.25">
      <c r="A109">
        <v>105</v>
      </c>
      <c r="B109" s="12">
        <f>Momentum_Signal!B109</f>
        <v>45170</v>
      </c>
      <c r="C109" s="16">
        <f>RANK(Momentum_Signal!C109,Momentum_Signal!$C109:$J109,0)</f>
        <v>3</v>
      </c>
      <c r="D109" s="16">
        <f>RANK(Momentum_Signal!D109,Momentum_Signal!$C109:$J109,0)</f>
        <v>8</v>
      </c>
      <c r="E109" s="16">
        <f>RANK(Momentum_Signal!E109,Momentum_Signal!$C109:$J109,0)</f>
        <v>5</v>
      </c>
      <c r="F109" s="16">
        <f>RANK(Momentum_Signal!F109,Momentum_Signal!$C109:$J109,0)</f>
        <v>2</v>
      </c>
      <c r="G109" s="16">
        <f>RANK(Momentum_Signal!G109,Momentum_Signal!$C109:$J109,0)</f>
        <v>7</v>
      </c>
      <c r="H109" s="16">
        <f>RANK(Momentum_Signal!H109,Momentum_Signal!$C109:$J109,0)</f>
        <v>1</v>
      </c>
      <c r="I109" s="16">
        <f>RANK(Momentum_Signal!I109,Momentum_Signal!$C109:$J109,0)</f>
        <v>6</v>
      </c>
      <c r="J109" s="16">
        <f>RANK(Momentum_Signal!J109,Momentum_Signal!$C109:$J109,0)</f>
        <v>4</v>
      </c>
    </row>
    <row r="110" spans="1:10" ht="15" customHeight="1" x14ac:dyDescent="0.25">
      <c r="A110">
        <v>106</v>
      </c>
      <c r="B110" s="12">
        <f>Momentum_Signal!B110</f>
        <v>45200</v>
      </c>
      <c r="C110" s="16">
        <f>RANK(Momentum_Signal!C110,Momentum_Signal!$C110:$J110,0)</f>
        <v>3</v>
      </c>
      <c r="D110" s="16">
        <f>RANK(Momentum_Signal!D110,Momentum_Signal!$C110:$J110,0)</f>
        <v>6</v>
      </c>
      <c r="E110" s="16">
        <f>RANK(Momentum_Signal!E110,Momentum_Signal!$C110:$J110,0)</f>
        <v>4</v>
      </c>
      <c r="F110" s="16">
        <f>RANK(Momentum_Signal!F110,Momentum_Signal!$C110:$J110,0)</f>
        <v>2</v>
      </c>
      <c r="G110" s="16">
        <f>RANK(Momentum_Signal!G110,Momentum_Signal!$C110:$J110,0)</f>
        <v>7</v>
      </c>
      <c r="H110" s="16">
        <f>RANK(Momentum_Signal!H110,Momentum_Signal!$C110:$J110,0)</f>
        <v>1</v>
      </c>
      <c r="I110" s="16">
        <f>RANK(Momentum_Signal!I110,Momentum_Signal!$C110:$J110,0)</f>
        <v>8</v>
      </c>
      <c r="J110" s="16">
        <f>RANK(Momentum_Signal!J110,Momentum_Signal!$C110:$J110,0)</f>
        <v>5</v>
      </c>
    </row>
    <row r="111" spans="1:10" ht="15" customHeight="1" x14ac:dyDescent="0.25">
      <c r="A111">
        <v>107</v>
      </c>
      <c r="B111" s="12">
        <f>Momentum_Signal!B111</f>
        <v>45231</v>
      </c>
      <c r="C111" s="16">
        <f>RANK(Momentum_Signal!C111,Momentum_Signal!$C111:$J111,0)</f>
        <v>2</v>
      </c>
      <c r="D111" s="16">
        <f>RANK(Momentum_Signal!D111,Momentum_Signal!$C111:$J111,0)</f>
        <v>6</v>
      </c>
      <c r="E111" s="16">
        <f>RANK(Momentum_Signal!E111,Momentum_Signal!$C111:$J111,0)</f>
        <v>5</v>
      </c>
      <c r="F111" s="16">
        <f>RANK(Momentum_Signal!F111,Momentum_Signal!$C111:$J111,0)</f>
        <v>3</v>
      </c>
      <c r="G111" s="16">
        <f>RANK(Momentum_Signal!G111,Momentum_Signal!$C111:$J111,0)</f>
        <v>7</v>
      </c>
      <c r="H111" s="16">
        <f>RANK(Momentum_Signal!H111,Momentum_Signal!$C111:$J111,0)</f>
        <v>1</v>
      </c>
      <c r="I111" s="16">
        <f>RANK(Momentum_Signal!I111,Momentum_Signal!$C111:$J111,0)</f>
        <v>8</v>
      </c>
      <c r="J111" s="16">
        <f>RANK(Momentum_Signal!J111,Momentum_Signal!$C111:$J111,0)</f>
        <v>4</v>
      </c>
    </row>
    <row r="112" spans="1:10" ht="15" customHeight="1" x14ac:dyDescent="0.25">
      <c r="A112">
        <v>108</v>
      </c>
      <c r="B112" s="12">
        <f>Momentum_Signal!B112</f>
        <v>45261</v>
      </c>
      <c r="C112" s="16">
        <f>RANK(Momentum_Signal!C112,Momentum_Signal!$C112:$J112,0)</f>
        <v>2</v>
      </c>
      <c r="D112" s="16">
        <f>RANK(Momentum_Signal!D112,Momentum_Signal!$C112:$J112,0)</f>
        <v>7</v>
      </c>
      <c r="E112" s="16">
        <f>RANK(Momentum_Signal!E112,Momentum_Signal!$C112:$J112,0)</f>
        <v>4</v>
      </c>
      <c r="F112" s="16">
        <f>RANK(Momentum_Signal!F112,Momentum_Signal!$C112:$J112,0)</f>
        <v>3</v>
      </c>
      <c r="G112" s="16">
        <f>RANK(Momentum_Signal!G112,Momentum_Signal!$C112:$J112,0)</f>
        <v>8</v>
      </c>
      <c r="H112" s="16">
        <f>RANK(Momentum_Signal!H112,Momentum_Signal!$C112:$J112,0)</f>
        <v>1</v>
      </c>
      <c r="I112" s="16">
        <f>RANK(Momentum_Signal!I112,Momentum_Signal!$C112:$J112,0)</f>
        <v>6</v>
      </c>
      <c r="J112" s="16">
        <f>RANK(Momentum_Signal!J112,Momentum_Signal!$C112:$J112,0)</f>
        <v>5</v>
      </c>
    </row>
    <row r="113" spans="1:10" ht="15" customHeight="1" x14ac:dyDescent="0.25">
      <c r="A113">
        <v>109</v>
      </c>
      <c r="B113" s="12">
        <f>Momentum_Signal!B113</f>
        <v>45292</v>
      </c>
      <c r="C113" s="16">
        <f>RANK(Momentum_Signal!C113,Momentum_Signal!$C113:$J113,0)</f>
        <v>6</v>
      </c>
      <c r="D113" s="16">
        <f>RANK(Momentum_Signal!D113,Momentum_Signal!$C113:$J113,0)</f>
        <v>2</v>
      </c>
      <c r="E113" s="16">
        <f>RANK(Momentum_Signal!E113,Momentum_Signal!$C113:$J113,0)</f>
        <v>7</v>
      </c>
      <c r="F113" s="16">
        <f>RANK(Momentum_Signal!F113,Momentum_Signal!$C113:$J113,0)</f>
        <v>5</v>
      </c>
      <c r="G113" s="16">
        <f>RANK(Momentum_Signal!G113,Momentum_Signal!$C113:$J113,0)</f>
        <v>8</v>
      </c>
      <c r="H113" s="16">
        <f>RANK(Momentum_Signal!H113,Momentum_Signal!$C113:$J113,0)</f>
        <v>1</v>
      </c>
      <c r="I113" s="16">
        <f>RANK(Momentum_Signal!I113,Momentum_Signal!$C113:$J113,0)</f>
        <v>3</v>
      </c>
      <c r="J113" s="16">
        <f>RANK(Momentum_Signal!J113,Momentum_Signal!$C113:$J113,0)</f>
        <v>4</v>
      </c>
    </row>
    <row r="114" spans="1:10" ht="15" customHeight="1" x14ac:dyDescent="0.25">
      <c r="A114">
        <v>110</v>
      </c>
      <c r="B114" s="12">
        <f>Momentum_Signal!B114</f>
        <v>45323</v>
      </c>
      <c r="C114" s="16">
        <f>RANK(Momentum_Signal!C114,Momentum_Signal!$C114:$J114,0)</f>
        <v>3</v>
      </c>
      <c r="D114" s="16">
        <f>RANK(Momentum_Signal!D114,Momentum_Signal!$C114:$J114,0)</f>
        <v>2</v>
      </c>
      <c r="E114" s="16">
        <f>RANK(Momentum_Signal!E114,Momentum_Signal!$C114:$J114,0)</f>
        <v>4</v>
      </c>
      <c r="F114" s="16">
        <f>RANK(Momentum_Signal!F114,Momentum_Signal!$C114:$J114,0)</f>
        <v>7</v>
      </c>
      <c r="G114" s="16">
        <f>RANK(Momentum_Signal!G114,Momentum_Signal!$C114:$J114,0)</f>
        <v>8</v>
      </c>
      <c r="H114" s="16">
        <f>RANK(Momentum_Signal!H114,Momentum_Signal!$C114:$J114,0)</f>
        <v>1</v>
      </c>
      <c r="I114" s="16">
        <f>RANK(Momentum_Signal!I114,Momentum_Signal!$C114:$J114,0)</f>
        <v>5</v>
      </c>
      <c r="J114" s="16">
        <f>RANK(Momentum_Signal!J114,Momentum_Signal!$C114:$J114,0)</f>
        <v>6</v>
      </c>
    </row>
    <row r="115" spans="1:10" ht="15" customHeight="1" x14ac:dyDescent="0.25">
      <c r="A115">
        <v>111</v>
      </c>
      <c r="B115" s="12">
        <f>Momentum_Signal!B115</f>
        <v>45352</v>
      </c>
      <c r="C115" s="16">
        <f>RANK(Momentum_Signal!C115,Momentum_Signal!$C115:$J115,0)</f>
        <v>3</v>
      </c>
      <c r="D115" s="16">
        <f>RANK(Momentum_Signal!D115,Momentum_Signal!$C115:$J115,0)</f>
        <v>2</v>
      </c>
      <c r="E115" s="16">
        <f>RANK(Momentum_Signal!E115,Momentum_Signal!$C115:$J115,0)</f>
        <v>5</v>
      </c>
      <c r="F115" s="16">
        <f>RANK(Momentum_Signal!F115,Momentum_Signal!$C115:$J115,0)</f>
        <v>8</v>
      </c>
      <c r="G115" s="16">
        <f>RANK(Momentum_Signal!G115,Momentum_Signal!$C115:$J115,0)</f>
        <v>7</v>
      </c>
      <c r="H115" s="16">
        <f>RANK(Momentum_Signal!H115,Momentum_Signal!$C115:$J115,0)</f>
        <v>1</v>
      </c>
      <c r="I115" s="16">
        <f>RANK(Momentum_Signal!I115,Momentum_Signal!$C115:$J115,0)</f>
        <v>4</v>
      </c>
      <c r="J115" s="16">
        <f>RANK(Momentum_Signal!J115,Momentum_Signal!$C115:$J115,0)</f>
        <v>6</v>
      </c>
    </row>
    <row r="116" spans="1:10" ht="15" customHeight="1" x14ac:dyDescent="0.25">
      <c r="A116">
        <v>112</v>
      </c>
      <c r="B116" s="12">
        <f>Momentum_Signal!B116</f>
        <v>45383</v>
      </c>
      <c r="C116" s="16">
        <f>RANK(Momentum_Signal!C116,Momentum_Signal!$C116:$J116,0)</f>
        <v>4</v>
      </c>
      <c r="D116" s="16">
        <f>RANK(Momentum_Signal!D116,Momentum_Signal!$C116:$J116,0)</f>
        <v>2</v>
      </c>
      <c r="E116" s="16">
        <f>RANK(Momentum_Signal!E116,Momentum_Signal!$C116:$J116,0)</f>
        <v>6</v>
      </c>
      <c r="F116" s="16">
        <f>RANK(Momentum_Signal!F116,Momentum_Signal!$C116:$J116,0)</f>
        <v>8</v>
      </c>
      <c r="G116" s="16">
        <f>RANK(Momentum_Signal!G116,Momentum_Signal!$C116:$J116,0)</f>
        <v>5</v>
      </c>
      <c r="H116" s="16">
        <f>RANK(Momentum_Signal!H116,Momentum_Signal!$C116:$J116,0)</f>
        <v>1</v>
      </c>
      <c r="I116" s="16">
        <f>RANK(Momentum_Signal!I116,Momentum_Signal!$C116:$J116,0)</f>
        <v>3</v>
      </c>
      <c r="J116" s="16">
        <f>RANK(Momentum_Signal!J116,Momentum_Signal!$C116:$J116,0)</f>
        <v>7</v>
      </c>
    </row>
    <row r="117" spans="1:10" ht="15" customHeight="1" x14ac:dyDescent="0.25">
      <c r="A117">
        <v>113</v>
      </c>
      <c r="B117" s="12">
        <f>Momentum_Signal!B117</f>
        <v>45413</v>
      </c>
      <c r="C117" s="16">
        <f>RANK(Momentum_Signal!C117,Momentum_Signal!$C117:$J117,0)</f>
        <v>3</v>
      </c>
      <c r="D117" s="16">
        <f>RANK(Momentum_Signal!D117,Momentum_Signal!$C117:$J117,0)</f>
        <v>4</v>
      </c>
      <c r="E117" s="16">
        <f>RANK(Momentum_Signal!E117,Momentum_Signal!$C117:$J117,0)</f>
        <v>7</v>
      </c>
      <c r="F117" s="16">
        <f>RANK(Momentum_Signal!F117,Momentum_Signal!$C117:$J117,0)</f>
        <v>8</v>
      </c>
      <c r="G117" s="16">
        <f>RANK(Momentum_Signal!G117,Momentum_Signal!$C117:$J117,0)</f>
        <v>5</v>
      </c>
      <c r="H117" s="16">
        <f>RANK(Momentum_Signal!H117,Momentum_Signal!$C117:$J117,0)</f>
        <v>1</v>
      </c>
      <c r="I117" s="16">
        <f>RANK(Momentum_Signal!I117,Momentum_Signal!$C117:$J117,0)</f>
        <v>2</v>
      </c>
      <c r="J117" s="16">
        <f>RANK(Momentum_Signal!J117,Momentum_Signal!$C117:$J117,0)</f>
        <v>6</v>
      </c>
    </row>
    <row r="118" spans="1:10" ht="15" customHeight="1" x14ac:dyDescent="0.25">
      <c r="A118">
        <v>114</v>
      </c>
      <c r="B118" s="12">
        <f>Momentum_Signal!B118</f>
        <v>45444</v>
      </c>
      <c r="C118" s="16">
        <f>RANK(Momentum_Signal!C118,Momentum_Signal!$C118:$J118,0)</f>
        <v>2</v>
      </c>
      <c r="D118" s="16">
        <f>RANK(Momentum_Signal!D118,Momentum_Signal!$C118:$J118,0)</f>
        <v>3</v>
      </c>
      <c r="E118" s="16">
        <f>RANK(Momentum_Signal!E118,Momentum_Signal!$C118:$J118,0)</f>
        <v>5</v>
      </c>
      <c r="F118" s="16">
        <f>RANK(Momentum_Signal!F118,Momentum_Signal!$C118:$J118,0)</f>
        <v>8</v>
      </c>
      <c r="G118" s="16">
        <f>RANK(Momentum_Signal!G118,Momentum_Signal!$C118:$J118,0)</f>
        <v>4</v>
      </c>
      <c r="H118" s="16">
        <f>RANK(Momentum_Signal!H118,Momentum_Signal!$C118:$J118,0)</f>
        <v>1</v>
      </c>
      <c r="I118" s="16">
        <f>RANK(Momentum_Signal!I118,Momentum_Signal!$C118:$J118,0)</f>
        <v>6</v>
      </c>
      <c r="J118" s="16">
        <f>RANK(Momentum_Signal!J118,Momentum_Signal!$C118:$J118,0)</f>
        <v>7</v>
      </c>
    </row>
    <row r="119" spans="1:10" ht="15" customHeight="1" x14ac:dyDescent="0.25">
      <c r="A119">
        <v>115</v>
      </c>
      <c r="B119" s="12">
        <f>Momentum_Signal!B119</f>
        <v>45474</v>
      </c>
      <c r="C119" s="16">
        <f>RANK(Momentum_Signal!C119,Momentum_Signal!$C119:$J119,0)</f>
        <v>3</v>
      </c>
      <c r="D119" s="16">
        <f>RANK(Momentum_Signal!D119,Momentum_Signal!$C119:$J119,0)</f>
        <v>4</v>
      </c>
      <c r="E119" s="16">
        <f>RANK(Momentum_Signal!E119,Momentum_Signal!$C119:$J119,0)</f>
        <v>5</v>
      </c>
      <c r="F119" s="16">
        <f>RANK(Momentum_Signal!F119,Momentum_Signal!$C119:$J119,0)</f>
        <v>7</v>
      </c>
      <c r="G119" s="16">
        <f>RANK(Momentum_Signal!G119,Momentum_Signal!$C119:$J119,0)</f>
        <v>2</v>
      </c>
      <c r="H119" s="16">
        <f>RANK(Momentum_Signal!H119,Momentum_Signal!$C119:$J119,0)</f>
        <v>1</v>
      </c>
      <c r="I119" s="16">
        <f>RANK(Momentum_Signal!I119,Momentum_Signal!$C119:$J119,0)</f>
        <v>8</v>
      </c>
      <c r="J119" s="16">
        <f>RANK(Momentum_Signal!J119,Momentum_Signal!$C119:$J119,0)</f>
        <v>6</v>
      </c>
    </row>
    <row r="120" spans="1:10" ht="15" customHeight="1" x14ac:dyDescent="0.25">
      <c r="A120">
        <v>116</v>
      </c>
      <c r="B120" s="12">
        <f>Momentum_Signal!B120</f>
        <v>45505</v>
      </c>
      <c r="C120" s="16">
        <f>RANK(Momentum_Signal!C120,Momentum_Signal!$C120:$J120,0)</f>
        <v>4</v>
      </c>
      <c r="D120" s="16">
        <f>RANK(Momentum_Signal!D120,Momentum_Signal!$C120:$J120,0)</f>
        <v>7</v>
      </c>
      <c r="E120" s="16">
        <f>RANK(Momentum_Signal!E120,Momentum_Signal!$C120:$J120,0)</f>
        <v>8</v>
      </c>
      <c r="F120" s="16">
        <f>RANK(Momentum_Signal!F120,Momentum_Signal!$C120:$J120,0)</f>
        <v>6</v>
      </c>
      <c r="G120" s="16">
        <f>RANK(Momentum_Signal!G120,Momentum_Signal!$C120:$J120,0)</f>
        <v>2</v>
      </c>
      <c r="H120" s="16">
        <f>RANK(Momentum_Signal!H120,Momentum_Signal!$C120:$J120,0)</f>
        <v>1</v>
      </c>
      <c r="I120" s="16">
        <f>RANK(Momentum_Signal!I120,Momentum_Signal!$C120:$J120,0)</f>
        <v>3</v>
      </c>
      <c r="J120" s="16">
        <f>RANK(Momentum_Signal!J120,Momentum_Signal!$C120:$J120,0)</f>
        <v>5</v>
      </c>
    </row>
    <row r="121" spans="1:10" ht="15" customHeight="1" x14ac:dyDescent="0.25">
      <c r="A121">
        <v>117</v>
      </c>
      <c r="B121" s="12">
        <f>Momentum_Signal!B121</f>
        <v>45536</v>
      </c>
      <c r="C121" s="16">
        <f>RANK(Momentum_Signal!C121,Momentum_Signal!$C121:$J121,0)</f>
        <v>8</v>
      </c>
      <c r="D121" s="16">
        <f>RANK(Momentum_Signal!D121,Momentum_Signal!$C121:$J121,0)</f>
        <v>4</v>
      </c>
      <c r="E121" s="16">
        <f>RANK(Momentum_Signal!E121,Momentum_Signal!$C121:$J121,0)</f>
        <v>6</v>
      </c>
      <c r="F121" s="16">
        <f>RANK(Momentum_Signal!F121,Momentum_Signal!$C121:$J121,0)</f>
        <v>7</v>
      </c>
      <c r="G121" s="16">
        <f>RANK(Momentum_Signal!G121,Momentum_Signal!$C121:$J121,0)</f>
        <v>2</v>
      </c>
      <c r="H121" s="16">
        <f>RANK(Momentum_Signal!H121,Momentum_Signal!$C121:$J121,0)</f>
        <v>1</v>
      </c>
      <c r="I121" s="16">
        <f>RANK(Momentum_Signal!I121,Momentum_Signal!$C121:$J121,0)</f>
        <v>3</v>
      </c>
      <c r="J121" s="16">
        <f>RANK(Momentum_Signal!J121,Momentum_Signal!$C121:$J121,0)</f>
        <v>5</v>
      </c>
    </row>
    <row r="122" spans="1:10" ht="15" customHeight="1" x14ac:dyDescent="0.25">
      <c r="A122">
        <v>118</v>
      </c>
      <c r="B122" s="12">
        <f>Momentum_Signal!B122</f>
        <v>45566</v>
      </c>
      <c r="C122" s="16">
        <f>RANK(Momentum_Signal!C122,Momentum_Signal!$C122:$J122,0)</f>
        <v>7</v>
      </c>
      <c r="D122" s="16">
        <f>RANK(Momentum_Signal!D122,Momentum_Signal!$C122:$J122,0)</f>
        <v>5</v>
      </c>
      <c r="E122" s="16">
        <f>RANK(Momentum_Signal!E122,Momentum_Signal!$C122:$J122,0)</f>
        <v>6</v>
      </c>
      <c r="F122" s="16">
        <f>RANK(Momentum_Signal!F122,Momentum_Signal!$C122:$J122,0)</f>
        <v>8</v>
      </c>
      <c r="G122" s="16">
        <f>RANK(Momentum_Signal!G122,Momentum_Signal!$C122:$J122,0)</f>
        <v>1</v>
      </c>
      <c r="H122" s="16">
        <f>RANK(Momentum_Signal!H122,Momentum_Signal!$C122:$J122,0)</f>
        <v>2</v>
      </c>
      <c r="I122" s="16">
        <f>RANK(Momentum_Signal!I122,Momentum_Signal!$C122:$J122,0)</f>
        <v>3</v>
      </c>
      <c r="J122" s="16">
        <f>RANK(Momentum_Signal!J122,Momentum_Signal!$C122:$J122,0)</f>
        <v>4</v>
      </c>
    </row>
    <row r="123" spans="1:10" ht="15" customHeight="1" x14ac:dyDescent="0.25">
      <c r="A123">
        <v>119</v>
      </c>
      <c r="B123" s="12">
        <f>Momentum_Signal!B123</f>
        <v>45597</v>
      </c>
      <c r="C123" s="16">
        <f>RANK(Momentum_Signal!C123,Momentum_Signal!$C123:$J123,0)</f>
        <v>8</v>
      </c>
      <c r="D123" s="16">
        <f>RANK(Momentum_Signal!D123,Momentum_Signal!$C123:$J123,0)</f>
        <v>6</v>
      </c>
      <c r="E123" s="16">
        <f>RANK(Momentum_Signal!E123,Momentum_Signal!$C123:$J123,0)</f>
        <v>4</v>
      </c>
      <c r="F123" s="16">
        <f>RANK(Momentum_Signal!F123,Momentum_Signal!$C123:$J123,0)</f>
        <v>7</v>
      </c>
      <c r="G123" s="16">
        <f>RANK(Momentum_Signal!G123,Momentum_Signal!$C123:$J123,0)</f>
        <v>1</v>
      </c>
      <c r="H123" s="16">
        <f>RANK(Momentum_Signal!H123,Momentum_Signal!$C123:$J123,0)</f>
        <v>5</v>
      </c>
      <c r="I123" s="16">
        <f>RANK(Momentum_Signal!I123,Momentum_Signal!$C123:$J123,0)</f>
        <v>2</v>
      </c>
      <c r="J123" s="16">
        <f>RANK(Momentum_Signal!J123,Momentum_Signal!$C123:$J123,0)</f>
        <v>3</v>
      </c>
    </row>
    <row r="124" spans="1:10" ht="15" customHeight="1" x14ac:dyDescent="0.25">
      <c r="A124">
        <v>120</v>
      </c>
      <c r="B124" s="12">
        <f>Momentum_Signal!B124</f>
        <v>45627</v>
      </c>
      <c r="C124" s="16">
        <f>RANK(Momentum_Signal!C124,Momentum_Signal!$C124:$J124,0)</f>
        <v>8</v>
      </c>
      <c r="D124" s="16">
        <f>RANK(Momentum_Signal!D124,Momentum_Signal!$C124:$J124,0)</f>
        <v>6</v>
      </c>
      <c r="E124" s="16">
        <f>RANK(Momentum_Signal!E124,Momentum_Signal!$C124:$J124,0)</f>
        <v>5</v>
      </c>
      <c r="F124" s="16">
        <f>RANK(Momentum_Signal!F124,Momentum_Signal!$C124:$J124,0)</f>
        <v>7</v>
      </c>
      <c r="G124" s="16">
        <f>RANK(Momentum_Signal!G124,Momentum_Signal!$C124:$J124,0)</f>
        <v>2</v>
      </c>
      <c r="H124" s="16">
        <f>RANK(Momentum_Signal!H124,Momentum_Signal!$C124:$J124,0)</f>
        <v>4</v>
      </c>
      <c r="I124" s="16">
        <f>RANK(Momentum_Signal!I124,Momentum_Signal!$C124:$J124,0)</f>
        <v>1</v>
      </c>
      <c r="J124" s="16">
        <f>RANK(Momentum_Signal!J124,Momentum_Signal!$C124:$J124,0)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68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IF(Rankings!C11&lt;=2,1,0)</f>
        <v>0</v>
      </c>
      <c r="D5" s="16">
        <f>IF(Rankings!D11&lt;=2,1,0)</f>
        <v>0</v>
      </c>
      <c r="E5" s="16">
        <f>IF(Rankings!E11&lt;=2,1,0)</f>
        <v>0</v>
      </c>
      <c r="F5" s="16">
        <f>IF(Rankings!F11&lt;=2,1,0)</f>
        <v>0</v>
      </c>
      <c r="G5" s="16">
        <f>IF(Rankings!G11&lt;=2,1,0)</f>
        <v>1</v>
      </c>
      <c r="H5" s="16">
        <f>IF(Rankings!H11&lt;=2,1,0)</f>
        <v>1</v>
      </c>
      <c r="I5" s="16">
        <f>IF(Rankings!I11&lt;=2,1,0)</f>
        <v>0</v>
      </c>
      <c r="J5" s="16">
        <f>IF(Rankings!J11&lt;=2,1,0)</f>
        <v>0</v>
      </c>
      <c r="K5" s="19">
        <f t="shared" ref="K5:K36" si="0">SUM(C5:J5)</f>
        <v>2</v>
      </c>
      <c r="L5" s="15">
        <f>SUMPRODUCT(C5:J5,Returns!B9:I9)/K5</f>
        <v>-5.6681129342425696E-2</v>
      </c>
      <c r="M5" s="15">
        <f>-2*Assumptions!$B$13</f>
        <v>-7.0000000000000001E-3</v>
      </c>
      <c r="N5" s="15">
        <v>0</v>
      </c>
      <c r="O5" s="15">
        <f t="shared" ref="O5:O36" si="1">L5+M5+N5</f>
        <v>-6.3681129342425702E-2</v>
      </c>
      <c r="P5" s="20">
        <f>1*(1+O5)</f>
        <v>0.93631887065757424</v>
      </c>
      <c r="Q5" s="20">
        <f>MAX($P$5:P5)</f>
        <v>0.93631887065757424</v>
      </c>
      <c r="R5" s="15">
        <f t="shared" ref="R5:R36" si="2">P5/Q5-1</f>
        <v>0</v>
      </c>
      <c r="S5" s="15">
        <f>O5-Benchmark_RF!D5</f>
        <v>-6.9281059851751869E-2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IF(Rankings!C11&lt;=2,1,0)</f>
        <v>0</v>
      </c>
      <c r="D6" s="16">
        <f>IF(Rankings!D11&lt;=2,1,0)</f>
        <v>0</v>
      </c>
      <c r="E6" s="16">
        <f>IF(Rankings!E11&lt;=2,1,0)</f>
        <v>0</v>
      </c>
      <c r="F6" s="16">
        <f>IF(Rankings!F11&lt;=2,1,0)</f>
        <v>0</v>
      </c>
      <c r="G6" s="16">
        <f>IF(Rankings!G11&lt;=2,1,0)</f>
        <v>1</v>
      </c>
      <c r="H6" s="16">
        <f>IF(Rankings!H11&lt;=2,1,0)</f>
        <v>1</v>
      </c>
      <c r="I6" s="16">
        <f>IF(Rankings!I11&lt;=2,1,0)</f>
        <v>0</v>
      </c>
      <c r="J6" s="16">
        <f>IF(Rankings!J11&lt;=2,1,0)</f>
        <v>0</v>
      </c>
      <c r="K6" s="19">
        <f t="shared" si="0"/>
        <v>2</v>
      </c>
      <c r="L6" s="15">
        <f>SUMPRODUCT(C6:J6,Returns!B10:I10)/K6</f>
        <v>-5.0873779427611898E-2</v>
      </c>
      <c r="M6" s="15">
        <v>0</v>
      </c>
      <c r="N6" s="15">
        <v>0</v>
      </c>
      <c r="O6" s="15">
        <f t="shared" si="1"/>
        <v>-5.0873779427611898E-2</v>
      </c>
      <c r="P6" s="20">
        <f t="shared" ref="P6:P37" si="3">P5*(1+O6)</f>
        <v>0.88868479095783004</v>
      </c>
      <c r="Q6" s="20">
        <f>MAX($P$5:P6)</f>
        <v>0.93631887065757424</v>
      </c>
      <c r="R6" s="15">
        <f t="shared" si="2"/>
        <v>-5.0873779427611954E-2</v>
      </c>
      <c r="S6" s="15">
        <f>O6-Benchmark_RF!D6</f>
        <v>-5.6108961784770928E-2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IF(Rankings!C11&lt;=2,1,0)</f>
        <v>0</v>
      </c>
      <c r="D7" s="16">
        <f>IF(Rankings!D11&lt;=2,1,0)</f>
        <v>0</v>
      </c>
      <c r="E7" s="16">
        <f>IF(Rankings!E11&lt;=2,1,0)</f>
        <v>0</v>
      </c>
      <c r="F7" s="16">
        <f>IF(Rankings!F11&lt;=2,1,0)</f>
        <v>0</v>
      </c>
      <c r="G7" s="16">
        <f>IF(Rankings!G11&lt;=2,1,0)</f>
        <v>1</v>
      </c>
      <c r="H7" s="16">
        <f>IF(Rankings!H11&lt;=2,1,0)</f>
        <v>1</v>
      </c>
      <c r="I7" s="16">
        <f>IF(Rankings!I11&lt;=2,1,0)</f>
        <v>0</v>
      </c>
      <c r="J7" s="16">
        <f>IF(Rankings!J11&lt;=2,1,0)</f>
        <v>0</v>
      </c>
      <c r="K7" s="19">
        <f t="shared" si="0"/>
        <v>2</v>
      </c>
      <c r="L7" s="15">
        <f>SUMPRODUCT(C7:J7,Returns!B11:I11)/K7</f>
        <v>1.9764869938321272E-2</v>
      </c>
      <c r="M7" s="15">
        <v>0</v>
      </c>
      <c r="N7" s="15">
        <v>0</v>
      </c>
      <c r="O7" s="15">
        <f t="shared" si="1"/>
        <v>1.9764869938321272E-2</v>
      </c>
      <c r="P7" s="20">
        <f t="shared" si="3"/>
        <v>0.90624953026727573</v>
      </c>
      <c r="Q7" s="20">
        <f>MAX($P$5:P7)</f>
        <v>0.93631887065757424</v>
      </c>
      <c r="R7" s="15">
        <f t="shared" si="2"/>
        <v>-3.2114423122948432E-2</v>
      </c>
      <c r="S7" s="15">
        <f>O7-Benchmark_RF!D7</f>
        <v>1.4657635033161975E-2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IF(Rankings!C11&lt;=2,1,0)</f>
        <v>0</v>
      </c>
      <c r="D8" s="16">
        <f>IF(Rankings!D11&lt;=2,1,0)</f>
        <v>0</v>
      </c>
      <c r="E8" s="16">
        <f>IF(Rankings!E11&lt;=2,1,0)</f>
        <v>0</v>
      </c>
      <c r="F8" s="16">
        <f>IF(Rankings!F11&lt;=2,1,0)</f>
        <v>0</v>
      </c>
      <c r="G8" s="16">
        <f>IF(Rankings!G11&lt;=2,1,0)</f>
        <v>1</v>
      </c>
      <c r="H8" s="16">
        <f>IF(Rankings!H11&lt;=2,1,0)</f>
        <v>1</v>
      </c>
      <c r="I8" s="16">
        <f>IF(Rankings!I11&lt;=2,1,0)</f>
        <v>0</v>
      </c>
      <c r="J8" s="16">
        <f>IF(Rankings!J11&lt;=2,1,0)</f>
        <v>0</v>
      </c>
      <c r="K8" s="19">
        <f t="shared" si="0"/>
        <v>2</v>
      </c>
      <c r="L8" s="15">
        <f>SUMPRODUCT(C8:J8,Returns!B12:I12)/K8</f>
        <v>-7.6639328945811047E-2</v>
      </c>
      <c r="M8" s="15">
        <v>0</v>
      </c>
      <c r="N8" s="15">
        <v>0</v>
      </c>
      <c r="O8" s="15">
        <f t="shared" si="1"/>
        <v>-7.6639328945811047E-2</v>
      </c>
      <c r="P8" s="20">
        <f t="shared" si="3"/>
        <v>0.83679517441013529</v>
      </c>
      <c r="Q8" s="20">
        <f>MAX($P$5:P8)</f>
        <v>0.93631887065757424</v>
      </c>
      <c r="R8" s="15">
        <f t="shared" si="2"/>
        <v>-0.10629252423113478</v>
      </c>
      <c r="S8" s="15">
        <f>O8-Benchmark_RF!D8</f>
        <v>-8.1798000575236229E-2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IF(Rankings!C11&lt;=2,1,0)</f>
        <v>0</v>
      </c>
      <c r="D9" s="16">
        <f>IF(Rankings!D11&lt;=2,1,0)</f>
        <v>0</v>
      </c>
      <c r="E9" s="16">
        <f>IF(Rankings!E11&lt;=2,1,0)</f>
        <v>0</v>
      </c>
      <c r="F9" s="16">
        <f>IF(Rankings!F11&lt;=2,1,0)</f>
        <v>0</v>
      </c>
      <c r="G9" s="16">
        <f>IF(Rankings!G11&lt;=2,1,0)</f>
        <v>1</v>
      </c>
      <c r="H9" s="16">
        <f>IF(Rankings!H11&lt;=2,1,0)</f>
        <v>1</v>
      </c>
      <c r="I9" s="16">
        <f>IF(Rankings!I11&lt;=2,1,0)</f>
        <v>0</v>
      </c>
      <c r="J9" s="16">
        <f>IF(Rankings!J11&lt;=2,1,0)</f>
        <v>0</v>
      </c>
      <c r="K9" s="19">
        <f t="shared" si="0"/>
        <v>2</v>
      </c>
      <c r="L9" s="15">
        <f>SUMPRODUCT(C9:J9,Returns!B13:I13)/K9</f>
        <v>3.6517747235749187E-3</v>
      </c>
      <c r="M9" s="15">
        <v>0</v>
      </c>
      <c r="N9" s="15">
        <v>0</v>
      </c>
      <c r="O9" s="15">
        <f t="shared" si="1"/>
        <v>3.6517747235749187E-3</v>
      </c>
      <c r="P9" s="20">
        <f t="shared" si="3"/>
        <v>0.83985096187685571</v>
      </c>
      <c r="Q9" s="20">
        <f>MAX($P$5:P9)</f>
        <v>0.93631887065757424</v>
      </c>
      <c r="R9" s="15">
        <f t="shared" si="2"/>
        <v>-0.10302890586085212</v>
      </c>
      <c r="S9" s="15">
        <f>O9-Benchmark_RF!D9</f>
        <v>-1.4819304736952699E-3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IF(Rankings!C11&lt;=2,1,0)</f>
        <v>0</v>
      </c>
      <c r="D10" s="16">
        <f>IF(Rankings!D11&lt;=2,1,0)</f>
        <v>0</v>
      </c>
      <c r="E10" s="16">
        <f>IF(Rankings!E11&lt;=2,1,0)</f>
        <v>0</v>
      </c>
      <c r="F10" s="16">
        <f>IF(Rankings!F11&lt;=2,1,0)</f>
        <v>0</v>
      </c>
      <c r="G10" s="16">
        <f>IF(Rankings!G11&lt;=2,1,0)</f>
        <v>1</v>
      </c>
      <c r="H10" s="16">
        <f>IF(Rankings!H11&lt;=2,1,0)</f>
        <v>1</v>
      </c>
      <c r="I10" s="16">
        <f>IF(Rankings!I11&lt;=2,1,0)</f>
        <v>0</v>
      </c>
      <c r="J10" s="16">
        <f>IF(Rankings!J11&lt;=2,1,0)</f>
        <v>0</v>
      </c>
      <c r="K10" s="19">
        <f t="shared" si="0"/>
        <v>2</v>
      </c>
      <c r="L10" s="15">
        <f>SUMPRODUCT(C10:J10,Returns!B14:I14)/K10</f>
        <v>-3.9326761096022289E-2</v>
      </c>
      <c r="M10" s="15">
        <v>0</v>
      </c>
      <c r="N10" s="15">
        <v>0</v>
      </c>
      <c r="O10" s="15">
        <f t="shared" si="1"/>
        <v>-3.9326761096022289E-2</v>
      </c>
      <c r="P10" s="20">
        <f t="shared" si="3"/>
        <v>0.8068223437428601</v>
      </c>
      <c r="Q10" s="20">
        <f>MAX($P$5:P10)</f>
        <v>0.93631887065757424</v>
      </c>
      <c r="R10" s="15">
        <f t="shared" si="2"/>
        <v>-0.13830387379010001</v>
      </c>
      <c r="S10" s="15">
        <f>O10-Benchmark_RF!D10</f>
        <v>-4.4321963852164026E-2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IF(Rankings!C11&lt;=2,1,0)</f>
        <v>0</v>
      </c>
      <c r="D11" s="16">
        <f>IF(Rankings!D11&lt;=2,1,0)</f>
        <v>0</v>
      </c>
      <c r="E11" s="16">
        <f>IF(Rankings!E11&lt;=2,1,0)</f>
        <v>0</v>
      </c>
      <c r="F11" s="16">
        <f>IF(Rankings!F11&lt;=2,1,0)</f>
        <v>0</v>
      </c>
      <c r="G11" s="16">
        <f>IF(Rankings!G11&lt;=2,1,0)</f>
        <v>1</v>
      </c>
      <c r="H11" s="16">
        <f>IF(Rankings!H11&lt;=2,1,0)</f>
        <v>1</v>
      </c>
      <c r="I11" s="16">
        <f>IF(Rankings!I11&lt;=2,1,0)</f>
        <v>0</v>
      </c>
      <c r="J11" s="16">
        <f>IF(Rankings!J11&lt;=2,1,0)</f>
        <v>0</v>
      </c>
      <c r="K11" s="19">
        <f t="shared" si="0"/>
        <v>2</v>
      </c>
      <c r="L11" s="15">
        <f>SUMPRODUCT(C11:J11,Returns!B15:I15)/K11</f>
        <v>-3.4381327643839277E-3</v>
      </c>
      <c r="M11" s="15">
        <v>0</v>
      </c>
      <c r="N11" s="15">
        <v>0</v>
      </c>
      <c r="O11" s="15">
        <f t="shared" si="1"/>
        <v>-3.4381327643839277E-3</v>
      </c>
      <c r="P11" s="20">
        <f t="shared" si="3"/>
        <v>0.80404838140780066</v>
      </c>
      <c r="Q11" s="20">
        <f>MAX($P$5:P11)</f>
        <v>0.93631887065757424</v>
      </c>
      <c r="R11" s="15">
        <f t="shared" si="2"/>
        <v>-0.14126649947456504</v>
      </c>
      <c r="S11" s="15">
        <f>O11-Benchmark_RF!D11</f>
        <v>-8.4746638580669997E-3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IF(Rankings!C11&lt;=2,1,0)</f>
        <v>0</v>
      </c>
      <c r="D12" s="16">
        <f>IF(Rankings!D11&lt;=2,1,0)</f>
        <v>0</v>
      </c>
      <c r="E12" s="16">
        <f>IF(Rankings!E11&lt;=2,1,0)</f>
        <v>0</v>
      </c>
      <c r="F12" s="16">
        <f>IF(Rankings!F11&lt;=2,1,0)</f>
        <v>0</v>
      </c>
      <c r="G12" s="16">
        <f>IF(Rankings!G11&lt;=2,1,0)</f>
        <v>1</v>
      </c>
      <c r="H12" s="16">
        <f>IF(Rankings!H11&lt;=2,1,0)</f>
        <v>1</v>
      </c>
      <c r="I12" s="16">
        <f>IF(Rankings!I11&lt;=2,1,0)</f>
        <v>0</v>
      </c>
      <c r="J12" s="16">
        <f>IF(Rankings!J11&lt;=2,1,0)</f>
        <v>0</v>
      </c>
      <c r="K12" s="19">
        <f t="shared" si="0"/>
        <v>2</v>
      </c>
      <c r="L12" s="15">
        <f>SUMPRODUCT(C12:J12,Returns!B16:I16)/K12</f>
        <v>3.6975958329673375E-2</v>
      </c>
      <c r="M12" s="15">
        <v>0</v>
      </c>
      <c r="N12" s="15">
        <v>0</v>
      </c>
      <c r="O12" s="15">
        <f t="shared" si="1"/>
        <v>3.6975958329673375E-2</v>
      </c>
      <c r="P12" s="20">
        <f t="shared" si="3"/>
        <v>0.83377884085377685</v>
      </c>
      <c r="Q12" s="20">
        <f>MAX($P$5:P12)</f>
        <v>0.93631887065757424</v>
      </c>
      <c r="R12" s="15">
        <f t="shared" si="2"/>
        <v>-0.10951400534284206</v>
      </c>
      <c r="S12" s="15">
        <f>O12-Benchmark_RF!D12</f>
        <v>3.1974444694351511E-2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IF(Rankings!C11&lt;=2,1,0)</f>
        <v>0</v>
      </c>
      <c r="D13" s="16">
        <f>IF(Rankings!D11&lt;=2,1,0)</f>
        <v>0</v>
      </c>
      <c r="E13" s="16">
        <f>IF(Rankings!E11&lt;=2,1,0)</f>
        <v>0</v>
      </c>
      <c r="F13" s="16">
        <f>IF(Rankings!F11&lt;=2,1,0)</f>
        <v>0</v>
      </c>
      <c r="G13" s="16">
        <f>IF(Rankings!G11&lt;=2,1,0)</f>
        <v>1</v>
      </c>
      <c r="H13" s="16">
        <f>IF(Rankings!H11&lt;=2,1,0)</f>
        <v>1</v>
      </c>
      <c r="I13" s="16">
        <f>IF(Rankings!I11&lt;=2,1,0)</f>
        <v>0</v>
      </c>
      <c r="J13" s="16">
        <f>IF(Rankings!J11&lt;=2,1,0)</f>
        <v>0</v>
      </c>
      <c r="K13" s="19">
        <f t="shared" si="0"/>
        <v>2</v>
      </c>
      <c r="L13" s="15">
        <f>SUMPRODUCT(C13:J13,Returns!B17:I17)/K13</f>
        <v>1.7487689817723195E-2</v>
      </c>
      <c r="M13" s="15">
        <v>0</v>
      </c>
      <c r="N13" s="15">
        <v>0</v>
      </c>
      <c r="O13" s="15">
        <f t="shared" si="1"/>
        <v>1.7487689817723195E-2</v>
      </c>
      <c r="P13" s="20">
        <f t="shared" si="3"/>
        <v>0.84835970659920845</v>
      </c>
      <c r="Q13" s="20">
        <f>MAX($P$5:P13)</f>
        <v>0.93631887065757424</v>
      </c>
      <c r="R13" s="15">
        <f t="shared" si="2"/>
        <v>-9.3941462481251015E-2</v>
      </c>
      <c r="S13" s="15">
        <f>O13-Benchmark_RF!D13</f>
        <v>1.2486176182401332E-2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IF(Rankings!C11&lt;=2,1,0)</f>
        <v>0</v>
      </c>
      <c r="D14" s="16">
        <f>IF(Rankings!D11&lt;=2,1,0)</f>
        <v>0</v>
      </c>
      <c r="E14" s="16">
        <f>IF(Rankings!E11&lt;=2,1,0)</f>
        <v>0</v>
      </c>
      <c r="F14" s="16">
        <f>IF(Rankings!F11&lt;=2,1,0)</f>
        <v>0</v>
      </c>
      <c r="G14" s="16">
        <f>IF(Rankings!G11&lt;=2,1,0)</f>
        <v>1</v>
      </c>
      <c r="H14" s="16">
        <f>IF(Rankings!H11&lt;=2,1,0)</f>
        <v>1</v>
      </c>
      <c r="I14" s="16">
        <f>IF(Rankings!I11&lt;=2,1,0)</f>
        <v>0</v>
      </c>
      <c r="J14" s="16">
        <f>IF(Rankings!J11&lt;=2,1,0)</f>
        <v>0</v>
      </c>
      <c r="K14" s="19">
        <f t="shared" si="0"/>
        <v>2</v>
      </c>
      <c r="L14" s="15">
        <f>SUMPRODUCT(C14:J14,Returns!B18:I18)/K14</f>
        <v>6.9048944975328985E-2</v>
      </c>
      <c r="M14" s="15">
        <v>0</v>
      </c>
      <c r="N14" s="15">
        <v>0</v>
      </c>
      <c r="O14" s="15">
        <f t="shared" si="1"/>
        <v>6.9048944975328985E-2</v>
      </c>
      <c r="P14" s="20">
        <f t="shared" si="3"/>
        <v>0.90693804929946353</v>
      </c>
      <c r="Q14" s="20">
        <f>MAX($P$5:P14)</f>
        <v>0.93631887065757424</v>
      </c>
      <c r="R14" s="15">
        <f t="shared" si="2"/>
        <v>-3.1379076379691728E-2</v>
      </c>
      <c r="S14" s="15">
        <f>O14-Benchmark_RF!D14</f>
        <v>6.4191269821409658E-2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IF(Rankings!C11&lt;=2,1,0)</f>
        <v>0</v>
      </c>
      <c r="D15" s="16">
        <f>IF(Rankings!D11&lt;=2,1,0)</f>
        <v>0</v>
      </c>
      <c r="E15" s="16">
        <f>IF(Rankings!E11&lt;=2,1,0)</f>
        <v>0</v>
      </c>
      <c r="F15" s="16">
        <f>IF(Rankings!F11&lt;=2,1,0)</f>
        <v>0</v>
      </c>
      <c r="G15" s="16">
        <f>IF(Rankings!G11&lt;=2,1,0)</f>
        <v>1</v>
      </c>
      <c r="H15" s="16">
        <f>IF(Rankings!H11&lt;=2,1,0)</f>
        <v>1</v>
      </c>
      <c r="I15" s="16">
        <f>IF(Rankings!I11&lt;=2,1,0)</f>
        <v>0</v>
      </c>
      <c r="J15" s="16">
        <f>IF(Rankings!J11&lt;=2,1,0)</f>
        <v>0</v>
      </c>
      <c r="K15" s="19">
        <f t="shared" si="0"/>
        <v>2</v>
      </c>
      <c r="L15" s="15">
        <f>SUMPRODUCT(C15:J15,Returns!B19:I19)/K15</f>
        <v>5.0107300107300135E-2</v>
      </c>
      <c r="M15" s="15">
        <v>0</v>
      </c>
      <c r="N15" s="15">
        <v>0</v>
      </c>
      <c r="O15" s="15">
        <f t="shared" si="1"/>
        <v>5.0107300107300135E-2</v>
      </c>
      <c r="P15" s="20">
        <f t="shared" si="3"/>
        <v>0.95238226631444101</v>
      </c>
      <c r="Q15" s="20">
        <f>MAX($P$5:P15)</f>
        <v>0.95238226631444101</v>
      </c>
      <c r="R15" s="15">
        <f t="shared" si="2"/>
        <v>0</v>
      </c>
      <c r="S15" s="15">
        <f>O15-Benchmark_RF!D15</f>
        <v>4.5318940877148717E-2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IF(Rankings!C11&lt;=2,1,0)</f>
        <v>0</v>
      </c>
      <c r="D16" s="16">
        <f>IF(Rankings!D11&lt;=2,1,0)</f>
        <v>0</v>
      </c>
      <c r="E16" s="16">
        <f>IF(Rankings!E11&lt;=2,1,0)</f>
        <v>0</v>
      </c>
      <c r="F16" s="16">
        <f>IF(Rankings!F11&lt;=2,1,0)</f>
        <v>0</v>
      </c>
      <c r="G16" s="16">
        <f>IF(Rankings!G11&lt;=2,1,0)</f>
        <v>1</v>
      </c>
      <c r="H16" s="16">
        <f>IF(Rankings!H11&lt;=2,1,0)</f>
        <v>1</v>
      </c>
      <c r="I16" s="16">
        <f>IF(Rankings!I11&lt;=2,1,0)</f>
        <v>0</v>
      </c>
      <c r="J16" s="16">
        <f>IF(Rankings!J11&lt;=2,1,0)</f>
        <v>0</v>
      </c>
      <c r="K16" s="19">
        <f t="shared" si="0"/>
        <v>2</v>
      </c>
      <c r="L16" s="15">
        <f>SUMPRODUCT(C16:J16,Returns!B20:I20)/K16</f>
        <v>6.7811975001680014E-2</v>
      </c>
      <c r="M16" s="15">
        <v>0</v>
      </c>
      <c r="N16" s="15">
        <v>0</v>
      </c>
      <c r="O16" s="15">
        <f t="shared" si="1"/>
        <v>6.7811975001680014E-2</v>
      </c>
      <c r="P16" s="20">
        <f t="shared" si="3"/>
        <v>1.0169651887497992</v>
      </c>
      <c r="Q16" s="20">
        <f>MAX($P$5:P16)</f>
        <v>1.0169651887497992</v>
      </c>
      <c r="R16" s="15">
        <f t="shared" si="2"/>
        <v>0</v>
      </c>
      <c r="S16" s="15">
        <f>O16-Benchmark_RF!D16</f>
        <v>6.3112610089912091E-2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IF(Rankings!C23&lt;=2,1,0)</f>
        <v>0</v>
      </c>
      <c r="D17" s="16">
        <f>IF(Rankings!D23&lt;=2,1,0)</f>
        <v>0</v>
      </c>
      <c r="E17" s="16">
        <f>IF(Rankings!E23&lt;=2,1,0)</f>
        <v>0</v>
      </c>
      <c r="F17" s="16">
        <f>IF(Rankings!F23&lt;=2,1,0)</f>
        <v>1</v>
      </c>
      <c r="G17" s="16">
        <f>IF(Rankings!G23&lt;=2,1,0)</f>
        <v>0</v>
      </c>
      <c r="H17" s="16">
        <f>IF(Rankings!H23&lt;=2,1,0)</f>
        <v>0</v>
      </c>
      <c r="I17" s="16">
        <f>IF(Rankings!I23&lt;=2,1,0)</f>
        <v>1</v>
      </c>
      <c r="J17" s="16">
        <f>IF(Rankings!J23&lt;=2,1,0)</f>
        <v>0</v>
      </c>
      <c r="K17" s="19">
        <f t="shared" si="0"/>
        <v>2</v>
      </c>
      <c r="L17" s="15">
        <f>SUMPRODUCT(C17:J17,Returns!B21:I21)/K17</f>
        <v>4.2663683182295964E-2</v>
      </c>
      <c r="M17" s="15">
        <f>-2*Assumptions!$B$13</f>
        <v>-7.0000000000000001E-3</v>
      </c>
      <c r="N17" s="15">
        <f>-Assumptions!$B$16*MAX(0,(1+O5)*(1+O6)*(1+O7)*(1+O8)*(1+O9)*(1+O10)*(1+O11)*(1+O12)*(1+O13)*(1+O14)*(1+O15)*(1+O16)-1)</f>
        <v>-2.5447783124698865E-3</v>
      </c>
      <c r="O17" s="15">
        <f t="shared" si="1"/>
        <v>3.3118904869826077E-2</v>
      </c>
      <c r="P17" s="20">
        <f t="shared" si="3"/>
        <v>1.0506459620919286</v>
      </c>
      <c r="Q17" s="20">
        <f>MAX($P$5:P17)</f>
        <v>1.0506459620919286</v>
      </c>
      <c r="R17" s="15">
        <f t="shared" si="2"/>
        <v>0</v>
      </c>
      <c r="S17" s="15">
        <f>O17-Benchmark_RF!D17</f>
        <v>2.8362019941239019E-2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IF(Rankings!C23&lt;=2,1,0)</f>
        <v>0</v>
      </c>
      <c r="D18" s="16">
        <f>IF(Rankings!D23&lt;=2,1,0)</f>
        <v>0</v>
      </c>
      <c r="E18" s="16">
        <f>IF(Rankings!E23&lt;=2,1,0)</f>
        <v>0</v>
      </c>
      <c r="F18" s="16">
        <f>IF(Rankings!F23&lt;=2,1,0)</f>
        <v>1</v>
      </c>
      <c r="G18" s="16">
        <f>IF(Rankings!G23&lt;=2,1,0)</f>
        <v>0</v>
      </c>
      <c r="H18" s="16">
        <f>IF(Rankings!H23&lt;=2,1,0)</f>
        <v>0</v>
      </c>
      <c r="I18" s="16">
        <f>IF(Rankings!I23&lt;=2,1,0)</f>
        <v>1</v>
      </c>
      <c r="J18" s="16">
        <f>IF(Rankings!J23&lt;=2,1,0)</f>
        <v>0</v>
      </c>
      <c r="K18" s="19">
        <f t="shared" si="0"/>
        <v>2</v>
      </c>
      <c r="L18" s="15">
        <f>SUMPRODUCT(C18:J18,Returns!B22:I22)/K18</f>
        <v>0.3021001477533799</v>
      </c>
      <c r="M18" s="15">
        <v>0</v>
      </c>
      <c r="N18" s="15">
        <v>0</v>
      </c>
      <c r="O18" s="15">
        <f t="shared" si="1"/>
        <v>0.3021001477533799</v>
      </c>
      <c r="P18" s="20">
        <f t="shared" si="3"/>
        <v>1.3680462624763923</v>
      </c>
      <c r="Q18" s="20">
        <f>MAX($P$5:P18)</f>
        <v>1.3680462624763923</v>
      </c>
      <c r="R18" s="15">
        <f t="shared" si="2"/>
        <v>0</v>
      </c>
      <c r="S18" s="15">
        <f>O18-Benchmark_RF!D18</f>
        <v>0.29734326282479284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IF(Rankings!C23&lt;=2,1,0)</f>
        <v>0</v>
      </c>
      <c r="D19" s="16">
        <f>IF(Rankings!D23&lt;=2,1,0)</f>
        <v>0</v>
      </c>
      <c r="E19" s="16">
        <f>IF(Rankings!E23&lt;=2,1,0)</f>
        <v>0</v>
      </c>
      <c r="F19" s="16">
        <f>IF(Rankings!F23&lt;=2,1,0)</f>
        <v>1</v>
      </c>
      <c r="G19" s="16">
        <f>IF(Rankings!G23&lt;=2,1,0)</f>
        <v>0</v>
      </c>
      <c r="H19" s="16">
        <f>IF(Rankings!H23&lt;=2,1,0)</f>
        <v>0</v>
      </c>
      <c r="I19" s="16">
        <f>IF(Rankings!I23&lt;=2,1,0)</f>
        <v>1</v>
      </c>
      <c r="J19" s="16">
        <f>IF(Rankings!J23&lt;=2,1,0)</f>
        <v>0</v>
      </c>
      <c r="K19" s="19">
        <f t="shared" si="0"/>
        <v>2</v>
      </c>
      <c r="L19" s="15">
        <f>SUMPRODUCT(C19:J19,Returns!B23:I23)/K19</f>
        <v>0.10422242667558834</v>
      </c>
      <c r="M19" s="15">
        <v>0</v>
      </c>
      <c r="N19" s="15">
        <v>0</v>
      </c>
      <c r="O19" s="15">
        <f t="shared" si="1"/>
        <v>0.10422242667558834</v>
      </c>
      <c r="P19" s="20">
        <f t="shared" si="3"/>
        <v>1.5106273637561507</v>
      </c>
      <c r="Q19" s="20">
        <f>MAX($P$5:P19)</f>
        <v>1.5106273637561507</v>
      </c>
      <c r="R19" s="15">
        <f t="shared" si="2"/>
        <v>0</v>
      </c>
      <c r="S19" s="15">
        <f>O19-Benchmark_RF!D19</f>
        <v>9.9449724159445752E-2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IF(Rankings!C23&lt;=2,1,0)</f>
        <v>0</v>
      </c>
      <c r="D20" s="16">
        <f>IF(Rankings!D23&lt;=2,1,0)</f>
        <v>0</v>
      </c>
      <c r="E20" s="16">
        <f>IF(Rankings!E23&lt;=2,1,0)</f>
        <v>0</v>
      </c>
      <c r="F20" s="16">
        <f>IF(Rankings!F23&lt;=2,1,0)</f>
        <v>1</v>
      </c>
      <c r="G20" s="16">
        <f>IF(Rankings!G23&lt;=2,1,0)</f>
        <v>0</v>
      </c>
      <c r="H20" s="16">
        <f>IF(Rankings!H23&lt;=2,1,0)</f>
        <v>0</v>
      </c>
      <c r="I20" s="16">
        <f>IF(Rankings!I23&lt;=2,1,0)</f>
        <v>1</v>
      </c>
      <c r="J20" s="16">
        <f>IF(Rankings!J23&lt;=2,1,0)</f>
        <v>0</v>
      </c>
      <c r="K20" s="19">
        <f t="shared" si="0"/>
        <v>2</v>
      </c>
      <c r="L20" s="15">
        <f>SUMPRODUCT(C20:J20,Returns!B24:I24)/K20</f>
        <v>0.22200622760324251</v>
      </c>
      <c r="M20" s="15">
        <v>0</v>
      </c>
      <c r="N20" s="15">
        <v>0</v>
      </c>
      <c r="O20" s="15">
        <f t="shared" si="1"/>
        <v>0.22200622760324251</v>
      </c>
      <c r="P20" s="20">
        <f t="shared" si="3"/>
        <v>1.8459960460978848</v>
      </c>
      <c r="Q20" s="20">
        <f>MAX($P$5:P20)</f>
        <v>1.8459960460978848</v>
      </c>
      <c r="R20" s="15">
        <f t="shared" si="2"/>
        <v>0</v>
      </c>
      <c r="S20" s="15">
        <f>O20-Benchmark_RF!D20</f>
        <v>0.21717818509070475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IF(Rankings!C23&lt;=2,1,0)</f>
        <v>0</v>
      </c>
      <c r="D21" s="16">
        <f>IF(Rankings!D23&lt;=2,1,0)</f>
        <v>0</v>
      </c>
      <c r="E21" s="16">
        <f>IF(Rankings!E23&lt;=2,1,0)</f>
        <v>0</v>
      </c>
      <c r="F21" s="16">
        <f>IF(Rankings!F23&lt;=2,1,0)</f>
        <v>1</v>
      </c>
      <c r="G21" s="16">
        <f>IF(Rankings!G23&lt;=2,1,0)</f>
        <v>0</v>
      </c>
      <c r="H21" s="16">
        <f>IF(Rankings!H23&lt;=2,1,0)</f>
        <v>0</v>
      </c>
      <c r="I21" s="16">
        <f>IF(Rankings!I23&lt;=2,1,0)</f>
        <v>1</v>
      </c>
      <c r="J21" s="16">
        <f>IF(Rankings!J23&lt;=2,1,0)</f>
        <v>0</v>
      </c>
      <c r="K21" s="19">
        <f t="shared" si="0"/>
        <v>2</v>
      </c>
      <c r="L21" s="15">
        <f>SUMPRODUCT(C21:J21,Returns!B25:I25)/K21</f>
        <v>8.5534527464012355E-3</v>
      </c>
      <c r="M21" s="15">
        <v>0</v>
      </c>
      <c r="N21" s="15">
        <v>0</v>
      </c>
      <c r="O21" s="15">
        <f t="shared" si="1"/>
        <v>8.5534527464012355E-3</v>
      </c>
      <c r="P21" s="20">
        <f t="shared" si="3"/>
        <v>1.8617856860482267</v>
      </c>
      <c r="Q21" s="20">
        <f>MAX($P$5:P21)</f>
        <v>1.8617856860482267</v>
      </c>
      <c r="R21" s="15">
        <f t="shared" si="2"/>
        <v>0</v>
      </c>
      <c r="S21" s="15">
        <f>O21-Benchmark_RF!D21</f>
        <v>3.713635046761643E-3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IF(Rankings!C23&lt;=2,1,0)</f>
        <v>0</v>
      </c>
      <c r="D22" s="16">
        <f>IF(Rankings!D23&lt;=2,1,0)</f>
        <v>0</v>
      </c>
      <c r="E22" s="16">
        <f>IF(Rankings!E23&lt;=2,1,0)</f>
        <v>0</v>
      </c>
      <c r="F22" s="16">
        <f>IF(Rankings!F23&lt;=2,1,0)</f>
        <v>1</v>
      </c>
      <c r="G22" s="16">
        <f>IF(Rankings!G23&lt;=2,1,0)</f>
        <v>0</v>
      </c>
      <c r="H22" s="16">
        <f>IF(Rankings!H23&lt;=2,1,0)</f>
        <v>0</v>
      </c>
      <c r="I22" s="16">
        <f>IF(Rankings!I23&lt;=2,1,0)</f>
        <v>1</v>
      </c>
      <c r="J22" s="16">
        <f>IF(Rankings!J23&lt;=2,1,0)</f>
        <v>0</v>
      </c>
      <c r="K22" s="19">
        <f t="shared" si="0"/>
        <v>2</v>
      </c>
      <c r="L22" s="15">
        <f>SUMPRODUCT(C22:J22,Returns!B26:I26)/K22</f>
        <v>-4.844954514780897E-3</v>
      </c>
      <c r="M22" s="15">
        <v>0</v>
      </c>
      <c r="N22" s="15">
        <v>0</v>
      </c>
      <c r="O22" s="15">
        <f t="shared" si="1"/>
        <v>-4.844954514780897E-3</v>
      </c>
      <c r="P22" s="20">
        <f t="shared" si="3"/>
        <v>1.8527654190830529</v>
      </c>
      <c r="Q22" s="20">
        <f>MAX($P$5:P22)</f>
        <v>1.8617856860482267</v>
      </c>
      <c r="R22" s="15">
        <f t="shared" si="2"/>
        <v>-4.8449545147808415E-3</v>
      </c>
      <c r="S22" s="15">
        <f>O22-Benchmark_RF!D22</f>
        <v>-9.6193177187258727E-3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IF(Rankings!C23&lt;=2,1,0)</f>
        <v>0</v>
      </c>
      <c r="D23" s="16">
        <f>IF(Rankings!D23&lt;=2,1,0)</f>
        <v>0</v>
      </c>
      <c r="E23" s="16">
        <f>IF(Rankings!E23&lt;=2,1,0)</f>
        <v>0</v>
      </c>
      <c r="F23" s="16">
        <f>IF(Rankings!F23&lt;=2,1,0)</f>
        <v>1</v>
      </c>
      <c r="G23" s="16">
        <f>IF(Rankings!G23&lt;=2,1,0)</f>
        <v>0</v>
      </c>
      <c r="H23" s="16">
        <f>IF(Rankings!H23&lt;=2,1,0)</f>
        <v>0</v>
      </c>
      <c r="I23" s="16">
        <f>IF(Rankings!I23&lt;=2,1,0)</f>
        <v>1</v>
      </c>
      <c r="J23" s="16">
        <f>IF(Rankings!J23&lt;=2,1,0)</f>
        <v>0</v>
      </c>
      <c r="K23" s="19">
        <f t="shared" si="0"/>
        <v>2</v>
      </c>
      <c r="L23" s="15">
        <f>SUMPRODUCT(C23:J23,Returns!B27:I27)/K23</f>
        <v>-4.6817194900689696E-2</v>
      </c>
      <c r="M23" s="15">
        <v>0</v>
      </c>
      <c r="N23" s="15">
        <v>0</v>
      </c>
      <c r="O23" s="15">
        <f t="shared" si="1"/>
        <v>-4.6817194900689696E-2</v>
      </c>
      <c r="P23" s="20">
        <f t="shared" si="3"/>
        <v>1.7660241393525835</v>
      </c>
      <c r="Q23" s="20">
        <f>MAX($P$5:P23)</f>
        <v>1.8617856860482267</v>
      </c>
      <c r="R23" s="15">
        <f t="shared" si="2"/>
        <v>-5.1435322235667158E-2</v>
      </c>
      <c r="S23" s="15">
        <f>O23-Benchmark_RF!D23</f>
        <v>-5.1638677422492396E-2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IF(Rankings!C23&lt;=2,1,0)</f>
        <v>0</v>
      </c>
      <c r="D24" s="16">
        <f>IF(Rankings!D23&lt;=2,1,0)</f>
        <v>0</v>
      </c>
      <c r="E24" s="16">
        <f>IF(Rankings!E23&lt;=2,1,0)</f>
        <v>0</v>
      </c>
      <c r="F24" s="16">
        <f>IF(Rankings!F23&lt;=2,1,0)</f>
        <v>1</v>
      </c>
      <c r="G24" s="16">
        <f>IF(Rankings!G23&lt;=2,1,0)</f>
        <v>0</v>
      </c>
      <c r="H24" s="16">
        <f>IF(Rankings!H23&lt;=2,1,0)</f>
        <v>0</v>
      </c>
      <c r="I24" s="16">
        <f>IF(Rankings!I23&lt;=2,1,0)</f>
        <v>1</v>
      </c>
      <c r="J24" s="16">
        <f>IF(Rankings!J23&lt;=2,1,0)</f>
        <v>0</v>
      </c>
      <c r="K24" s="19">
        <f t="shared" si="0"/>
        <v>2</v>
      </c>
      <c r="L24" s="15">
        <f>SUMPRODUCT(C24:J24,Returns!B28:I28)/K24</f>
        <v>1.5948658273834182E-2</v>
      </c>
      <c r="M24" s="15">
        <v>0</v>
      </c>
      <c r="N24" s="15">
        <v>0</v>
      </c>
      <c r="O24" s="15">
        <f t="shared" si="1"/>
        <v>1.5948658273834182E-2</v>
      </c>
      <c r="P24" s="20">
        <f t="shared" si="3"/>
        <v>1.7941898548544599</v>
      </c>
      <c r="Q24" s="20">
        <f>MAX($P$5:P24)</f>
        <v>1.8617856860482267</v>
      </c>
      <c r="R24" s="15">
        <f t="shared" si="2"/>
        <v>-3.630698833937418E-2</v>
      </c>
      <c r="S24" s="15">
        <f>O24-Benchmark_RF!D24</f>
        <v>1.1103388149362514E-2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IF(Rankings!C23&lt;=2,1,0)</f>
        <v>0</v>
      </c>
      <c r="D25" s="16">
        <f>IF(Rankings!D23&lt;=2,1,0)</f>
        <v>0</v>
      </c>
      <c r="E25" s="16">
        <f>IF(Rankings!E23&lt;=2,1,0)</f>
        <v>0</v>
      </c>
      <c r="F25" s="16">
        <f>IF(Rankings!F23&lt;=2,1,0)</f>
        <v>1</v>
      </c>
      <c r="G25" s="16">
        <f>IF(Rankings!G23&lt;=2,1,0)</f>
        <v>0</v>
      </c>
      <c r="H25" s="16">
        <f>IF(Rankings!H23&lt;=2,1,0)</f>
        <v>0</v>
      </c>
      <c r="I25" s="16">
        <f>IF(Rankings!I23&lt;=2,1,0)</f>
        <v>1</v>
      </c>
      <c r="J25" s="16">
        <f>IF(Rankings!J23&lt;=2,1,0)</f>
        <v>0</v>
      </c>
      <c r="K25" s="19">
        <f t="shared" si="0"/>
        <v>2</v>
      </c>
      <c r="L25" s="15">
        <f>SUMPRODUCT(C25:J25,Returns!B29:I29)/K25</f>
        <v>0.11523305371397635</v>
      </c>
      <c r="M25" s="15">
        <v>0</v>
      </c>
      <c r="N25" s="15">
        <v>0</v>
      </c>
      <c r="O25" s="15">
        <f t="shared" si="1"/>
        <v>0.11523305371397635</v>
      </c>
      <c r="P25" s="20">
        <f t="shared" si="3"/>
        <v>2.000939830771975</v>
      </c>
      <c r="Q25" s="20">
        <f>MAX($P$5:P25)</f>
        <v>2.000939830771975</v>
      </c>
      <c r="R25" s="15">
        <f t="shared" si="2"/>
        <v>0</v>
      </c>
      <c r="S25" s="15">
        <f>O25-Benchmark_RF!D25</f>
        <v>0.11037727476122111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IF(Rankings!C23&lt;=2,1,0)</f>
        <v>0</v>
      </c>
      <c r="D26" s="16">
        <f>IF(Rankings!D23&lt;=2,1,0)</f>
        <v>0</v>
      </c>
      <c r="E26" s="16">
        <f>IF(Rankings!E23&lt;=2,1,0)</f>
        <v>0</v>
      </c>
      <c r="F26" s="16">
        <f>IF(Rankings!F23&lt;=2,1,0)</f>
        <v>1</v>
      </c>
      <c r="G26" s="16">
        <f>IF(Rankings!G23&lt;=2,1,0)</f>
        <v>0</v>
      </c>
      <c r="H26" s="16">
        <f>IF(Rankings!H23&lt;=2,1,0)</f>
        <v>0</v>
      </c>
      <c r="I26" s="16">
        <f>IF(Rankings!I23&lt;=2,1,0)</f>
        <v>1</v>
      </c>
      <c r="J26" s="16">
        <f>IF(Rankings!J23&lt;=2,1,0)</f>
        <v>0</v>
      </c>
      <c r="K26" s="19">
        <f t="shared" si="0"/>
        <v>2</v>
      </c>
      <c r="L26" s="15">
        <f>SUMPRODUCT(C26:J26,Returns!B30:I30)/K26</f>
        <v>0.37108568467039538</v>
      </c>
      <c r="M26" s="15">
        <v>0</v>
      </c>
      <c r="N26" s="15">
        <v>0</v>
      </c>
      <c r="O26" s="15">
        <f t="shared" si="1"/>
        <v>0.37108568467039538</v>
      </c>
      <c r="P26" s="20">
        <f t="shared" si="3"/>
        <v>2.7434599578582586</v>
      </c>
      <c r="Q26" s="20">
        <f>MAX($P$5:P26)</f>
        <v>2.7434599578582586</v>
      </c>
      <c r="R26" s="15">
        <f t="shared" si="2"/>
        <v>0</v>
      </c>
      <c r="S26" s="15">
        <f>O26-Benchmark_RF!D26</f>
        <v>0.36622990571764014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IF(Rankings!C23&lt;=2,1,0)</f>
        <v>0</v>
      </c>
      <c r="D27" s="16">
        <f>IF(Rankings!D23&lt;=2,1,0)</f>
        <v>0</v>
      </c>
      <c r="E27" s="16">
        <f>IF(Rankings!E23&lt;=2,1,0)</f>
        <v>0</v>
      </c>
      <c r="F27" s="16">
        <f>IF(Rankings!F23&lt;=2,1,0)</f>
        <v>1</v>
      </c>
      <c r="G27" s="16">
        <f>IF(Rankings!G23&lt;=2,1,0)</f>
        <v>0</v>
      </c>
      <c r="H27" s="16">
        <f>IF(Rankings!H23&lt;=2,1,0)</f>
        <v>0</v>
      </c>
      <c r="I27" s="16">
        <f>IF(Rankings!I23&lt;=2,1,0)</f>
        <v>1</v>
      </c>
      <c r="J27" s="16">
        <f>IF(Rankings!J23&lt;=2,1,0)</f>
        <v>0</v>
      </c>
      <c r="K27" s="19">
        <f t="shared" si="0"/>
        <v>2</v>
      </c>
      <c r="L27" s="15">
        <f>SUMPRODUCT(C27:J27,Returns!B31:I31)/K27</f>
        <v>0.14838463036808308</v>
      </c>
      <c r="M27" s="15">
        <v>0</v>
      </c>
      <c r="N27" s="15">
        <v>0</v>
      </c>
      <c r="O27" s="15">
        <f t="shared" si="1"/>
        <v>0.14838463036808308</v>
      </c>
      <c r="P27" s="20">
        <f t="shared" si="3"/>
        <v>3.1505472496346933</v>
      </c>
      <c r="Q27" s="20">
        <f>MAX($P$5:P27)</f>
        <v>3.1505472496346933</v>
      </c>
      <c r="R27" s="15">
        <f t="shared" si="2"/>
        <v>0</v>
      </c>
      <c r="S27" s="15">
        <f>O27-Benchmark_RF!D27</f>
        <v>0.14352418999135236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IF(Rankings!C23&lt;=2,1,0)</f>
        <v>0</v>
      </c>
      <c r="D28" s="16">
        <f>IF(Rankings!D23&lt;=2,1,0)</f>
        <v>0</v>
      </c>
      <c r="E28" s="16">
        <f>IF(Rankings!E23&lt;=2,1,0)</f>
        <v>0</v>
      </c>
      <c r="F28" s="16">
        <f>IF(Rankings!F23&lt;=2,1,0)</f>
        <v>1</v>
      </c>
      <c r="G28" s="16">
        <f>IF(Rankings!G23&lt;=2,1,0)</f>
        <v>0</v>
      </c>
      <c r="H28" s="16">
        <f>IF(Rankings!H23&lt;=2,1,0)</f>
        <v>0</v>
      </c>
      <c r="I28" s="16">
        <f>IF(Rankings!I23&lt;=2,1,0)</f>
        <v>1</v>
      </c>
      <c r="J28" s="16">
        <f>IF(Rankings!J23&lt;=2,1,0)</f>
        <v>0</v>
      </c>
      <c r="K28" s="19">
        <f t="shared" si="0"/>
        <v>2</v>
      </c>
      <c r="L28" s="15">
        <f>SUMPRODUCT(C28:J28,Returns!B32:I32)/K28</f>
        <v>-9.7675356489719201E-2</v>
      </c>
      <c r="M28" s="15">
        <v>0</v>
      </c>
      <c r="N28" s="15">
        <v>0</v>
      </c>
      <c r="O28" s="15">
        <f t="shared" si="1"/>
        <v>-9.7675356489719201E-2</v>
      </c>
      <c r="P28" s="20">
        <f t="shared" si="3"/>
        <v>2.84281642388892</v>
      </c>
      <c r="Q28" s="20">
        <f>MAX($P$5:P28)</f>
        <v>3.1505472496346933</v>
      </c>
      <c r="R28" s="15">
        <f t="shared" si="2"/>
        <v>-9.7675356489719367E-2</v>
      </c>
      <c r="S28" s="15">
        <f>O28-Benchmark_RF!D28</f>
        <v>-0.10253571786124555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IF(Rankings!C35&lt;=2,1,0)</f>
        <v>0</v>
      </c>
      <c r="D29" s="16">
        <f>IF(Rankings!D35&lt;=2,1,0)</f>
        <v>0</v>
      </c>
      <c r="E29" s="16">
        <f>IF(Rankings!E35&lt;=2,1,0)</f>
        <v>0</v>
      </c>
      <c r="F29" s="16">
        <f>IF(Rankings!F35&lt;=2,1,0)</f>
        <v>0</v>
      </c>
      <c r="G29" s="16">
        <f>IF(Rankings!G35&lt;=2,1,0)</f>
        <v>0</v>
      </c>
      <c r="H29" s="16">
        <f>IF(Rankings!H35&lt;=2,1,0)</f>
        <v>1</v>
      </c>
      <c r="I29" s="16">
        <f>IF(Rankings!I35&lt;=2,1,0)</f>
        <v>1</v>
      </c>
      <c r="J29" s="16">
        <f>IF(Rankings!J35&lt;=2,1,0)</f>
        <v>0</v>
      </c>
      <c r="K29" s="19">
        <f t="shared" si="0"/>
        <v>2</v>
      </c>
      <c r="L29" s="15">
        <f>SUMPRODUCT(C29:J29,Returns!B33:I33)/K29</f>
        <v>-0.21319482814204349</v>
      </c>
      <c r="M29" s="15">
        <f>-2*Assumptions!$B$13</f>
        <v>-7.0000000000000001E-3</v>
      </c>
      <c r="N29" s="15">
        <f>-Assumptions!$B$16*MAX(0,(1+O17)*(1+O18)*(1+O19)*(1+O20)*(1+O21)*(1+O22)*(1+O23)*(1+O24)*(1+O25)*(1+O26)*(1+O27)*(1+O28)-1)</f>
        <v>-0.26930881046927319</v>
      </c>
      <c r="O29" s="15">
        <f t="shared" si="1"/>
        <v>-0.48950363861131668</v>
      </c>
      <c r="P29" s="20">
        <f t="shared" si="3"/>
        <v>1.4512474404912823</v>
      </c>
      <c r="Q29" s="20">
        <f>MAX($P$5:P29)</f>
        <v>3.1505472496346933</v>
      </c>
      <c r="R29" s="15">
        <f t="shared" si="2"/>
        <v>-0.53936655269666089</v>
      </c>
      <c r="S29" s="15">
        <f>O29-Benchmark_RF!D29</f>
        <v>-0.4943634469444988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IF(Rankings!C35&lt;=2,1,0)</f>
        <v>0</v>
      </c>
      <c r="D30" s="16">
        <f>IF(Rankings!D35&lt;=2,1,0)</f>
        <v>0</v>
      </c>
      <c r="E30" s="16">
        <f>IF(Rankings!E35&lt;=2,1,0)</f>
        <v>0</v>
      </c>
      <c r="F30" s="16">
        <f>IF(Rankings!F35&lt;=2,1,0)</f>
        <v>0</v>
      </c>
      <c r="G30" s="16">
        <f>IF(Rankings!G35&lt;=2,1,0)</f>
        <v>0</v>
      </c>
      <c r="H30" s="16">
        <f>IF(Rankings!H35&lt;=2,1,0)</f>
        <v>1</v>
      </c>
      <c r="I30" s="16">
        <f>IF(Rankings!I35&lt;=2,1,0)</f>
        <v>1</v>
      </c>
      <c r="J30" s="16">
        <f>IF(Rankings!J35&lt;=2,1,0)</f>
        <v>0</v>
      </c>
      <c r="K30" s="19">
        <f t="shared" si="0"/>
        <v>2</v>
      </c>
      <c r="L30" s="15">
        <f>SUMPRODUCT(C30:J30,Returns!B34:I34)/K30</f>
        <v>0.10265278006530765</v>
      </c>
      <c r="M30" s="15">
        <v>0</v>
      </c>
      <c r="N30" s="15">
        <v>0</v>
      </c>
      <c r="O30" s="15">
        <f t="shared" si="1"/>
        <v>0.10265278006530765</v>
      </c>
      <c r="P30" s="20">
        <f t="shared" si="3"/>
        <v>1.6002220248203745</v>
      </c>
      <c r="Q30" s="20">
        <f>MAX($P$5:P30)</f>
        <v>3.1505472496346933</v>
      </c>
      <c r="R30" s="15">
        <f t="shared" si="2"/>
        <v>-0.49208124873990688</v>
      </c>
      <c r="S30" s="15">
        <f>O30-Benchmark_RF!D30</f>
        <v>9.7792339688576924E-2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IF(Rankings!C35&lt;=2,1,0)</f>
        <v>0</v>
      </c>
      <c r="D31" s="16">
        <f>IF(Rankings!D35&lt;=2,1,0)</f>
        <v>0</v>
      </c>
      <c r="E31" s="16">
        <f>IF(Rankings!E35&lt;=2,1,0)</f>
        <v>0</v>
      </c>
      <c r="F31" s="16">
        <f>IF(Rankings!F35&lt;=2,1,0)</f>
        <v>0</v>
      </c>
      <c r="G31" s="16">
        <f>IF(Rankings!G35&lt;=2,1,0)</f>
        <v>0</v>
      </c>
      <c r="H31" s="16">
        <f>IF(Rankings!H35&lt;=2,1,0)</f>
        <v>1</v>
      </c>
      <c r="I31" s="16">
        <f>IF(Rankings!I35&lt;=2,1,0)</f>
        <v>1</v>
      </c>
      <c r="J31" s="16">
        <f>IF(Rankings!J35&lt;=2,1,0)</f>
        <v>0</v>
      </c>
      <c r="K31" s="19">
        <f t="shared" si="0"/>
        <v>2</v>
      </c>
      <c r="L31" s="15">
        <f>SUMPRODUCT(C31:J31,Returns!B35:I35)/K31</f>
        <v>-4.5651393973542342E-2</v>
      </c>
      <c r="M31" s="15">
        <v>0</v>
      </c>
      <c r="N31" s="15">
        <v>0</v>
      </c>
      <c r="O31" s="15">
        <f t="shared" si="1"/>
        <v>-4.5651393973542342E-2</v>
      </c>
      <c r="P31" s="20">
        <f t="shared" si="3"/>
        <v>1.52716965872016</v>
      </c>
      <c r="Q31" s="20">
        <f>MAX($P$5:P31)</f>
        <v>3.1505472496346933</v>
      </c>
      <c r="R31" s="15">
        <f t="shared" si="2"/>
        <v>-0.51526844776023095</v>
      </c>
      <c r="S31" s="15">
        <f>O31-Benchmark_RF!D31</f>
        <v>-5.0511834350273066E-2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IF(Rankings!C35&lt;=2,1,0)</f>
        <v>0</v>
      </c>
      <c r="D32" s="16">
        <f>IF(Rankings!D35&lt;=2,1,0)</f>
        <v>0</v>
      </c>
      <c r="E32" s="16">
        <f>IF(Rankings!E35&lt;=2,1,0)</f>
        <v>0</v>
      </c>
      <c r="F32" s="16">
        <f>IF(Rankings!F35&lt;=2,1,0)</f>
        <v>0</v>
      </c>
      <c r="G32" s="16">
        <f>IF(Rankings!G35&lt;=2,1,0)</f>
        <v>0</v>
      </c>
      <c r="H32" s="16">
        <f>IF(Rankings!H35&lt;=2,1,0)</f>
        <v>1</v>
      </c>
      <c r="I32" s="16">
        <f>IF(Rankings!I35&lt;=2,1,0)</f>
        <v>1</v>
      </c>
      <c r="J32" s="16">
        <f>IF(Rankings!J35&lt;=2,1,0)</f>
        <v>0</v>
      </c>
      <c r="K32" s="19">
        <f t="shared" si="0"/>
        <v>2</v>
      </c>
      <c r="L32" s="15">
        <f>SUMPRODUCT(C32:J32,Returns!B36:I36)/K32</f>
        <v>0.25527341769065726</v>
      </c>
      <c r="M32" s="15">
        <v>0</v>
      </c>
      <c r="N32" s="15">
        <v>0</v>
      </c>
      <c r="O32" s="15">
        <f t="shared" si="1"/>
        <v>0.25527341769065726</v>
      </c>
      <c r="P32" s="20">
        <f t="shared" si="3"/>
        <v>1.91701547689513</v>
      </c>
      <c r="Q32" s="20">
        <f>MAX($P$5:P32)</f>
        <v>3.1505472496346933</v>
      </c>
      <c r="R32" s="15">
        <f t="shared" si="2"/>
        <v>-0.3915293677574877</v>
      </c>
      <c r="S32" s="15">
        <f>O32-Benchmark_RF!D32</f>
        <v>0.25041305631913091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IF(Rankings!C35&lt;=2,1,0)</f>
        <v>0</v>
      </c>
      <c r="D33" s="16">
        <f>IF(Rankings!D35&lt;=2,1,0)</f>
        <v>0</v>
      </c>
      <c r="E33" s="16">
        <f>IF(Rankings!E35&lt;=2,1,0)</f>
        <v>0</v>
      </c>
      <c r="F33" s="16">
        <f>IF(Rankings!F35&lt;=2,1,0)</f>
        <v>0</v>
      </c>
      <c r="G33" s="16">
        <f>IF(Rankings!G35&lt;=2,1,0)</f>
        <v>0</v>
      </c>
      <c r="H33" s="16">
        <f>IF(Rankings!H35&lt;=2,1,0)</f>
        <v>1</v>
      </c>
      <c r="I33" s="16">
        <f>IF(Rankings!I35&lt;=2,1,0)</f>
        <v>1</v>
      </c>
      <c r="J33" s="16">
        <f>IF(Rankings!J35&lt;=2,1,0)</f>
        <v>0</v>
      </c>
      <c r="K33" s="19">
        <f t="shared" si="0"/>
        <v>2</v>
      </c>
      <c r="L33" s="15">
        <f>SUMPRODUCT(C33:J33,Returns!B37:I37)/K33</f>
        <v>-2.9051267977615369E-2</v>
      </c>
      <c r="M33" s="15">
        <v>0</v>
      </c>
      <c r="N33" s="15">
        <v>0</v>
      </c>
      <c r="O33" s="15">
        <f t="shared" si="1"/>
        <v>-2.9051267977615369E-2</v>
      </c>
      <c r="P33" s="20">
        <f t="shared" si="3"/>
        <v>1.8613237465586134</v>
      </c>
      <c r="Q33" s="20">
        <f>MAX($P$5:P33)</f>
        <v>3.1505472496346933</v>
      </c>
      <c r="R33" s="15">
        <f t="shared" si="2"/>
        <v>-0.40920621115127398</v>
      </c>
      <c r="S33" s="15">
        <f>O33-Benchmark_RF!D33</f>
        <v>-3.3911708354346093E-2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IF(Rankings!C35&lt;=2,1,0)</f>
        <v>0</v>
      </c>
      <c r="D34" s="16">
        <f>IF(Rankings!D35&lt;=2,1,0)</f>
        <v>0</v>
      </c>
      <c r="E34" s="16">
        <f>IF(Rankings!E35&lt;=2,1,0)</f>
        <v>0</v>
      </c>
      <c r="F34" s="16">
        <f>IF(Rankings!F35&lt;=2,1,0)</f>
        <v>0</v>
      </c>
      <c r="G34" s="16">
        <f>IF(Rankings!G35&lt;=2,1,0)</f>
        <v>0</v>
      </c>
      <c r="H34" s="16">
        <f>IF(Rankings!H35&lt;=2,1,0)</f>
        <v>1</v>
      </c>
      <c r="I34" s="16">
        <f>IF(Rankings!I35&lt;=2,1,0)</f>
        <v>1</v>
      </c>
      <c r="J34" s="16">
        <f>IF(Rankings!J35&lt;=2,1,0)</f>
        <v>0</v>
      </c>
      <c r="K34" s="19">
        <f t="shared" si="0"/>
        <v>2</v>
      </c>
      <c r="L34" s="15">
        <f>SUMPRODUCT(C34:J34,Returns!B38:I38)/K34</f>
        <v>5.8860759493670756E-2</v>
      </c>
      <c r="M34" s="15">
        <v>0</v>
      </c>
      <c r="N34" s="15">
        <v>0</v>
      </c>
      <c r="O34" s="15">
        <f t="shared" si="1"/>
        <v>5.8860759493670756E-2</v>
      </c>
      <c r="P34" s="20">
        <f t="shared" si="3"/>
        <v>1.9708826759446583</v>
      </c>
      <c r="Q34" s="20">
        <f>MAX($P$5:P34)</f>
        <v>3.1505472496346933</v>
      </c>
      <c r="R34" s="15">
        <f t="shared" si="2"/>
        <v>-0.37443164003549456</v>
      </c>
      <c r="S34" s="15">
        <f>O34-Benchmark_RF!D34</f>
        <v>5.3835347354834528E-2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IF(Rankings!C35&lt;=2,1,0)</f>
        <v>0</v>
      </c>
      <c r="D35" s="16">
        <f>IF(Rankings!D35&lt;=2,1,0)</f>
        <v>0</v>
      </c>
      <c r="E35" s="16">
        <f>IF(Rankings!E35&lt;=2,1,0)</f>
        <v>0</v>
      </c>
      <c r="F35" s="16">
        <f>IF(Rankings!F35&lt;=2,1,0)</f>
        <v>0</v>
      </c>
      <c r="G35" s="16">
        <f>IF(Rankings!G35&lt;=2,1,0)</f>
        <v>0</v>
      </c>
      <c r="H35" s="16">
        <f>IF(Rankings!H35&lt;=2,1,0)</f>
        <v>1</v>
      </c>
      <c r="I35" s="16">
        <f>IF(Rankings!I35&lt;=2,1,0)</f>
        <v>1</v>
      </c>
      <c r="J35" s="16">
        <f>IF(Rankings!J35&lt;=2,1,0)</f>
        <v>0</v>
      </c>
      <c r="K35" s="19">
        <f t="shared" si="0"/>
        <v>2</v>
      </c>
      <c r="L35" s="15">
        <f>SUMPRODUCT(C35:J35,Returns!B39:I39)/K35</f>
        <v>1.0483002071324798E-2</v>
      </c>
      <c r="M35" s="15">
        <v>0</v>
      </c>
      <c r="N35" s="15">
        <v>0</v>
      </c>
      <c r="O35" s="15">
        <f t="shared" si="1"/>
        <v>1.0483002071324798E-2</v>
      </c>
      <c r="P35" s="20">
        <f t="shared" si="3"/>
        <v>1.9915434431189241</v>
      </c>
      <c r="Q35" s="20">
        <f>MAX($P$5:P35)</f>
        <v>3.1505472496346933</v>
      </c>
      <c r="R35" s="15">
        <f t="shared" si="2"/>
        <v>-0.36787380562223149</v>
      </c>
      <c r="S35" s="15">
        <f>O35-Benchmark_RF!D35</f>
        <v>5.4321996924499016E-3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IF(Rankings!C35&lt;=2,1,0)</f>
        <v>0</v>
      </c>
      <c r="D36" s="16">
        <f>IF(Rankings!D35&lt;=2,1,0)</f>
        <v>0</v>
      </c>
      <c r="E36" s="16">
        <f>IF(Rankings!E35&lt;=2,1,0)</f>
        <v>0</v>
      </c>
      <c r="F36" s="16">
        <f>IF(Rankings!F35&lt;=2,1,0)</f>
        <v>0</v>
      </c>
      <c r="G36" s="16">
        <f>IF(Rankings!G35&lt;=2,1,0)</f>
        <v>0</v>
      </c>
      <c r="H36" s="16">
        <f>IF(Rankings!H35&lt;=2,1,0)</f>
        <v>1</v>
      </c>
      <c r="I36" s="16">
        <f>IF(Rankings!I35&lt;=2,1,0)</f>
        <v>1</v>
      </c>
      <c r="J36" s="16">
        <f>IF(Rankings!J35&lt;=2,1,0)</f>
        <v>0</v>
      </c>
      <c r="K36" s="19">
        <f t="shared" si="0"/>
        <v>2</v>
      </c>
      <c r="L36" s="15">
        <f>SUMPRODUCT(C36:J36,Returns!B40:I40)/K36</f>
        <v>0.21335634012380056</v>
      </c>
      <c r="M36" s="15">
        <v>0</v>
      </c>
      <c r="N36" s="15">
        <v>0</v>
      </c>
      <c r="O36" s="15">
        <f t="shared" si="1"/>
        <v>0.21335634012380056</v>
      </c>
      <c r="P36" s="20">
        <f t="shared" si="3"/>
        <v>2.4164518633403302</v>
      </c>
      <c r="Q36" s="20">
        <f>MAX($P$5:P36)</f>
        <v>3.1505472496346933</v>
      </c>
      <c r="R36" s="15">
        <f t="shared" si="2"/>
        <v>-0.23300567429340457</v>
      </c>
      <c r="S36" s="15">
        <f>O36-Benchmark_RF!D36</f>
        <v>0.20828433205168539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IF(Rankings!C35&lt;=2,1,0)</f>
        <v>0</v>
      </c>
      <c r="D37" s="16">
        <f>IF(Rankings!D35&lt;=2,1,0)</f>
        <v>0</v>
      </c>
      <c r="E37" s="16">
        <f>IF(Rankings!E35&lt;=2,1,0)</f>
        <v>0</v>
      </c>
      <c r="F37" s="16">
        <f>IF(Rankings!F35&lt;=2,1,0)</f>
        <v>0</v>
      </c>
      <c r="G37" s="16">
        <f>IF(Rankings!G35&lt;=2,1,0)</f>
        <v>0</v>
      </c>
      <c r="H37" s="16">
        <f>IF(Rankings!H35&lt;=2,1,0)</f>
        <v>1</v>
      </c>
      <c r="I37" s="16">
        <f>IF(Rankings!I35&lt;=2,1,0)</f>
        <v>1</v>
      </c>
      <c r="J37" s="16">
        <f>IF(Rankings!J35&lt;=2,1,0)</f>
        <v>0</v>
      </c>
      <c r="K37" s="19">
        <f t="shared" ref="K37:K68" si="4">SUM(C37:J37)</f>
        <v>2</v>
      </c>
      <c r="L37" s="15">
        <f>SUMPRODUCT(C37:J37,Returns!B41:I41)/K37</f>
        <v>2.3455402343497078E-2</v>
      </c>
      <c r="M37" s="15">
        <v>0</v>
      </c>
      <c r="N37" s="15">
        <v>0</v>
      </c>
      <c r="O37" s="15">
        <f t="shared" ref="O37:O68" si="5">L37+M37+N37</f>
        <v>2.3455402343497078E-2</v>
      </c>
      <c r="P37" s="20">
        <f t="shared" si="3"/>
        <v>2.4731307140386707</v>
      </c>
      <c r="Q37" s="20">
        <f>MAX($P$5:P37)</f>
        <v>3.1505472496346933</v>
      </c>
      <c r="R37" s="15">
        <f t="shared" ref="R37:R68" si="6">P37/Q37-1</f>
        <v>-0.21501551378877726</v>
      </c>
      <c r="S37" s="15">
        <f>O37-Benchmark_RF!D37</f>
        <v>1.8400894525823719E-2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IF(Rankings!C35&lt;=2,1,0)</f>
        <v>0</v>
      </c>
      <c r="D38" s="16">
        <f>IF(Rankings!D35&lt;=2,1,0)</f>
        <v>0</v>
      </c>
      <c r="E38" s="16">
        <f>IF(Rankings!E35&lt;=2,1,0)</f>
        <v>0</v>
      </c>
      <c r="F38" s="16">
        <f>IF(Rankings!F35&lt;=2,1,0)</f>
        <v>0</v>
      </c>
      <c r="G38" s="16">
        <f>IF(Rankings!G35&lt;=2,1,0)</f>
        <v>0</v>
      </c>
      <c r="H38" s="16">
        <f>IF(Rankings!H35&lt;=2,1,0)</f>
        <v>1</v>
      </c>
      <c r="I38" s="16">
        <f>IF(Rankings!I35&lt;=2,1,0)</f>
        <v>1</v>
      </c>
      <c r="J38" s="16">
        <f>IF(Rankings!J35&lt;=2,1,0)</f>
        <v>0</v>
      </c>
      <c r="K38" s="19">
        <f t="shared" si="4"/>
        <v>2</v>
      </c>
      <c r="L38" s="15">
        <f>SUMPRODUCT(C38:J38,Returns!B42:I42)/K38</f>
        <v>1.9805923911426049E-2</v>
      </c>
      <c r="M38" s="15">
        <v>0</v>
      </c>
      <c r="N38" s="15">
        <v>0</v>
      </c>
      <c r="O38" s="15">
        <f t="shared" si="5"/>
        <v>1.9805923911426049E-2</v>
      </c>
      <c r="P38" s="20">
        <f t="shared" ref="P38:P69" si="7">P37*(1+O38)</f>
        <v>2.5221133527839315</v>
      </c>
      <c r="Q38" s="20">
        <f>MAX($P$5:P38)</f>
        <v>3.1505472496346933</v>
      </c>
      <c r="R38" s="15">
        <f t="shared" si="6"/>
        <v>-0.19946817078322787</v>
      </c>
      <c r="S38" s="15">
        <f>O38-Benchmark_RF!D38</f>
        <v>1.4734388775092089E-2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IF(Rankings!C35&lt;=2,1,0)</f>
        <v>0</v>
      </c>
      <c r="D39" s="16">
        <f>IF(Rankings!D35&lt;=2,1,0)</f>
        <v>0</v>
      </c>
      <c r="E39" s="16">
        <f>IF(Rankings!E35&lt;=2,1,0)</f>
        <v>0</v>
      </c>
      <c r="F39" s="16">
        <f>IF(Rankings!F35&lt;=2,1,0)</f>
        <v>0</v>
      </c>
      <c r="G39" s="16">
        <f>IF(Rankings!G35&lt;=2,1,0)</f>
        <v>0</v>
      </c>
      <c r="H39" s="16">
        <f>IF(Rankings!H35&lt;=2,1,0)</f>
        <v>1</v>
      </c>
      <c r="I39" s="16">
        <f>IF(Rankings!I35&lt;=2,1,0)</f>
        <v>1</v>
      </c>
      <c r="J39" s="16">
        <f>IF(Rankings!J35&lt;=2,1,0)</f>
        <v>0</v>
      </c>
      <c r="K39" s="19">
        <f t="shared" si="4"/>
        <v>2</v>
      </c>
      <c r="L39" s="15">
        <f>SUMPRODUCT(C39:J39,Returns!B43:I43)/K39</f>
        <v>4.2045583253534358E-2</v>
      </c>
      <c r="M39" s="15">
        <v>0</v>
      </c>
      <c r="N39" s="15">
        <v>0</v>
      </c>
      <c r="O39" s="15">
        <f t="shared" si="5"/>
        <v>4.2045583253534358E-2</v>
      </c>
      <c r="P39" s="20">
        <f t="shared" si="7"/>
        <v>2.6281570797332585</v>
      </c>
      <c r="Q39" s="20">
        <f>MAX($P$5:P39)</f>
        <v>3.1505472496346933</v>
      </c>
      <c r="R39" s="15">
        <f t="shared" si="6"/>
        <v>-0.1658093431107901</v>
      </c>
      <c r="S39" s="15">
        <f>O39-Benchmark_RF!D39</f>
        <v>3.6579996541586612E-2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IF(Rankings!C35&lt;=2,1,0)</f>
        <v>0</v>
      </c>
      <c r="D40" s="16">
        <f>IF(Rankings!D35&lt;=2,1,0)</f>
        <v>0</v>
      </c>
      <c r="E40" s="16">
        <f>IF(Rankings!E35&lt;=2,1,0)</f>
        <v>0</v>
      </c>
      <c r="F40" s="16">
        <f>IF(Rankings!F35&lt;=2,1,0)</f>
        <v>0</v>
      </c>
      <c r="G40" s="16">
        <f>IF(Rankings!G35&lt;=2,1,0)</f>
        <v>0</v>
      </c>
      <c r="H40" s="16">
        <f>IF(Rankings!H35&lt;=2,1,0)</f>
        <v>1</v>
      </c>
      <c r="I40" s="16">
        <f>IF(Rankings!I35&lt;=2,1,0)</f>
        <v>1</v>
      </c>
      <c r="J40" s="16">
        <f>IF(Rankings!J35&lt;=2,1,0)</f>
        <v>0</v>
      </c>
      <c r="K40" s="19">
        <f t="shared" si="4"/>
        <v>2</v>
      </c>
      <c r="L40" s="15">
        <f>SUMPRODUCT(C40:J40,Returns!B44:I44)/K40</f>
        <v>6.8663569357372278E-2</v>
      </c>
      <c r="M40" s="15">
        <v>0</v>
      </c>
      <c r="N40" s="15">
        <v>0</v>
      </c>
      <c r="O40" s="15">
        <f t="shared" si="5"/>
        <v>6.8663569357372278E-2</v>
      </c>
      <c r="P40" s="20">
        <f t="shared" si="7"/>
        <v>2.8086157256595921</v>
      </c>
      <c r="Q40" s="20">
        <f>MAX($P$5:P40)</f>
        <v>3.1505472496346933</v>
      </c>
      <c r="R40" s="15">
        <f t="shared" si="6"/>
        <v>-0.10853083508420591</v>
      </c>
      <c r="S40" s="15">
        <f>O40-Benchmark_RF!D40</f>
        <v>6.2446225564322111E-2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IF(Rankings!C47&lt;=2,1,0)</f>
        <v>1</v>
      </c>
      <c r="D41" s="16">
        <f>IF(Rankings!D47&lt;=2,1,0)</f>
        <v>0</v>
      </c>
      <c r="E41" s="16">
        <f>IF(Rankings!E47&lt;=2,1,0)</f>
        <v>0</v>
      </c>
      <c r="F41" s="16">
        <f>IF(Rankings!F47&lt;=2,1,0)</f>
        <v>0</v>
      </c>
      <c r="G41" s="16">
        <f>IF(Rankings!G47&lt;=2,1,0)</f>
        <v>0</v>
      </c>
      <c r="H41" s="16">
        <f>IF(Rankings!H47&lt;=2,1,0)</f>
        <v>1</v>
      </c>
      <c r="I41" s="16">
        <f>IF(Rankings!I47&lt;=2,1,0)</f>
        <v>0</v>
      </c>
      <c r="J41" s="16">
        <f>IF(Rankings!J47&lt;=2,1,0)</f>
        <v>0</v>
      </c>
      <c r="K41" s="19">
        <f t="shared" si="4"/>
        <v>2</v>
      </c>
      <c r="L41" s="15">
        <f>SUMPRODUCT(C41:J41,Returns!B45:I45)/K41</f>
        <v>-4.4257352583539356E-3</v>
      </c>
      <c r="M41" s="15">
        <f>-2*Assumptions!$B$13</f>
        <v>-7.0000000000000001E-3</v>
      </c>
      <c r="N41" s="15">
        <f>-Assumptions!$B$16*MAX(0,(1+O29)*(1+O30)*(1+O31)*(1+O32)*(1+O33)*(1+O34)*(1+O35)*(1+O36)*(1+O37)*(1+O38)*(1+O39)*(1+O40)-1)</f>
        <v>0</v>
      </c>
      <c r="O41" s="15">
        <f t="shared" si="5"/>
        <v>-1.1425735258353935E-2</v>
      </c>
      <c r="P41" s="20">
        <f t="shared" si="7"/>
        <v>2.7765252259357562</v>
      </c>
      <c r="Q41" s="20">
        <f>MAX($P$5:P41)</f>
        <v>3.1505472496346933</v>
      </c>
      <c r="R41" s="15">
        <f t="shared" si="6"/>
        <v>-0.11871652575351954</v>
      </c>
      <c r="S41" s="15">
        <f>O41-Benchmark_RF!D41</f>
        <v>-1.7665416719639664E-2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IF(Rankings!C47&lt;=2,1,0)</f>
        <v>1</v>
      </c>
      <c r="D42" s="16">
        <f>IF(Rankings!D47&lt;=2,1,0)</f>
        <v>0</v>
      </c>
      <c r="E42" s="16">
        <f>IF(Rankings!E47&lt;=2,1,0)</f>
        <v>0</v>
      </c>
      <c r="F42" s="16">
        <f>IF(Rankings!F47&lt;=2,1,0)</f>
        <v>0</v>
      </c>
      <c r="G42" s="16">
        <f>IF(Rankings!G47&lt;=2,1,0)</f>
        <v>0</v>
      </c>
      <c r="H42" s="16">
        <f>IF(Rankings!H47&lt;=2,1,0)</f>
        <v>1</v>
      </c>
      <c r="I42" s="16">
        <f>IF(Rankings!I47&lt;=2,1,0)</f>
        <v>0</v>
      </c>
      <c r="J42" s="16">
        <f>IF(Rankings!J47&lt;=2,1,0)</f>
        <v>0</v>
      </c>
      <c r="K42" s="19">
        <f t="shared" si="4"/>
        <v>2</v>
      </c>
      <c r="L42" s="15">
        <f>SUMPRODUCT(C42:J42,Returns!B46:I46)/K42</f>
        <v>2.763325510274639E-3</v>
      </c>
      <c r="M42" s="15">
        <v>0</v>
      </c>
      <c r="N42" s="15">
        <v>0</v>
      </c>
      <c r="O42" s="15">
        <f t="shared" si="5"/>
        <v>2.763325510274639E-3</v>
      </c>
      <c r="P42" s="20">
        <f t="shared" si="7"/>
        <v>2.7841976689225052</v>
      </c>
      <c r="Q42" s="20">
        <f>MAX($P$5:P42)</f>
        <v>3.1505472496346933</v>
      </c>
      <c r="R42" s="15">
        <f t="shared" si="6"/>
        <v>-0.1162812526473509</v>
      </c>
      <c r="S42" s="15">
        <f>O42-Benchmark_RF!D42</f>
        <v>-3.4763559510110897E-3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IF(Rankings!C47&lt;=2,1,0)</f>
        <v>1</v>
      </c>
      <c r="D43" s="16">
        <f>IF(Rankings!D47&lt;=2,1,0)</f>
        <v>0</v>
      </c>
      <c r="E43" s="16">
        <f>IF(Rankings!E47&lt;=2,1,0)</f>
        <v>0</v>
      </c>
      <c r="F43" s="16">
        <f>IF(Rankings!F47&lt;=2,1,0)</f>
        <v>0</v>
      </c>
      <c r="G43" s="16">
        <f>IF(Rankings!G47&lt;=2,1,0)</f>
        <v>0</v>
      </c>
      <c r="H43" s="16">
        <f>IF(Rankings!H47&lt;=2,1,0)</f>
        <v>1</v>
      </c>
      <c r="I43" s="16">
        <f>IF(Rankings!I47&lt;=2,1,0)</f>
        <v>0</v>
      </c>
      <c r="J43" s="16">
        <f>IF(Rankings!J47&lt;=2,1,0)</f>
        <v>0</v>
      </c>
      <c r="K43" s="19">
        <f t="shared" si="4"/>
        <v>2</v>
      </c>
      <c r="L43" s="15">
        <f>SUMPRODUCT(C43:J43,Returns!B47:I47)/K43</f>
        <v>2.0208866155157712E-2</v>
      </c>
      <c r="M43" s="15">
        <v>0</v>
      </c>
      <c r="N43" s="15">
        <v>0</v>
      </c>
      <c r="O43" s="15">
        <f t="shared" si="5"/>
        <v>2.0208866155157712E-2</v>
      </c>
      <c r="P43" s="20">
        <f t="shared" si="7"/>
        <v>2.8404631469632617</v>
      </c>
      <c r="Q43" s="20">
        <f>MAX($P$5:P43)</f>
        <v>3.1505472496346933</v>
      </c>
      <c r="R43" s="15">
        <f t="shared" si="6"/>
        <v>-9.8422298763297666E-2</v>
      </c>
      <c r="S43" s="15">
        <f>O43-Benchmark_RF!D43</f>
        <v>1.3161927759419823E-2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IF(Rankings!C47&lt;=2,1,0)</f>
        <v>1</v>
      </c>
      <c r="D44" s="16">
        <f>IF(Rankings!D47&lt;=2,1,0)</f>
        <v>0</v>
      </c>
      <c r="E44" s="16">
        <f>IF(Rankings!E47&lt;=2,1,0)</f>
        <v>0</v>
      </c>
      <c r="F44" s="16">
        <f>IF(Rankings!F47&lt;=2,1,0)</f>
        <v>0</v>
      </c>
      <c r="G44" s="16">
        <f>IF(Rankings!G47&lt;=2,1,0)</f>
        <v>0</v>
      </c>
      <c r="H44" s="16">
        <f>IF(Rankings!H47&lt;=2,1,0)</f>
        <v>1</v>
      </c>
      <c r="I44" s="16">
        <f>IF(Rankings!I47&lt;=2,1,0)</f>
        <v>0</v>
      </c>
      <c r="J44" s="16">
        <f>IF(Rankings!J47&lt;=2,1,0)</f>
        <v>0</v>
      </c>
      <c r="K44" s="19">
        <f t="shared" si="4"/>
        <v>2</v>
      </c>
      <c r="L44" s="15">
        <f>SUMPRODUCT(C44:J44,Returns!B48:I48)/K44</f>
        <v>-3.1861778972416099E-2</v>
      </c>
      <c r="M44" s="15">
        <v>0</v>
      </c>
      <c r="N44" s="15">
        <v>0</v>
      </c>
      <c r="O44" s="15">
        <f t="shared" si="5"/>
        <v>-3.1861778972416099E-2</v>
      </c>
      <c r="P44" s="20">
        <f t="shared" si="7"/>
        <v>2.7499609379954251</v>
      </c>
      <c r="Q44" s="20">
        <f>MAX($P$5:P44)</f>
        <v>3.1505472496346933</v>
      </c>
      <c r="R44" s="15">
        <f t="shared" si="6"/>
        <v>-0.12714816820656039</v>
      </c>
      <c r="S44" s="15">
        <f>O44-Benchmark_RF!D44</f>
        <v>-3.8913499838124699E-2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IF(Rankings!C47&lt;=2,1,0)</f>
        <v>1</v>
      </c>
      <c r="D45" s="16">
        <f>IF(Rankings!D47&lt;=2,1,0)</f>
        <v>0</v>
      </c>
      <c r="E45" s="16">
        <f>IF(Rankings!E47&lt;=2,1,0)</f>
        <v>0</v>
      </c>
      <c r="F45" s="16">
        <f>IF(Rankings!F47&lt;=2,1,0)</f>
        <v>0</v>
      </c>
      <c r="G45" s="16">
        <f>IF(Rankings!G47&lt;=2,1,0)</f>
        <v>0</v>
      </c>
      <c r="H45" s="16">
        <f>IF(Rankings!H47&lt;=2,1,0)</f>
        <v>1</v>
      </c>
      <c r="I45" s="16">
        <f>IF(Rankings!I47&lt;=2,1,0)</f>
        <v>0</v>
      </c>
      <c r="J45" s="16">
        <f>IF(Rankings!J47&lt;=2,1,0)</f>
        <v>0</v>
      </c>
      <c r="K45" s="19">
        <f t="shared" si="4"/>
        <v>2</v>
      </c>
      <c r="L45" s="15">
        <f>SUMPRODUCT(C45:J45,Returns!B49:I49)/K45</f>
        <v>-9.5163808827642471E-2</v>
      </c>
      <c r="M45" s="15">
        <v>0</v>
      </c>
      <c r="N45" s="15">
        <v>0</v>
      </c>
      <c r="O45" s="15">
        <f t="shared" si="5"/>
        <v>-9.5163808827642471E-2</v>
      </c>
      <c r="P45" s="20">
        <f t="shared" si="7"/>
        <v>2.4882641810085437</v>
      </c>
      <c r="Q45" s="20">
        <f>MAX($P$5:P45)</f>
        <v>3.1505472496346933</v>
      </c>
      <c r="R45" s="15">
        <f t="shared" si="6"/>
        <v>-0.2102120730622089</v>
      </c>
      <c r="S45" s="15">
        <f>O45-Benchmark_RF!D45</f>
        <v>-0.10336415857034059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IF(Rankings!C47&lt;=2,1,0)</f>
        <v>1</v>
      </c>
      <c r="D46" s="16">
        <f>IF(Rankings!D47&lt;=2,1,0)</f>
        <v>0</v>
      </c>
      <c r="E46" s="16">
        <f>IF(Rankings!E47&lt;=2,1,0)</f>
        <v>0</v>
      </c>
      <c r="F46" s="16">
        <f>IF(Rankings!F47&lt;=2,1,0)</f>
        <v>0</v>
      </c>
      <c r="G46" s="16">
        <f>IF(Rankings!G47&lt;=2,1,0)</f>
        <v>0</v>
      </c>
      <c r="H46" s="16">
        <f>IF(Rankings!H47&lt;=2,1,0)</f>
        <v>1</v>
      </c>
      <c r="I46" s="16">
        <f>IF(Rankings!I47&lt;=2,1,0)</f>
        <v>0</v>
      </c>
      <c r="J46" s="16">
        <f>IF(Rankings!J47&lt;=2,1,0)</f>
        <v>0</v>
      </c>
      <c r="K46" s="19">
        <f t="shared" si="4"/>
        <v>2</v>
      </c>
      <c r="L46" s="15">
        <f>SUMPRODUCT(C46:J46,Returns!B50:I50)/K46</f>
        <v>0.16000743157284825</v>
      </c>
      <c r="M46" s="15">
        <v>0</v>
      </c>
      <c r="N46" s="15">
        <v>0</v>
      </c>
      <c r="O46" s="15">
        <f t="shared" si="5"/>
        <v>0.16000743157284825</v>
      </c>
      <c r="P46" s="20">
        <f t="shared" si="7"/>
        <v>2.8864049416864379</v>
      </c>
      <c r="Q46" s="20">
        <f>MAX($P$5:P46)</f>
        <v>3.1505472496346933</v>
      </c>
      <c r="R46" s="15">
        <f t="shared" si="6"/>
        <v>-8.3840135385648606E-2</v>
      </c>
      <c r="S46" s="15">
        <f>O46-Benchmark_RF!D46</f>
        <v>0.15180373026081251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IF(Rankings!C47&lt;=2,1,0)</f>
        <v>1</v>
      </c>
      <c r="D47" s="16">
        <f>IF(Rankings!D47&lt;=2,1,0)</f>
        <v>0</v>
      </c>
      <c r="E47" s="16">
        <f>IF(Rankings!E47&lt;=2,1,0)</f>
        <v>0</v>
      </c>
      <c r="F47" s="16">
        <f>IF(Rankings!F47&lt;=2,1,0)</f>
        <v>0</v>
      </c>
      <c r="G47" s="16">
        <f>IF(Rankings!G47&lt;=2,1,0)</f>
        <v>0</v>
      </c>
      <c r="H47" s="16">
        <f>IF(Rankings!H47&lt;=2,1,0)</f>
        <v>1</v>
      </c>
      <c r="I47" s="16">
        <f>IF(Rankings!I47&lt;=2,1,0)</f>
        <v>0</v>
      </c>
      <c r="J47" s="16">
        <f>IF(Rankings!J47&lt;=2,1,0)</f>
        <v>0</v>
      </c>
      <c r="K47" s="19">
        <f t="shared" si="4"/>
        <v>2</v>
      </c>
      <c r="L47" s="15">
        <f>SUMPRODUCT(C47:J47,Returns!B51:I51)/K47</f>
        <v>-1.5271010981238176E-4</v>
      </c>
      <c r="M47" s="15">
        <v>0</v>
      </c>
      <c r="N47" s="15">
        <v>0</v>
      </c>
      <c r="O47" s="15">
        <f t="shared" si="5"/>
        <v>-1.5271010981238176E-4</v>
      </c>
      <c r="P47" s="20">
        <f t="shared" si="7"/>
        <v>2.8859641584708298</v>
      </c>
      <c r="Q47" s="20">
        <f>MAX($P$5:P47)</f>
        <v>3.1505472496346933</v>
      </c>
      <c r="R47" s="15">
        <f t="shared" si="6"/>
        <v>-8.3980042259179544E-2</v>
      </c>
      <c r="S47" s="15">
        <f>O47-Benchmark_RF!D47</f>
        <v>-8.545728325158819E-3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IF(Rankings!C47&lt;=2,1,0)</f>
        <v>1</v>
      </c>
      <c r="D48" s="16">
        <f>IF(Rankings!D47&lt;=2,1,0)</f>
        <v>0</v>
      </c>
      <c r="E48" s="16">
        <f>IF(Rankings!E47&lt;=2,1,0)</f>
        <v>0</v>
      </c>
      <c r="F48" s="16">
        <f>IF(Rankings!F47&lt;=2,1,0)</f>
        <v>0</v>
      </c>
      <c r="G48" s="16">
        <f>IF(Rankings!G47&lt;=2,1,0)</f>
        <v>0</v>
      </c>
      <c r="H48" s="16">
        <f>IF(Rankings!H47&lt;=2,1,0)</f>
        <v>1</v>
      </c>
      <c r="I48" s="16">
        <f>IF(Rankings!I47&lt;=2,1,0)</f>
        <v>0</v>
      </c>
      <c r="J48" s="16">
        <f>IF(Rankings!J47&lt;=2,1,0)</f>
        <v>0</v>
      </c>
      <c r="K48" s="19">
        <f t="shared" si="4"/>
        <v>2</v>
      </c>
      <c r="L48" s="15">
        <f>SUMPRODUCT(C48:J48,Returns!B52:I52)/K48</f>
        <v>-1.8474586351981459E-2</v>
      </c>
      <c r="M48" s="15">
        <v>0</v>
      </c>
      <c r="N48" s="15">
        <v>0</v>
      </c>
      <c r="O48" s="15">
        <f t="shared" si="5"/>
        <v>-1.8474586351981459E-2</v>
      </c>
      <c r="P48" s="20">
        <f t="shared" si="7"/>
        <v>2.8326471644164366</v>
      </c>
      <c r="Q48" s="20">
        <f>MAX($P$5:P48)</f>
        <v>3.1505472496346933</v>
      </c>
      <c r="R48" s="15">
        <f t="shared" si="6"/>
        <v>-0.10090313206860091</v>
      </c>
      <c r="S48" s="15">
        <f>O48-Benchmark_RF!D48</f>
        <v>-2.6862283469210435E-2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IF(Rankings!C47&lt;=2,1,0)</f>
        <v>1</v>
      </c>
      <c r="D49" s="16">
        <f>IF(Rankings!D47&lt;=2,1,0)</f>
        <v>0</v>
      </c>
      <c r="E49" s="16">
        <f>IF(Rankings!E47&lt;=2,1,0)</f>
        <v>0</v>
      </c>
      <c r="F49" s="16">
        <f>IF(Rankings!F47&lt;=2,1,0)</f>
        <v>0</v>
      </c>
      <c r="G49" s="16">
        <f>IF(Rankings!G47&lt;=2,1,0)</f>
        <v>0</v>
      </c>
      <c r="H49" s="16">
        <f>IF(Rankings!H47&lt;=2,1,0)</f>
        <v>1</v>
      </c>
      <c r="I49" s="16">
        <f>IF(Rankings!I47&lt;=2,1,0)</f>
        <v>0</v>
      </c>
      <c r="J49" s="16">
        <f>IF(Rankings!J47&lt;=2,1,0)</f>
        <v>0</v>
      </c>
      <c r="K49" s="19">
        <f t="shared" si="4"/>
        <v>2</v>
      </c>
      <c r="L49" s="15">
        <f>SUMPRODUCT(C49:J49,Returns!B53:I53)/K49</f>
        <v>-2.6605009583960559E-2</v>
      </c>
      <c r="M49" s="15">
        <v>0</v>
      </c>
      <c r="N49" s="15">
        <v>0</v>
      </c>
      <c r="O49" s="15">
        <f t="shared" si="5"/>
        <v>-2.6605009583960559E-2</v>
      </c>
      <c r="P49" s="20">
        <f t="shared" si="7"/>
        <v>2.7572845594591588</v>
      </c>
      <c r="Q49" s="20">
        <f>MAX($P$5:P49)</f>
        <v>3.1505472496346933</v>
      </c>
      <c r="R49" s="15">
        <f t="shared" si="6"/>
        <v>-0.12482361285682464</v>
      </c>
      <c r="S49" s="15">
        <f>O49-Benchmark_RF!D49</f>
        <v>-3.5301957461067623E-2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IF(Rankings!C47&lt;=2,1,0)</f>
        <v>1</v>
      </c>
      <c r="D50" s="16">
        <f>IF(Rankings!D47&lt;=2,1,0)</f>
        <v>0</v>
      </c>
      <c r="E50" s="16">
        <f>IF(Rankings!E47&lt;=2,1,0)</f>
        <v>0</v>
      </c>
      <c r="F50" s="16">
        <f>IF(Rankings!F47&lt;=2,1,0)</f>
        <v>0</v>
      </c>
      <c r="G50" s="16">
        <f>IF(Rankings!G47&lt;=2,1,0)</f>
        <v>0</v>
      </c>
      <c r="H50" s="16">
        <f>IF(Rankings!H47&lt;=2,1,0)</f>
        <v>1</v>
      </c>
      <c r="I50" s="16">
        <f>IF(Rankings!I47&lt;=2,1,0)</f>
        <v>0</v>
      </c>
      <c r="J50" s="16">
        <f>IF(Rankings!J47&lt;=2,1,0)</f>
        <v>0</v>
      </c>
      <c r="K50" s="19">
        <f t="shared" si="4"/>
        <v>2</v>
      </c>
      <c r="L50" s="15">
        <f>SUMPRODUCT(C50:J50,Returns!B54:I54)/K50</f>
        <v>-6.7083903640843157E-2</v>
      </c>
      <c r="M50" s="15">
        <v>0</v>
      </c>
      <c r="N50" s="15">
        <v>0</v>
      </c>
      <c r="O50" s="15">
        <f t="shared" si="5"/>
        <v>-6.7083903640843157E-2</v>
      </c>
      <c r="P50" s="20">
        <f t="shared" si="7"/>
        <v>2.5723151477620161</v>
      </c>
      <c r="Q50" s="20">
        <f>MAX($P$5:P50)</f>
        <v>3.1505472496346933</v>
      </c>
      <c r="R50" s="15">
        <f t="shared" si="6"/>
        <v>-0.18353386128067861</v>
      </c>
      <c r="S50" s="15">
        <f>O50-Benchmark_RF!D50</f>
        <v>-7.7003346313511245E-2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IF(Rankings!C47&lt;=2,1,0)</f>
        <v>1</v>
      </c>
      <c r="D51" s="16">
        <f>IF(Rankings!D47&lt;=2,1,0)</f>
        <v>0</v>
      </c>
      <c r="E51" s="16">
        <f>IF(Rankings!E47&lt;=2,1,0)</f>
        <v>0</v>
      </c>
      <c r="F51" s="16">
        <f>IF(Rankings!F47&lt;=2,1,0)</f>
        <v>0</v>
      </c>
      <c r="G51" s="16">
        <f>IF(Rankings!G47&lt;=2,1,0)</f>
        <v>0</v>
      </c>
      <c r="H51" s="16">
        <f>IF(Rankings!H47&lt;=2,1,0)</f>
        <v>1</v>
      </c>
      <c r="I51" s="16">
        <f>IF(Rankings!I47&lt;=2,1,0)</f>
        <v>0</v>
      </c>
      <c r="J51" s="16">
        <f>IF(Rankings!J47&lt;=2,1,0)</f>
        <v>0</v>
      </c>
      <c r="K51" s="19">
        <f t="shared" si="4"/>
        <v>2</v>
      </c>
      <c r="L51" s="15">
        <f>SUMPRODUCT(C51:J51,Returns!B55:I55)/K51</f>
        <v>-5.3225641037759175E-2</v>
      </c>
      <c r="M51" s="15">
        <v>0</v>
      </c>
      <c r="N51" s="15">
        <v>0</v>
      </c>
      <c r="O51" s="15">
        <f t="shared" si="5"/>
        <v>-5.3225641037759175E-2</v>
      </c>
      <c r="P51" s="20">
        <f t="shared" si="7"/>
        <v>2.4354020250712445</v>
      </c>
      <c r="Q51" s="20">
        <f>MAX($P$5:P51)</f>
        <v>3.1505472496346933</v>
      </c>
      <c r="R51" s="15">
        <f t="shared" si="6"/>
        <v>-0.22699079489963847</v>
      </c>
      <c r="S51" s="15">
        <f>O51-Benchmark_RF!D51</f>
        <v>-6.3267159064645861E-2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IF(Rankings!C47&lt;=2,1,0)</f>
        <v>1</v>
      </c>
      <c r="D52" s="16">
        <f>IF(Rankings!D47&lt;=2,1,0)</f>
        <v>0</v>
      </c>
      <c r="E52" s="16">
        <f>IF(Rankings!E47&lt;=2,1,0)</f>
        <v>0</v>
      </c>
      <c r="F52" s="16">
        <f>IF(Rankings!F47&lt;=2,1,0)</f>
        <v>0</v>
      </c>
      <c r="G52" s="16">
        <f>IF(Rankings!G47&lt;=2,1,0)</f>
        <v>0</v>
      </c>
      <c r="H52" s="16">
        <f>IF(Rankings!H47&lt;=2,1,0)</f>
        <v>1</v>
      </c>
      <c r="I52" s="16">
        <f>IF(Rankings!I47&lt;=2,1,0)</f>
        <v>0</v>
      </c>
      <c r="J52" s="16">
        <f>IF(Rankings!J47&lt;=2,1,0)</f>
        <v>0</v>
      </c>
      <c r="K52" s="19">
        <f t="shared" si="4"/>
        <v>2</v>
      </c>
      <c r="L52" s="15">
        <f>SUMPRODUCT(C52:J52,Returns!B56:I56)/K52</f>
        <v>3.1270776354107965E-2</v>
      </c>
      <c r="M52" s="15">
        <v>0</v>
      </c>
      <c r="N52" s="15">
        <v>0</v>
      </c>
      <c r="O52" s="15">
        <f t="shared" si="5"/>
        <v>3.1270776354107965E-2</v>
      </c>
      <c r="P52" s="20">
        <f t="shared" si="7"/>
        <v>2.511558937129589</v>
      </c>
      <c r="Q52" s="20">
        <f>MAX($P$5:P52)</f>
        <v>3.1505472496346933</v>
      </c>
      <c r="R52" s="15">
        <f t="shared" si="6"/>
        <v>-0.20281819692727832</v>
      </c>
      <c r="S52" s="15">
        <f>O52-Benchmark_RF!D52</f>
        <v>2.0480049513093401E-2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IF(Rankings!C59&lt;=2,1,0)</f>
        <v>1</v>
      </c>
      <c r="D53" s="16">
        <f>IF(Rankings!D59&lt;=2,1,0)</f>
        <v>0</v>
      </c>
      <c r="E53" s="16">
        <f>IF(Rankings!E59&lt;=2,1,0)</f>
        <v>0</v>
      </c>
      <c r="F53" s="16">
        <f>IF(Rankings!F59&lt;=2,1,0)</f>
        <v>0</v>
      </c>
      <c r="G53" s="16">
        <f>IF(Rankings!G59&lt;=2,1,0)</f>
        <v>1</v>
      </c>
      <c r="H53" s="16">
        <f>IF(Rankings!H59&lt;=2,1,0)</f>
        <v>0</v>
      </c>
      <c r="I53" s="16">
        <f>IF(Rankings!I59&lt;=2,1,0)</f>
        <v>0</v>
      </c>
      <c r="J53" s="16">
        <f>IF(Rankings!J59&lt;=2,1,0)</f>
        <v>0</v>
      </c>
      <c r="K53" s="19">
        <f t="shared" si="4"/>
        <v>2</v>
      </c>
      <c r="L53" s="15">
        <f>SUMPRODUCT(C53:J53,Returns!B57:I57)/K53</f>
        <v>-0.12575351412676361</v>
      </c>
      <c r="M53" s="15">
        <f>-2*Assumptions!$B$13</f>
        <v>-7.0000000000000001E-3</v>
      </c>
      <c r="N53" s="15">
        <f>-Assumptions!$B$16*MAX(0,(1+O41)*(1+O42)*(1+O43)*(1+O44)*(1+O45)*(1+O46)*(1+O47)*(1+O48)*(1+O49)*(1+O50)*(1+O51)*(1+O52)-1)</f>
        <v>0</v>
      </c>
      <c r="O53" s="15">
        <f t="shared" si="5"/>
        <v>-0.13275351412676362</v>
      </c>
      <c r="P53" s="20">
        <f t="shared" si="7"/>
        <v>2.1781406622891568</v>
      </c>
      <c r="Q53" s="20">
        <f>MAX($P$5:P53)</f>
        <v>3.1505472496346933</v>
      </c>
      <c r="R53" s="15">
        <f t="shared" si="6"/>
        <v>-0.30864688268309171</v>
      </c>
      <c r="S53" s="15">
        <f>O53-Benchmark_RF!D53</f>
        <v>-0.14354668469755227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IF(Rankings!C59&lt;=2,1,0)</f>
        <v>1</v>
      </c>
      <c r="D54" s="16">
        <f>IF(Rankings!D59&lt;=2,1,0)</f>
        <v>0</v>
      </c>
      <c r="E54" s="16">
        <f>IF(Rankings!E59&lt;=2,1,0)</f>
        <v>0</v>
      </c>
      <c r="F54" s="16">
        <f>IF(Rankings!F59&lt;=2,1,0)</f>
        <v>0</v>
      </c>
      <c r="G54" s="16">
        <f>IF(Rankings!G59&lt;=2,1,0)</f>
        <v>1</v>
      </c>
      <c r="H54" s="16">
        <f>IF(Rankings!H59&lt;=2,1,0)</f>
        <v>0</v>
      </c>
      <c r="I54" s="16">
        <f>IF(Rankings!I59&lt;=2,1,0)</f>
        <v>0</v>
      </c>
      <c r="J54" s="16">
        <f>IF(Rankings!J59&lt;=2,1,0)</f>
        <v>0</v>
      </c>
      <c r="K54" s="19">
        <f t="shared" si="4"/>
        <v>2</v>
      </c>
      <c r="L54" s="15">
        <f>SUMPRODUCT(C54:J54,Returns!B58:I58)/K54</f>
        <v>8.128558512888201E-2</v>
      </c>
      <c r="M54" s="15">
        <v>0</v>
      </c>
      <c r="N54" s="15">
        <v>0</v>
      </c>
      <c r="O54" s="15">
        <f t="shared" si="5"/>
        <v>8.128558512888201E-2</v>
      </c>
      <c r="P54" s="20">
        <f t="shared" si="7"/>
        <v>2.3551921005163416</v>
      </c>
      <c r="Q54" s="20">
        <f>MAX($P$5:P54)</f>
        <v>3.1505472496346933</v>
      </c>
      <c r="R54" s="15">
        <f t="shared" si="6"/>
        <v>-0.25244984001131021</v>
      </c>
      <c r="S54" s="15">
        <f>O54-Benchmark_RF!D54</f>
        <v>7.0515447440121448E-2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IF(Rankings!C59&lt;=2,1,0)</f>
        <v>1</v>
      </c>
      <c r="D55" s="16">
        <f>IF(Rankings!D59&lt;=2,1,0)</f>
        <v>0</v>
      </c>
      <c r="E55" s="16">
        <f>IF(Rankings!E59&lt;=2,1,0)</f>
        <v>0</v>
      </c>
      <c r="F55" s="16">
        <f>IF(Rankings!F59&lt;=2,1,0)</f>
        <v>0</v>
      </c>
      <c r="G55" s="16">
        <f>IF(Rankings!G59&lt;=2,1,0)</f>
        <v>1</v>
      </c>
      <c r="H55" s="16">
        <f>IF(Rankings!H59&lt;=2,1,0)</f>
        <v>0</v>
      </c>
      <c r="I55" s="16">
        <f>IF(Rankings!I59&lt;=2,1,0)</f>
        <v>0</v>
      </c>
      <c r="J55" s="16">
        <f>IF(Rankings!J59&lt;=2,1,0)</f>
        <v>0</v>
      </c>
      <c r="K55" s="19">
        <f t="shared" si="4"/>
        <v>2</v>
      </c>
      <c r="L55" s="15">
        <f>SUMPRODUCT(C55:J55,Returns!B59:I59)/K55</f>
        <v>3.0249119663918078E-2</v>
      </c>
      <c r="M55" s="15">
        <v>0</v>
      </c>
      <c r="N55" s="15">
        <v>0</v>
      </c>
      <c r="O55" s="15">
        <f t="shared" si="5"/>
        <v>3.0249119663918078E-2</v>
      </c>
      <c r="P55" s="20">
        <f t="shared" si="7"/>
        <v>2.4264345881963751</v>
      </c>
      <c r="Q55" s="20">
        <f>MAX($P$5:P55)</f>
        <v>3.1505472496346933</v>
      </c>
      <c r="R55" s="15">
        <f t="shared" si="6"/>
        <v>-0.2298371057670312</v>
      </c>
      <c r="S55" s="15">
        <f>O55-Benchmark_RF!D55</f>
        <v>1.9825913395137951E-2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IF(Rankings!C59&lt;=2,1,0)</f>
        <v>1</v>
      </c>
      <c r="D56" s="16">
        <f>IF(Rankings!D59&lt;=2,1,0)</f>
        <v>0</v>
      </c>
      <c r="E56" s="16">
        <f>IF(Rankings!E59&lt;=2,1,0)</f>
        <v>0</v>
      </c>
      <c r="F56" s="16">
        <f>IF(Rankings!F59&lt;=2,1,0)</f>
        <v>0</v>
      </c>
      <c r="G56" s="16">
        <f>IF(Rankings!G59&lt;=2,1,0)</f>
        <v>1</v>
      </c>
      <c r="H56" s="16">
        <f>IF(Rankings!H59&lt;=2,1,0)</f>
        <v>0</v>
      </c>
      <c r="I56" s="16">
        <f>IF(Rankings!I59&lt;=2,1,0)</f>
        <v>0</v>
      </c>
      <c r="J56" s="16">
        <f>IF(Rankings!J59&lt;=2,1,0)</f>
        <v>0</v>
      </c>
      <c r="K56" s="19">
        <f t="shared" si="4"/>
        <v>2</v>
      </c>
      <c r="L56" s="15">
        <f>SUMPRODUCT(C56:J56,Returns!B60:I60)/K56</f>
        <v>0.11286080457854086</v>
      </c>
      <c r="M56" s="15">
        <v>0</v>
      </c>
      <c r="N56" s="15">
        <v>0</v>
      </c>
      <c r="O56" s="15">
        <f t="shared" si="5"/>
        <v>0.11286080457854086</v>
      </c>
      <c r="P56" s="20">
        <f t="shared" si="7"/>
        <v>2.7002839480774186</v>
      </c>
      <c r="Q56" s="20">
        <f>MAX($P$5:P56)</f>
        <v>3.1505472496346933</v>
      </c>
      <c r="R56" s="15">
        <f t="shared" si="6"/>
        <v>-0.14291590186736058</v>
      </c>
      <c r="S56" s="15">
        <f>O56-Benchmark_RF!D56</f>
        <v>0.10228129846958445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IF(Rankings!C59&lt;=2,1,0)</f>
        <v>1</v>
      </c>
      <c r="D57" s="16">
        <f>IF(Rankings!D59&lt;=2,1,0)</f>
        <v>0</v>
      </c>
      <c r="E57" s="16">
        <f>IF(Rankings!E59&lt;=2,1,0)</f>
        <v>0</v>
      </c>
      <c r="F57" s="16">
        <f>IF(Rankings!F59&lt;=2,1,0)</f>
        <v>0</v>
      </c>
      <c r="G57" s="16">
        <f>IF(Rankings!G59&lt;=2,1,0)</f>
        <v>1</v>
      </c>
      <c r="H57" s="16">
        <f>IF(Rankings!H59&lt;=2,1,0)</f>
        <v>0</v>
      </c>
      <c r="I57" s="16">
        <f>IF(Rankings!I59&lt;=2,1,0)</f>
        <v>0</v>
      </c>
      <c r="J57" s="16">
        <f>IF(Rankings!J59&lt;=2,1,0)</f>
        <v>0</v>
      </c>
      <c r="K57" s="19">
        <f t="shared" si="4"/>
        <v>2</v>
      </c>
      <c r="L57" s="15">
        <f>SUMPRODUCT(C57:J57,Returns!B61:I61)/K57</f>
        <v>4.6760682953032706E-2</v>
      </c>
      <c r="M57" s="15">
        <v>0</v>
      </c>
      <c r="N57" s="15">
        <v>0</v>
      </c>
      <c r="O57" s="15">
        <f t="shared" si="5"/>
        <v>4.6760682953032706E-2</v>
      </c>
      <c r="P57" s="20">
        <f t="shared" si="7"/>
        <v>2.8265510696566301</v>
      </c>
      <c r="Q57" s="20">
        <f>MAX($P$5:P57)</f>
        <v>3.1505472496346933</v>
      </c>
      <c r="R57" s="15">
        <f t="shared" si="6"/>
        <v>-0.10283806409049434</v>
      </c>
      <c r="S57" s="15">
        <f>O57-Benchmark_RF!D57</f>
        <v>3.6192014163401565E-2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IF(Rankings!C59&lt;=2,1,0)</f>
        <v>1</v>
      </c>
      <c r="D58" s="16">
        <f>IF(Rankings!D59&lt;=2,1,0)</f>
        <v>0</v>
      </c>
      <c r="E58" s="16">
        <f>IF(Rankings!E59&lt;=2,1,0)</f>
        <v>0</v>
      </c>
      <c r="F58" s="16">
        <f>IF(Rankings!F59&lt;=2,1,0)</f>
        <v>0</v>
      </c>
      <c r="G58" s="16">
        <f>IF(Rankings!G59&lt;=2,1,0)</f>
        <v>1</v>
      </c>
      <c r="H58" s="16">
        <f>IF(Rankings!H59&lt;=2,1,0)</f>
        <v>0</v>
      </c>
      <c r="I58" s="16">
        <f>IF(Rankings!I59&lt;=2,1,0)</f>
        <v>0</v>
      </c>
      <c r="J58" s="16">
        <f>IF(Rankings!J59&lt;=2,1,0)</f>
        <v>0</v>
      </c>
      <c r="K58" s="19">
        <f t="shared" si="4"/>
        <v>2</v>
      </c>
      <c r="L58" s="15">
        <f>SUMPRODUCT(C58:J58,Returns!B62:I62)/K58</f>
        <v>4.3506416288256855E-2</v>
      </c>
      <c r="M58" s="15">
        <v>0</v>
      </c>
      <c r="N58" s="15">
        <v>0</v>
      </c>
      <c r="O58" s="15">
        <f t="shared" si="5"/>
        <v>4.3506416288256855E-2</v>
      </c>
      <c r="P58" s="20">
        <f t="shared" si="7"/>
        <v>2.9495241771531289</v>
      </c>
      <c r="Q58" s="20">
        <f>MAX($P$5:P58)</f>
        <v>3.1505472496346933</v>
      </c>
      <c r="R58" s="15">
        <f t="shared" si="6"/>
        <v>-6.3805763428837037E-2</v>
      </c>
      <c r="S58" s="15">
        <f>O58-Benchmark_RF!D58</f>
        <v>3.2980589692699624E-2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IF(Rankings!C59&lt;=2,1,0)</f>
        <v>1</v>
      </c>
      <c r="D59" s="16">
        <f>IF(Rankings!D59&lt;=2,1,0)</f>
        <v>0</v>
      </c>
      <c r="E59" s="16">
        <f>IF(Rankings!E59&lt;=2,1,0)</f>
        <v>0</v>
      </c>
      <c r="F59" s="16">
        <f>IF(Rankings!F59&lt;=2,1,0)</f>
        <v>0</v>
      </c>
      <c r="G59" s="16">
        <f>IF(Rankings!G59&lt;=2,1,0)</f>
        <v>1</v>
      </c>
      <c r="H59" s="16">
        <f>IF(Rankings!H59&lt;=2,1,0)</f>
        <v>0</v>
      </c>
      <c r="I59" s="16">
        <f>IF(Rankings!I59&lt;=2,1,0)</f>
        <v>0</v>
      </c>
      <c r="J59" s="16">
        <f>IF(Rankings!J59&lt;=2,1,0)</f>
        <v>0</v>
      </c>
      <c r="K59" s="19">
        <f t="shared" si="4"/>
        <v>2</v>
      </c>
      <c r="L59" s="15">
        <f>SUMPRODUCT(C59:J59,Returns!B63:I63)/K59</f>
        <v>-6.0028808522974375E-2</v>
      </c>
      <c r="M59" s="15">
        <v>0</v>
      </c>
      <c r="N59" s="15">
        <v>0</v>
      </c>
      <c r="O59" s="15">
        <f t="shared" si="5"/>
        <v>-6.0028808522974375E-2</v>
      </c>
      <c r="P59" s="20">
        <f t="shared" si="7"/>
        <v>2.7724677550889205</v>
      </c>
      <c r="Q59" s="20">
        <f>MAX($P$5:P59)</f>
        <v>3.1505472496346933</v>
      </c>
      <c r="R59" s="15">
        <f t="shared" si="6"/>
        <v>-0.12000438799627944</v>
      </c>
      <c r="S59" s="15">
        <f>O59-Benchmark_RF!D59</f>
        <v>-7.0549139179933829E-2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IF(Rankings!C59&lt;=2,1,0)</f>
        <v>1</v>
      </c>
      <c r="D60" s="16">
        <f>IF(Rankings!D59&lt;=2,1,0)</f>
        <v>0</v>
      </c>
      <c r="E60" s="16">
        <f>IF(Rankings!E59&lt;=2,1,0)</f>
        <v>0</v>
      </c>
      <c r="F60" s="16">
        <f>IF(Rankings!F59&lt;=2,1,0)</f>
        <v>0</v>
      </c>
      <c r="G60" s="16">
        <f>IF(Rankings!G59&lt;=2,1,0)</f>
        <v>1</v>
      </c>
      <c r="H60" s="16">
        <f>IF(Rankings!H59&lt;=2,1,0)</f>
        <v>0</v>
      </c>
      <c r="I60" s="16">
        <f>IF(Rankings!I59&lt;=2,1,0)</f>
        <v>0</v>
      </c>
      <c r="J60" s="16">
        <f>IF(Rankings!J59&lt;=2,1,0)</f>
        <v>0</v>
      </c>
      <c r="K60" s="19">
        <f t="shared" si="4"/>
        <v>2</v>
      </c>
      <c r="L60" s="15">
        <f>SUMPRODUCT(C60:J60,Returns!B64:I64)/K60</f>
        <v>-0.29506094274467276</v>
      </c>
      <c r="M60" s="15">
        <v>0</v>
      </c>
      <c r="N60" s="15">
        <v>0</v>
      </c>
      <c r="O60" s="15">
        <f t="shared" si="5"/>
        <v>-0.29506094274467276</v>
      </c>
      <c r="P60" s="20">
        <f t="shared" si="7"/>
        <v>1.9544208055431771</v>
      </c>
      <c r="Q60" s="20">
        <f>MAX($P$5:P60)</f>
        <v>3.1505472496346933</v>
      </c>
      <c r="R60" s="15">
        <f t="shared" si="6"/>
        <v>-0.37965672288527252</v>
      </c>
      <c r="S60" s="15">
        <f>O60-Benchmark_RF!D60</f>
        <v>-0.30396002777546582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IF(Rankings!C59&lt;=2,1,0)</f>
        <v>1</v>
      </c>
      <c r="D61" s="16">
        <f>IF(Rankings!D59&lt;=2,1,0)</f>
        <v>0</v>
      </c>
      <c r="E61" s="16">
        <f>IF(Rankings!E59&lt;=2,1,0)</f>
        <v>0</v>
      </c>
      <c r="F61" s="16">
        <f>IF(Rankings!F59&lt;=2,1,0)</f>
        <v>0</v>
      </c>
      <c r="G61" s="16">
        <f>IF(Rankings!G59&lt;=2,1,0)</f>
        <v>1</v>
      </c>
      <c r="H61" s="16">
        <f>IF(Rankings!H59&lt;=2,1,0)</f>
        <v>0</v>
      </c>
      <c r="I61" s="16">
        <f>IF(Rankings!I59&lt;=2,1,0)</f>
        <v>0</v>
      </c>
      <c r="J61" s="16">
        <f>IF(Rankings!J59&lt;=2,1,0)</f>
        <v>0</v>
      </c>
      <c r="K61" s="19">
        <f t="shared" si="4"/>
        <v>2</v>
      </c>
      <c r="L61" s="15">
        <f>SUMPRODUCT(C61:J61,Returns!B65:I65)/K61</f>
        <v>0.31887202020937055</v>
      </c>
      <c r="M61" s="15">
        <v>0</v>
      </c>
      <c r="N61" s="15">
        <v>0</v>
      </c>
      <c r="O61" s="15">
        <f t="shared" si="5"/>
        <v>0.31887202020937055</v>
      </c>
      <c r="P61" s="20">
        <f t="shared" si="7"/>
        <v>2.5776309161459552</v>
      </c>
      <c r="Q61" s="20">
        <f>MAX($P$5:P61)</f>
        <v>3.1505472496346933</v>
      </c>
      <c r="R61" s="15">
        <f t="shared" si="6"/>
        <v>-0.18184660888839799</v>
      </c>
      <c r="S61" s="15">
        <f>O61-Benchmark_RF!D61</f>
        <v>0.31227195496901061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IF(Rankings!C59&lt;=2,1,0)</f>
        <v>1</v>
      </c>
      <c r="D62" s="16">
        <f>IF(Rankings!D59&lt;=2,1,0)</f>
        <v>0</v>
      </c>
      <c r="E62" s="16">
        <f>IF(Rankings!E59&lt;=2,1,0)</f>
        <v>0</v>
      </c>
      <c r="F62" s="16">
        <f>IF(Rankings!F59&lt;=2,1,0)</f>
        <v>0</v>
      </c>
      <c r="G62" s="16">
        <f>IF(Rankings!G59&lt;=2,1,0)</f>
        <v>1</v>
      </c>
      <c r="H62" s="16">
        <f>IF(Rankings!H59&lt;=2,1,0)</f>
        <v>0</v>
      </c>
      <c r="I62" s="16">
        <f>IF(Rankings!I59&lt;=2,1,0)</f>
        <v>0</v>
      </c>
      <c r="J62" s="16">
        <f>IF(Rankings!J59&lt;=2,1,0)</f>
        <v>0</v>
      </c>
      <c r="K62" s="19">
        <f t="shared" si="4"/>
        <v>2</v>
      </c>
      <c r="L62" s="15">
        <f>SUMPRODUCT(C62:J62,Returns!B66:I66)/K62</f>
        <v>3.3050954500082164E-2</v>
      </c>
      <c r="M62" s="15">
        <v>0</v>
      </c>
      <c r="N62" s="15">
        <v>0</v>
      </c>
      <c r="O62" s="15">
        <f t="shared" si="5"/>
        <v>3.3050954500082164E-2</v>
      </c>
      <c r="P62" s="20">
        <f t="shared" si="7"/>
        <v>2.6628240782735002</v>
      </c>
      <c r="Q62" s="20">
        <f>MAX($P$5:P62)</f>
        <v>3.1505472496346933</v>
      </c>
      <c r="R62" s="15">
        <f t="shared" si="6"/>
        <v>-0.15480585838468053</v>
      </c>
      <c r="S62" s="15">
        <f>O62-Benchmark_RF!D62</f>
        <v>2.6523240433379558E-2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IF(Rankings!C59&lt;=2,1,0)</f>
        <v>1</v>
      </c>
      <c r="D63" s="16">
        <f>IF(Rankings!D59&lt;=2,1,0)</f>
        <v>0</v>
      </c>
      <c r="E63" s="16">
        <f>IF(Rankings!E59&lt;=2,1,0)</f>
        <v>0</v>
      </c>
      <c r="F63" s="16">
        <f>IF(Rankings!F59&lt;=2,1,0)</f>
        <v>0</v>
      </c>
      <c r="G63" s="16">
        <f>IF(Rankings!G59&lt;=2,1,0)</f>
        <v>1</v>
      </c>
      <c r="H63" s="16">
        <f>IF(Rankings!H59&lt;=2,1,0)</f>
        <v>0</v>
      </c>
      <c r="I63" s="16">
        <f>IF(Rankings!I59&lt;=2,1,0)</f>
        <v>0</v>
      </c>
      <c r="J63" s="16">
        <f>IF(Rankings!J59&lt;=2,1,0)</f>
        <v>0</v>
      </c>
      <c r="K63" s="19">
        <f t="shared" si="4"/>
        <v>2</v>
      </c>
      <c r="L63" s="15">
        <f>SUMPRODUCT(C63:J63,Returns!B67:I67)/K63</f>
        <v>-9.8465752903466042E-3</v>
      </c>
      <c r="M63" s="15">
        <v>0</v>
      </c>
      <c r="N63" s="15">
        <v>0</v>
      </c>
      <c r="O63" s="15">
        <f t="shared" si="5"/>
        <v>-9.8465752903466042E-3</v>
      </c>
      <c r="P63" s="20">
        <f t="shared" si="7"/>
        <v>2.6366043805018324</v>
      </c>
      <c r="Q63" s="20">
        <f>MAX($P$5:P63)</f>
        <v>3.1505472496346933</v>
      </c>
      <c r="R63" s="15">
        <f t="shared" si="6"/>
        <v>-0.16312812613505567</v>
      </c>
      <c r="S63" s="15">
        <f>O63-Benchmark_RF!D63</f>
        <v>-1.5382221085692982E-2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IF(Rankings!C59&lt;=2,1,0)</f>
        <v>1</v>
      </c>
      <c r="D64" s="16">
        <f>IF(Rankings!D59&lt;=2,1,0)</f>
        <v>0</v>
      </c>
      <c r="E64" s="16">
        <f>IF(Rankings!E59&lt;=2,1,0)</f>
        <v>0</v>
      </c>
      <c r="F64" s="16">
        <f>IF(Rankings!F59&lt;=2,1,0)</f>
        <v>0</v>
      </c>
      <c r="G64" s="16">
        <f>IF(Rankings!G59&lt;=2,1,0)</f>
        <v>1</v>
      </c>
      <c r="H64" s="16">
        <f>IF(Rankings!H59&lt;=2,1,0)</f>
        <v>0</v>
      </c>
      <c r="I64" s="16">
        <f>IF(Rankings!I59&lt;=2,1,0)</f>
        <v>0</v>
      </c>
      <c r="J64" s="16">
        <f>IF(Rankings!J59&lt;=2,1,0)</f>
        <v>0</v>
      </c>
      <c r="K64" s="19">
        <f t="shared" si="4"/>
        <v>2</v>
      </c>
      <c r="L64" s="15">
        <f>SUMPRODUCT(C64:J64,Returns!B68:I68)/K64</f>
        <v>0.14332023368740787</v>
      </c>
      <c r="M64" s="15">
        <v>0</v>
      </c>
      <c r="N64" s="15">
        <v>0</v>
      </c>
      <c r="O64" s="15">
        <f t="shared" si="5"/>
        <v>0.14332023368740787</v>
      </c>
      <c r="P64" s="20">
        <f t="shared" si="7"/>
        <v>3.0144831364565978</v>
      </c>
      <c r="Q64" s="20">
        <f>MAX($P$5:P64)</f>
        <v>3.1505472496346933</v>
      </c>
      <c r="R64" s="15">
        <f t="shared" si="6"/>
        <v>-4.3187453606313042E-2</v>
      </c>
      <c r="S64" s="15">
        <f>O64-Benchmark_RF!D64</f>
        <v>0.13776529773076496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IF(Rankings!C71&lt;=2,1,0)</f>
        <v>0</v>
      </c>
      <c r="D65" s="16">
        <f>IF(Rankings!D71&lt;=2,1,0)</f>
        <v>0</v>
      </c>
      <c r="E65" s="16">
        <f>IF(Rankings!E71&lt;=2,1,0)</f>
        <v>0</v>
      </c>
      <c r="F65" s="16">
        <f>IF(Rankings!F71&lt;=2,1,0)</f>
        <v>1</v>
      </c>
      <c r="G65" s="16">
        <f>IF(Rankings!G71&lt;=2,1,0)</f>
        <v>1</v>
      </c>
      <c r="H65" s="16">
        <f>IF(Rankings!H71&lt;=2,1,0)</f>
        <v>0</v>
      </c>
      <c r="I65" s="16">
        <f>IF(Rankings!I71&lt;=2,1,0)</f>
        <v>0</v>
      </c>
      <c r="J65" s="16">
        <f>IF(Rankings!J71&lt;=2,1,0)</f>
        <v>0</v>
      </c>
      <c r="K65" s="19">
        <f t="shared" si="4"/>
        <v>2</v>
      </c>
      <c r="L65" s="15">
        <f>SUMPRODUCT(C65:J65,Returns!B69:I69)/K65</f>
        <v>9.1443174951498229E-3</v>
      </c>
      <c r="M65" s="15">
        <f>-2*Assumptions!$B$13</f>
        <v>-7.0000000000000001E-3</v>
      </c>
      <c r="N65" s="15">
        <f>-Assumptions!$B$16*MAX(0,(1+O53)*(1+O54)*(1+O55)*(1+O56)*(1+O57)*(1+O58)*(1+O59)*(1+O60)*(1+O61)*(1+O62)*(1+O63)*(1+O64)-1)</f>
        <v>-3.0036575604022508E-2</v>
      </c>
      <c r="O65" s="15">
        <f t="shared" si="5"/>
        <v>-2.7892258108872685E-2</v>
      </c>
      <c r="P65" s="20">
        <f t="shared" si="7"/>
        <v>2.9304023947497067</v>
      </c>
      <c r="Q65" s="20">
        <f>MAX($P$5:P65)</f>
        <v>3.1505472496346933</v>
      </c>
      <c r="R65" s="15">
        <f t="shared" si="6"/>
        <v>-6.9875116112133373E-2</v>
      </c>
      <c r="S65" s="15">
        <f>O65-Benchmark_RF!D65</f>
        <v>-3.3618118290192615E-2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IF(Rankings!C71&lt;=2,1,0)</f>
        <v>0</v>
      </c>
      <c r="D66" s="16">
        <f>IF(Rankings!D71&lt;=2,1,0)</f>
        <v>0</v>
      </c>
      <c r="E66" s="16">
        <f>IF(Rankings!E71&lt;=2,1,0)</f>
        <v>0</v>
      </c>
      <c r="F66" s="16">
        <f>IF(Rankings!F71&lt;=2,1,0)</f>
        <v>1</v>
      </c>
      <c r="G66" s="16">
        <f>IF(Rankings!G71&lt;=2,1,0)</f>
        <v>1</v>
      </c>
      <c r="H66" s="16">
        <f>IF(Rankings!H71&lt;=2,1,0)</f>
        <v>0</v>
      </c>
      <c r="I66" s="16">
        <f>IF(Rankings!I71&lt;=2,1,0)</f>
        <v>0</v>
      </c>
      <c r="J66" s="16">
        <f>IF(Rankings!J71&lt;=2,1,0)</f>
        <v>0</v>
      </c>
      <c r="K66" s="19">
        <f t="shared" si="4"/>
        <v>2</v>
      </c>
      <c r="L66" s="15">
        <f>SUMPRODUCT(C66:J66,Returns!B70:I70)/K66</f>
        <v>3.6518222202071682E-2</v>
      </c>
      <c r="M66" s="15">
        <v>0</v>
      </c>
      <c r="N66" s="15">
        <v>0</v>
      </c>
      <c r="O66" s="15">
        <f t="shared" si="5"/>
        <v>3.6518222202071682E-2</v>
      </c>
      <c r="P66" s="20">
        <f t="shared" si="7"/>
        <v>3.0374154805426592</v>
      </c>
      <c r="Q66" s="20">
        <f>MAX($P$5:P66)</f>
        <v>3.1505472496346933</v>
      </c>
      <c r="R66" s="15">
        <f t="shared" si="6"/>
        <v>-3.5908608926640273E-2</v>
      </c>
      <c r="S66" s="15">
        <f>O66-Benchmark_RF!D66</f>
        <v>3.0787118713426098E-2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IF(Rankings!C71&lt;=2,1,0)</f>
        <v>0</v>
      </c>
      <c r="D67" s="16">
        <f>IF(Rankings!D71&lt;=2,1,0)</f>
        <v>0</v>
      </c>
      <c r="E67" s="16">
        <f>IF(Rankings!E71&lt;=2,1,0)</f>
        <v>0</v>
      </c>
      <c r="F67" s="16">
        <f>IF(Rankings!F71&lt;=2,1,0)</f>
        <v>1</v>
      </c>
      <c r="G67" s="16">
        <f>IF(Rankings!G71&lt;=2,1,0)</f>
        <v>1</v>
      </c>
      <c r="H67" s="16">
        <f>IF(Rankings!H71&lt;=2,1,0)</f>
        <v>0</v>
      </c>
      <c r="I67" s="16">
        <f>IF(Rankings!I71&lt;=2,1,0)</f>
        <v>0</v>
      </c>
      <c r="J67" s="16">
        <f>IF(Rankings!J71&lt;=2,1,0)</f>
        <v>0</v>
      </c>
      <c r="K67" s="19">
        <f t="shared" si="4"/>
        <v>2</v>
      </c>
      <c r="L67" s="15">
        <f>SUMPRODUCT(C67:J67,Returns!B71:I71)/K67</f>
        <v>-5.1337602280555616E-3</v>
      </c>
      <c r="M67" s="15">
        <v>0</v>
      </c>
      <c r="N67" s="15">
        <v>0</v>
      </c>
      <c r="O67" s="15">
        <f t="shared" si="5"/>
        <v>-5.1337602280555616E-3</v>
      </c>
      <c r="P67" s="20">
        <f t="shared" si="7"/>
        <v>3.0218221177525688</v>
      </c>
      <c r="Q67" s="20">
        <f>MAX($P$5:P67)</f>
        <v>3.1505472496346933</v>
      </c>
      <c r="R67" s="15">
        <f t="shared" si="6"/>
        <v>-4.0858022966343444E-2</v>
      </c>
      <c r="S67" s="15">
        <f>O67-Benchmark_RF!D67</f>
        <v>-1.0911570661159442E-2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IF(Rankings!C71&lt;=2,1,0)</f>
        <v>0</v>
      </c>
      <c r="D68" s="16">
        <f>IF(Rankings!D71&lt;=2,1,0)</f>
        <v>0</v>
      </c>
      <c r="E68" s="16">
        <f>IF(Rankings!E71&lt;=2,1,0)</f>
        <v>0</v>
      </c>
      <c r="F68" s="16">
        <f>IF(Rankings!F71&lt;=2,1,0)</f>
        <v>1</v>
      </c>
      <c r="G68" s="16">
        <f>IF(Rankings!G71&lt;=2,1,0)</f>
        <v>1</v>
      </c>
      <c r="H68" s="16">
        <f>IF(Rankings!H71&lt;=2,1,0)</f>
        <v>0</v>
      </c>
      <c r="I68" s="16">
        <f>IF(Rankings!I71&lt;=2,1,0)</f>
        <v>0</v>
      </c>
      <c r="J68" s="16">
        <f>IF(Rankings!J71&lt;=2,1,0)</f>
        <v>0</v>
      </c>
      <c r="K68" s="19">
        <f t="shared" si="4"/>
        <v>2</v>
      </c>
      <c r="L68" s="15">
        <f>SUMPRODUCT(C68:J68,Returns!B72:I72)/K68</f>
        <v>1.8015316788856428E-2</v>
      </c>
      <c r="M68" s="15">
        <v>0</v>
      </c>
      <c r="N68" s="15">
        <v>0</v>
      </c>
      <c r="O68" s="15">
        <f t="shared" si="5"/>
        <v>1.8015316788856428E-2</v>
      </c>
      <c r="P68" s="20">
        <f t="shared" si="7"/>
        <v>3.076261200483454</v>
      </c>
      <c r="Q68" s="20">
        <f>MAX($P$5:P68)</f>
        <v>3.1505472496346933</v>
      </c>
      <c r="R68" s="15">
        <f t="shared" si="6"/>
        <v>-2.3578776404592161E-2</v>
      </c>
      <c r="S68" s="15">
        <f>O68-Benchmark_RF!D68</f>
        <v>1.2251429883144926E-2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IF(Rankings!C71&lt;=2,1,0)</f>
        <v>0</v>
      </c>
      <c r="D69" s="16">
        <f>IF(Rankings!D71&lt;=2,1,0)</f>
        <v>0</v>
      </c>
      <c r="E69" s="16">
        <f>IF(Rankings!E71&lt;=2,1,0)</f>
        <v>0</v>
      </c>
      <c r="F69" s="16">
        <f>IF(Rankings!F71&lt;=2,1,0)</f>
        <v>1</v>
      </c>
      <c r="G69" s="16">
        <f>IF(Rankings!G71&lt;=2,1,0)</f>
        <v>1</v>
      </c>
      <c r="H69" s="16">
        <f>IF(Rankings!H71&lt;=2,1,0)</f>
        <v>0</v>
      </c>
      <c r="I69" s="16">
        <f>IF(Rankings!I71&lt;=2,1,0)</f>
        <v>0</v>
      </c>
      <c r="J69" s="16">
        <f>IF(Rankings!J71&lt;=2,1,0)</f>
        <v>0</v>
      </c>
      <c r="K69" s="19">
        <f t="shared" ref="K69:K100" si="8">SUM(C69:J69)</f>
        <v>2</v>
      </c>
      <c r="L69" s="15">
        <f>SUMPRODUCT(C69:J69,Returns!B73:I73)/K69</f>
        <v>6.488238807909319E-2</v>
      </c>
      <c r="M69" s="15">
        <v>0</v>
      </c>
      <c r="N69" s="15">
        <v>0</v>
      </c>
      <c r="O69" s="15">
        <f t="shared" ref="O69:O100" si="9">L69+M69+N69</f>
        <v>6.488238807909319E-2</v>
      </c>
      <c r="P69" s="20">
        <f t="shared" si="7"/>
        <v>3.2758563735258783</v>
      </c>
      <c r="Q69" s="20">
        <f>MAX($P$5:P69)</f>
        <v>3.2758563735258783</v>
      </c>
      <c r="R69" s="15">
        <f t="shared" ref="R69:R100" si="10">P69/Q69-1</f>
        <v>0</v>
      </c>
      <c r="S69" s="15">
        <f>O69-Benchmark_RF!D69</f>
        <v>5.9142911573894619E-2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IF(Rankings!C71&lt;=2,1,0)</f>
        <v>0</v>
      </c>
      <c r="D70" s="16">
        <f>IF(Rankings!D71&lt;=2,1,0)</f>
        <v>0</v>
      </c>
      <c r="E70" s="16">
        <f>IF(Rankings!E71&lt;=2,1,0)</f>
        <v>0</v>
      </c>
      <c r="F70" s="16">
        <f>IF(Rankings!F71&lt;=2,1,0)</f>
        <v>1</v>
      </c>
      <c r="G70" s="16">
        <f>IF(Rankings!G71&lt;=2,1,0)</f>
        <v>1</v>
      </c>
      <c r="H70" s="16">
        <f>IF(Rankings!H71&lt;=2,1,0)</f>
        <v>0</v>
      </c>
      <c r="I70" s="16">
        <f>IF(Rankings!I71&lt;=2,1,0)</f>
        <v>0</v>
      </c>
      <c r="J70" s="16">
        <f>IF(Rankings!J71&lt;=2,1,0)</f>
        <v>0</v>
      </c>
      <c r="K70" s="19">
        <f t="shared" si="8"/>
        <v>2</v>
      </c>
      <c r="L70" s="15">
        <f>SUMPRODUCT(C70:J70,Returns!B74:I74)/K70</f>
        <v>3.54512772582809E-2</v>
      </c>
      <c r="M70" s="15">
        <v>0</v>
      </c>
      <c r="N70" s="15">
        <v>0</v>
      </c>
      <c r="O70" s="15">
        <f t="shared" si="9"/>
        <v>3.54512772582809E-2</v>
      </c>
      <c r="P70" s="20">
        <f t="shared" ref="P70:P101" si="11">P69*(1+O70)</f>
        <v>3.391989666082051</v>
      </c>
      <c r="Q70" s="20">
        <f>MAX($P$5:P70)</f>
        <v>3.391989666082051</v>
      </c>
      <c r="R70" s="15">
        <f t="shared" si="10"/>
        <v>0</v>
      </c>
      <c r="S70" s="15">
        <f>O70-Benchmark_RF!D70</f>
        <v>2.9678394572797195E-2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IF(Rankings!C71&lt;=2,1,0)</f>
        <v>0</v>
      </c>
      <c r="D71" s="16">
        <f>IF(Rankings!D71&lt;=2,1,0)</f>
        <v>0</v>
      </c>
      <c r="E71" s="16">
        <f>IF(Rankings!E71&lt;=2,1,0)</f>
        <v>0</v>
      </c>
      <c r="F71" s="16">
        <f>IF(Rankings!F71&lt;=2,1,0)</f>
        <v>1</v>
      </c>
      <c r="G71" s="16">
        <f>IF(Rankings!G71&lt;=2,1,0)</f>
        <v>1</v>
      </c>
      <c r="H71" s="16">
        <f>IF(Rankings!H71&lt;=2,1,0)</f>
        <v>0</v>
      </c>
      <c r="I71" s="16">
        <f>IF(Rankings!I71&lt;=2,1,0)</f>
        <v>0</v>
      </c>
      <c r="J71" s="16">
        <f>IF(Rankings!J71&lt;=2,1,0)</f>
        <v>0</v>
      </c>
      <c r="K71" s="19">
        <f t="shared" si="8"/>
        <v>2</v>
      </c>
      <c r="L71" s="15">
        <f>SUMPRODUCT(C71:J71,Returns!B75:I75)/K71</f>
        <v>8.3648968022318748E-2</v>
      </c>
      <c r="M71" s="15">
        <v>0</v>
      </c>
      <c r="N71" s="15">
        <v>0</v>
      </c>
      <c r="O71" s="15">
        <f t="shared" si="9"/>
        <v>8.3648968022318748E-2</v>
      </c>
      <c r="P71" s="20">
        <f t="shared" si="11"/>
        <v>3.675726101192184</v>
      </c>
      <c r="Q71" s="20">
        <f>MAX($P$5:P71)</f>
        <v>3.675726101192184</v>
      </c>
      <c r="R71" s="15">
        <f t="shared" si="10"/>
        <v>0</v>
      </c>
      <c r="S71" s="15">
        <f>O71-Benchmark_RF!D71</f>
        <v>7.7845662692554163E-2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IF(Rankings!C71&lt;=2,1,0)</f>
        <v>0</v>
      </c>
      <c r="D72" s="16">
        <f>IF(Rankings!D71&lt;=2,1,0)</f>
        <v>0</v>
      </c>
      <c r="E72" s="16">
        <f>IF(Rankings!E71&lt;=2,1,0)</f>
        <v>0</v>
      </c>
      <c r="F72" s="16">
        <f>IF(Rankings!F71&lt;=2,1,0)</f>
        <v>1</v>
      </c>
      <c r="G72" s="16">
        <f>IF(Rankings!G71&lt;=2,1,0)</f>
        <v>1</v>
      </c>
      <c r="H72" s="16">
        <f>IF(Rankings!H71&lt;=2,1,0)</f>
        <v>0</v>
      </c>
      <c r="I72" s="16">
        <f>IF(Rankings!I71&lt;=2,1,0)</f>
        <v>0</v>
      </c>
      <c r="J72" s="16">
        <f>IF(Rankings!J71&lt;=2,1,0)</f>
        <v>0</v>
      </c>
      <c r="K72" s="19">
        <f t="shared" si="8"/>
        <v>2</v>
      </c>
      <c r="L72" s="15">
        <f>SUMPRODUCT(C72:J72,Returns!B76:I76)/K72</f>
        <v>-6.7175659394381637E-2</v>
      </c>
      <c r="M72" s="15">
        <v>0</v>
      </c>
      <c r="N72" s="15">
        <v>0</v>
      </c>
      <c r="O72" s="15">
        <f t="shared" si="9"/>
        <v>-6.7175659394381637E-2</v>
      </c>
      <c r="P72" s="20">
        <f t="shared" si="11"/>
        <v>3.4288067765914594</v>
      </c>
      <c r="Q72" s="20">
        <f>MAX($P$5:P72)</f>
        <v>3.675726101192184</v>
      </c>
      <c r="R72" s="15">
        <f t="shared" si="10"/>
        <v>-6.7175659394381637E-2</v>
      </c>
      <c r="S72" s="15">
        <f>O72-Benchmark_RF!D72</f>
        <v>-7.316581446505166E-2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IF(Rankings!C71&lt;=2,1,0)</f>
        <v>0</v>
      </c>
      <c r="D73" s="16">
        <f>IF(Rankings!D71&lt;=2,1,0)</f>
        <v>0</v>
      </c>
      <c r="E73" s="16">
        <f>IF(Rankings!E71&lt;=2,1,0)</f>
        <v>0</v>
      </c>
      <c r="F73" s="16">
        <f>IF(Rankings!F71&lt;=2,1,0)</f>
        <v>1</v>
      </c>
      <c r="G73" s="16">
        <f>IF(Rankings!G71&lt;=2,1,0)</f>
        <v>1</v>
      </c>
      <c r="H73" s="16">
        <f>IF(Rankings!H71&lt;=2,1,0)</f>
        <v>0</v>
      </c>
      <c r="I73" s="16">
        <f>IF(Rankings!I71&lt;=2,1,0)</f>
        <v>0</v>
      </c>
      <c r="J73" s="16">
        <f>IF(Rankings!J71&lt;=2,1,0)</f>
        <v>0</v>
      </c>
      <c r="K73" s="19">
        <f t="shared" si="8"/>
        <v>2</v>
      </c>
      <c r="L73" s="15">
        <f>SUMPRODUCT(C73:J73,Returns!B77:I77)/K73</f>
        <v>-1.6699703449352288E-2</v>
      </c>
      <c r="M73" s="15">
        <v>0</v>
      </c>
      <c r="N73" s="15">
        <v>0</v>
      </c>
      <c r="O73" s="15">
        <f t="shared" si="9"/>
        <v>-1.6699703449352288E-2</v>
      </c>
      <c r="P73" s="20">
        <f t="shared" si="11"/>
        <v>3.3715467202372524</v>
      </c>
      <c r="Q73" s="20">
        <f>MAX($P$5:P73)</f>
        <v>3.675726101192184</v>
      </c>
      <c r="R73" s="15">
        <f t="shared" si="10"/>
        <v>-8.275354925283307E-2</v>
      </c>
      <c r="S73" s="15">
        <f>O73-Benchmark_RF!D73</f>
        <v>-2.2648100427978324E-2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IF(Rankings!C71&lt;=2,1,0)</f>
        <v>0</v>
      </c>
      <c r="D74" s="16">
        <f>IF(Rankings!D71&lt;=2,1,0)</f>
        <v>0</v>
      </c>
      <c r="E74" s="16">
        <f>IF(Rankings!E71&lt;=2,1,0)</f>
        <v>0</v>
      </c>
      <c r="F74" s="16">
        <f>IF(Rankings!F71&lt;=2,1,0)</f>
        <v>1</v>
      </c>
      <c r="G74" s="16">
        <f>IF(Rankings!G71&lt;=2,1,0)</f>
        <v>1</v>
      </c>
      <c r="H74" s="16">
        <f>IF(Rankings!H71&lt;=2,1,0)</f>
        <v>0</v>
      </c>
      <c r="I74" s="16">
        <f>IF(Rankings!I71&lt;=2,1,0)</f>
        <v>0</v>
      </c>
      <c r="J74" s="16">
        <f>IF(Rankings!J71&lt;=2,1,0)</f>
        <v>0</v>
      </c>
      <c r="K74" s="19">
        <f t="shared" si="8"/>
        <v>2</v>
      </c>
      <c r="L74" s="15">
        <f>SUMPRODUCT(C74:J74,Returns!B78:I78)/K74</f>
        <v>6.7279602764391377E-2</v>
      </c>
      <c r="M74" s="15">
        <v>0</v>
      </c>
      <c r="N74" s="15">
        <v>0</v>
      </c>
      <c r="O74" s="15">
        <f t="shared" si="9"/>
        <v>6.7279602764391377E-2</v>
      </c>
      <c r="P74" s="20">
        <f t="shared" si="11"/>
        <v>3.5983830442764013</v>
      </c>
      <c r="Q74" s="20">
        <f>MAX($P$5:P74)</f>
        <v>3.675726101192184</v>
      </c>
      <c r="R74" s="15">
        <f t="shared" si="10"/>
        <v>-2.1041572409515874E-2</v>
      </c>
      <c r="S74" s="15">
        <f>O74-Benchmark_RF!D74</f>
        <v>6.1357987830732874E-2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IF(Rankings!C71&lt;=2,1,0)</f>
        <v>0</v>
      </c>
      <c r="D75" s="16">
        <f>IF(Rankings!D71&lt;=2,1,0)</f>
        <v>0</v>
      </c>
      <c r="E75" s="16">
        <f>IF(Rankings!E71&lt;=2,1,0)</f>
        <v>0</v>
      </c>
      <c r="F75" s="16">
        <f>IF(Rankings!F71&lt;=2,1,0)</f>
        <v>1</v>
      </c>
      <c r="G75" s="16">
        <f>IF(Rankings!G71&lt;=2,1,0)</f>
        <v>1</v>
      </c>
      <c r="H75" s="16">
        <f>IF(Rankings!H71&lt;=2,1,0)</f>
        <v>0</v>
      </c>
      <c r="I75" s="16">
        <f>IF(Rankings!I71&lt;=2,1,0)</f>
        <v>0</v>
      </c>
      <c r="J75" s="16">
        <f>IF(Rankings!J71&lt;=2,1,0)</f>
        <v>0</v>
      </c>
      <c r="K75" s="19">
        <f t="shared" si="8"/>
        <v>2</v>
      </c>
      <c r="L75" s="15">
        <f>SUMPRODUCT(C75:J75,Returns!B79:I79)/K75</f>
        <v>-5.100981177930608E-2</v>
      </c>
      <c r="M75" s="15">
        <v>0</v>
      </c>
      <c r="N75" s="15">
        <v>0</v>
      </c>
      <c r="O75" s="15">
        <f t="shared" si="9"/>
        <v>-5.100981177930608E-2</v>
      </c>
      <c r="P75" s="20">
        <f t="shared" si="11"/>
        <v>3.4148302024780155</v>
      </c>
      <c r="Q75" s="20">
        <f>MAX($P$5:P75)</f>
        <v>3.675726101192184</v>
      </c>
      <c r="R75" s="15">
        <f t="shared" si="10"/>
        <v>-7.0978057540671879E-2</v>
      </c>
      <c r="S75" s="15">
        <f>O75-Benchmark_RF!D75</f>
        <v>-5.6894949915113679E-2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IF(Rankings!C71&lt;=2,1,0)</f>
        <v>0</v>
      </c>
      <c r="D76" s="16">
        <f>IF(Rankings!D71&lt;=2,1,0)</f>
        <v>0</v>
      </c>
      <c r="E76" s="16">
        <f>IF(Rankings!E71&lt;=2,1,0)</f>
        <v>0</v>
      </c>
      <c r="F76" s="16">
        <f>IF(Rankings!F71&lt;=2,1,0)</f>
        <v>1</v>
      </c>
      <c r="G76" s="16">
        <f>IF(Rankings!G71&lt;=2,1,0)</f>
        <v>1</v>
      </c>
      <c r="H76" s="16">
        <f>IF(Rankings!H71&lt;=2,1,0)</f>
        <v>0</v>
      </c>
      <c r="I76" s="16">
        <f>IF(Rankings!I71&lt;=2,1,0)</f>
        <v>0</v>
      </c>
      <c r="J76" s="16">
        <f>IF(Rankings!J71&lt;=2,1,0)</f>
        <v>0</v>
      </c>
      <c r="K76" s="19">
        <f t="shared" si="8"/>
        <v>2</v>
      </c>
      <c r="L76" s="15">
        <f>SUMPRODUCT(C76:J76,Returns!B80:I80)/K76</f>
        <v>1.3544667769468943E-2</v>
      </c>
      <c r="M76" s="15">
        <v>0</v>
      </c>
      <c r="N76" s="15">
        <v>0</v>
      </c>
      <c r="O76" s="15">
        <f t="shared" si="9"/>
        <v>1.3544667769468943E-2</v>
      </c>
      <c r="P76" s="20">
        <f t="shared" si="11"/>
        <v>3.4610829430597287</v>
      </c>
      <c r="Q76" s="20">
        <f>MAX($P$5:P76)</f>
        <v>3.675726101192184</v>
      </c>
      <c r="R76" s="15">
        <f t="shared" si="10"/>
        <v>-5.8394763979513598E-2</v>
      </c>
      <c r="S76" s="15">
        <f>O76-Benchmark_RF!D76</f>
        <v>7.7086048953162178E-3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IF(Rankings!C83&lt;=2,1,0)</f>
        <v>0</v>
      </c>
      <c r="D77" s="16">
        <f>IF(Rankings!D83&lt;=2,1,0)</f>
        <v>1</v>
      </c>
      <c r="E77" s="16">
        <f>IF(Rankings!E83&lt;=2,1,0)</f>
        <v>0</v>
      </c>
      <c r="F77" s="16">
        <f>IF(Rankings!F83&lt;=2,1,0)</f>
        <v>1</v>
      </c>
      <c r="G77" s="16">
        <f>IF(Rankings!G83&lt;=2,1,0)</f>
        <v>0</v>
      </c>
      <c r="H77" s="16">
        <f>IF(Rankings!H83&lt;=2,1,0)</f>
        <v>0</v>
      </c>
      <c r="I77" s="16">
        <f>IF(Rankings!I83&lt;=2,1,0)</f>
        <v>0</v>
      </c>
      <c r="J77" s="16">
        <f>IF(Rankings!J83&lt;=2,1,0)</f>
        <v>0</v>
      </c>
      <c r="K77" s="19">
        <f t="shared" si="8"/>
        <v>2</v>
      </c>
      <c r="L77" s="15">
        <f>SUMPRODUCT(C77:J77,Returns!B81:I81)/K77</f>
        <v>0.12659882178083659</v>
      </c>
      <c r="M77" s="15">
        <f>-2*Assumptions!$B$13</f>
        <v>-7.0000000000000001E-3</v>
      </c>
      <c r="N77" s="15">
        <f>-Assumptions!$B$16*MAX(0,(1+O65)*(1+O66)*(1+O67)*(1+O68)*(1+O69)*(1+O70)*(1+O71)*(1+O72)*(1+O73)*(1+O74)*(1+O75)*(1+O76)-1)</f>
        <v>-2.2222705504736595E-2</v>
      </c>
      <c r="O77" s="15">
        <f t="shared" si="9"/>
        <v>9.7376116276099989E-2</v>
      </c>
      <c r="P77" s="20">
        <f t="shared" si="11"/>
        <v>3.798109758164339</v>
      </c>
      <c r="Q77" s="20">
        <f>MAX($P$5:P77)</f>
        <v>3.798109758164339</v>
      </c>
      <c r="R77" s="15">
        <f t="shared" si="10"/>
        <v>0</v>
      </c>
      <c r="S77" s="15">
        <f>O77-Benchmark_RF!D77</f>
        <v>9.1542554757588324E-2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IF(Rankings!C83&lt;=2,1,0)</f>
        <v>0</v>
      </c>
      <c r="D78" s="16">
        <f>IF(Rankings!D83&lt;=2,1,0)</f>
        <v>1</v>
      </c>
      <c r="E78" s="16">
        <f>IF(Rankings!E83&lt;=2,1,0)</f>
        <v>0</v>
      </c>
      <c r="F78" s="16">
        <f>IF(Rankings!F83&lt;=2,1,0)</f>
        <v>1</v>
      </c>
      <c r="G78" s="16">
        <f>IF(Rankings!G83&lt;=2,1,0)</f>
        <v>0</v>
      </c>
      <c r="H78" s="16">
        <f>IF(Rankings!H83&lt;=2,1,0)</f>
        <v>0</v>
      </c>
      <c r="I78" s="16">
        <f>IF(Rankings!I83&lt;=2,1,0)</f>
        <v>0</v>
      </c>
      <c r="J78" s="16">
        <f>IF(Rankings!J83&lt;=2,1,0)</f>
        <v>0</v>
      </c>
      <c r="K78" s="19">
        <f t="shared" si="8"/>
        <v>2</v>
      </c>
      <c r="L78" s="15">
        <f>SUMPRODUCT(C78:J78,Returns!B82:I82)/K78</f>
        <v>-1.4243457975781582E-2</v>
      </c>
      <c r="M78" s="15">
        <v>0</v>
      </c>
      <c r="N78" s="15">
        <v>0</v>
      </c>
      <c r="O78" s="15">
        <f t="shared" si="9"/>
        <v>-1.4243457975781582E-2</v>
      </c>
      <c r="P78" s="20">
        <f t="shared" si="11"/>
        <v>3.7440115414365196</v>
      </c>
      <c r="Q78" s="20">
        <f>MAX($P$5:P78)</f>
        <v>3.798109758164339</v>
      </c>
      <c r="R78" s="15">
        <f t="shared" si="10"/>
        <v>-1.4243457975781526E-2</v>
      </c>
      <c r="S78" s="15">
        <f>O78-Benchmark_RF!D78</f>
        <v>-2.0343809650764932E-2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IF(Rankings!C83&lt;=2,1,0)</f>
        <v>0</v>
      </c>
      <c r="D79" s="16">
        <f>IF(Rankings!D83&lt;=2,1,0)</f>
        <v>1</v>
      </c>
      <c r="E79" s="16">
        <f>IF(Rankings!E83&lt;=2,1,0)</f>
        <v>0</v>
      </c>
      <c r="F79" s="16">
        <f>IF(Rankings!F83&lt;=2,1,0)</f>
        <v>1</v>
      </c>
      <c r="G79" s="16">
        <f>IF(Rankings!G83&lt;=2,1,0)</f>
        <v>0</v>
      </c>
      <c r="H79" s="16">
        <f>IF(Rankings!H83&lt;=2,1,0)</f>
        <v>0</v>
      </c>
      <c r="I79" s="16">
        <f>IF(Rankings!I83&lt;=2,1,0)</f>
        <v>0</v>
      </c>
      <c r="J79" s="16">
        <f>IF(Rankings!J83&lt;=2,1,0)</f>
        <v>0</v>
      </c>
      <c r="K79" s="19">
        <f t="shared" si="8"/>
        <v>2</v>
      </c>
      <c r="L79" s="15">
        <f>SUMPRODUCT(C79:J79,Returns!B83:I83)/K79</f>
        <v>1.1311984434609845E-2</v>
      </c>
      <c r="M79" s="15">
        <v>0</v>
      </c>
      <c r="N79" s="15">
        <v>0</v>
      </c>
      <c r="O79" s="15">
        <f t="shared" si="9"/>
        <v>1.1311984434609845E-2</v>
      </c>
      <c r="P79" s="20">
        <f t="shared" si="11"/>
        <v>3.7863637417162495</v>
      </c>
      <c r="Q79" s="20">
        <f>MAX($P$5:P79)</f>
        <v>3.798109758164339</v>
      </c>
      <c r="R79" s="15">
        <f t="shared" si="10"/>
        <v>-3.092595316088631E-3</v>
      </c>
      <c r="S79" s="15">
        <f>O79-Benchmark_RF!D79</f>
        <v>4.7423105756544959E-3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IF(Rankings!C83&lt;=2,1,0)</f>
        <v>0</v>
      </c>
      <c r="D80" s="16">
        <f>IF(Rankings!D83&lt;=2,1,0)</f>
        <v>1</v>
      </c>
      <c r="E80" s="16">
        <f>IF(Rankings!E83&lt;=2,1,0)</f>
        <v>0</v>
      </c>
      <c r="F80" s="16">
        <f>IF(Rankings!F83&lt;=2,1,0)</f>
        <v>1</v>
      </c>
      <c r="G80" s="16">
        <f>IF(Rankings!G83&lt;=2,1,0)</f>
        <v>0</v>
      </c>
      <c r="H80" s="16">
        <f>IF(Rankings!H83&lt;=2,1,0)</f>
        <v>0</v>
      </c>
      <c r="I80" s="16">
        <f>IF(Rankings!I83&lt;=2,1,0)</f>
        <v>0</v>
      </c>
      <c r="J80" s="16">
        <f>IF(Rankings!J83&lt;=2,1,0)</f>
        <v>0</v>
      </c>
      <c r="K80" s="19">
        <f t="shared" si="8"/>
        <v>2</v>
      </c>
      <c r="L80" s="15">
        <f>SUMPRODUCT(C80:J80,Returns!B84:I84)/K80</f>
        <v>3.878590404876836E-2</v>
      </c>
      <c r="M80" s="15">
        <v>0</v>
      </c>
      <c r="N80" s="15">
        <v>0</v>
      </c>
      <c r="O80" s="15">
        <f t="shared" si="9"/>
        <v>3.878590404876836E-2</v>
      </c>
      <c r="P80" s="20">
        <f t="shared" si="11"/>
        <v>3.9332212824961914</v>
      </c>
      <c r="Q80" s="20">
        <f>MAX($P$5:P80)</f>
        <v>3.9332212824961914</v>
      </c>
      <c r="R80" s="15">
        <f t="shared" si="10"/>
        <v>0</v>
      </c>
      <c r="S80" s="15">
        <f>O80-Benchmark_RF!D80</f>
        <v>3.1964178696580969E-2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IF(Rankings!C83&lt;=2,1,0)</f>
        <v>0</v>
      </c>
      <c r="D81" s="16">
        <f>IF(Rankings!D83&lt;=2,1,0)</f>
        <v>1</v>
      </c>
      <c r="E81" s="16">
        <f>IF(Rankings!E83&lt;=2,1,0)</f>
        <v>0</v>
      </c>
      <c r="F81" s="16">
        <f>IF(Rankings!F83&lt;=2,1,0)</f>
        <v>1</v>
      </c>
      <c r="G81" s="16">
        <f>IF(Rankings!G83&lt;=2,1,0)</f>
        <v>0</v>
      </c>
      <c r="H81" s="16">
        <f>IF(Rankings!H83&lt;=2,1,0)</f>
        <v>0</v>
      </c>
      <c r="I81" s="16">
        <f>IF(Rankings!I83&lt;=2,1,0)</f>
        <v>0</v>
      </c>
      <c r="J81" s="16">
        <f>IF(Rankings!J83&lt;=2,1,0)</f>
        <v>0</v>
      </c>
      <c r="K81" s="19">
        <f t="shared" si="8"/>
        <v>2</v>
      </c>
      <c r="L81" s="15">
        <f>SUMPRODUCT(C81:J81,Returns!B85:I85)/K81</f>
        <v>-6.1568832836052467E-2</v>
      </c>
      <c r="M81" s="15">
        <v>0</v>
      </c>
      <c r="N81" s="15">
        <v>0</v>
      </c>
      <c r="O81" s="15">
        <f t="shared" si="9"/>
        <v>-6.1568832836052467E-2</v>
      </c>
      <c r="P81" s="20">
        <f t="shared" si="11"/>
        <v>3.6910574388469799</v>
      </c>
      <c r="Q81" s="20">
        <f>MAX($P$5:P81)</f>
        <v>3.9332212824961914</v>
      </c>
      <c r="R81" s="15">
        <f t="shared" si="10"/>
        <v>-6.1568832836052412E-2</v>
      </c>
      <c r="S81" s="15">
        <f>O81-Benchmark_RF!D81</f>
        <v>-6.9838245847415215E-2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IF(Rankings!C83&lt;=2,1,0)</f>
        <v>0</v>
      </c>
      <c r="D82" s="16">
        <f>IF(Rankings!D83&lt;=2,1,0)</f>
        <v>1</v>
      </c>
      <c r="E82" s="16">
        <f>IF(Rankings!E83&lt;=2,1,0)</f>
        <v>0</v>
      </c>
      <c r="F82" s="16">
        <f>IF(Rankings!F83&lt;=2,1,0)</f>
        <v>1</v>
      </c>
      <c r="G82" s="16">
        <f>IF(Rankings!G83&lt;=2,1,0)</f>
        <v>0</v>
      </c>
      <c r="H82" s="16">
        <f>IF(Rankings!H83&lt;=2,1,0)</f>
        <v>0</v>
      </c>
      <c r="I82" s="16">
        <f>IF(Rankings!I83&lt;=2,1,0)</f>
        <v>0</v>
      </c>
      <c r="J82" s="16">
        <f>IF(Rankings!J83&lt;=2,1,0)</f>
        <v>0</v>
      </c>
      <c r="K82" s="19">
        <f t="shared" si="8"/>
        <v>2</v>
      </c>
      <c r="L82" s="15">
        <f>SUMPRODUCT(C82:J82,Returns!B86:I86)/K82</f>
        <v>3.633979467312265E-2</v>
      </c>
      <c r="M82" s="15">
        <v>0</v>
      </c>
      <c r="N82" s="15">
        <v>0</v>
      </c>
      <c r="O82" s="15">
        <f t="shared" si="9"/>
        <v>3.633979467312265E-2</v>
      </c>
      <c r="P82" s="20">
        <f t="shared" si="11"/>
        <v>3.8251897083013815</v>
      </c>
      <c r="Q82" s="20">
        <f>MAX($P$5:P82)</f>
        <v>3.9332212824961914</v>
      </c>
      <c r="R82" s="15">
        <f t="shared" si="10"/>
        <v>-2.746643690645556E-2</v>
      </c>
      <c r="S82" s="15">
        <f>O82-Benchmark_RF!D82</f>
        <v>2.8210771001087376E-2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IF(Rankings!C83&lt;=2,1,0)</f>
        <v>0</v>
      </c>
      <c r="D83" s="16">
        <f>IF(Rankings!D83&lt;=2,1,0)</f>
        <v>1</v>
      </c>
      <c r="E83" s="16">
        <f>IF(Rankings!E83&lt;=2,1,0)</f>
        <v>0</v>
      </c>
      <c r="F83" s="16">
        <f>IF(Rankings!F83&lt;=2,1,0)</f>
        <v>1</v>
      </c>
      <c r="G83" s="16">
        <f>IF(Rankings!G83&lt;=2,1,0)</f>
        <v>0</v>
      </c>
      <c r="H83" s="16">
        <f>IF(Rankings!H83&lt;=2,1,0)</f>
        <v>0</v>
      </c>
      <c r="I83" s="16">
        <f>IF(Rankings!I83&lt;=2,1,0)</f>
        <v>0</v>
      </c>
      <c r="J83" s="16">
        <f>IF(Rankings!J83&lt;=2,1,0)</f>
        <v>0</v>
      </c>
      <c r="K83" s="19">
        <f t="shared" si="8"/>
        <v>2</v>
      </c>
      <c r="L83" s="15">
        <f>SUMPRODUCT(C83:J83,Returns!B87:I87)/K83</f>
        <v>-2.5289840807720121E-3</v>
      </c>
      <c r="M83" s="15">
        <v>0</v>
      </c>
      <c r="N83" s="15">
        <v>0</v>
      </c>
      <c r="O83" s="15">
        <f t="shared" si="9"/>
        <v>-2.5289840807720121E-3</v>
      </c>
      <c r="P83" s="20">
        <f t="shared" si="11"/>
        <v>3.8155158644231539</v>
      </c>
      <c r="Q83" s="20">
        <f>MAX($P$5:P83)</f>
        <v>3.9332212824961914</v>
      </c>
      <c r="R83" s="15">
        <f t="shared" si="10"/>
        <v>-2.9925958805535724E-2</v>
      </c>
      <c r="S83" s="15">
        <f>O83-Benchmark_RF!D83</f>
        <v>-1.0795580755064538E-2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IF(Rankings!C83&lt;=2,1,0)</f>
        <v>0</v>
      </c>
      <c r="D84" s="16">
        <f>IF(Rankings!D83&lt;=2,1,0)</f>
        <v>1</v>
      </c>
      <c r="E84" s="16">
        <f>IF(Rankings!E83&lt;=2,1,0)</f>
        <v>0</v>
      </c>
      <c r="F84" s="16">
        <f>IF(Rankings!F83&lt;=2,1,0)</f>
        <v>1</v>
      </c>
      <c r="G84" s="16">
        <f>IF(Rankings!G83&lt;=2,1,0)</f>
        <v>0</v>
      </c>
      <c r="H84" s="16">
        <f>IF(Rankings!H83&lt;=2,1,0)</f>
        <v>0</v>
      </c>
      <c r="I84" s="16">
        <f>IF(Rankings!I83&lt;=2,1,0)</f>
        <v>0</v>
      </c>
      <c r="J84" s="16">
        <f>IF(Rankings!J83&lt;=2,1,0)</f>
        <v>0</v>
      </c>
      <c r="K84" s="19">
        <f t="shared" si="8"/>
        <v>2</v>
      </c>
      <c r="L84" s="15">
        <f>SUMPRODUCT(C84:J84,Returns!B88:I88)/K84</f>
        <v>-6.803469183579558E-2</v>
      </c>
      <c r="M84" s="15">
        <v>0</v>
      </c>
      <c r="N84" s="15">
        <v>0</v>
      </c>
      <c r="O84" s="15">
        <f t="shared" si="9"/>
        <v>-6.803469183579558E-2</v>
      </c>
      <c r="P84" s="20">
        <f t="shared" si="11"/>
        <v>3.5559284183925355</v>
      </c>
      <c r="Q84" s="20">
        <f>MAX($P$5:P84)</f>
        <v>3.9332212824961914</v>
      </c>
      <c r="R84" s="15">
        <f t="shared" si="10"/>
        <v>-9.5924647256105944E-2</v>
      </c>
      <c r="S84" s="15">
        <f>O84-Benchmark_RF!D84</f>
        <v>-7.7335967042285181E-2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IF(Rankings!C83&lt;=2,1,0)</f>
        <v>0</v>
      </c>
      <c r="D85" s="16">
        <f>IF(Rankings!D83&lt;=2,1,0)</f>
        <v>1</v>
      </c>
      <c r="E85" s="16">
        <f>IF(Rankings!E83&lt;=2,1,0)</f>
        <v>0</v>
      </c>
      <c r="F85" s="16">
        <f>IF(Rankings!F83&lt;=2,1,0)</f>
        <v>1</v>
      </c>
      <c r="G85" s="16">
        <f>IF(Rankings!G83&lt;=2,1,0)</f>
        <v>0</v>
      </c>
      <c r="H85" s="16">
        <f>IF(Rankings!H83&lt;=2,1,0)</f>
        <v>0</v>
      </c>
      <c r="I85" s="16">
        <f>IF(Rankings!I83&lt;=2,1,0)</f>
        <v>0</v>
      </c>
      <c r="J85" s="16">
        <f>IF(Rankings!J83&lt;=2,1,0)</f>
        <v>0</v>
      </c>
      <c r="K85" s="19">
        <f t="shared" si="8"/>
        <v>2</v>
      </c>
      <c r="L85" s="15">
        <f>SUMPRODUCT(C85:J85,Returns!B89:I89)/K85</f>
        <v>5.4192401940784451E-2</v>
      </c>
      <c r="M85" s="15">
        <v>0</v>
      </c>
      <c r="N85" s="15">
        <v>0</v>
      </c>
      <c r="O85" s="15">
        <f t="shared" si="9"/>
        <v>5.4192401940784451E-2</v>
      </c>
      <c r="P85" s="20">
        <f t="shared" si="11"/>
        <v>3.7486327205147218</v>
      </c>
      <c r="Q85" s="20">
        <f>MAX($P$5:P85)</f>
        <v>3.9332212824961914</v>
      </c>
      <c r="R85" s="15">
        <f t="shared" si="10"/>
        <v>-4.6930632355452362E-2</v>
      </c>
      <c r="S85" s="15">
        <f>O85-Benchmark_RF!D85</f>
        <v>4.3070587033433805E-2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IF(Rankings!C83&lt;=2,1,0)</f>
        <v>0</v>
      </c>
      <c r="D86" s="16">
        <f>IF(Rankings!D83&lt;=2,1,0)</f>
        <v>1</v>
      </c>
      <c r="E86" s="16">
        <f>IF(Rankings!E83&lt;=2,1,0)</f>
        <v>0</v>
      </c>
      <c r="F86" s="16">
        <f>IF(Rankings!F83&lt;=2,1,0)</f>
        <v>1</v>
      </c>
      <c r="G86" s="16">
        <f>IF(Rankings!G83&lt;=2,1,0)</f>
        <v>0</v>
      </c>
      <c r="H86" s="16">
        <f>IF(Rankings!H83&lt;=2,1,0)</f>
        <v>0</v>
      </c>
      <c r="I86" s="16">
        <f>IF(Rankings!I83&lt;=2,1,0)</f>
        <v>0</v>
      </c>
      <c r="J86" s="16">
        <f>IF(Rankings!J83&lt;=2,1,0)</f>
        <v>0</v>
      </c>
      <c r="K86" s="19">
        <f t="shared" si="8"/>
        <v>2</v>
      </c>
      <c r="L86" s="15">
        <f>SUMPRODUCT(C86:J86,Returns!B90:I90)/K86</f>
        <v>-9.0351644287048782E-2</v>
      </c>
      <c r="M86" s="15">
        <v>0</v>
      </c>
      <c r="N86" s="15">
        <v>0</v>
      </c>
      <c r="O86" s="15">
        <f t="shared" si="9"/>
        <v>-9.0351644287048782E-2</v>
      </c>
      <c r="P86" s="20">
        <f t="shared" si="11"/>
        <v>3.4099375903879836</v>
      </c>
      <c r="Q86" s="20">
        <f>MAX($P$5:P86)</f>
        <v>3.9332212824961914</v>
      </c>
      <c r="R86" s="15">
        <f t="shared" si="10"/>
        <v>-0.1330420168417551</v>
      </c>
      <c r="S86" s="15">
        <f>O86-Benchmark_RF!D86</f>
        <v>-0.10164220290416692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IF(Rankings!C83&lt;=2,1,0)</f>
        <v>0</v>
      </c>
      <c r="D87" s="16">
        <f>IF(Rankings!D83&lt;=2,1,0)</f>
        <v>1</v>
      </c>
      <c r="E87" s="16">
        <f>IF(Rankings!E83&lt;=2,1,0)</f>
        <v>0</v>
      </c>
      <c r="F87" s="16">
        <f>IF(Rankings!F83&lt;=2,1,0)</f>
        <v>1</v>
      </c>
      <c r="G87" s="16">
        <f>IF(Rankings!G83&lt;=2,1,0)</f>
        <v>0</v>
      </c>
      <c r="H87" s="16">
        <f>IF(Rankings!H83&lt;=2,1,0)</f>
        <v>0</v>
      </c>
      <c r="I87" s="16">
        <f>IF(Rankings!I83&lt;=2,1,0)</f>
        <v>0</v>
      </c>
      <c r="J87" s="16">
        <f>IF(Rankings!J83&lt;=2,1,0)</f>
        <v>0</v>
      </c>
      <c r="K87" s="19">
        <f t="shared" si="8"/>
        <v>2</v>
      </c>
      <c r="L87" s="15">
        <f>SUMPRODUCT(C87:J87,Returns!B91:I91)/K87</f>
        <v>-0.10886506356204778</v>
      </c>
      <c r="M87" s="15">
        <v>0</v>
      </c>
      <c r="N87" s="15">
        <v>0</v>
      </c>
      <c r="O87" s="15">
        <f t="shared" si="9"/>
        <v>-0.10886506356204778</v>
      </c>
      <c r="P87" s="20">
        <f t="shared" si="11"/>
        <v>3.0387145178677795</v>
      </c>
      <c r="Q87" s="20">
        <f>MAX($P$5:P87)</f>
        <v>3.9332212824961914</v>
      </c>
      <c r="R87" s="15">
        <f t="shared" si="10"/>
        <v>-0.22742345278390219</v>
      </c>
      <c r="S87" s="15">
        <f>O87-Benchmark_RF!D87</f>
        <v>-0.12063861193027464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IF(Rankings!C83&lt;=2,1,0)</f>
        <v>0</v>
      </c>
      <c r="D88" s="16">
        <f>IF(Rankings!D83&lt;=2,1,0)</f>
        <v>1</v>
      </c>
      <c r="E88" s="16">
        <f>IF(Rankings!E83&lt;=2,1,0)</f>
        <v>0</v>
      </c>
      <c r="F88" s="16">
        <f>IF(Rankings!F83&lt;=2,1,0)</f>
        <v>1</v>
      </c>
      <c r="G88" s="16">
        <f>IF(Rankings!G83&lt;=2,1,0)</f>
        <v>0</v>
      </c>
      <c r="H88" s="16">
        <f>IF(Rankings!H83&lt;=2,1,0)</f>
        <v>0</v>
      </c>
      <c r="I88" s="16">
        <f>IF(Rankings!I83&lt;=2,1,0)</f>
        <v>0</v>
      </c>
      <c r="J88" s="16">
        <f>IF(Rankings!J83&lt;=2,1,0)</f>
        <v>0</v>
      </c>
      <c r="K88" s="19">
        <f t="shared" si="8"/>
        <v>2</v>
      </c>
      <c r="L88" s="15">
        <f>SUMPRODUCT(C88:J88,Returns!B92:I92)/K88</f>
        <v>2.2401011215449851E-2</v>
      </c>
      <c r="M88" s="15">
        <v>0</v>
      </c>
      <c r="N88" s="15">
        <v>0</v>
      </c>
      <c r="O88" s="15">
        <f t="shared" si="9"/>
        <v>2.2401011215449851E-2</v>
      </c>
      <c r="P88" s="20">
        <f t="shared" si="11"/>
        <v>3.1067847958630859</v>
      </c>
      <c r="Q88" s="20">
        <f>MAX($P$5:P88)</f>
        <v>3.9332212824961914</v>
      </c>
      <c r="R88" s="15">
        <f t="shared" si="10"/>
        <v>-0.21011695688492094</v>
      </c>
      <c r="S88" s="15">
        <f>O88-Benchmark_RF!D88</f>
        <v>1.0225380094390168E-2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IF(Rankings!C95&lt;=2,1,0)</f>
        <v>0</v>
      </c>
      <c r="D89" s="16">
        <f>IF(Rankings!D95&lt;=2,1,0)</f>
        <v>0</v>
      </c>
      <c r="E89" s="16">
        <f>IF(Rankings!E95&lt;=2,1,0)</f>
        <v>0</v>
      </c>
      <c r="F89" s="16">
        <f>IF(Rankings!F95&lt;=2,1,0)</f>
        <v>0</v>
      </c>
      <c r="G89" s="16">
        <f>IF(Rankings!G95&lt;=2,1,0)</f>
        <v>1</v>
      </c>
      <c r="H89" s="16">
        <f>IF(Rankings!H95&lt;=2,1,0)</f>
        <v>0</v>
      </c>
      <c r="I89" s="16">
        <f>IF(Rankings!I95&lt;=2,1,0)</f>
        <v>1</v>
      </c>
      <c r="J89" s="16">
        <f>IF(Rankings!J95&lt;=2,1,0)</f>
        <v>0</v>
      </c>
      <c r="K89" s="19">
        <f t="shared" si="8"/>
        <v>2</v>
      </c>
      <c r="L89" s="15">
        <f>SUMPRODUCT(C89:J89,Returns!B93:I93)/K89</f>
        <v>0.16547020445783045</v>
      </c>
      <c r="M89" s="15">
        <f>-2*Assumptions!$B$13</f>
        <v>-7.0000000000000001E-3</v>
      </c>
      <c r="N89" s="15">
        <f>-Assumptions!$B$16*MAX(0,(1+O77)*(1+O78)*(1+O79)*(1+O80)*(1+O81)*(1+O82)*(1+O83)*(1+O84)*(1+O85)*(1+O86)*(1+O87)*(1+O88)-1)</f>
        <v>0</v>
      </c>
      <c r="O89" s="15">
        <f t="shared" si="9"/>
        <v>0.15847020445783044</v>
      </c>
      <c r="P89" s="20">
        <f t="shared" si="11"/>
        <v>3.5991176176699886</v>
      </c>
      <c r="Q89" s="20">
        <f>MAX($P$5:P89)</f>
        <v>3.9332212824961914</v>
      </c>
      <c r="R89" s="15">
        <f t="shared" si="10"/>
        <v>-8.4944029544700927E-2</v>
      </c>
      <c r="S89" s="15">
        <f>O89-Benchmark_RF!D89</f>
        <v>0.14622165579466551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IF(Rankings!C95&lt;=2,1,0)</f>
        <v>0</v>
      </c>
      <c r="D90" s="16">
        <f>IF(Rankings!D95&lt;=2,1,0)</f>
        <v>0</v>
      </c>
      <c r="E90" s="16">
        <f>IF(Rankings!E95&lt;=2,1,0)</f>
        <v>0</v>
      </c>
      <c r="F90" s="16">
        <f>IF(Rankings!F95&lt;=2,1,0)</f>
        <v>0</v>
      </c>
      <c r="G90" s="16">
        <f>IF(Rankings!G95&lt;=2,1,0)</f>
        <v>1</v>
      </c>
      <c r="H90" s="16">
        <f>IF(Rankings!H95&lt;=2,1,0)</f>
        <v>0</v>
      </c>
      <c r="I90" s="16">
        <f>IF(Rankings!I95&lt;=2,1,0)</f>
        <v>1</v>
      </c>
      <c r="J90" s="16">
        <f>IF(Rankings!J95&lt;=2,1,0)</f>
        <v>0</v>
      </c>
      <c r="K90" s="19">
        <f t="shared" si="8"/>
        <v>2</v>
      </c>
      <c r="L90" s="15">
        <f>SUMPRODUCT(C90:J90,Returns!B94:I94)/K90</f>
        <v>-6.2547657439350202E-2</v>
      </c>
      <c r="M90" s="15">
        <v>0</v>
      </c>
      <c r="N90" s="15">
        <v>0</v>
      </c>
      <c r="O90" s="15">
        <f t="shared" si="9"/>
        <v>-6.2547657439350202E-2</v>
      </c>
      <c r="P90" s="20">
        <f t="shared" si="11"/>
        <v>3.3740012418360359</v>
      </c>
      <c r="Q90" s="20">
        <f>MAX($P$5:P90)</f>
        <v>3.9332212824961914</v>
      </c>
      <c r="R90" s="15">
        <f t="shared" si="10"/>
        <v>-0.14217863692257116</v>
      </c>
      <c r="S90" s="15">
        <f>O90-Benchmark_RF!D90</f>
        <v>-7.4970972833903859E-2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IF(Rankings!C95&lt;=2,1,0)</f>
        <v>0</v>
      </c>
      <c r="D91" s="16">
        <f>IF(Rankings!D95&lt;=2,1,0)</f>
        <v>0</v>
      </c>
      <c r="E91" s="16">
        <f>IF(Rankings!E95&lt;=2,1,0)</f>
        <v>0</v>
      </c>
      <c r="F91" s="16">
        <f>IF(Rankings!F95&lt;=2,1,0)</f>
        <v>0</v>
      </c>
      <c r="G91" s="16">
        <f>IF(Rankings!G95&lt;=2,1,0)</f>
        <v>1</v>
      </c>
      <c r="H91" s="16">
        <f>IF(Rankings!H95&lt;=2,1,0)</f>
        <v>0</v>
      </c>
      <c r="I91" s="16">
        <f>IF(Rankings!I95&lt;=2,1,0)</f>
        <v>1</v>
      </c>
      <c r="J91" s="16">
        <f>IF(Rankings!J95&lt;=2,1,0)</f>
        <v>0</v>
      </c>
      <c r="K91" s="19">
        <f t="shared" si="8"/>
        <v>2</v>
      </c>
      <c r="L91" s="15">
        <f>SUMPRODUCT(C91:J91,Returns!B95:I95)/K91</f>
        <v>-7.7449948079763575E-2</v>
      </c>
      <c r="M91" s="15">
        <v>0</v>
      </c>
      <c r="N91" s="15">
        <v>0</v>
      </c>
      <c r="O91" s="15">
        <f t="shared" si="9"/>
        <v>-7.7449948079763575E-2</v>
      </c>
      <c r="P91" s="20">
        <f t="shared" si="11"/>
        <v>3.1126850208347769</v>
      </c>
      <c r="Q91" s="20">
        <f>MAX($P$5:P91)</f>
        <v>3.9332212824961914</v>
      </c>
      <c r="R91" s="15">
        <f t="shared" si="10"/>
        <v>-0.20861685695463006</v>
      </c>
      <c r="S91" s="15">
        <f>O91-Benchmark_RF!D91</f>
        <v>-8.9654753151770739E-2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IF(Rankings!C95&lt;=2,1,0)</f>
        <v>0</v>
      </c>
      <c r="D92" s="16">
        <f>IF(Rankings!D95&lt;=2,1,0)</f>
        <v>0</v>
      </c>
      <c r="E92" s="16">
        <f>IF(Rankings!E95&lt;=2,1,0)</f>
        <v>0</v>
      </c>
      <c r="F92" s="16">
        <f>IF(Rankings!F95&lt;=2,1,0)</f>
        <v>0</v>
      </c>
      <c r="G92" s="16">
        <f>IF(Rankings!G95&lt;=2,1,0)</f>
        <v>1</v>
      </c>
      <c r="H92" s="16">
        <f>IF(Rankings!H95&lt;=2,1,0)</f>
        <v>0</v>
      </c>
      <c r="I92" s="16">
        <f>IF(Rankings!I95&lt;=2,1,0)</f>
        <v>1</v>
      </c>
      <c r="J92" s="16">
        <f>IF(Rankings!J95&lt;=2,1,0)</f>
        <v>0</v>
      </c>
      <c r="K92" s="19">
        <f t="shared" si="8"/>
        <v>2</v>
      </c>
      <c r="L92" s="15">
        <f>SUMPRODUCT(C92:J92,Returns!B96:I96)/K92</f>
        <v>5.4530774812675986E-2</v>
      </c>
      <c r="M92" s="15">
        <v>0</v>
      </c>
      <c r="N92" s="15">
        <v>0</v>
      </c>
      <c r="O92" s="15">
        <f t="shared" si="9"/>
        <v>5.4530774812675986E-2</v>
      </c>
      <c r="P92" s="20">
        <f t="shared" si="11"/>
        <v>3.2824221467687078</v>
      </c>
      <c r="Q92" s="20">
        <f>MAX($P$5:P92)</f>
        <v>3.9332212824961914</v>
      </c>
      <c r="R92" s="15">
        <f t="shared" si="10"/>
        <v>-0.16546212099067525</v>
      </c>
      <c r="S92" s="15">
        <f>O92-Benchmark_RF!D92</f>
        <v>4.1447800108544097E-2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IF(Rankings!C95&lt;=2,1,0)</f>
        <v>0</v>
      </c>
      <c r="D93" s="16">
        <f>IF(Rankings!D95&lt;=2,1,0)</f>
        <v>0</v>
      </c>
      <c r="E93" s="16">
        <f>IF(Rankings!E95&lt;=2,1,0)</f>
        <v>0</v>
      </c>
      <c r="F93" s="16">
        <f>IF(Rankings!F95&lt;=2,1,0)</f>
        <v>0</v>
      </c>
      <c r="G93" s="16">
        <f>IF(Rankings!G95&lt;=2,1,0)</f>
        <v>1</v>
      </c>
      <c r="H93" s="16">
        <f>IF(Rankings!H95&lt;=2,1,0)</f>
        <v>0</v>
      </c>
      <c r="I93" s="16">
        <f>IF(Rankings!I95&lt;=2,1,0)</f>
        <v>1</v>
      </c>
      <c r="J93" s="16">
        <f>IF(Rankings!J95&lt;=2,1,0)</f>
        <v>0</v>
      </c>
      <c r="K93" s="19">
        <f t="shared" si="8"/>
        <v>2</v>
      </c>
      <c r="L93" s="15">
        <f>SUMPRODUCT(C93:J93,Returns!B97:I97)/K93</f>
        <v>-0.11564626464433819</v>
      </c>
      <c r="M93" s="15">
        <v>0</v>
      </c>
      <c r="N93" s="15">
        <v>0</v>
      </c>
      <c r="O93" s="15">
        <f t="shared" si="9"/>
        <v>-0.11564626464433819</v>
      </c>
      <c r="P93" s="20">
        <f t="shared" si="11"/>
        <v>2.9028222865090574</v>
      </c>
      <c r="Q93" s="20">
        <f>MAX($P$5:P93)</f>
        <v>3.9332212824961914</v>
      </c>
      <c r="R93" s="15">
        <f t="shared" si="10"/>
        <v>-0.26197330940231223</v>
      </c>
      <c r="S93" s="15">
        <f>O93-Benchmark_RF!D93</f>
        <v>-0.12878700602068421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IF(Rankings!C95&lt;=2,1,0)</f>
        <v>0</v>
      </c>
      <c r="D94" s="16">
        <f>IF(Rankings!D95&lt;=2,1,0)</f>
        <v>0</v>
      </c>
      <c r="E94" s="16">
        <f>IF(Rankings!E95&lt;=2,1,0)</f>
        <v>0</v>
      </c>
      <c r="F94" s="16">
        <f>IF(Rankings!F95&lt;=2,1,0)</f>
        <v>0</v>
      </c>
      <c r="G94" s="16">
        <f>IF(Rankings!G95&lt;=2,1,0)</f>
        <v>1</v>
      </c>
      <c r="H94" s="16">
        <f>IF(Rankings!H95&lt;=2,1,0)</f>
        <v>0</v>
      </c>
      <c r="I94" s="16">
        <f>IF(Rankings!I95&lt;=2,1,0)</f>
        <v>1</v>
      </c>
      <c r="J94" s="16">
        <f>IF(Rankings!J95&lt;=2,1,0)</f>
        <v>0</v>
      </c>
      <c r="K94" s="19">
        <f t="shared" si="8"/>
        <v>2</v>
      </c>
      <c r="L94" s="15">
        <f>SUMPRODUCT(C94:J94,Returns!B98:I98)/K94</f>
        <v>-4.458219911797856E-2</v>
      </c>
      <c r="M94" s="15">
        <v>0</v>
      </c>
      <c r="N94" s="15">
        <v>0</v>
      </c>
      <c r="O94" s="15">
        <f t="shared" si="9"/>
        <v>-4.458219911797856E-2</v>
      </c>
      <c r="P94" s="20">
        <f t="shared" si="11"/>
        <v>2.7734080853278047</v>
      </c>
      <c r="Q94" s="20">
        <f>MAX($P$5:P94)</f>
        <v>3.9332212824961914</v>
      </c>
      <c r="R94" s="15">
        <f t="shared" si="10"/>
        <v>-0.29487616227692115</v>
      </c>
      <c r="S94" s="15">
        <f>O94-Benchmark_RF!D94</f>
        <v>-5.834165514630818E-2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IF(Rankings!C95&lt;=2,1,0)</f>
        <v>0</v>
      </c>
      <c r="D95" s="16">
        <f>IF(Rankings!D95&lt;=2,1,0)</f>
        <v>0</v>
      </c>
      <c r="E95" s="16">
        <f>IF(Rankings!E95&lt;=2,1,0)</f>
        <v>0</v>
      </c>
      <c r="F95" s="16">
        <f>IF(Rankings!F95&lt;=2,1,0)</f>
        <v>0</v>
      </c>
      <c r="G95" s="16">
        <f>IF(Rankings!G95&lt;=2,1,0)</f>
        <v>1</v>
      </c>
      <c r="H95" s="16">
        <f>IF(Rankings!H95&lt;=2,1,0)</f>
        <v>0</v>
      </c>
      <c r="I95" s="16">
        <f>IF(Rankings!I95&lt;=2,1,0)</f>
        <v>1</v>
      </c>
      <c r="J95" s="16">
        <f>IF(Rankings!J95&lt;=2,1,0)</f>
        <v>0</v>
      </c>
      <c r="K95" s="19">
        <f t="shared" si="8"/>
        <v>2</v>
      </c>
      <c r="L95" s="15">
        <f>SUMPRODUCT(C95:J95,Returns!B99:I99)/K95</f>
        <v>4.9205696999610748E-2</v>
      </c>
      <c r="M95" s="15">
        <v>0</v>
      </c>
      <c r="N95" s="15">
        <v>0</v>
      </c>
      <c r="O95" s="15">
        <f t="shared" si="9"/>
        <v>4.9205696999610748E-2</v>
      </c>
      <c r="P95" s="20">
        <f t="shared" si="11"/>
        <v>2.9098755632307149</v>
      </c>
      <c r="Q95" s="20">
        <f>MAX($P$5:P95)</f>
        <v>3.9332212824961914</v>
      </c>
      <c r="R95" s="15">
        <f t="shared" si="10"/>
        <v>-0.26018005237071662</v>
      </c>
      <c r="S95" s="15">
        <f>O95-Benchmark_RF!D95</f>
        <v>3.4412372696822291E-2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IF(Rankings!C95&lt;=2,1,0)</f>
        <v>0</v>
      </c>
      <c r="D96" s="16">
        <f>IF(Rankings!D95&lt;=2,1,0)</f>
        <v>0</v>
      </c>
      <c r="E96" s="16">
        <f>IF(Rankings!E95&lt;=2,1,0)</f>
        <v>0</v>
      </c>
      <c r="F96" s="16">
        <f>IF(Rankings!F95&lt;=2,1,0)</f>
        <v>0</v>
      </c>
      <c r="G96" s="16">
        <f>IF(Rankings!G95&lt;=2,1,0)</f>
        <v>1</v>
      </c>
      <c r="H96" s="16">
        <f>IF(Rankings!H95&lt;=2,1,0)</f>
        <v>0</v>
      </c>
      <c r="I96" s="16">
        <f>IF(Rankings!I95&lt;=2,1,0)</f>
        <v>1</v>
      </c>
      <c r="J96" s="16">
        <f>IF(Rankings!J95&lt;=2,1,0)</f>
        <v>0</v>
      </c>
      <c r="K96" s="19">
        <f t="shared" si="8"/>
        <v>2</v>
      </c>
      <c r="L96" s="15">
        <f>SUMPRODUCT(C96:J96,Returns!B100:I100)/K96</f>
        <v>-7.4871415099251937E-2</v>
      </c>
      <c r="M96" s="15">
        <v>0</v>
      </c>
      <c r="N96" s="15">
        <v>0</v>
      </c>
      <c r="O96" s="15">
        <f t="shared" si="9"/>
        <v>-7.4871415099251937E-2</v>
      </c>
      <c r="P96" s="20">
        <f t="shared" si="11"/>
        <v>2.6920090620488986</v>
      </c>
      <c r="Q96" s="20">
        <f>MAX($P$5:P96)</f>
        <v>3.9332212824961914</v>
      </c>
      <c r="R96" s="15">
        <f t="shared" si="10"/>
        <v>-0.31557141876837558</v>
      </c>
      <c r="S96" s="15">
        <f>O96-Benchmark_RF!D96</f>
        <v>-9.0925257295329798E-2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IF(Rankings!C95&lt;=2,1,0)</f>
        <v>0</v>
      </c>
      <c r="D97" s="16">
        <f>IF(Rankings!D95&lt;=2,1,0)</f>
        <v>0</v>
      </c>
      <c r="E97" s="16">
        <f>IF(Rankings!E95&lt;=2,1,0)</f>
        <v>0</v>
      </c>
      <c r="F97" s="16">
        <f>IF(Rankings!F95&lt;=2,1,0)</f>
        <v>0</v>
      </c>
      <c r="G97" s="16">
        <f>IF(Rankings!G95&lt;=2,1,0)</f>
        <v>1</v>
      </c>
      <c r="H97" s="16">
        <f>IF(Rankings!H95&lt;=2,1,0)</f>
        <v>0</v>
      </c>
      <c r="I97" s="16">
        <f>IF(Rankings!I95&lt;=2,1,0)</f>
        <v>1</v>
      </c>
      <c r="J97" s="16">
        <f>IF(Rankings!J95&lt;=2,1,0)</f>
        <v>0</v>
      </c>
      <c r="K97" s="19">
        <f t="shared" si="8"/>
        <v>2</v>
      </c>
      <c r="L97" s="15">
        <f>SUMPRODUCT(C97:J97,Returns!B101:I101)/K97</f>
        <v>8.4196038529371908E-2</v>
      </c>
      <c r="M97" s="15">
        <v>0</v>
      </c>
      <c r="N97" s="15">
        <v>0</v>
      </c>
      <c r="O97" s="15">
        <f t="shared" si="9"/>
        <v>8.4196038529371908E-2</v>
      </c>
      <c r="P97" s="20">
        <f t="shared" si="11"/>
        <v>2.9186655607585856</v>
      </c>
      <c r="Q97" s="20">
        <f>MAX($P$5:P97)</f>
        <v>3.9332212824961914</v>
      </c>
      <c r="R97" s="15">
        <f t="shared" si="10"/>
        <v>-0.25794524357239446</v>
      </c>
      <c r="S97" s="15">
        <f>O97-Benchmark_RF!D97</f>
        <v>6.7500965166680083E-2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IF(Rankings!C95&lt;=2,1,0)</f>
        <v>0</v>
      </c>
      <c r="D98" s="16">
        <f>IF(Rankings!D95&lt;=2,1,0)</f>
        <v>0</v>
      </c>
      <c r="E98" s="16">
        <f>IF(Rankings!E95&lt;=2,1,0)</f>
        <v>0</v>
      </c>
      <c r="F98" s="16">
        <f>IF(Rankings!F95&lt;=2,1,0)</f>
        <v>0</v>
      </c>
      <c r="G98" s="16">
        <f>IF(Rankings!G95&lt;=2,1,0)</f>
        <v>1</v>
      </c>
      <c r="H98" s="16">
        <f>IF(Rankings!H95&lt;=2,1,0)</f>
        <v>0</v>
      </c>
      <c r="I98" s="16">
        <f>IF(Rankings!I95&lt;=2,1,0)</f>
        <v>1</v>
      </c>
      <c r="J98" s="16">
        <f>IF(Rankings!J95&lt;=2,1,0)</f>
        <v>0</v>
      </c>
      <c r="K98" s="19">
        <f t="shared" si="8"/>
        <v>2</v>
      </c>
      <c r="L98" s="15">
        <f>SUMPRODUCT(C98:J98,Returns!B102:I102)/K98</f>
        <v>9.6573365264816802E-2</v>
      </c>
      <c r="M98" s="15">
        <v>0</v>
      </c>
      <c r="N98" s="15">
        <v>0</v>
      </c>
      <c r="O98" s="15">
        <f t="shared" si="9"/>
        <v>9.6573365264816802E-2</v>
      </c>
      <c r="P98" s="20">
        <f t="shared" si="11"/>
        <v>3.200530916043566</v>
      </c>
      <c r="Q98" s="20">
        <f>MAX($P$5:P98)</f>
        <v>3.9332212824961914</v>
      </c>
      <c r="R98" s="15">
        <f t="shared" si="10"/>
        <v>-0.1862825185334166</v>
      </c>
      <c r="S98" s="15">
        <f>O98-Benchmark_RF!D98</f>
        <v>7.9878291902124976E-2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IF(Rankings!C95&lt;=2,1,0)</f>
        <v>0</v>
      </c>
      <c r="D99" s="16">
        <f>IF(Rankings!D95&lt;=2,1,0)</f>
        <v>0</v>
      </c>
      <c r="E99" s="16">
        <f>IF(Rankings!E95&lt;=2,1,0)</f>
        <v>0</v>
      </c>
      <c r="F99" s="16">
        <f>IF(Rankings!F95&lt;=2,1,0)</f>
        <v>0</v>
      </c>
      <c r="G99" s="16">
        <f>IF(Rankings!G95&lt;=2,1,0)</f>
        <v>1</v>
      </c>
      <c r="H99" s="16">
        <f>IF(Rankings!H95&lt;=2,1,0)</f>
        <v>0</v>
      </c>
      <c r="I99" s="16">
        <f>IF(Rankings!I95&lt;=2,1,0)</f>
        <v>1</v>
      </c>
      <c r="J99" s="16">
        <f>IF(Rankings!J95&lt;=2,1,0)</f>
        <v>0</v>
      </c>
      <c r="K99" s="19">
        <f t="shared" si="8"/>
        <v>2</v>
      </c>
      <c r="L99" s="15">
        <f>SUMPRODUCT(C99:J99,Returns!B103:I103)/K99</f>
        <v>2.7318770968944528E-2</v>
      </c>
      <c r="M99" s="15">
        <v>0</v>
      </c>
      <c r="N99" s="15">
        <v>0</v>
      </c>
      <c r="O99" s="15">
        <f t="shared" si="9"/>
        <v>2.7318770968944528E-2</v>
      </c>
      <c r="P99" s="20">
        <f t="shared" si="11"/>
        <v>3.2879654871179862</v>
      </c>
      <c r="Q99" s="20">
        <f>MAX($P$5:P99)</f>
        <v>3.9332212824961914</v>
      </c>
      <c r="R99" s="15">
        <f t="shared" si="10"/>
        <v>-0.16405275702380473</v>
      </c>
      <c r="S99" s="15">
        <f>O99-Benchmark_RF!D99</f>
        <v>1.0616752090091608E-2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IF(Rankings!C95&lt;=2,1,0)</f>
        <v>0</v>
      </c>
      <c r="D100" s="16">
        <f>IF(Rankings!D95&lt;=2,1,0)</f>
        <v>0</v>
      </c>
      <c r="E100" s="16">
        <f>IF(Rankings!E95&lt;=2,1,0)</f>
        <v>0</v>
      </c>
      <c r="F100" s="16">
        <f>IF(Rankings!F95&lt;=2,1,0)</f>
        <v>0</v>
      </c>
      <c r="G100" s="16">
        <f>IF(Rankings!G95&lt;=2,1,0)</f>
        <v>1</v>
      </c>
      <c r="H100" s="16">
        <f>IF(Rankings!H95&lt;=2,1,0)</f>
        <v>0</v>
      </c>
      <c r="I100" s="16">
        <f>IF(Rankings!I95&lt;=2,1,0)</f>
        <v>1</v>
      </c>
      <c r="J100" s="16">
        <f>IF(Rankings!J95&lt;=2,1,0)</f>
        <v>0</v>
      </c>
      <c r="K100" s="19">
        <f t="shared" si="8"/>
        <v>2</v>
      </c>
      <c r="L100" s="15">
        <f>SUMPRODUCT(C100:J100,Returns!B104:I104)/K100</f>
        <v>0.26155481613456033</v>
      </c>
      <c r="M100" s="15">
        <v>0</v>
      </c>
      <c r="N100" s="15">
        <v>0</v>
      </c>
      <c r="O100" s="15">
        <f t="shared" si="9"/>
        <v>0.26155481613456033</v>
      </c>
      <c r="P100" s="20">
        <f t="shared" si="11"/>
        <v>4.1479486955579112</v>
      </c>
      <c r="Q100" s="20">
        <f>MAX($P$5:P100)</f>
        <v>4.1479486955579112</v>
      </c>
      <c r="R100" s="15">
        <f t="shared" si="10"/>
        <v>0</v>
      </c>
      <c r="S100" s="15">
        <f>O100-Benchmark_RF!D100</f>
        <v>0.24422472318076605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IF(Rankings!C107&lt;=2,1,0)</f>
        <v>0</v>
      </c>
      <c r="D101" s="16">
        <f>IF(Rankings!D107&lt;=2,1,0)</f>
        <v>0</v>
      </c>
      <c r="E101" s="16">
        <f>IF(Rankings!E107&lt;=2,1,0)</f>
        <v>0</v>
      </c>
      <c r="F101" s="16">
        <f>IF(Rankings!F107&lt;=2,1,0)</f>
        <v>1</v>
      </c>
      <c r="G101" s="16">
        <f>IF(Rankings!G107&lt;=2,1,0)</f>
        <v>0</v>
      </c>
      <c r="H101" s="16">
        <f>IF(Rankings!H107&lt;=2,1,0)</f>
        <v>1</v>
      </c>
      <c r="I101" s="16">
        <f>IF(Rankings!I107&lt;=2,1,0)</f>
        <v>0</v>
      </c>
      <c r="J101" s="16">
        <f>IF(Rankings!J107&lt;=2,1,0)</f>
        <v>0</v>
      </c>
      <c r="K101" s="19">
        <f t="shared" ref="K101:K132" si="12">SUM(C101:J101)</f>
        <v>2</v>
      </c>
      <c r="L101" s="15">
        <f>SUMPRODUCT(C101:J101,Returns!B105:I105)/K101</f>
        <v>-9.1581651609475401E-2</v>
      </c>
      <c r="M101" s="15">
        <f>-2*Assumptions!$B$13</f>
        <v>-7.0000000000000001E-3</v>
      </c>
      <c r="N101" s="15">
        <f>-Assumptions!$B$16*MAX(0,(1+O89)*(1+O90)*(1+O91)*(1+O92)*(1+O93)*(1+O94)*(1+O95)*(1+O96)*(1+O97)*(1+O98)*(1+O99)*(1+O100)-1)</f>
        <v>-5.0268877703464318E-2</v>
      </c>
      <c r="O101" s="15">
        <f t="shared" ref="O101:O132" si="13">L101+M101+N101</f>
        <v>-0.14885052931293974</v>
      </c>
      <c r="P101" s="20">
        <f t="shared" si="11"/>
        <v>3.5305243366611982</v>
      </c>
      <c r="Q101" s="20">
        <f>MAX($P$5:P101)</f>
        <v>4.1479486955579112</v>
      </c>
      <c r="R101" s="15">
        <f t="shared" ref="R101:R132" si="14">P101/Q101-1</f>
        <v>-0.14885052931293974</v>
      </c>
      <c r="S101" s="15">
        <f>O101-Benchmark_RF!D101</f>
        <v>-0.1661617191726642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IF(Rankings!C107&lt;=2,1,0)</f>
        <v>0</v>
      </c>
      <c r="D102" s="16">
        <f>IF(Rankings!D107&lt;=2,1,0)</f>
        <v>0</v>
      </c>
      <c r="E102" s="16">
        <f>IF(Rankings!E107&lt;=2,1,0)</f>
        <v>0</v>
      </c>
      <c r="F102" s="16">
        <f>IF(Rankings!F107&lt;=2,1,0)</f>
        <v>1</v>
      </c>
      <c r="G102" s="16">
        <f>IF(Rankings!G107&lt;=2,1,0)</f>
        <v>0</v>
      </c>
      <c r="H102" s="16">
        <f>IF(Rankings!H107&lt;=2,1,0)</f>
        <v>1</v>
      </c>
      <c r="I102" s="16">
        <f>IF(Rankings!I107&lt;=2,1,0)</f>
        <v>0</v>
      </c>
      <c r="J102" s="16">
        <f>IF(Rankings!J107&lt;=2,1,0)</f>
        <v>0</v>
      </c>
      <c r="K102" s="19">
        <f t="shared" si="12"/>
        <v>2</v>
      </c>
      <c r="L102" s="15">
        <f>SUMPRODUCT(C102:J102,Returns!B106:I106)/K102</f>
        <v>-9.6257282677077449E-3</v>
      </c>
      <c r="M102" s="15">
        <v>0</v>
      </c>
      <c r="N102" s="15">
        <v>0</v>
      </c>
      <c r="O102" s="15">
        <f t="shared" si="13"/>
        <v>-9.6257282677077449E-3</v>
      </c>
      <c r="P102" s="20">
        <f t="shared" ref="P102:P133" si="15">P101*(1+O102)</f>
        <v>3.4965404687539685</v>
      </c>
      <c r="Q102" s="20">
        <f>MAX($P$5:P102)</f>
        <v>4.1479486955579112</v>
      </c>
      <c r="R102" s="15">
        <f t="shared" si="14"/>
        <v>-0.15704346283297665</v>
      </c>
      <c r="S102" s="15">
        <f>O102-Benchmark_RF!D102</f>
        <v>-2.685850493197145E-2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IF(Rankings!C107&lt;=2,1,0)</f>
        <v>0</v>
      </c>
      <c r="D103" s="16">
        <f>IF(Rankings!D107&lt;=2,1,0)</f>
        <v>0</v>
      </c>
      <c r="E103" s="16">
        <f>IF(Rankings!E107&lt;=2,1,0)</f>
        <v>0</v>
      </c>
      <c r="F103" s="16">
        <f>IF(Rankings!F107&lt;=2,1,0)</f>
        <v>1</v>
      </c>
      <c r="G103" s="16">
        <f>IF(Rankings!G107&lt;=2,1,0)</f>
        <v>0</v>
      </c>
      <c r="H103" s="16">
        <f>IF(Rankings!H107&lt;=2,1,0)</f>
        <v>1</v>
      </c>
      <c r="I103" s="16">
        <f>IF(Rankings!I107&lt;=2,1,0)</f>
        <v>0</v>
      </c>
      <c r="J103" s="16">
        <f>IF(Rankings!J107&lt;=2,1,0)</f>
        <v>0</v>
      </c>
      <c r="K103" s="19">
        <f t="shared" si="12"/>
        <v>2</v>
      </c>
      <c r="L103" s="15">
        <f>SUMPRODUCT(C103:J103,Returns!B107:I107)/K103</f>
        <v>0.14536825234938444</v>
      </c>
      <c r="M103" s="15">
        <v>0</v>
      </c>
      <c r="N103" s="15">
        <v>0</v>
      </c>
      <c r="O103" s="15">
        <f t="shared" si="13"/>
        <v>0.14536825234938444</v>
      </c>
      <c r="P103" s="20">
        <f t="shared" si="15"/>
        <v>4.0048264459656302</v>
      </c>
      <c r="Q103" s="20">
        <f>MAX($P$5:P103)</f>
        <v>4.1479486955579112</v>
      </c>
      <c r="R103" s="15">
        <f t="shared" si="14"/>
        <v>-3.4504344218517558E-2</v>
      </c>
      <c r="S103" s="15">
        <f>O103-Benchmark_RF!D103</f>
        <v>0.12856211330852552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IF(Rankings!C107&lt;=2,1,0)</f>
        <v>0</v>
      </c>
      <c r="D104" s="16">
        <f>IF(Rankings!D107&lt;=2,1,0)</f>
        <v>0</v>
      </c>
      <c r="E104" s="16">
        <f>IF(Rankings!E107&lt;=2,1,0)</f>
        <v>0</v>
      </c>
      <c r="F104" s="16">
        <f>IF(Rankings!F107&lt;=2,1,0)</f>
        <v>1</v>
      </c>
      <c r="G104" s="16">
        <f>IF(Rankings!G107&lt;=2,1,0)</f>
        <v>0</v>
      </c>
      <c r="H104" s="16">
        <f>IF(Rankings!H107&lt;=2,1,0)</f>
        <v>1</v>
      </c>
      <c r="I104" s="16">
        <f>IF(Rankings!I107&lt;=2,1,0)</f>
        <v>0</v>
      </c>
      <c r="J104" s="16">
        <f>IF(Rankings!J107&lt;=2,1,0)</f>
        <v>0</v>
      </c>
      <c r="K104" s="19">
        <f t="shared" si="12"/>
        <v>2</v>
      </c>
      <c r="L104" s="15">
        <f>SUMPRODUCT(C104:J104,Returns!B108:I108)/K104</f>
        <v>9.1831354161754253E-2</v>
      </c>
      <c r="M104" s="15">
        <v>0</v>
      </c>
      <c r="N104" s="15">
        <v>0</v>
      </c>
      <c r="O104" s="15">
        <f t="shared" si="13"/>
        <v>9.1831354161754253E-2</v>
      </c>
      <c r="P104" s="20">
        <f t="shared" si="15"/>
        <v>4.3725950816814594</v>
      </c>
      <c r="Q104" s="20">
        <f>MAX($P$5:P104)</f>
        <v>4.3725950816814594</v>
      </c>
      <c r="R104" s="15">
        <f t="shared" si="14"/>
        <v>0</v>
      </c>
      <c r="S104" s="15">
        <f>O104-Benchmark_RF!D104</f>
        <v>7.558188312249714E-2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IF(Rankings!C107&lt;=2,1,0)</f>
        <v>0</v>
      </c>
      <c r="D105" s="16">
        <f>IF(Rankings!D107&lt;=2,1,0)</f>
        <v>0</v>
      </c>
      <c r="E105" s="16">
        <f>IF(Rankings!E107&lt;=2,1,0)</f>
        <v>0</v>
      </c>
      <c r="F105" s="16">
        <f>IF(Rankings!F107&lt;=2,1,0)</f>
        <v>1</v>
      </c>
      <c r="G105" s="16">
        <f>IF(Rankings!G107&lt;=2,1,0)</f>
        <v>0</v>
      </c>
      <c r="H105" s="16">
        <f>IF(Rankings!H107&lt;=2,1,0)</f>
        <v>1</v>
      </c>
      <c r="I105" s="16">
        <f>IF(Rankings!I107&lt;=2,1,0)</f>
        <v>0</v>
      </c>
      <c r="J105" s="16">
        <f>IF(Rankings!J107&lt;=2,1,0)</f>
        <v>0</v>
      </c>
      <c r="K105" s="19">
        <f t="shared" si="12"/>
        <v>2</v>
      </c>
      <c r="L105" s="15">
        <f>SUMPRODUCT(C105:J105,Returns!B109:I109)/K105</f>
        <v>1.9010702844545646E-2</v>
      </c>
      <c r="M105" s="15">
        <v>0</v>
      </c>
      <c r="N105" s="15">
        <v>0</v>
      </c>
      <c r="O105" s="15">
        <f t="shared" si="13"/>
        <v>1.9010702844545646E-2</v>
      </c>
      <c r="P105" s="20">
        <f t="shared" si="15"/>
        <v>4.4557211874388276</v>
      </c>
      <c r="Q105" s="20">
        <f>MAX($P$5:P105)</f>
        <v>4.4557211874388276</v>
      </c>
      <c r="R105" s="15">
        <f t="shared" si="14"/>
        <v>0</v>
      </c>
      <c r="S105" s="15">
        <f>O105-Benchmark_RF!D105</f>
        <v>2.7751915637084235E-3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IF(Rankings!C107&lt;=2,1,0)</f>
        <v>0</v>
      </c>
      <c r="D106" s="16">
        <f>IF(Rankings!D107&lt;=2,1,0)</f>
        <v>0</v>
      </c>
      <c r="E106" s="16">
        <f>IF(Rankings!E107&lt;=2,1,0)</f>
        <v>0</v>
      </c>
      <c r="F106" s="16">
        <f>IF(Rankings!F107&lt;=2,1,0)</f>
        <v>1</v>
      </c>
      <c r="G106" s="16">
        <f>IF(Rankings!G107&lt;=2,1,0)</f>
        <v>0</v>
      </c>
      <c r="H106" s="16">
        <f>IF(Rankings!H107&lt;=2,1,0)</f>
        <v>1</v>
      </c>
      <c r="I106" s="16">
        <f>IF(Rankings!I107&lt;=2,1,0)</f>
        <v>0</v>
      </c>
      <c r="J106" s="16">
        <f>IF(Rankings!J107&lt;=2,1,0)</f>
        <v>0</v>
      </c>
      <c r="K106" s="19">
        <f t="shared" si="12"/>
        <v>2</v>
      </c>
      <c r="L106" s="15">
        <f>SUMPRODUCT(C106:J106,Returns!B110:I110)/K106</f>
        <v>2.0769104456167031E-2</v>
      </c>
      <c r="M106" s="15">
        <v>0</v>
      </c>
      <c r="N106" s="15">
        <v>0</v>
      </c>
      <c r="O106" s="15">
        <f t="shared" si="13"/>
        <v>2.0769104456167031E-2</v>
      </c>
      <c r="P106" s="20">
        <f t="shared" si="15"/>
        <v>4.5482625262083012</v>
      </c>
      <c r="Q106" s="20">
        <f>MAX($P$5:P106)</f>
        <v>4.5482625262083012</v>
      </c>
      <c r="R106" s="15">
        <f t="shared" si="14"/>
        <v>0</v>
      </c>
      <c r="S106" s="15">
        <f>O106-Benchmark_RF!D106</f>
        <v>4.7801907670652066E-3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IF(Rankings!C107&lt;=2,1,0)</f>
        <v>0</v>
      </c>
      <c r="D107" s="16">
        <f>IF(Rankings!D107&lt;=2,1,0)</f>
        <v>0</v>
      </c>
      <c r="E107" s="16">
        <f>IF(Rankings!E107&lt;=2,1,0)</f>
        <v>0</v>
      </c>
      <c r="F107" s="16">
        <f>IF(Rankings!F107&lt;=2,1,0)</f>
        <v>1</v>
      </c>
      <c r="G107" s="16">
        <f>IF(Rankings!G107&lt;=2,1,0)</f>
        <v>0</v>
      </c>
      <c r="H107" s="16">
        <f>IF(Rankings!H107&lt;=2,1,0)</f>
        <v>1</v>
      </c>
      <c r="I107" s="16">
        <f>IF(Rankings!I107&lt;=2,1,0)</f>
        <v>0</v>
      </c>
      <c r="J107" s="16">
        <f>IF(Rankings!J107&lt;=2,1,0)</f>
        <v>0</v>
      </c>
      <c r="K107" s="19">
        <f t="shared" si="12"/>
        <v>2</v>
      </c>
      <c r="L107" s="15">
        <f>SUMPRODUCT(C107:J107,Returns!B111:I111)/K107</f>
        <v>8.2327492756765319E-2</v>
      </c>
      <c r="M107" s="15">
        <v>0</v>
      </c>
      <c r="N107" s="15">
        <v>0</v>
      </c>
      <c r="O107" s="15">
        <f t="shared" si="13"/>
        <v>8.2327492756765319E-2</v>
      </c>
      <c r="P107" s="20">
        <f t="shared" si="15"/>
        <v>4.9227095763905826</v>
      </c>
      <c r="Q107" s="20">
        <f>MAX($P$5:P107)</f>
        <v>4.9227095763905826</v>
      </c>
      <c r="R107" s="15">
        <f t="shared" si="14"/>
        <v>0</v>
      </c>
      <c r="S107" s="15">
        <f>O107-Benchmark_RF!D107</f>
        <v>6.6098962146232121E-2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IF(Rankings!C107&lt;=2,1,0)</f>
        <v>0</v>
      </c>
      <c r="D108" s="16">
        <f>IF(Rankings!D107&lt;=2,1,0)</f>
        <v>0</v>
      </c>
      <c r="E108" s="16">
        <f>IF(Rankings!E107&lt;=2,1,0)</f>
        <v>0</v>
      </c>
      <c r="F108" s="16">
        <f>IF(Rankings!F107&lt;=2,1,0)</f>
        <v>1</v>
      </c>
      <c r="G108" s="16">
        <f>IF(Rankings!G107&lt;=2,1,0)</f>
        <v>0</v>
      </c>
      <c r="H108" s="16">
        <f>IF(Rankings!H107&lt;=2,1,0)</f>
        <v>1</v>
      </c>
      <c r="I108" s="16">
        <f>IF(Rankings!I107&lt;=2,1,0)</f>
        <v>0</v>
      </c>
      <c r="J108" s="16">
        <f>IF(Rankings!J107&lt;=2,1,0)</f>
        <v>0</v>
      </c>
      <c r="K108" s="19">
        <f t="shared" si="12"/>
        <v>2</v>
      </c>
      <c r="L108" s="15">
        <f>SUMPRODUCT(C108:J108,Returns!B112:I112)/K108</f>
        <v>3.9782244556113899E-2</v>
      </c>
      <c r="M108" s="15">
        <v>0</v>
      </c>
      <c r="N108" s="15">
        <v>0</v>
      </c>
      <c r="O108" s="15">
        <f t="shared" si="13"/>
        <v>3.9782244556113899E-2</v>
      </c>
      <c r="P108" s="20">
        <f t="shared" si="15"/>
        <v>5.1185460126372764</v>
      </c>
      <c r="Q108" s="20">
        <f>MAX($P$5:P108)</f>
        <v>5.1185460126372764</v>
      </c>
      <c r="R108" s="15">
        <f t="shared" si="14"/>
        <v>0</v>
      </c>
      <c r="S108" s="15">
        <f>O108-Benchmark_RF!D108</f>
        <v>2.3469980693586856E-2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IF(Rankings!C107&lt;=2,1,0)</f>
        <v>0</v>
      </c>
      <c r="D109" s="16">
        <f>IF(Rankings!D107&lt;=2,1,0)</f>
        <v>0</v>
      </c>
      <c r="E109" s="16">
        <f>IF(Rankings!E107&lt;=2,1,0)</f>
        <v>0</v>
      </c>
      <c r="F109" s="16">
        <f>IF(Rankings!F107&lt;=2,1,0)</f>
        <v>1</v>
      </c>
      <c r="G109" s="16">
        <f>IF(Rankings!G107&lt;=2,1,0)</f>
        <v>0</v>
      </c>
      <c r="H109" s="16">
        <f>IF(Rankings!H107&lt;=2,1,0)</f>
        <v>1</v>
      </c>
      <c r="I109" s="16">
        <f>IF(Rankings!I107&lt;=2,1,0)</f>
        <v>0</v>
      </c>
      <c r="J109" s="16">
        <f>IF(Rankings!J107&lt;=2,1,0)</f>
        <v>0</v>
      </c>
      <c r="K109" s="19">
        <f t="shared" si="12"/>
        <v>2</v>
      </c>
      <c r="L109" s="15">
        <f>SUMPRODUCT(C109:J109,Returns!B113:I113)/K109</f>
        <v>9.1207188613485424E-2</v>
      </c>
      <c r="M109" s="15">
        <v>0</v>
      </c>
      <c r="N109" s="15">
        <v>0</v>
      </c>
      <c r="O109" s="15">
        <f t="shared" si="13"/>
        <v>9.1207188613485424E-2</v>
      </c>
      <c r="P109" s="20">
        <f t="shared" si="15"/>
        <v>5.585394204238689</v>
      </c>
      <c r="Q109" s="20">
        <f>MAX($P$5:P109)</f>
        <v>5.585394204238689</v>
      </c>
      <c r="R109" s="15">
        <f t="shared" si="14"/>
        <v>0</v>
      </c>
      <c r="S109" s="15">
        <f>O109-Benchmark_RF!D109</f>
        <v>7.4783398328122641E-2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IF(Rankings!C107&lt;=2,1,0)</f>
        <v>0</v>
      </c>
      <c r="D110" s="16">
        <f>IF(Rankings!D107&lt;=2,1,0)</f>
        <v>0</v>
      </c>
      <c r="E110" s="16">
        <f>IF(Rankings!E107&lt;=2,1,0)</f>
        <v>0</v>
      </c>
      <c r="F110" s="16">
        <f>IF(Rankings!F107&lt;=2,1,0)</f>
        <v>1</v>
      </c>
      <c r="G110" s="16">
        <f>IF(Rankings!G107&lt;=2,1,0)</f>
        <v>0</v>
      </c>
      <c r="H110" s="16">
        <f>IF(Rankings!H107&lt;=2,1,0)</f>
        <v>1</v>
      </c>
      <c r="I110" s="16">
        <f>IF(Rankings!I107&lt;=2,1,0)</f>
        <v>0</v>
      </c>
      <c r="J110" s="16">
        <f>IF(Rankings!J107&lt;=2,1,0)</f>
        <v>0</v>
      </c>
      <c r="K110" s="19">
        <f t="shared" si="12"/>
        <v>2</v>
      </c>
      <c r="L110" s="15">
        <f>SUMPRODUCT(C110:J110,Returns!B114:I114)/K110</f>
        <v>-1.8088386703389248E-2</v>
      </c>
      <c r="M110" s="15">
        <v>0</v>
      </c>
      <c r="N110" s="15">
        <v>0</v>
      </c>
      <c r="O110" s="15">
        <f t="shared" si="13"/>
        <v>-1.8088386703389248E-2</v>
      </c>
      <c r="P110" s="20">
        <f t="shared" si="15"/>
        <v>5.4843634339815512</v>
      </c>
      <c r="Q110" s="20">
        <f>MAX($P$5:P110)</f>
        <v>5.585394204238689</v>
      </c>
      <c r="R110" s="15">
        <f t="shared" si="14"/>
        <v>-1.8088386703389081E-2</v>
      </c>
      <c r="S110" s="15">
        <f>O110-Benchmark_RF!D110</f>
        <v>-3.4058260970464993E-2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IF(Rankings!C107&lt;=2,1,0)</f>
        <v>0</v>
      </c>
      <c r="D111" s="16">
        <f>IF(Rankings!D107&lt;=2,1,0)</f>
        <v>0</v>
      </c>
      <c r="E111" s="16">
        <f>IF(Rankings!E107&lt;=2,1,0)</f>
        <v>0</v>
      </c>
      <c r="F111" s="16">
        <f>IF(Rankings!F107&lt;=2,1,0)</f>
        <v>1</v>
      </c>
      <c r="G111" s="16">
        <f>IF(Rankings!G107&lt;=2,1,0)</f>
        <v>0</v>
      </c>
      <c r="H111" s="16">
        <f>IF(Rankings!H107&lt;=2,1,0)</f>
        <v>1</v>
      </c>
      <c r="I111" s="16">
        <f>IF(Rankings!I107&lt;=2,1,0)</f>
        <v>0</v>
      </c>
      <c r="J111" s="16">
        <f>IF(Rankings!J107&lt;=2,1,0)</f>
        <v>0</v>
      </c>
      <c r="K111" s="19">
        <f t="shared" si="12"/>
        <v>2</v>
      </c>
      <c r="L111" s="15">
        <f>SUMPRODUCT(C111:J111,Returns!B115:I115)/K111</f>
        <v>0.12295706606790502</v>
      </c>
      <c r="M111" s="15">
        <v>0</v>
      </c>
      <c r="N111" s="15">
        <v>0</v>
      </c>
      <c r="O111" s="15">
        <f t="shared" si="13"/>
        <v>0.12295706606790502</v>
      </c>
      <c r="P111" s="20">
        <f t="shared" si="15"/>
        <v>6.1587046710740223</v>
      </c>
      <c r="Q111" s="20">
        <f>MAX($P$5:P111)</f>
        <v>6.1587046710740223</v>
      </c>
      <c r="R111" s="15">
        <f t="shared" si="14"/>
        <v>0</v>
      </c>
      <c r="S111" s="15">
        <f>O111-Benchmark_RF!D111</f>
        <v>0.10763737253202599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IF(Rankings!C107&lt;=2,1,0)</f>
        <v>0</v>
      </c>
      <c r="D112" s="16">
        <f>IF(Rankings!D107&lt;=2,1,0)</f>
        <v>0</v>
      </c>
      <c r="E112" s="16">
        <f>IF(Rankings!E107&lt;=2,1,0)</f>
        <v>0</v>
      </c>
      <c r="F112" s="16">
        <f>IF(Rankings!F107&lt;=2,1,0)</f>
        <v>1</v>
      </c>
      <c r="G112" s="16">
        <f>IF(Rankings!G107&lt;=2,1,0)</f>
        <v>0</v>
      </c>
      <c r="H112" s="16">
        <f>IF(Rankings!H107&lt;=2,1,0)</f>
        <v>1</v>
      </c>
      <c r="I112" s="16">
        <f>IF(Rankings!I107&lt;=2,1,0)</f>
        <v>0</v>
      </c>
      <c r="J112" s="16">
        <f>IF(Rankings!J107&lt;=2,1,0)</f>
        <v>0</v>
      </c>
      <c r="K112" s="19">
        <f t="shared" si="12"/>
        <v>2</v>
      </c>
      <c r="L112" s="15">
        <f>SUMPRODUCT(C112:J112,Returns!B116:I116)/K112</f>
        <v>5.5850905890990732E-2</v>
      </c>
      <c r="M112" s="15">
        <v>0</v>
      </c>
      <c r="N112" s="15">
        <v>0</v>
      </c>
      <c r="O112" s="15">
        <f t="shared" si="13"/>
        <v>5.5850905890990732E-2</v>
      </c>
      <c r="P112" s="20">
        <f t="shared" si="15"/>
        <v>6.5026739060685816</v>
      </c>
      <c r="Q112" s="20">
        <f>MAX($P$5:P112)</f>
        <v>6.5026739060685816</v>
      </c>
      <c r="R112" s="15">
        <f t="shared" si="14"/>
        <v>0</v>
      </c>
      <c r="S112" s="15">
        <f>O112-Benchmark_RF!D112</f>
        <v>4.090172651884838E-2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IF(Rankings!C119&lt;=2,1,0)</f>
        <v>0</v>
      </c>
      <c r="D113" s="16">
        <f>IF(Rankings!D119&lt;=2,1,0)</f>
        <v>0</v>
      </c>
      <c r="E113" s="16">
        <f>IF(Rankings!E119&lt;=2,1,0)</f>
        <v>0</v>
      </c>
      <c r="F113" s="16">
        <f>IF(Rankings!F119&lt;=2,1,0)</f>
        <v>0</v>
      </c>
      <c r="G113" s="16">
        <f>IF(Rankings!G119&lt;=2,1,0)</f>
        <v>1</v>
      </c>
      <c r="H113" s="16">
        <f>IF(Rankings!H119&lt;=2,1,0)</f>
        <v>1</v>
      </c>
      <c r="I113" s="16">
        <f>IF(Rankings!I119&lt;=2,1,0)</f>
        <v>0</v>
      </c>
      <c r="J113" s="16">
        <f>IF(Rankings!J119&lt;=2,1,0)</f>
        <v>0</v>
      </c>
      <c r="K113" s="19">
        <f t="shared" si="12"/>
        <v>2</v>
      </c>
      <c r="L113" s="15">
        <f>SUMPRODUCT(C113:J113,Returns!B117:I117)/K113</f>
        <v>-2.4226415691236958E-2</v>
      </c>
      <c r="M113" s="15">
        <f>-2*Assumptions!$B$13</f>
        <v>-7.0000000000000001E-3</v>
      </c>
      <c r="N113" s="15">
        <f>-Assumptions!$B$16*MAX(0,(1+O101)*(1+O102)*(1+O103)*(1+O104)*(1+O105)*(1+O106)*(1+O107)*(1+O108)*(1+O109)*(1+O110)*(1+O111)*(1+O112)-1)</f>
        <v>-8.515263989519832E-2</v>
      </c>
      <c r="O113" s="15">
        <f t="shared" si="13"/>
        <v>-0.11637905558643527</v>
      </c>
      <c r="P113" s="20">
        <f t="shared" si="15"/>
        <v>5.7458988580937644</v>
      </c>
      <c r="Q113" s="20">
        <f>MAX($P$5:P113)</f>
        <v>6.5026739060685816</v>
      </c>
      <c r="R113" s="15">
        <f t="shared" si="14"/>
        <v>-0.11637905558643524</v>
      </c>
      <c r="S113" s="15">
        <f>O113-Benchmark_RF!D113</f>
        <v>-0.1298872103186777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IF(Rankings!C119&lt;=2,1,0)</f>
        <v>0</v>
      </c>
      <c r="D114" s="16">
        <f>IF(Rankings!D119&lt;=2,1,0)</f>
        <v>0</v>
      </c>
      <c r="E114" s="16">
        <f>IF(Rankings!E119&lt;=2,1,0)</f>
        <v>0</v>
      </c>
      <c r="F114" s="16">
        <f>IF(Rankings!F119&lt;=2,1,0)</f>
        <v>0</v>
      </c>
      <c r="G114" s="16">
        <f>IF(Rankings!G119&lt;=2,1,0)</f>
        <v>1</v>
      </c>
      <c r="H114" s="16">
        <f>IF(Rankings!H119&lt;=2,1,0)</f>
        <v>1</v>
      </c>
      <c r="I114" s="16">
        <f>IF(Rankings!I119&lt;=2,1,0)</f>
        <v>0</v>
      </c>
      <c r="J114" s="16">
        <f>IF(Rankings!J119&lt;=2,1,0)</f>
        <v>0</v>
      </c>
      <c r="K114" s="19">
        <f t="shared" si="12"/>
        <v>2</v>
      </c>
      <c r="L114" s="15">
        <f>SUMPRODUCT(C114:J114,Returns!B118:I118)/K114</f>
        <v>0.14645007213634265</v>
      </c>
      <c r="M114" s="15">
        <v>0</v>
      </c>
      <c r="N114" s="15">
        <v>0</v>
      </c>
      <c r="O114" s="15">
        <f t="shared" si="13"/>
        <v>0.14645007213634265</v>
      </c>
      <c r="P114" s="20">
        <f t="shared" si="15"/>
        <v>6.587386160349725</v>
      </c>
      <c r="Q114" s="20">
        <f>MAX($P$5:P114)</f>
        <v>6.587386160349725</v>
      </c>
      <c r="R114" s="15">
        <f t="shared" si="14"/>
        <v>0</v>
      </c>
      <c r="S114" s="15">
        <f>O114-Benchmark_RF!D114</f>
        <v>0.13298506652714437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IF(Rankings!C119&lt;=2,1,0)</f>
        <v>0</v>
      </c>
      <c r="D115" s="16">
        <f>IF(Rankings!D119&lt;=2,1,0)</f>
        <v>0</v>
      </c>
      <c r="E115" s="16">
        <f>IF(Rankings!E119&lt;=2,1,0)</f>
        <v>0</v>
      </c>
      <c r="F115" s="16">
        <f>IF(Rankings!F119&lt;=2,1,0)</f>
        <v>0</v>
      </c>
      <c r="G115" s="16">
        <f>IF(Rankings!G119&lt;=2,1,0)</f>
        <v>1</v>
      </c>
      <c r="H115" s="16">
        <f>IF(Rankings!H119&lt;=2,1,0)</f>
        <v>1</v>
      </c>
      <c r="I115" s="16">
        <f>IF(Rankings!I119&lt;=2,1,0)</f>
        <v>0</v>
      </c>
      <c r="J115" s="16">
        <f>IF(Rankings!J119&lt;=2,1,0)</f>
        <v>0</v>
      </c>
      <c r="K115" s="19">
        <f t="shared" si="12"/>
        <v>2</v>
      </c>
      <c r="L115" s="15">
        <f>SUMPRODUCT(C115:J115,Returns!B119:I119)/K115</f>
        <v>0.13204907110838526</v>
      </c>
      <c r="M115" s="15">
        <v>0</v>
      </c>
      <c r="N115" s="15">
        <v>0</v>
      </c>
      <c r="O115" s="15">
        <f t="shared" si="13"/>
        <v>0.13204907110838526</v>
      </c>
      <c r="P115" s="20">
        <f t="shared" si="15"/>
        <v>7.4572443838561391</v>
      </c>
      <c r="Q115" s="20">
        <f>MAX($P$5:P115)</f>
        <v>7.4572443838561391</v>
      </c>
      <c r="R115" s="15">
        <f t="shared" si="14"/>
        <v>0</v>
      </c>
      <c r="S115" s="15">
        <f>O115-Benchmark_RF!D115</f>
        <v>0.1211663419599045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IF(Rankings!C119&lt;=2,1,0)</f>
        <v>0</v>
      </c>
      <c r="D116" s="16">
        <f>IF(Rankings!D119&lt;=2,1,0)</f>
        <v>0</v>
      </c>
      <c r="E116" s="16">
        <f>IF(Rankings!E119&lt;=2,1,0)</f>
        <v>0</v>
      </c>
      <c r="F116" s="16">
        <f>IF(Rankings!F119&lt;=2,1,0)</f>
        <v>0</v>
      </c>
      <c r="G116" s="16">
        <f>IF(Rankings!G119&lt;=2,1,0)</f>
        <v>1</v>
      </c>
      <c r="H116" s="16">
        <f>IF(Rankings!H119&lt;=2,1,0)</f>
        <v>1</v>
      </c>
      <c r="I116" s="16">
        <f>IF(Rankings!I119&lt;=2,1,0)</f>
        <v>0</v>
      </c>
      <c r="J116" s="16">
        <f>IF(Rankings!J119&lt;=2,1,0)</f>
        <v>0</v>
      </c>
      <c r="K116" s="19">
        <f t="shared" si="12"/>
        <v>2</v>
      </c>
      <c r="L116" s="15">
        <f>SUMPRODUCT(C116:J116,Returns!B120:I120)/K116</f>
        <v>0.15444472567200407</v>
      </c>
      <c r="M116" s="15">
        <v>0</v>
      </c>
      <c r="N116" s="15">
        <v>0</v>
      </c>
      <c r="O116" s="15">
        <f t="shared" si="13"/>
        <v>0.15444472567200407</v>
      </c>
      <c r="P116" s="20">
        <f t="shared" si="15"/>
        <v>8.6089764469898942</v>
      </c>
      <c r="Q116" s="20">
        <f>MAX($P$5:P116)</f>
        <v>8.6089764469898942</v>
      </c>
      <c r="R116" s="15">
        <f t="shared" si="14"/>
        <v>0</v>
      </c>
      <c r="S116" s="15">
        <f>O116-Benchmark_RF!D116</f>
        <v>0.14356199652352331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IF(Rankings!C119&lt;=2,1,0)</f>
        <v>0</v>
      </c>
      <c r="D117" s="16">
        <f>IF(Rankings!D119&lt;=2,1,0)</f>
        <v>0</v>
      </c>
      <c r="E117" s="16">
        <f>IF(Rankings!E119&lt;=2,1,0)</f>
        <v>0</v>
      </c>
      <c r="F117" s="16">
        <f>IF(Rankings!F119&lt;=2,1,0)</f>
        <v>0</v>
      </c>
      <c r="G117" s="16">
        <f>IF(Rankings!G119&lt;=2,1,0)</f>
        <v>1</v>
      </c>
      <c r="H117" s="16">
        <f>IF(Rankings!H119&lt;=2,1,0)</f>
        <v>1</v>
      </c>
      <c r="I117" s="16">
        <f>IF(Rankings!I119&lt;=2,1,0)</f>
        <v>0</v>
      </c>
      <c r="J117" s="16">
        <f>IF(Rankings!J119&lt;=2,1,0)</f>
        <v>0</v>
      </c>
      <c r="K117" s="19">
        <f t="shared" si="12"/>
        <v>2</v>
      </c>
      <c r="L117" s="15">
        <f>SUMPRODUCT(C117:J117,Returns!B121:I121)/K117</f>
        <v>0.10345402449972163</v>
      </c>
      <c r="M117" s="15">
        <v>0</v>
      </c>
      <c r="N117" s="15">
        <v>0</v>
      </c>
      <c r="O117" s="15">
        <f t="shared" si="13"/>
        <v>0.10345402449972163</v>
      </c>
      <c r="P117" s="20">
        <f t="shared" si="15"/>
        <v>9.4996097072543115</v>
      </c>
      <c r="Q117" s="20">
        <f>MAX($P$5:P117)</f>
        <v>9.4996097072543115</v>
      </c>
      <c r="R117" s="15">
        <f t="shared" si="14"/>
        <v>0</v>
      </c>
      <c r="S117" s="15">
        <f>O117-Benchmark_RF!D117</f>
        <v>9.4077966943213576E-2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80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IF(Rankings!C11&lt;=2,1,0)</f>
        <v>0</v>
      </c>
      <c r="D5" s="16">
        <f>IF(Rankings!D11&lt;=2,1,0)</f>
        <v>0</v>
      </c>
      <c r="E5" s="16">
        <f>IF(Rankings!E11&lt;=2,1,0)</f>
        <v>0</v>
      </c>
      <c r="F5" s="16">
        <f>IF(Rankings!F11&lt;=2,1,0)</f>
        <v>0</v>
      </c>
      <c r="G5" s="16">
        <f>IF(Rankings!G11&lt;=2,1,0)</f>
        <v>1</v>
      </c>
      <c r="H5" s="16">
        <f>IF(Rankings!H11&lt;=2,1,0)</f>
        <v>1</v>
      </c>
      <c r="I5" s="16">
        <f>IF(Rankings!I11&lt;=2,1,0)</f>
        <v>0</v>
      </c>
      <c r="J5" s="16">
        <f>IF(Rankings!J11&lt;=2,1,0)</f>
        <v>0</v>
      </c>
      <c r="K5" s="19">
        <f t="shared" ref="K5:K36" si="0">SUM(C5:J5)</f>
        <v>2</v>
      </c>
      <c r="L5" s="15">
        <f>SUMPRODUCT(C5:J5,Returns!B9:I9)/K5</f>
        <v>-5.6681129342425696E-2</v>
      </c>
      <c r="M5" s="15">
        <f>-2*Assumptions!$B$13</f>
        <v>-7.0000000000000001E-3</v>
      </c>
      <c r="N5" s="15">
        <v>0</v>
      </c>
      <c r="O5" s="15">
        <f t="shared" ref="O5:O36" si="1">L5+M5+N5</f>
        <v>-6.3681129342425702E-2</v>
      </c>
      <c r="P5" s="20">
        <f>1*(1+O5)</f>
        <v>0.93631887065757424</v>
      </c>
      <c r="Q5" s="20">
        <f>MAX($P$5:P5)</f>
        <v>0.93631887065757424</v>
      </c>
      <c r="R5" s="15">
        <f t="shared" ref="R5:R36" si="2">P5/Q5-1</f>
        <v>0</v>
      </c>
      <c r="S5" s="15">
        <f>O5-Benchmark_RF!D5</f>
        <v>-6.9281059851751869E-2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IF(Rankings!C11&lt;=2,1,0)</f>
        <v>0</v>
      </c>
      <c r="D6" s="16">
        <f>IF(Rankings!D11&lt;=2,1,0)</f>
        <v>0</v>
      </c>
      <c r="E6" s="16">
        <f>IF(Rankings!E11&lt;=2,1,0)</f>
        <v>0</v>
      </c>
      <c r="F6" s="16">
        <f>IF(Rankings!F11&lt;=2,1,0)</f>
        <v>0</v>
      </c>
      <c r="G6" s="16">
        <f>IF(Rankings!G11&lt;=2,1,0)</f>
        <v>1</v>
      </c>
      <c r="H6" s="16">
        <f>IF(Rankings!H11&lt;=2,1,0)</f>
        <v>1</v>
      </c>
      <c r="I6" s="16">
        <f>IF(Rankings!I11&lt;=2,1,0)</f>
        <v>0</v>
      </c>
      <c r="J6" s="16">
        <f>IF(Rankings!J11&lt;=2,1,0)</f>
        <v>0</v>
      </c>
      <c r="K6" s="19">
        <f t="shared" si="0"/>
        <v>2</v>
      </c>
      <c r="L6" s="15">
        <f>SUMPRODUCT(C6:J6,Returns!B10:I10)/K6</f>
        <v>-5.0873779427611898E-2</v>
      </c>
      <c r="M6" s="15">
        <v>0</v>
      </c>
      <c r="N6" s="15">
        <v>0</v>
      </c>
      <c r="O6" s="15">
        <f t="shared" si="1"/>
        <v>-5.0873779427611898E-2</v>
      </c>
      <c r="P6" s="20">
        <f t="shared" ref="P6:P37" si="3">P5*(1+O6)</f>
        <v>0.88868479095783004</v>
      </c>
      <c r="Q6" s="20">
        <f>MAX($P$5:P6)</f>
        <v>0.93631887065757424</v>
      </c>
      <c r="R6" s="15">
        <f t="shared" si="2"/>
        <v>-5.0873779427611954E-2</v>
      </c>
      <c r="S6" s="15">
        <f>O6-Benchmark_RF!D6</f>
        <v>-5.6108961784770928E-2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IF(Rankings!C11&lt;=2,1,0)</f>
        <v>0</v>
      </c>
      <c r="D7" s="16">
        <f>IF(Rankings!D11&lt;=2,1,0)</f>
        <v>0</v>
      </c>
      <c r="E7" s="16">
        <f>IF(Rankings!E11&lt;=2,1,0)</f>
        <v>0</v>
      </c>
      <c r="F7" s="16">
        <f>IF(Rankings!F11&lt;=2,1,0)</f>
        <v>0</v>
      </c>
      <c r="G7" s="16">
        <f>IF(Rankings!G11&lt;=2,1,0)</f>
        <v>1</v>
      </c>
      <c r="H7" s="16">
        <f>IF(Rankings!H11&lt;=2,1,0)</f>
        <v>1</v>
      </c>
      <c r="I7" s="16">
        <f>IF(Rankings!I11&lt;=2,1,0)</f>
        <v>0</v>
      </c>
      <c r="J7" s="16">
        <f>IF(Rankings!J11&lt;=2,1,0)</f>
        <v>0</v>
      </c>
      <c r="K7" s="19">
        <f t="shared" si="0"/>
        <v>2</v>
      </c>
      <c r="L7" s="15">
        <f>SUMPRODUCT(C7:J7,Returns!B11:I11)/K7</f>
        <v>1.9764869938321272E-2</v>
      </c>
      <c r="M7" s="15">
        <v>0</v>
      </c>
      <c r="N7" s="15">
        <v>0</v>
      </c>
      <c r="O7" s="15">
        <f t="shared" si="1"/>
        <v>1.9764869938321272E-2</v>
      </c>
      <c r="P7" s="20">
        <f t="shared" si="3"/>
        <v>0.90624953026727573</v>
      </c>
      <c r="Q7" s="20">
        <f>MAX($P$5:P7)</f>
        <v>0.93631887065757424</v>
      </c>
      <c r="R7" s="15">
        <f t="shared" si="2"/>
        <v>-3.2114423122948432E-2</v>
      </c>
      <c r="S7" s="15">
        <f>O7-Benchmark_RF!D7</f>
        <v>1.4657635033161975E-2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IF(Rankings!C11&lt;=2,1,0)</f>
        <v>0</v>
      </c>
      <c r="D8" s="16">
        <f>IF(Rankings!D11&lt;=2,1,0)</f>
        <v>0</v>
      </c>
      <c r="E8" s="16">
        <f>IF(Rankings!E11&lt;=2,1,0)</f>
        <v>0</v>
      </c>
      <c r="F8" s="16">
        <f>IF(Rankings!F11&lt;=2,1,0)</f>
        <v>0</v>
      </c>
      <c r="G8" s="16">
        <f>IF(Rankings!G11&lt;=2,1,0)</f>
        <v>1</v>
      </c>
      <c r="H8" s="16">
        <f>IF(Rankings!H11&lt;=2,1,0)</f>
        <v>1</v>
      </c>
      <c r="I8" s="16">
        <f>IF(Rankings!I11&lt;=2,1,0)</f>
        <v>0</v>
      </c>
      <c r="J8" s="16">
        <f>IF(Rankings!J11&lt;=2,1,0)</f>
        <v>0</v>
      </c>
      <c r="K8" s="19">
        <f t="shared" si="0"/>
        <v>2</v>
      </c>
      <c r="L8" s="15">
        <f>SUMPRODUCT(C8:J8,Returns!B12:I12)/K8</f>
        <v>-7.6639328945811047E-2</v>
      </c>
      <c r="M8" s="15">
        <v>0</v>
      </c>
      <c r="N8" s="15">
        <v>0</v>
      </c>
      <c r="O8" s="15">
        <f t="shared" si="1"/>
        <v>-7.6639328945811047E-2</v>
      </c>
      <c r="P8" s="20">
        <f t="shared" si="3"/>
        <v>0.83679517441013529</v>
      </c>
      <c r="Q8" s="20">
        <f>MAX($P$5:P8)</f>
        <v>0.93631887065757424</v>
      </c>
      <c r="R8" s="15">
        <f t="shared" si="2"/>
        <v>-0.10629252423113478</v>
      </c>
      <c r="S8" s="15">
        <f>O8-Benchmark_RF!D8</f>
        <v>-8.1798000575236229E-2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IF(Rankings!C11&lt;=2,1,0)</f>
        <v>0</v>
      </c>
      <c r="D9" s="16">
        <f>IF(Rankings!D11&lt;=2,1,0)</f>
        <v>0</v>
      </c>
      <c r="E9" s="16">
        <f>IF(Rankings!E11&lt;=2,1,0)</f>
        <v>0</v>
      </c>
      <c r="F9" s="16">
        <f>IF(Rankings!F11&lt;=2,1,0)</f>
        <v>0</v>
      </c>
      <c r="G9" s="16">
        <f>IF(Rankings!G11&lt;=2,1,0)</f>
        <v>1</v>
      </c>
      <c r="H9" s="16">
        <f>IF(Rankings!H11&lt;=2,1,0)</f>
        <v>1</v>
      </c>
      <c r="I9" s="16">
        <f>IF(Rankings!I11&lt;=2,1,0)</f>
        <v>0</v>
      </c>
      <c r="J9" s="16">
        <f>IF(Rankings!J11&lt;=2,1,0)</f>
        <v>0</v>
      </c>
      <c r="K9" s="19">
        <f t="shared" si="0"/>
        <v>2</v>
      </c>
      <c r="L9" s="15">
        <f>SUMPRODUCT(C9:J9,Returns!B13:I13)/K9</f>
        <v>3.6517747235749187E-3</v>
      </c>
      <c r="M9" s="15">
        <v>0</v>
      </c>
      <c r="N9" s="15">
        <v>0</v>
      </c>
      <c r="O9" s="15">
        <f t="shared" si="1"/>
        <v>3.6517747235749187E-3</v>
      </c>
      <c r="P9" s="20">
        <f t="shared" si="3"/>
        <v>0.83985096187685571</v>
      </c>
      <c r="Q9" s="20">
        <f>MAX($P$5:P9)</f>
        <v>0.93631887065757424</v>
      </c>
      <c r="R9" s="15">
        <f t="shared" si="2"/>
        <v>-0.10302890586085212</v>
      </c>
      <c r="S9" s="15">
        <f>O9-Benchmark_RF!D9</f>
        <v>-1.4819304736952699E-3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IF(Rankings!C11&lt;=2,1,0)</f>
        <v>0</v>
      </c>
      <c r="D10" s="16">
        <f>IF(Rankings!D11&lt;=2,1,0)</f>
        <v>0</v>
      </c>
      <c r="E10" s="16">
        <f>IF(Rankings!E11&lt;=2,1,0)</f>
        <v>0</v>
      </c>
      <c r="F10" s="16">
        <f>IF(Rankings!F11&lt;=2,1,0)</f>
        <v>0</v>
      </c>
      <c r="G10" s="16">
        <f>IF(Rankings!G11&lt;=2,1,0)</f>
        <v>1</v>
      </c>
      <c r="H10" s="16">
        <f>IF(Rankings!H11&lt;=2,1,0)</f>
        <v>1</v>
      </c>
      <c r="I10" s="16">
        <f>IF(Rankings!I11&lt;=2,1,0)</f>
        <v>0</v>
      </c>
      <c r="J10" s="16">
        <f>IF(Rankings!J11&lt;=2,1,0)</f>
        <v>0</v>
      </c>
      <c r="K10" s="19">
        <f t="shared" si="0"/>
        <v>2</v>
      </c>
      <c r="L10" s="15">
        <f>SUMPRODUCT(C10:J10,Returns!B14:I14)/K10</f>
        <v>-3.9326761096022289E-2</v>
      </c>
      <c r="M10" s="15">
        <v>0</v>
      </c>
      <c r="N10" s="15">
        <v>0</v>
      </c>
      <c r="O10" s="15">
        <f t="shared" si="1"/>
        <v>-3.9326761096022289E-2</v>
      </c>
      <c r="P10" s="20">
        <f t="shared" si="3"/>
        <v>0.8068223437428601</v>
      </c>
      <c r="Q10" s="20">
        <f>MAX($P$5:P10)</f>
        <v>0.93631887065757424</v>
      </c>
      <c r="R10" s="15">
        <f t="shared" si="2"/>
        <v>-0.13830387379010001</v>
      </c>
      <c r="S10" s="15">
        <f>O10-Benchmark_RF!D10</f>
        <v>-4.4321963852164026E-2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IF(Rankings!C17&lt;=2,1,0)</f>
        <v>1</v>
      </c>
      <c r="D11" s="16">
        <f>IF(Rankings!D17&lt;=2,1,0)</f>
        <v>0</v>
      </c>
      <c r="E11" s="16">
        <f>IF(Rankings!E17&lt;=2,1,0)</f>
        <v>0</v>
      </c>
      <c r="F11" s="16">
        <f>IF(Rankings!F17&lt;=2,1,0)</f>
        <v>0</v>
      </c>
      <c r="G11" s="16">
        <f>IF(Rankings!G17&lt;=2,1,0)</f>
        <v>0</v>
      </c>
      <c r="H11" s="16">
        <f>IF(Rankings!H17&lt;=2,1,0)</f>
        <v>0</v>
      </c>
      <c r="I11" s="16">
        <f>IF(Rankings!I17&lt;=2,1,0)</f>
        <v>1</v>
      </c>
      <c r="J11" s="16">
        <f>IF(Rankings!J17&lt;=2,1,0)</f>
        <v>0</v>
      </c>
      <c r="K11" s="19">
        <f t="shared" si="0"/>
        <v>2</v>
      </c>
      <c r="L11" s="15">
        <f>SUMPRODUCT(C11:J11,Returns!B15:I15)/K11</f>
        <v>-2.5393422610239691E-2</v>
      </c>
      <c r="M11" s="15">
        <f>-2*Assumptions!$B$13</f>
        <v>-7.0000000000000001E-3</v>
      </c>
      <c r="N11" s="15">
        <f>-Assumptions!$B$16*MAX(0,(1+O5)*(1+O6)*(1+O7)*(1+O8)*(1+O9)*(1+O10)-1)</f>
        <v>0</v>
      </c>
      <c r="O11" s="15">
        <f t="shared" si="1"/>
        <v>-3.239342261023969E-2</v>
      </c>
      <c r="P11" s="20">
        <f t="shared" si="3"/>
        <v>0.78068660659061351</v>
      </c>
      <c r="Q11" s="20">
        <f>MAX($P$5:P11)</f>
        <v>0.93631887065757424</v>
      </c>
      <c r="R11" s="15">
        <f t="shared" si="2"/>
        <v>-0.16621716056802383</v>
      </c>
      <c r="S11" s="15">
        <f>O11-Benchmark_RF!D11</f>
        <v>-3.7429953703922762E-2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IF(Rankings!C17&lt;=2,1,0)</f>
        <v>1</v>
      </c>
      <c r="D12" s="16">
        <f>IF(Rankings!D17&lt;=2,1,0)</f>
        <v>0</v>
      </c>
      <c r="E12" s="16">
        <f>IF(Rankings!E17&lt;=2,1,0)</f>
        <v>0</v>
      </c>
      <c r="F12" s="16">
        <f>IF(Rankings!F17&lt;=2,1,0)</f>
        <v>0</v>
      </c>
      <c r="G12" s="16">
        <f>IF(Rankings!G17&lt;=2,1,0)</f>
        <v>0</v>
      </c>
      <c r="H12" s="16">
        <f>IF(Rankings!H17&lt;=2,1,0)</f>
        <v>0</v>
      </c>
      <c r="I12" s="16">
        <f>IF(Rankings!I17&lt;=2,1,0)</f>
        <v>1</v>
      </c>
      <c r="J12" s="16">
        <f>IF(Rankings!J17&lt;=2,1,0)</f>
        <v>0</v>
      </c>
      <c r="K12" s="19">
        <f t="shared" si="0"/>
        <v>2</v>
      </c>
      <c r="L12" s="15">
        <f>SUMPRODUCT(C12:J12,Returns!B16:I16)/K12</f>
        <v>7.4093776300402925E-2</v>
      </c>
      <c r="M12" s="15">
        <v>0</v>
      </c>
      <c r="N12" s="15">
        <v>0</v>
      </c>
      <c r="O12" s="15">
        <f t="shared" si="1"/>
        <v>7.4093776300402925E-2</v>
      </c>
      <c r="P12" s="20">
        <f t="shared" si="3"/>
        <v>0.83853062538005918</v>
      </c>
      <c r="Q12" s="20">
        <f>MAX($P$5:P12)</f>
        <v>0.93631887065757424</v>
      </c>
      <c r="R12" s="15">
        <f t="shared" si="2"/>
        <v>-0.10443904138003612</v>
      </c>
      <c r="S12" s="15">
        <f>O12-Benchmark_RF!D12</f>
        <v>6.9092262665081061E-2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IF(Rankings!C17&lt;=2,1,0)</f>
        <v>1</v>
      </c>
      <c r="D13" s="16">
        <f>IF(Rankings!D17&lt;=2,1,0)</f>
        <v>0</v>
      </c>
      <c r="E13" s="16">
        <f>IF(Rankings!E17&lt;=2,1,0)</f>
        <v>0</v>
      </c>
      <c r="F13" s="16">
        <f>IF(Rankings!F17&lt;=2,1,0)</f>
        <v>0</v>
      </c>
      <c r="G13" s="16">
        <f>IF(Rankings!G17&lt;=2,1,0)</f>
        <v>0</v>
      </c>
      <c r="H13" s="16">
        <f>IF(Rankings!H17&lt;=2,1,0)</f>
        <v>0</v>
      </c>
      <c r="I13" s="16">
        <f>IF(Rankings!I17&lt;=2,1,0)</f>
        <v>1</v>
      </c>
      <c r="J13" s="16">
        <f>IF(Rankings!J17&lt;=2,1,0)</f>
        <v>0</v>
      </c>
      <c r="K13" s="19">
        <f t="shared" si="0"/>
        <v>2</v>
      </c>
      <c r="L13" s="15">
        <f>SUMPRODUCT(C13:J13,Returns!B17:I17)/K13</f>
        <v>0.12657555697301637</v>
      </c>
      <c r="M13" s="15">
        <v>0</v>
      </c>
      <c r="N13" s="15">
        <v>0</v>
      </c>
      <c r="O13" s="15">
        <f t="shared" si="1"/>
        <v>0.12657555697301637</v>
      </c>
      <c r="P13" s="20">
        <f t="shared" si="3"/>
        <v>0.94466810632647202</v>
      </c>
      <c r="Q13" s="20">
        <f>MAX($P$5:P13)</f>
        <v>0.94466810632647202</v>
      </c>
      <c r="R13" s="15">
        <f t="shared" si="2"/>
        <v>0</v>
      </c>
      <c r="S13" s="15">
        <f>O13-Benchmark_RF!D13</f>
        <v>0.1215740433376945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IF(Rankings!C17&lt;=2,1,0)</f>
        <v>1</v>
      </c>
      <c r="D14" s="16">
        <f>IF(Rankings!D17&lt;=2,1,0)</f>
        <v>0</v>
      </c>
      <c r="E14" s="16">
        <f>IF(Rankings!E17&lt;=2,1,0)</f>
        <v>0</v>
      </c>
      <c r="F14" s="16">
        <f>IF(Rankings!F17&lt;=2,1,0)</f>
        <v>0</v>
      </c>
      <c r="G14" s="16">
        <f>IF(Rankings!G17&lt;=2,1,0)</f>
        <v>0</v>
      </c>
      <c r="H14" s="16">
        <f>IF(Rankings!H17&lt;=2,1,0)</f>
        <v>0</v>
      </c>
      <c r="I14" s="16">
        <f>IF(Rankings!I17&lt;=2,1,0)</f>
        <v>1</v>
      </c>
      <c r="J14" s="16">
        <f>IF(Rankings!J17&lt;=2,1,0)</f>
        <v>0</v>
      </c>
      <c r="K14" s="19">
        <f t="shared" si="0"/>
        <v>2</v>
      </c>
      <c r="L14" s="15">
        <f>SUMPRODUCT(C14:J14,Returns!B18:I18)/K14</f>
        <v>-8.076683590382161E-3</v>
      </c>
      <c r="M14" s="15">
        <v>0</v>
      </c>
      <c r="N14" s="15">
        <v>0</v>
      </c>
      <c r="O14" s="15">
        <f t="shared" si="1"/>
        <v>-8.076683590382161E-3</v>
      </c>
      <c r="P14" s="20">
        <f t="shared" si="3"/>
        <v>0.93703832093374761</v>
      </c>
      <c r="Q14" s="20">
        <f>MAX($P$5:P14)</f>
        <v>0.94466810632647202</v>
      </c>
      <c r="R14" s="15">
        <f t="shared" si="2"/>
        <v>-8.076683590382161E-3</v>
      </c>
      <c r="S14" s="15">
        <f>O14-Benchmark_RF!D14</f>
        <v>-1.2934358744301488E-2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IF(Rankings!C17&lt;=2,1,0)</f>
        <v>1</v>
      </c>
      <c r="D15" s="16">
        <f>IF(Rankings!D17&lt;=2,1,0)</f>
        <v>0</v>
      </c>
      <c r="E15" s="16">
        <f>IF(Rankings!E17&lt;=2,1,0)</f>
        <v>0</v>
      </c>
      <c r="F15" s="16">
        <f>IF(Rankings!F17&lt;=2,1,0)</f>
        <v>0</v>
      </c>
      <c r="G15" s="16">
        <f>IF(Rankings!G17&lt;=2,1,0)</f>
        <v>0</v>
      </c>
      <c r="H15" s="16">
        <f>IF(Rankings!H17&lt;=2,1,0)</f>
        <v>0</v>
      </c>
      <c r="I15" s="16">
        <f>IF(Rankings!I17&lt;=2,1,0)</f>
        <v>1</v>
      </c>
      <c r="J15" s="16">
        <f>IF(Rankings!J17&lt;=2,1,0)</f>
        <v>0</v>
      </c>
      <c r="K15" s="19">
        <f t="shared" si="0"/>
        <v>2</v>
      </c>
      <c r="L15" s="15">
        <f>SUMPRODUCT(C15:J15,Returns!B19:I19)/K15</f>
        <v>-5.4799639878373996E-3</v>
      </c>
      <c r="M15" s="15">
        <v>0</v>
      </c>
      <c r="N15" s="15">
        <v>0</v>
      </c>
      <c r="O15" s="15">
        <f t="shared" si="1"/>
        <v>-5.4799639878373996E-3</v>
      </c>
      <c r="P15" s="20">
        <f t="shared" si="3"/>
        <v>0.93190338467980716</v>
      </c>
      <c r="Q15" s="20">
        <f>MAX($P$5:P15)</f>
        <v>0.94466810632647202</v>
      </c>
      <c r="R15" s="15">
        <f t="shared" si="2"/>
        <v>-1.3512387643002999E-2</v>
      </c>
      <c r="S15" s="15">
        <f>O15-Benchmark_RF!D15</f>
        <v>-1.0268323217988817E-2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IF(Rankings!C17&lt;=2,1,0)</f>
        <v>1</v>
      </c>
      <c r="D16" s="16">
        <f>IF(Rankings!D17&lt;=2,1,0)</f>
        <v>0</v>
      </c>
      <c r="E16" s="16">
        <f>IF(Rankings!E17&lt;=2,1,0)</f>
        <v>0</v>
      </c>
      <c r="F16" s="16">
        <f>IF(Rankings!F17&lt;=2,1,0)</f>
        <v>0</v>
      </c>
      <c r="G16" s="16">
        <f>IF(Rankings!G17&lt;=2,1,0)</f>
        <v>0</v>
      </c>
      <c r="H16" s="16">
        <f>IF(Rankings!H17&lt;=2,1,0)</f>
        <v>0</v>
      </c>
      <c r="I16" s="16">
        <f>IF(Rankings!I17&lt;=2,1,0)</f>
        <v>1</v>
      </c>
      <c r="J16" s="16">
        <f>IF(Rankings!J17&lt;=2,1,0)</f>
        <v>0</v>
      </c>
      <c r="K16" s="19">
        <f t="shared" si="0"/>
        <v>2</v>
      </c>
      <c r="L16" s="15">
        <f>SUMPRODUCT(C16:J16,Returns!B20:I20)/K16</f>
        <v>2.2111827484225077E-2</v>
      </c>
      <c r="M16" s="15">
        <v>0</v>
      </c>
      <c r="N16" s="15">
        <v>0</v>
      </c>
      <c r="O16" s="15">
        <f t="shared" si="1"/>
        <v>2.2111827484225077E-2</v>
      </c>
      <c r="P16" s="20">
        <f t="shared" si="3"/>
        <v>0.95250947155381249</v>
      </c>
      <c r="Q16" s="20">
        <f>MAX($P$5:P16)</f>
        <v>0.95250947155381249</v>
      </c>
      <c r="R16" s="15">
        <f t="shared" si="2"/>
        <v>0</v>
      </c>
      <c r="S16" s="15">
        <f>O16-Benchmark_RF!D16</f>
        <v>1.7412462572457155E-2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IF(Rankings!C23&lt;=2,1,0)</f>
        <v>0</v>
      </c>
      <c r="D17" s="16">
        <f>IF(Rankings!D23&lt;=2,1,0)</f>
        <v>0</v>
      </c>
      <c r="E17" s="16">
        <f>IF(Rankings!E23&lt;=2,1,0)</f>
        <v>0</v>
      </c>
      <c r="F17" s="16">
        <f>IF(Rankings!F23&lt;=2,1,0)</f>
        <v>1</v>
      </c>
      <c r="G17" s="16">
        <f>IF(Rankings!G23&lt;=2,1,0)</f>
        <v>0</v>
      </c>
      <c r="H17" s="16">
        <f>IF(Rankings!H23&lt;=2,1,0)</f>
        <v>0</v>
      </c>
      <c r="I17" s="16">
        <f>IF(Rankings!I23&lt;=2,1,0)</f>
        <v>1</v>
      </c>
      <c r="J17" s="16">
        <f>IF(Rankings!J23&lt;=2,1,0)</f>
        <v>0</v>
      </c>
      <c r="K17" s="19">
        <f t="shared" si="0"/>
        <v>2</v>
      </c>
      <c r="L17" s="15">
        <f>SUMPRODUCT(C17:J17,Returns!B21:I21)/K17</f>
        <v>4.2663683182295964E-2</v>
      </c>
      <c r="M17" s="15">
        <f>-2*Assumptions!$B$13</f>
        <v>-7.0000000000000001E-3</v>
      </c>
      <c r="N17" s="15">
        <f>-Assumptions!$B$16*MAX(0,(1+O11)*(1+O12)*(1+O13)*(1+O14)*(1+O15)*(1+O16)-1)</f>
        <v>-2.7085354466345291E-2</v>
      </c>
      <c r="O17" s="15">
        <f t="shared" si="1"/>
        <v>8.5783287159506734E-3</v>
      </c>
      <c r="P17" s="20">
        <f t="shared" si="3"/>
        <v>0.96068041090585754</v>
      </c>
      <c r="Q17" s="20">
        <f>MAX($P$5:P17)</f>
        <v>0.96068041090585754</v>
      </c>
      <c r="R17" s="15">
        <f t="shared" si="2"/>
        <v>0</v>
      </c>
      <c r="S17" s="15">
        <f>O17-Benchmark_RF!D17</f>
        <v>3.821443787363616E-3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IF(Rankings!C23&lt;=2,1,0)</f>
        <v>0</v>
      </c>
      <c r="D18" s="16">
        <f>IF(Rankings!D23&lt;=2,1,0)</f>
        <v>0</v>
      </c>
      <c r="E18" s="16">
        <f>IF(Rankings!E23&lt;=2,1,0)</f>
        <v>0</v>
      </c>
      <c r="F18" s="16">
        <f>IF(Rankings!F23&lt;=2,1,0)</f>
        <v>1</v>
      </c>
      <c r="G18" s="16">
        <f>IF(Rankings!G23&lt;=2,1,0)</f>
        <v>0</v>
      </c>
      <c r="H18" s="16">
        <f>IF(Rankings!H23&lt;=2,1,0)</f>
        <v>0</v>
      </c>
      <c r="I18" s="16">
        <f>IF(Rankings!I23&lt;=2,1,0)</f>
        <v>1</v>
      </c>
      <c r="J18" s="16">
        <f>IF(Rankings!J23&lt;=2,1,0)</f>
        <v>0</v>
      </c>
      <c r="K18" s="19">
        <f t="shared" si="0"/>
        <v>2</v>
      </c>
      <c r="L18" s="15">
        <f>SUMPRODUCT(C18:J18,Returns!B22:I22)/K18</f>
        <v>0.3021001477533799</v>
      </c>
      <c r="M18" s="15">
        <v>0</v>
      </c>
      <c r="N18" s="15">
        <v>0</v>
      </c>
      <c r="O18" s="15">
        <f t="shared" si="1"/>
        <v>0.3021001477533799</v>
      </c>
      <c r="P18" s="20">
        <f t="shared" si="3"/>
        <v>1.250902104984295</v>
      </c>
      <c r="Q18" s="20">
        <f>MAX($P$5:P18)</f>
        <v>1.250902104984295</v>
      </c>
      <c r="R18" s="15">
        <f t="shared" si="2"/>
        <v>0</v>
      </c>
      <c r="S18" s="15">
        <f>O18-Benchmark_RF!D18</f>
        <v>0.29734326282479284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IF(Rankings!C23&lt;=2,1,0)</f>
        <v>0</v>
      </c>
      <c r="D19" s="16">
        <f>IF(Rankings!D23&lt;=2,1,0)</f>
        <v>0</v>
      </c>
      <c r="E19" s="16">
        <f>IF(Rankings!E23&lt;=2,1,0)</f>
        <v>0</v>
      </c>
      <c r="F19" s="16">
        <f>IF(Rankings!F23&lt;=2,1,0)</f>
        <v>1</v>
      </c>
      <c r="G19" s="16">
        <f>IF(Rankings!G23&lt;=2,1,0)</f>
        <v>0</v>
      </c>
      <c r="H19" s="16">
        <f>IF(Rankings!H23&lt;=2,1,0)</f>
        <v>0</v>
      </c>
      <c r="I19" s="16">
        <f>IF(Rankings!I23&lt;=2,1,0)</f>
        <v>1</v>
      </c>
      <c r="J19" s="16">
        <f>IF(Rankings!J23&lt;=2,1,0)</f>
        <v>0</v>
      </c>
      <c r="K19" s="19">
        <f t="shared" si="0"/>
        <v>2</v>
      </c>
      <c r="L19" s="15">
        <f>SUMPRODUCT(C19:J19,Returns!B23:I23)/K19</f>
        <v>0.10422242667558834</v>
      </c>
      <c r="M19" s="15">
        <v>0</v>
      </c>
      <c r="N19" s="15">
        <v>0</v>
      </c>
      <c r="O19" s="15">
        <f t="shared" si="1"/>
        <v>0.10422242667558834</v>
      </c>
      <c r="P19" s="20">
        <f t="shared" si="3"/>
        <v>1.3812741578993597</v>
      </c>
      <c r="Q19" s="20">
        <f>MAX($P$5:P19)</f>
        <v>1.3812741578993597</v>
      </c>
      <c r="R19" s="15">
        <f t="shared" si="2"/>
        <v>0</v>
      </c>
      <c r="S19" s="15">
        <f>O19-Benchmark_RF!D19</f>
        <v>9.9449724159445752E-2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IF(Rankings!C23&lt;=2,1,0)</f>
        <v>0</v>
      </c>
      <c r="D20" s="16">
        <f>IF(Rankings!D23&lt;=2,1,0)</f>
        <v>0</v>
      </c>
      <c r="E20" s="16">
        <f>IF(Rankings!E23&lt;=2,1,0)</f>
        <v>0</v>
      </c>
      <c r="F20" s="16">
        <f>IF(Rankings!F23&lt;=2,1,0)</f>
        <v>1</v>
      </c>
      <c r="G20" s="16">
        <f>IF(Rankings!G23&lt;=2,1,0)</f>
        <v>0</v>
      </c>
      <c r="H20" s="16">
        <f>IF(Rankings!H23&lt;=2,1,0)</f>
        <v>0</v>
      </c>
      <c r="I20" s="16">
        <f>IF(Rankings!I23&lt;=2,1,0)</f>
        <v>1</v>
      </c>
      <c r="J20" s="16">
        <f>IF(Rankings!J23&lt;=2,1,0)</f>
        <v>0</v>
      </c>
      <c r="K20" s="19">
        <f t="shared" si="0"/>
        <v>2</v>
      </c>
      <c r="L20" s="15">
        <f>SUMPRODUCT(C20:J20,Returns!B24:I24)/K20</f>
        <v>0.22200622760324251</v>
      </c>
      <c r="M20" s="15">
        <v>0</v>
      </c>
      <c r="N20" s="15">
        <v>0</v>
      </c>
      <c r="O20" s="15">
        <f t="shared" si="1"/>
        <v>0.22200622760324251</v>
      </c>
      <c r="P20" s="20">
        <f t="shared" si="3"/>
        <v>1.687925622980442</v>
      </c>
      <c r="Q20" s="20">
        <f>MAX($P$5:P20)</f>
        <v>1.687925622980442</v>
      </c>
      <c r="R20" s="15">
        <f t="shared" si="2"/>
        <v>0</v>
      </c>
      <c r="S20" s="15">
        <f>O20-Benchmark_RF!D20</f>
        <v>0.21717818509070475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IF(Rankings!C23&lt;=2,1,0)</f>
        <v>0</v>
      </c>
      <c r="D21" s="16">
        <f>IF(Rankings!D23&lt;=2,1,0)</f>
        <v>0</v>
      </c>
      <c r="E21" s="16">
        <f>IF(Rankings!E23&lt;=2,1,0)</f>
        <v>0</v>
      </c>
      <c r="F21" s="16">
        <f>IF(Rankings!F23&lt;=2,1,0)</f>
        <v>1</v>
      </c>
      <c r="G21" s="16">
        <f>IF(Rankings!G23&lt;=2,1,0)</f>
        <v>0</v>
      </c>
      <c r="H21" s="16">
        <f>IF(Rankings!H23&lt;=2,1,0)</f>
        <v>0</v>
      </c>
      <c r="I21" s="16">
        <f>IF(Rankings!I23&lt;=2,1,0)</f>
        <v>1</v>
      </c>
      <c r="J21" s="16">
        <f>IF(Rankings!J23&lt;=2,1,0)</f>
        <v>0</v>
      </c>
      <c r="K21" s="19">
        <f t="shared" si="0"/>
        <v>2</v>
      </c>
      <c r="L21" s="15">
        <f>SUMPRODUCT(C21:J21,Returns!B25:I25)/K21</f>
        <v>8.5534527464012355E-3</v>
      </c>
      <c r="M21" s="15">
        <v>0</v>
      </c>
      <c r="N21" s="15">
        <v>0</v>
      </c>
      <c r="O21" s="15">
        <f t="shared" si="1"/>
        <v>8.5534527464012355E-3</v>
      </c>
      <c r="P21" s="20">
        <f t="shared" si="3"/>
        <v>1.7023632150360453</v>
      </c>
      <c r="Q21" s="20">
        <f>MAX($P$5:P21)</f>
        <v>1.7023632150360453</v>
      </c>
      <c r="R21" s="15">
        <f t="shared" si="2"/>
        <v>0</v>
      </c>
      <c r="S21" s="15">
        <f>O21-Benchmark_RF!D21</f>
        <v>3.713635046761643E-3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IF(Rankings!C23&lt;=2,1,0)</f>
        <v>0</v>
      </c>
      <c r="D22" s="16">
        <f>IF(Rankings!D23&lt;=2,1,0)</f>
        <v>0</v>
      </c>
      <c r="E22" s="16">
        <f>IF(Rankings!E23&lt;=2,1,0)</f>
        <v>0</v>
      </c>
      <c r="F22" s="16">
        <f>IF(Rankings!F23&lt;=2,1,0)</f>
        <v>1</v>
      </c>
      <c r="G22" s="16">
        <f>IF(Rankings!G23&lt;=2,1,0)</f>
        <v>0</v>
      </c>
      <c r="H22" s="16">
        <f>IF(Rankings!H23&lt;=2,1,0)</f>
        <v>0</v>
      </c>
      <c r="I22" s="16">
        <f>IF(Rankings!I23&lt;=2,1,0)</f>
        <v>1</v>
      </c>
      <c r="J22" s="16">
        <f>IF(Rankings!J23&lt;=2,1,0)</f>
        <v>0</v>
      </c>
      <c r="K22" s="19">
        <f t="shared" si="0"/>
        <v>2</v>
      </c>
      <c r="L22" s="15">
        <f>SUMPRODUCT(C22:J22,Returns!B26:I26)/K22</f>
        <v>-4.844954514780897E-3</v>
      </c>
      <c r="M22" s="15">
        <v>0</v>
      </c>
      <c r="N22" s="15">
        <v>0</v>
      </c>
      <c r="O22" s="15">
        <f t="shared" si="1"/>
        <v>-4.844954514780897E-3</v>
      </c>
      <c r="P22" s="20">
        <f t="shared" si="3"/>
        <v>1.6941153426915596</v>
      </c>
      <c r="Q22" s="20">
        <f>MAX($P$5:P22)</f>
        <v>1.7023632150360453</v>
      </c>
      <c r="R22" s="15">
        <f t="shared" si="2"/>
        <v>-4.8449545147808415E-3</v>
      </c>
      <c r="S22" s="15">
        <f>O22-Benchmark_RF!D22</f>
        <v>-9.6193177187258727E-3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IF(Rankings!C29&lt;=2,1,0)</f>
        <v>1</v>
      </c>
      <c r="D23" s="16">
        <f>IF(Rankings!D29&lt;=2,1,0)</f>
        <v>0</v>
      </c>
      <c r="E23" s="16">
        <f>IF(Rankings!E29&lt;=2,1,0)</f>
        <v>0</v>
      </c>
      <c r="F23" s="16">
        <f>IF(Rankings!F29&lt;=2,1,0)</f>
        <v>0</v>
      </c>
      <c r="G23" s="16">
        <f>IF(Rankings!G29&lt;=2,1,0)</f>
        <v>0</v>
      </c>
      <c r="H23" s="16">
        <f>IF(Rankings!H29&lt;=2,1,0)</f>
        <v>1</v>
      </c>
      <c r="I23" s="16">
        <f>IF(Rankings!I29&lt;=2,1,0)</f>
        <v>0</v>
      </c>
      <c r="J23" s="16">
        <f>IF(Rankings!J29&lt;=2,1,0)</f>
        <v>0</v>
      </c>
      <c r="K23" s="19">
        <f t="shared" si="0"/>
        <v>2</v>
      </c>
      <c r="L23" s="15">
        <f>SUMPRODUCT(C23:J23,Returns!B27:I27)/K23</f>
        <v>-4.4622449328191205E-2</v>
      </c>
      <c r="M23" s="15">
        <f>-2*Assumptions!$B$13</f>
        <v>-7.0000000000000001E-3</v>
      </c>
      <c r="N23" s="15">
        <f>-Assumptions!$B$16*MAX(0,(1+O17)*(1+O18)*(1+O19)*(1+O20)*(1+O21)*(1+O22)-1)</f>
        <v>-0.11678716484487722</v>
      </c>
      <c r="O23" s="15">
        <f t="shared" si="1"/>
        <v>-0.16840961417306843</v>
      </c>
      <c r="P23" s="20">
        <f t="shared" si="3"/>
        <v>1.4088100314641985</v>
      </c>
      <c r="Q23" s="20">
        <f>MAX($P$5:P23)</f>
        <v>1.7023632150360453</v>
      </c>
      <c r="R23" s="15">
        <f t="shared" si="2"/>
        <v>-0.17243863176732888</v>
      </c>
      <c r="S23" s="15">
        <f>O23-Benchmark_RF!D23</f>
        <v>-0.17323109669487113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IF(Rankings!C29&lt;=2,1,0)</f>
        <v>1</v>
      </c>
      <c r="D24" s="16">
        <f>IF(Rankings!D29&lt;=2,1,0)</f>
        <v>0</v>
      </c>
      <c r="E24" s="16">
        <f>IF(Rankings!E29&lt;=2,1,0)</f>
        <v>0</v>
      </c>
      <c r="F24" s="16">
        <f>IF(Rankings!F29&lt;=2,1,0)</f>
        <v>0</v>
      </c>
      <c r="G24" s="16">
        <f>IF(Rankings!G29&lt;=2,1,0)</f>
        <v>0</v>
      </c>
      <c r="H24" s="16">
        <f>IF(Rankings!H29&lt;=2,1,0)</f>
        <v>1</v>
      </c>
      <c r="I24" s="16">
        <f>IF(Rankings!I29&lt;=2,1,0)</f>
        <v>0</v>
      </c>
      <c r="J24" s="16">
        <f>IF(Rankings!J29&lt;=2,1,0)</f>
        <v>0</v>
      </c>
      <c r="K24" s="19">
        <f t="shared" si="0"/>
        <v>2</v>
      </c>
      <c r="L24" s="15">
        <f>SUMPRODUCT(C24:J24,Returns!B28:I28)/K24</f>
        <v>-4.5573838169379488E-2</v>
      </c>
      <c r="M24" s="15">
        <v>0</v>
      </c>
      <c r="N24" s="15">
        <v>0</v>
      </c>
      <c r="O24" s="15">
        <f t="shared" si="1"/>
        <v>-4.5573838169379488E-2</v>
      </c>
      <c r="P24" s="20">
        <f t="shared" si="3"/>
        <v>1.3446051510788506</v>
      </c>
      <c r="Q24" s="20">
        <f>MAX($P$5:P24)</f>
        <v>1.7023632150360453</v>
      </c>
      <c r="R24" s="15">
        <f t="shared" si="2"/>
        <v>-0.21015377963839499</v>
      </c>
      <c r="S24" s="15">
        <f>O24-Benchmark_RF!D24</f>
        <v>-5.0419108293851156E-2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IF(Rankings!C29&lt;=2,1,0)</f>
        <v>1</v>
      </c>
      <c r="D25" s="16">
        <f>IF(Rankings!D29&lt;=2,1,0)</f>
        <v>0</v>
      </c>
      <c r="E25" s="16">
        <f>IF(Rankings!E29&lt;=2,1,0)</f>
        <v>0</v>
      </c>
      <c r="F25" s="16">
        <f>IF(Rankings!F29&lt;=2,1,0)</f>
        <v>0</v>
      </c>
      <c r="G25" s="16">
        <f>IF(Rankings!G29&lt;=2,1,0)</f>
        <v>0</v>
      </c>
      <c r="H25" s="16">
        <f>IF(Rankings!H29&lt;=2,1,0)</f>
        <v>1</v>
      </c>
      <c r="I25" s="16">
        <f>IF(Rankings!I29&lt;=2,1,0)</f>
        <v>0</v>
      </c>
      <c r="J25" s="16">
        <f>IF(Rankings!J29&lt;=2,1,0)</f>
        <v>0</v>
      </c>
      <c r="K25" s="19">
        <f t="shared" si="0"/>
        <v>2</v>
      </c>
      <c r="L25" s="15">
        <f>SUMPRODUCT(C25:J25,Returns!B29:I29)/K25</f>
        <v>-1.6658427613034488E-2</v>
      </c>
      <c r="M25" s="15">
        <v>0</v>
      </c>
      <c r="N25" s="15">
        <v>0</v>
      </c>
      <c r="O25" s="15">
        <f t="shared" si="1"/>
        <v>-1.6658427613034488E-2</v>
      </c>
      <c r="P25" s="20">
        <f t="shared" si="3"/>
        <v>1.3222061435014902</v>
      </c>
      <c r="Q25" s="20">
        <f>MAX($P$5:P25)</f>
        <v>1.7023632150360453</v>
      </c>
      <c r="R25" s="15">
        <f t="shared" si="2"/>
        <v>-0.22331137572571769</v>
      </c>
      <c r="S25" s="15">
        <f>O25-Benchmark_RF!D25</f>
        <v>-2.1514206565789729E-2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IF(Rankings!C29&lt;=2,1,0)</f>
        <v>1</v>
      </c>
      <c r="D26" s="16">
        <f>IF(Rankings!D29&lt;=2,1,0)</f>
        <v>0</v>
      </c>
      <c r="E26" s="16">
        <f>IF(Rankings!E29&lt;=2,1,0)</f>
        <v>0</v>
      </c>
      <c r="F26" s="16">
        <f>IF(Rankings!F29&lt;=2,1,0)</f>
        <v>0</v>
      </c>
      <c r="G26" s="16">
        <f>IF(Rankings!G29&lt;=2,1,0)</f>
        <v>0</v>
      </c>
      <c r="H26" s="16">
        <f>IF(Rankings!H29&lt;=2,1,0)</f>
        <v>1</v>
      </c>
      <c r="I26" s="16">
        <f>IF(Rankings!I29&lt;=2,1,0)</f>
        <v>0</v>
      </c>
      <c r="J26" s="16">
        <f>IF(Rankings!J29&lt;=2,1,0)</f>
        <v>0</v>
      </c>
      <c r="K26" s="19">
        <f t="shared" si="0"/>
        <v>2</v>
      </c>
      <c r="L26" s="15">
        <f>SUMPRODUCT(C26:J26,Returns!B30:I30)/K26</f>
        <v>7.1877688172043097E-2</v>
      </c>
      <c r="M26" s="15">
        <v>0</v>
      </c>
      <c r="N26" s="15">
        <v>0</v>
      </c>
      <c r="O26" s="15">
        <f t="shared" si="1"/>
        <v>7.1877688172043097E-2</v>
      </c>
      <c r="P26" s="20">
        <f t="shared" si="3"/>
        <v>1.41724326438325</v>
      </c>
      <c r="Q26" s="20">
        <f>MAX($P$5:P26)</f>
        <v>1.7023632150360453</v>
      </c>
      <c r="R26" s="15">
        <f t="shared" si="2"/>
        <v>-0.16748479298335772</v>
      </c>
      <c r="S26" s="15">
        <f>O26-Benchmark_RF!D26</f>
        <v>6.7021909219287856E-2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IF(Rankings!C29&lt;=2,1,0)</f>
        <v>1</v>
      </c>
      <c r="D27" s="16">
        <f>IF(Rankings!D29&lt;=2,1,0)</f>
        <v>0</v>
      </c>
      <c r="E27" s="16">
        <f>IF(Rankings!E29&lt;=2,1,0)</f>
        <v>0</v>
      </c>
      <c r="F27" s="16">
        <f>IF(Rankings!F29&lt;=2,1,0)</f>
        <v>0</v>
      </c>
      <c r="G27" s="16">
        <f>IF(Rankings!G29&lt;=2,1,0)</f>
        <v>0</v>
      </c>
      <c r="H27" s="16">
        <f>IF(Rankings!H29&lt;=2,1,0)</f>
        <v>1</v>
      </c>
      <c r="I27" s="16">
        <f>IF(Rankings!I29&lt;=2,1,0)</f>
        <v>0</v>
      </c>
      <c r="J27" s="16">
        <f>IF(Rankings!J29&lt;=2,1,0)</f>
        <v>0</v>
      </c>
      <c r="K27" s="19">
        <f t="shared" si="0"/>
        <v>2</v>
      </c>
      <c r="L27" s="15">
        <f>SUMPRODUCT(C27:J27,Returns!B31:I31)/K27</f>
        <v>-0.17375065317910893</v>
      </c>
      <c r="M27" s="15">
        <v>0</v>
      </c>
      <c r="N27" s="15">
        <v>0</v>
      </c>
      <c r="O27" s="15">
        <f t="shared" si="1"/>
        <v>-0.17375065317910893</v>
      </c>
      <c r="P27" s="20">
        <f t="shared" si="3"/>
        <v>1.1709963214829677</v>
      </c>
      <c r="Q27" s="20">
        <f>MAX($P$5:P27)</f>
        <v>1.7023632150360453</v>
      </c>
      <c r="R27" s="15">
        <f t="shared" si="2"/>
        <v>-0.31213485398404039</v>
      </c>
      <c r="S27" s="15">
        <f>O27-Benchmark_RF!D27</f>
        <v>-0.17861109355583965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IF(Rankings!C29&lt;=2,1,0)</f>
        <v>1</v>
      </c>
      <c r="D28" s="16">
        <f>IF(Rankings!D29&lt;=2,1,0)</f>
        <v>0</v>
      </c>
      <c r="E28" s="16">
        <f>IF(Rankings!E29&lt;=2,1,0)</f>
        <v>0</v>
      </c>
      <c r="F28" s="16">
        <f>IF(Rankings!F29&lt;=2,1,0)</f>
        <v>0</v>
      </c>
      <c r="G28" s="16">
        <f>IF(Rankings!G29&lt;=2,1,0)</f>
        <v>0</v>
      </c>
      <c r="H28" s="16">
        <f>IF(Rankings!H29&lt;=2,1,0)</f>
        <v>1</v>
      </c>
      <c r="I28" s="16">
        <f>IF(Rankings!I29&lt;=2,1,0)</f>
        <v>0</v>
      </c>
      <c r="J28" s="16">
        <f>IF(Rankings!J29&lt;=2,1,0)</f>
        <v>0</v>
      </c>
      <c r="K28" s="19">
        <f t="shared" si="0"/>
        <v>2</v>
      </c>
      <c r="L28" s="15">
        <f>SUMPRODUCT(C28:J28,Returns!B32:I32)/K28</f>
        <v>4.1819271684791548E-2</v>
      </c>
      <c r="M28" s="15">
        <v>0</v>
      </c>
      <c r="N28" s="15">
        <v>0</v>
      </c>
      <c r="O28" s="15">
        <f t="shared" si="1"/>
        <v>4.1819271684791548E-2</v>
      </c>
      <c r="P28" s="20">
        <f t="shared" si="3"/>
        <v>1.2199665347929556</v>
      </c>
      <c r="Q28" s="20">
        <f>MAX($P$5:P28)</f>
        <v>1.7023632150360453</v>
      </c>
      <c r="R28" s="15">
        <f t="shared" si="2"/>
        <v>-0.28336883456030004</v>
      </c>
      <c r="S28" s="15">
        <f>O28-Benchmark_RF!D28</f>
        <v>3.6958910313265203E-2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IF(Rankings!C35&lt;=2,1,0)</f>
        <v>0</v>
      </c>
      <c r="D29" s="16">
        <f>IF(Rankings!D35&lt;=2,1,0)</f>
        <v>0</v>
      </c>
      <c r="E29" s="16">
        <f>IF(Rankings!E35&lt;=2,1,0)</f>
        <v>0</v>
      </c>
      <c r="F29" s="16">
        <f>IF(Rankings!F35&lt;=2,1,0)</f>
        <v>0</v>
      </c>
      <c r="G29" s="16">
        <f>IF(Rankings!G35&lt;=2,1,0)</f>
        <v>0</v>
      </c>
      <c r="H29" s="16">
        <f>IF(Rankings!H35&lt;=2,1,0)</f>
        <v>1</v>
      </c>
      <c r="I29" s="16">
        <f>IF(Rankings!I35&lt;=2,1,0)</f>
        <v>1</v>
      </c>
      <c r="J29" s="16">
        <f>IF(Rankings!J35&lt;=2,1,0)</f>
        <v>0</v>
      </c>
      <c r="K29" s="19">
        <f t="shared" si="0"/>
        <v>2</v>
      </c>
      <c r="L29" s="15">
        <f>SUMPRODUCT(C29:J29,Returns!B33:I33)/K29</f>
        <v>-0.21319482814204349</v>
      </c>
      <c r="M29" s="15">
        <f>-2*Assumptions!$B$13</f>
        <v>-7.0000000000000001E-3</v>
      </c>
      <c r="N29" s="15">
        <f>-Assumptions!$B$16*MAX(0,(1+O23)*(1+O24)*(1+O25)*(1+O26)*(1+O27)*(1+O28)-1)</f>
        <v>0</v>
      </c>
      <c r="O29" s="15">
        <f t="shared" si="1"/>
        <v>-0.2201948281420435</v>
      </c>
      <c r="P29" s="20">
        <f t="shared" si="3"/>
        <v>0.95133621332517637</v>
      </c>
      <c r="Q29" s="20">
        <f>MAX($P$5:P29)</f>
        <v>1.7023632150360453</v>
      </c>
      <c r="R29" s="15">
        <f t="shared" si="2"/>
        <v>-0.44116731087552719</v>
      </c>
      <c r="S29" s="15">
        <f>O29-Benchmark_RF!D29</f>
        <v>-0.22505463647522561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IF(Rankings!C35&lt;=2,1,0)</f>
        <v>0</v>
      </c>
      <c r="D30" s="16">
        <f>IF(Rankings!D35&lt;=2,1,0)</f>
        <v>0</v>
      </c>
      <c r="E30" s="16">
        <f>IF(Rankings!E35&lt;=2,1,0)</f>
        <v>0</v>
      </c>
      <c r="F30" s="16">
        <f>IF(Rankings!F35&lt;=2,1,0)</f>
        <v>0</v>
      </c>
      <c r="G30" s="16">
        <f>IF(Rankings!G35&lt;=2,1,0)</f>
        <v>0</v>
      </c>
      <c r="H30" s="16">
        <f>IF(Rankings!H35&lt;=2,1,0)</f>
        <v>1</v>
      </c>
      <c r="I30" s="16">
        <f>IF(Rankings!I35&lt;=2,1,0)</f>
        <v>1</v>
      </c>
      <c r="J30" s="16">
        <f>IF(Rankings!J35&lt;=2,1,0)</f>
        <v>0</v>
      </c>
      <c r="K30" s="19">
        <f t="shared" si="0"/>
        <v>2</v>
      </c>
      <c r="L30" s="15">
        <f>SUMPRODUCT(C30:J30,Returns!B34:I34)/K30</f>
        <v>0.10265278006530765</v>
      </c>
      <c r="M30" s="15">
        <v>0</v>
      </c>
      <c r="N30" s="15">
        <v>0</v>
      </c>
      <c r="O30" s="15">
        <f t="shared" si="1"/>
        <v>0.10265278006530765</v>
      </c>
      <c r="P30" s="20">
        <f t="shared" si="3"/>
        <v>1.0489935203998082</v>
      </c>
      <c r="Q30" s="20">
        <f>MAX($P$5:P30)</f>
        <v>1.7023632150360453</v>
      </c>
      <c r="R30" s="15">
        <f t="shared" si="2"/>
        <v>-0.38380158174552825</v>
      </c>
      <c r="S30" s="15">
        <f>O30-Benchmark_RF!D30</f>
        <v>9.7792339688576924E-2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IF(Rankings!C35&lt;=2,1,0)</f>
        <v>0</v>
      </c>
      <c r="D31" s="16">
        <f>IF(Rankings!D35&lt;=2,1,0)</f>
        <v>0</v>
      </c>
      <c r="E31" s="16">
        <f>IF(Rankings!E35&lt;=2,1,0)</f>
        <v>0</v>
      </c>
      <c r="F31" s="16">
        <f>IF(Rankings!F35&lt;=2,1,0)</f>
        <v>0</v>
      </c>
      <c r="G31" s="16">
        <f>IF(Rankings!G35&lt;=2,1,0)</f>
        <v>0</v>
      </c>
      <c r="H31" s="16">
        <f>IF(Rankings!H35&lt;=2,1,0)</f>
        <v>1</v>
      </c>
      <c r="I31" s="16">
        <f>IF(Rankings!I35&lt;=2,1,0)</f>
        <v>1</v>
      </c>
      <c r="J31" s="16">
        <f>IF(Rankings!J35&lt;=2,1,0)</f>
        <v>0</v>
      </c>
      <c r="K31" s="19">
        <f t="shared" si="0"/>
        <v>2</v>
      </c>
      <c r="L31" s="15">
        <f>SUMPRODUCT(C31:J31,Returns!B35:I35)/K31</f>
        <v>-4.5651393973542342E-2</v>
      </c>
      <c r="M31" s="15">
        <v>0</v>
      </c>
      <c r="N31" s="15">
        <v>0</v>
      </c>
      <c r="O31" s="15">
        <f t="shared" si="1"/>
        <v>-4.5651393973542342E-2</v>
      </c>
      <c r="P31" s="20">
        <f t="shared" si="3"/>
        <v>1.0011055039243435</v>
      </c>
      <c r="Q31" s="20">
        <f>MAX($P$5:P31)</f>
        <v>1.7023632150360453</v>
      </c>
      <c r="R31" s="15">
        <f t="shared" si="2"/>
        <v>-0.41193189850313672</v>
      </c>
      <c r="S31" s="15">
        <f>O31-Benchmark_RF!D31</f>
        <v>-5.0511834350273066E-2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IF(Rankings!C35&lt;=2,1,0)</f>
        <v>0</v>
      </c>
      <c r="D32" s="16">
        <f>IF(Rankings!D35&lt;=2,1,0)</f>
        <v>0</v>
      </c>
      <c r="E32" s="16">
        <f>IF(Rankings!E35&lt;=2,1,0)</f>
        <v>0</v>
      </c>
      <c r="F32" s="16">
        <f>IF(Rankings!F35&lt;=2,1,0)</f>
        <v>0</v>
      </c>
      <c r="G32" s="16">
        <f>IF(Rankings!G35&lt;=2,1,0)</f>
        <v>0</v>
      </c>
      <c r="H32" s="16">
        <f>IF(Rankings!H35&lt;=2,1,0)</f>
        <v>1</v>
      </c>
      <c r="I32" s="16">
        <f>IF(Rankings!I35&lt;=2,1,0)</f>
        <v>1</v>
      </c>
      <c r="J32" s="16">
        <f>IF(Rankings!J35&lt;=2,1,0)</f>
        <v>0</v>
      </c>
      <c r="K32" s="19">
        <f t="shared" si="0"/>
        <v>2</v>
      </c>
      <c r="L32" s="15">
        <f>SUMPRODUCT(C32:J32,Returns!B36:I36)/K32</f>
        <v>0.25527341769065726</v>
      </c>
      <c r="M32" s="15">
        <v>0</v>
      </c>
      <c r="N32" s="15">
        <v>0</v>
      </c>
      <c r="O32" s="15">
        <f t="shared" si="1"/>
        <v>0.25527341769065726</v>
      </c>
      <c r="P32" s="20">
        <f t="shared" si="3"/>
        <v>1.2566611273800383</v>
      </c>
      <c r="Q32" s="20">
        <f>MAX($P$5:P32)</f>
        <v>1.7023632150360453</v>
      </c>
      <c r="R32" s="15">
        <f t="shared" si="2"/>
        <v>-0.26181374439917615</v>
      </c>
      <c r="S32" s="15">
        <f>O32-Benchmark_RF!D32</f>
        <v>0.25041305631913091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IF(Rankings!C35&lt;=2,1,0)</f>
        <v>0</v>
      </c>
      <c r="D33" s="16">
        <f>IF(Rankings!D35&lt;=2,1,0)</f>
        <v>0</v>
      </c>
      <c r="E33" s="16">
        <f>IF(Rankings!E35&lt;=2,1,0)</f>
        <v>0</v>
      </c>
      <c r="F33" s="16">
        <f>IF(Rankings!F35&lt;=2,1,0)</f>
        <v>0</v>
      </c>
      <c r="G33" s="16">
        <f>IF(Rankings!G35&lt;=2,1,0)</f>
        <v>0</v>
      </c>
      <c r="H33" s="16">
        <f>IF(Rankings!H35&lt;=2,1,0)</f>
        <v>1</v>
      </c>
      <c r="I33" s="16">
        <f>IF(Rankings!I35&lt;=2,1,0)</f>
        <v>1</v>
      </c>
      <c r="J33" s="16">
        <f>IF(Rankings!J35&lt;=2,1,0)</f>
        <v>0</v>
      </c>
      <c r="K33" s="19">
        <f t="shared" si="0"/>
        <v>2</v>
      </c>
      <c r="L33" s="15">
        <f>SUMPRODUCT(C33:J33,Returns!B37:I37)/K33</f>
        <v>-2.9051267977615369E-2</v>
      </c>
      <c r="M33" s="15">
        <v>0</v>
      </c>
      <c r="N33" s="15">
        <v>0</v>
      </c>
      <c r="O33" s="15">
        <f t="shared" si="1"/>
        <v>-2.9051267977615369E-2</v>
      </c>
      <c r="P33" s="20">
        <f t="shared" si="3"/>
        <v>1.2201535282114686</v>
      </c>
      <c r="Q33" s="20">
        <f>MAX($P$5:P33)</f>
        <v>1.7023632150360453</v>
      </c>
      <c r="R33" s="15">
        <f t="shared" si="2"/>
        <v>-0.28325899112802821</v>
      </c>
      <c r="S33" s="15">
        <f>O33-Benchmark_RF!D33</f>
        <v>-3.3911708354346093E-2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IF(Rankings!C35&lt;=2,1,0)</f>
        <v>0</v>
      </c>
      <c r="D34" s="16">
        <f>IF(Rankings!D35&lt;=2,1,0)</f>
        <v>0</v>
      </c>
      <c r="E34" s="16">
        <f>IF(Rankings!E35&lt;=2,1,0)</f>
        <v>0</v>
      </c>
      <c r="F34" s="16">
        <f>IF(Rankings!F35&lt;=2,1,0)</f>
        <v>0</v>
      </c>
      <c r="G34" s="16">
        <f>IF(Rankings!G35&lt;=2,1,0)</f>
        <v>0</v>
      </c>
      <c r="H34" s="16">
        <f>IF(Rankings!H35&lt;=2,1,0)</f>
        <v>1</v>
      </c>
      <c r="I34" s="16">
        <f>IF(Rankings!I35&lt;=2,1,0)</f>
        <v>1</v>
      </c>
      <c r="J34" s="16">
        <f>IF(Rankings!J35&lt;=2,1,0)</f>
        <v>0</v>
      </c>
      <c r="K34" s="19">
        <f t="shared" si="0"/>
        <v>2</v>
      </c>
      <c r="L34" s="15">
        <f>SUMPRODUCT(C34:J34,Returns!B38:I38)/K34</f>
        <v>5.8860759493670756E-2</v>
      </c>
      <c r="M34" s="15">
        <v>0</v>
      </c>
      <c r="N34" s="15">
        <v>0</v>
      </c>
      <c r="O34" s="15">
        <f t="shared" si="1"/>
        <v>5.8860759493670756E-2</v>
      </c>
      <c r="P34" s="20">
        <f t="shared" si="3"/>
        <v>1.2919726915808776</v>
      </c>
      <c r="Q34" s="20">
        <f>MAX($P$5:P34)</f>
        <v>1.7023632150360453</v>
      </c>
      <c r="R34" s="15">
        <f t="shared" si="2"/>
        <v>-0.24107107098556413</v>
      </c>
      <c r="S34" s="15">
        <f>O34-Benchmark_RF!D34</f>
        <v>5.3835347354834528E-2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IF(Rankings!C41&lt;=2,1,0)</f>
        <v>0</v>
      </c>
      <c r="D35" s="16">
        <f>IF(Rankings!D41&lt;=2,1,0)</f>
        <v>1</v>
      </c>
      <c r="E35" s="16">
        <f>IF(Rankings!E41&lt;=2,1,0)</f>
        <v>0</v>
      </c>
      <c r="F35" s="16">
        <f>IF(Rankings!F41&lt;=2,1,0)</f>
        <v>0</v>
      </c>
      <c r="G35" s="16">
        <f>IF(Rankings!G41&lt;=2,1,0)</f>
        <v>1</v>
      </c>
      <c r="H35" s="16">
        <f>IF(Rankings!H41&lt;=2,1,0)</f>
        <v>0</v>
      </c>
      <c r="I35" s="16">
        <f>IF(Rankings!I41&lt;=2,1,0)</f>
        <v>0</v>
      </c>
      <c r="J35" s="16">
        <f>IF(Rankings!J41&lt;=2,1,0)</f>
        <v>0</v>
      </c>
      <c r="K35" s="19">
        <f t="shared" si="0"/>
        <v>2</v>
      </c>
      <c r="L35" s="15">
        <f>SUMPRODUCT(C35:J35,Returns!B39:I39)/K35</f>
        <v>-2.4763237070377475E-2</v>
      </c>
      <c r="M35" s="15">
        <f>-2*Assumptions!$B$13</f>
        <v>-7.0000000000000001E-3</v>
      </c>
      <c r="N35" s="15">
        <f>-Assumptions!$B$16*MAX(0,(1+O29)*(1+O30)*(1+O31)*(1+O32)*(1+O33)*(1+O34)-1)</f>
        <v>-8.8534588532966363E-3</v>
      </c>
      <c r="O35" s="15">
        <f t="shared" si="1"/>
        <v>-4.0616695923674111E-2</v>
      </c>
      <c r="P35" s="20">
        <f t="shared" si="3"/>
        <v>1.2394970296252463</v>
      </c>
      <c r="Q35" s="20">
        <f>MAX($P$5:P35)</f>
        <v>1.7023632150360453</v>
      </c>
      <c r="R35" s="15">
        <f t="shared" si="2"/>
        <v>-0.27189625652302307</v>
      </c>
      <c r="S35" s="15">
        <f>O35-Benchmark_RF!D35</f>
        <v>-4.5667498302549007E-2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IF(Rankings!C41&lt;=2,1,0)</f>
        <v>0</v>
      </c>
      <c r="D36" s="16">
        <f>IF(Rankings!D41&lt;=2,1,0)</f>
        <v>1</v>
      </c>
      <c r="E36" s="16">
        <f>IF(Rankings!E41&lt;=2,1,0)</f>
        <v>0</v>
      </c>
      <c r="F36" s="16">
        <f>IF(Rankings!F41&lt;=2,1,0)</f>
        <v>0</v>
      </c>
      <c r="G36" s="16">
        <f>IF(Rankings!G41&lt;=2,1,0)</f>
        <v>1</v>
      </c>
      <c r="H36" s="16">
        <f>IF(Rankings!H41&lt;=2,1,0)</f>
        <v>0</v>
      </c>
      <c r="I36" s="16">
        <f>IF(Rankings!I41&lt;=2,1,0)</f>
        <v>0</v>
      </c>
      <c r="J36" s="16">
        <f>IF(Rankings!J41&lt;=2,1,0)</f>
        <v>0</v>
      </c>
      <c r="K36" s="19">
        <f t="shared" si="0"/>
        <v>2</v>
      </c>
      <c r="L36" s="15">
        <f>SUMPRODUCT(C36:J36,Returns!B40:I40)/K36</f>
        <v>0.10337764069423028</v>
      </c>
      <c r="M36" s="15">
        <v>0</v>
      </c>
      <c r="N36" s="15">
        <v>0</v>
      </c>
      <c r="O36" s="15">
        <f t="shared" si="1"/>
        <v>0.10337764069423028</v>
      </c>
      <c r="P36" s="20">
        <f t="shared" si="3"/>
        <v>1.3676333081954106</v>
      </c>
      <c r="Q36" s="20">
        <f>MAX($P$5:P36)</f>
        <v>1.7023632150360453</v>
      </c>
      <c r="R36" s="15">
        <f t="shared" si="2"/>
        <v>-0.19662660934173626</v>
      </c>
      <c r="S36" s="15">
        <f>O36-Benchmark_RF!D36</f>
        <v>9.8305632622115113E-2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IF(Rankings!C41&lt;=2,1,0)</f>
        <v>0</v>
      </c>
      <c r="D37" s="16">
        <f>IF(Rankings!D41&lt;=2,1,0)</f>
        <v>1</v>
      </c>
      <c r="E37" s="16">
        <f>IF(Rankings!E41&lt;=2,1,0)</f>
        <v>0</v>
      </c>
      <c r="F37" s="16">
        <f>IF(Rankings!F41&lt;=2,1,0)</f>
        <v>0</v>
      </c>
      <c r="G37" s="16">
        <f>IF(Rankings!G41&lt;=2,1,0)</f>
        <v>1</v>
      </c>
      <c r="H37" s="16">
        <f>IF(Rankings!H41&lt;=2,1,0)</f>
        <v>0</v>
      </c>
      <c r="I37" s="16">
        <f>IF(Rankings!I41&lt;=2,1,0)</f>
        <v>0</v>
      </c>
      <c r="J37" s="16">
        <f>IF(Rankings!J41&lt;=2,1,0)</f>
        <v>0</v>
      </c>
      <c r="K37" s="19">
        <f t="shared" ref="K37:K68" si="4">SUM(C37:J37)</f>
        <v>2</v>
      </c>
      <c r="L37" s="15">
        <f>SUMPRODUCT(C37:J37,Returns!B41:I41)/K37</f>
        <v>-2.692027242498779E-2</v>
      </c>
      <c r="M37" s="15">
        <v>0</v>
      </c>
      <c r="N37" s="15">
        <v>0</v>
      </c>
      <c r="O37" s="15">
        <f t="shared" ref="O37:O68" si="5">L37+M37+N37</f>
        <v>-2.692027242498779E-2</v>
      </c>
      <c r="P37" s="20">
        <f t="shared" si="3"/>
        <v>1.330816246961303</v>
      </c>
      <c r="Q37" s="20">
        <f>MAX($P$5:P37)</f>
        <v>1.7023632150360453</v>
      </c>
      <c r="R37" s="15">
        <f t="shared" ref="R37:R68" si="6">P37/Q37-1</f>
        <v>-0.21825363987724278</v>
      </c>
      <c r="S37" s="15">
        <f>O37-Benchmark_RF!D37</f>
        <v>-3.1974780242661149E-2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IF(Rankings!C41&lt;=2,1,0)</f>
        <v>0</v>
      </c>
      <c r="D38" s="16">
        <f>IF(Rankings!D41&lt;=2,1,0)</f>
        <v>1</v>
      </c>
      <c r="E38" s="16">
        <f>IF(Rankings!E41&lt;=2,1,0)</f>
        <v>0</v>
      </c>
      <c r="F38" s="16">
        <f>IF(Rankings!F41&lt;=2,1,0)</f>
        <v>0</v>
      </c>
      <c r="G38" s="16">
        <f>IF(Rankings!G41&lt;=2,1,0)</f>
        <v>1</v>
      </c>
      <c r="H38" s="16">
        <f>IF(Rankings!H41&lt;=2,1,0)</f>
        <v>0</v>
      </c>
      <c r="I38" s="16">
        <f>IF(Rankings!I41&lt;=2,1,0)</f>
        <v>0</v>
      </c>
      <c r="J38" s="16">
        <f>IF(Rankings!J41&lt;=2,1,0)</f>
        <v>0</v>
      </c>
      <c r="K38" s="19">
        <f t="shared" si="4"/>
        <v>2</v>
      </c>
      <c r="L38" s="15">
        <f>SUMPRODUCT(C38:J38,Returns!B42:I42)/K38</f>
        <v>-0.10844158713326263</v>
      </c>
      <c r="M38" s="15">
        <v>0</v>
      </c>
      <c r="N38" s="15">
        <v>0</v>
      </c>
      <c r="O38" s="15">
        <f t="shared" si="5"/>
        <v>-0.10844158713326263</v>
      </c>
      <c r="P38" s="20">
        <f t="shared" ref="P38:P69" si="7">P37*(1+O38)</f>
        <v>1.1865004209580872</v>
      </c>
      <c r="Q38" s="20">
        <f>MAX($P$5:P38)</f>
        <v>1.7023632150360453</v>
      </c>
      <c r="R38" s="15">
        <f t="shared" si="6"/>
        <v>-0.30302745590460578</v>
      </c>
      <c r="S38" s="15">
        <f>O38-Benchmark_RF!D38</f>
        <v>-0.11351312226959659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IF(Rankings!C41&lt;=2,1,0)</f>
        <v>0</v>
      </c>
      <c r="D39" s="16">
        <f>IF(Rankings!D41&lt;=2,1,0)</f>
        <v>1</v>
      </c>
      <c r="E39" s="16">
        <f>IF(Rankings!E41&lt;=2,1,0)</f>
        <v>0</v>
      </c>
      <c r="F39" s="16">
        <f>IF(Rankings!F41&lt;=2,1,0)</f>
        <v>0</v>
      </c>
      <c r="G39" s="16">
        <f>IF(Rankings!G41&lt;=2,1,0)</f>
        <v>1</v>
      </c>
      <c r="H39" s="16">
        <f>IF(Rankings!H41&lt;=2,1,0)</f>
        <v>0</v>
      </c>
      <c r="I39" s="16">
        <f>IF(Rankings!I41&lt;=2,1,0)</f>
        <v>0</v>
      </c>
      <c r="J39" s="16">
        <f>IF(Rankings!J41&lt;=2,1,0)</f>
        <v>0</v>
      </c>
      <c r="K39" s="19">
        <f t="shared" si="4"/>
        <v>2</v>
      </c>
      <c r="L39" s="15">
        <f>SUMPRODUCT(C39:J39,Returns!B43:I43)/K39</f>
        <v>9.1904776759217932E-3</v>
      </c>
      <c r="M39" s="15">
        <v>0</v>
      </c>
      <c r="N39" s="15">
        <v>0</v>
      </c>
      <c r="O39" s="15">
        <f t="shared" si="5"/>
        <v>9.1904776759217932E-3</v>
      </c>
      <c r="P39" s="20">
        <f t="shared" si="7"/>
        <v>1.1974049265893743</v>
      </c>
      <c r="Q39" s="20">
        <f>MAX($P$5:P39)</f>
        <v>1.7023632150360453</v>
      </c>
      <c r="R39" s="15">
        <f t="shared" si="6"/>
        <v>-0.29662194529736663</v>
      </c>
      <c r="S39" s="15">
        <f>O39-Benchmark_RF!D39</f>
        <v>3.724890963974048E-3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IF(Rankings!C41&lt;=2,1,0)</f>
        <v>0</v>
      </c>
      <c r="D40" s="16">
        <f>IF(Rankings!D41&lt;=2,1,0)</f>
        <v>1</v>
      </c>
      <c r="E40" s="16">
        <f>IF(Rankings!E41&lt;=2,1,0)</f>
        <v>0</v>
      </c>
      <c r="F40" s="16">
        <f>IF(Rankings!F41&lt;=2,1,0)</f>
        <v>0</v>
      </c>
      <c r="G40" s="16">
        <f>IF(Rankings!G41&lt;=2,1,0)</f>
        <v>1</v>
      </c>
      <c r="H40" s="16">
        <f>IF(Rankings!H41&lt;=2,1,0)</f>
        <v>0</v>
      </c>
      <c r="I40" s="16">
        <f>IF(Rankings!I41&lt;=2,1,0)</f>
        <v>0</v>
      </c>
      <c r="J40" s="16">
        <f>IF(Rankings!J41&lt;=2,1,0)</f>
        <v>0</v>
      </c>
      <c r="K40" s="19">
        <f t="shared" si="4"/>
        <v>2</v>
      </c>
      <c r="L40" s="15">
        <f>SUMPRODUCT(C40:J40,Returns!B44:I44)/K40</f>
        <v>9.1203597470690845E-2</v>
      </c>
      <c r="M40" s="15">
        <v>0</v>
      </c>
      <c r="N40" s="15">
        <v>0</v>
      </c>
      <c r="O40" s="15">
        <f t="shared" si="5"/>
        <v>9.1203597470690845E-2</v>
      </c>
      <c r="P40" s="20">
        <f t="shared" si="7"/>
        <v>1.3066125635234536</v>
      </c>
      <c r="Q40" s="20">
        <f>MAX($P$5:P40)</f>
        <v>1.7023632150360453</v>
      </c>
      <c r="R40" s="15">
        <f t="shared" si="6"/>
        <v>-0.23247133632655015</v>
      </c>
      <c r="S40" s="15">
        <f>O40-Benchmark_RF!D40</f>
        <v>8.4986253677640677E-2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IF(Rankings!C47&lt;=2,1,0)</f>
        <v>1</v>
      </c>
      <c r="D41" s="16">
        <f>IF(Rankings!D47&lt;=2,1,0)</f>
        <v>0</v>
      </c>
      <c r="E41" s="16">
        <f>IF(Rankings!E47&lt;=2,1,0)</f>
        <v>0</v>
      </c>
      <c r="F41" s="16">
        <f>IF(Rankings!F47&lt;=2,1,0)</f>
        <v>0</v>
      </c>
      <c r="G41" s="16">
        <f>IF(Rankings!G47&lt;=2,1,0)</f>
        <v>0</v>
      </c>
      <c r="H41" s="16">
        <f>IF(Rankings!H47&lt;=2,1,0)</f>
        <v>1</v>
      </c>
      <c r="I41" s="16">
        <f>IF(Rankings!I47&lt;=2,1,0)</f>
        <v>0</v>
      </c>
      <c r="J41" s="16">
        <f>IF(Rankings!J47&lt;=2,1,0)</f>
        <v>0</v>
      </c>
      <c r="K41" s="19">
        <f t="shared" si="4"/>
        <v>2</v>
      </c>
      <c r="L41" s="15">
        <f>SUMPRODUCT(C41:J41,Returns!B45:I45)/K41</f>
        <v>-4.4257352583539356E-3</v>
      </c>
      <c r="M41" s="15">
        <f>-2*Assumptions!$B$13</f>
        <v>-7.0000000000000001E-3</v>
      </c>
      <c r="N41" s="15">
        <f>-Assumptions!$B$16*MAX(0,(1+O35)*(1+O36)*(1+O37)*(1+O38)*(1+O39)*(1+O40)-1)</f>
        <v>-1.6997114611605245E-3</v>
      </c>
      <c r="O41" s="15">
        <f t="shared" si="5"/>
        <v>-1.3125446719514459E-2</v>
      </c>
      <c r="P41" s="20">
        <f t="shared" si="7"/>
        <v>1.2894626899378783</v>
      </c>
      <c r="Q41" s="20">
        <f>MAX($P$5:P41)</f>
        <v>1.7023632150360453</v>
      </c>
      <c r="R41" s="15">
        <f t="shared" si="6"/>
        <v>-0.2425454929072961</v>
      </c>
      <c r="S41" s="15">
        <f>O41-Benchmark_RF!D41</f>
        <v>-1.936512818080019E-2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IF(Rankings!C47&lt;=2,1,0)</f>
        <v>1</v>
      </c>
      <c r="D42" s="16">
        <f>IF(Rankings!D47&lt;=2,1,0)</f>
        <v>0</v>
      </c>
      <c r="E42" s="16">
        <f>IF(Rankings!E47&lt;=2,1,0)</f>
        <v>0</v>
      </c>
      <c r="F42" s="16">
        <f>IF(Rankings!F47&lt;=2,1,0)</f>
        <v>0</v>
      </c>
      <c r="G42" s="16">
        <f>IF(Rankings!G47&lt;=2,1,0)</f>
        <v>0</v>
      </c>
      <c r="H42" s="16">
        <f>IF(Rankings!H47&lt;=2,1,0)</f>
        <v>1</v>
      </c>
      <c r="I42" s="16">
        <f>IF(Rankings!I47&lt;=2,1,0)</f>
        <v>0</v>
      </c>
      <c r="J42" s="16">
        <f>IF(Rankings!J47&lt;=2,1,0)</f>
        <v>0</v>
      </c>
      <c r="K42" s="19">
        <f t="shared" si="4"/>
        <v>2</v>
      </c>
      <c r="L42" s="15">
        <f>SUMPRODUCT(C42:J42,Returns!B46:I46)/K42</f>
        <v>2.763325510274639E-3</v>
      </c>
      <c r="M42" s="15">
        <v>0</v>
      </c>
      <c r="N42" s="15">
        <v>0</v>
      </c>
      <c r="O42" s="15">
        <f t="shared" si="5"/>
        <v>2.763325510274639E-3</v>
      </c>
      <c r="P42" s="20">
        <f t="shared" si="7"/>
        <v>1.2930258950835309</v>
      </c>
      <c r="Q42" s="20">
        <f>MAX($P$5:P42)</f>
        <v>1.7023632150360453</v>
      </c>
      <c r="R42" s="15">
        <f t="shared" si="6"/>
        <v>-0.24045239954497444</v>
      </c>
      <c r="S42" s="15">
        <f>O42-Benchmark_RF!D42</f>
        <v>-3.4763559510110897E-3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IF(Rankings!C47&lt;=2,1,0)</f>
        <v>1</v>
      </c>
      <c r="D43" s="16">
        <f>IF(Rankings!D47&lt;=2,1,0)</f>
        <v>0</v>
      </c>
      <c r="E43" s="16">
        <f>IF(Rankings!E47&lt;=2,1,0)</f>
        <v>0</v>
      </c>
      <c r="F43" s="16">
        <f>IF(Rankings!F47&lt;=2,1,0)</f>
        <v>0</v>
      </c>
      <c r="G43" s="16">
        <f>IF(Rankings!G47&lt;=2,1,0)</f>
        <v>0</v>
      </c>
      <c r="H43" s="16">
        <f>IF(Rankings!H47&lt;=2,1,0)</f>
        <v>1</v>
      </c>
      <c r="I43" s="16">
        <f>IF(Rankings!I47&lt;=2,1,0)</f>
        <v>0</v>
      </c>
      <c r="J43" s="16">
        <f>IF(Rankings!J47&lt;=2,1,0)</f>
        <v>0</v>
      </c>
      <c r="K43" s="19">
        <f t="shared" si="4"/>
        <v>2</v>
      </c>
      <c r="L43" s="15">
        <f>SUMPRODUCT(C43:J43,Returns!B47:I47)/K43</f>
        <v>2.0208866155157712E-2</v>
      </c>
      <c r="M43" s="15">
        <v>0</v>
      </c>
      <c r="N43" s="15">
        <v>0</v>
      </c>
      <c r="O43" s="15">
        <f t="shared" si="5"/>
        <v>2.0208866155157712E-2</v>
      </c>
      <c r="P43" s="20">
        <f t="shared" si="7"/>
        <v>1.3191564823324269</v>
      </c>
      <c r="Q43" s="20">
        <f>MAX($P$5:P43)</f>
        <v>1.7023632150360453</v>
      </c>
      <c r="R43" s="15">
        <f t="shared" si="6"/>
        <v>-0.22510280374890768</v>
      </c>
      <c r="S43" s="15">
        <f>O43-Benchmark_RF!D43</f>
        <v>1.3161927759419823E-2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IF(Rankings!C47&lt;=2,1,0)</f>
        <v>1</v>
      </c>
      <c r="D44" s="16">
        <f>IF(Rankings!D47&lt;=2,1,0)</f>
        <v>0</v>
      </c>
      <c r="E44" s="16">
        <f>IF(Rankings!E47&lt;=2,1,0)</f>
        <v>0</v>
      </c>
      <c r="F44" s="16">
        <f>IF(Rankings!F47&lt;=2,1,0)</f>
        <v>0</v>
      </c>
      <c r="G44" s="16">
        <f>IF(Rankings!G47&lt;=2,1,0)</f>
        <v>0</v>
      </c>
      <c r="H44" s="16">
        <f>IF(Rankings!H47&lt;=2,1,0)</f>
        <v>1</v>
      </c>
      <c r="I44" s="16">
        <f>IF(Rankings!I47&lt;=2,1,0)</f>
        <v>0</v>
      </c>
      <c r="J44" s="16">
        <f>IF(Rankings!J47&lt;=2,1,0)</f>
        <v>0</v>
      </c>
      <c r="K44" s="19">
        <f t="shared" si="4"/>
        <v>2</v>
      </c>
      <c r="L44" s="15">
        <f>SUMPRODUCT(C44:J44,Returns!B48:I48)/K44</f>
        <v>-3.1861778972416099E-2</v>
      </c>
      <c r="M44" s="15">
        <v>0</v>
      </c>
      <c r="N44" s="15">
        <v>0</v>
      </c>
      <c r="O44" s="15">
        <f t="shared" si="5"/>
        <v>-3.1861778972416099E-2</v>
      </c>
      <c r="P44" s="20">
        <f t="shared" si="7"/>
        <v>1.2771258100623213</v>
      </c>
      <c r="Q44" s="20">
        <f>MAX($P$5:P44)</f>
        <v>1.7023632150360453</v>
      </c>
      <c r="R44" s="15">
        <f t="shared" si="6"/>
        <v>-0.24979240694220484</v>
      </c>
      <c r="S44" s="15">
        <f>O44-Benchmark_RF!D44</f>
        <v>-3.8913499838124699E-2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IF(Rankings!C47&lt;=2,1,0)</f>
        <v>1</v>
      </c>
      <c r="D45" s="16">
        <f>IF(Rankings!D47&lt;=2,1,0)</f>
        <v>0</v>
      </c>
      <c r="E45" s="16">
        <f>IF(Rankings!E47&lt;=2,1,0)</f>
        <v>0</v>
      </c>
      <c r="F45" s="16">
        <f>IF(Rankings!F47&lt;=2,1,0)</f>
        <v>0</v>
      </c>
      <c r="G45" s="16">
        <f>IF(Rankings!G47&lt;=2,1,0)</f>
        <v>0</v>
      </c>
      <c r="H45" s="16">
        <f>IF(Rankings!H47&lt;=2,1,0)</f>
        <v>1</v>
      </c>
      <c r="I45" s="16">
        <f>IF(Rankings!I47&lt;=2,1,0)</f>
        <v>0</v>
      </c>
      <c r="J45" s="16">
        <f>IF(Rankings!J47&lt;=2,1,0)</f>
        <v>0</v>
      </c>
      <c r="K45" s="19">
        <f t="shared" si="4"/>
        <v>2</v>
      </c>
      <c r="L45" s="15">
        <f>SUMPRODUCT(C45:J45,Returns!B49:I49)/K45</f>
        <v>-9.5163808827642471E-2</v>
      </c>
      <c r="M45" s="15">
        <v>0</v>
      </c>
      <c r="N45" s="15">
        <v>0</v>
      </c>
      <c r="O45" s="15">
        <f t="shared" si="5"/>
        <v>-9.5163808827642471E-2</v>
      </c>
      <c r="P45" s="20">
        <f t="shared" si="7"/>
        <v>1.1555896536247023</v>
      </c>
      <c r="Q45" s="20">
        <f>MAX($P$5:P45)</f>
        <v>1.7023632150360453</v>
      </c>
      <c r="R45" s="15">
        <f t="shared" si="6"/>
        <v>-0.32118501890900275</v>
      </c>
      <c r="S45" s="15">
        <f>O45-Benchmark_RF!D45</f>
        <v>-0.10336415857034059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IF(Rankings!C47&lt;=2,1,0)</f>
        <v>1</v>
      </c>
      <c r="D46" s="16">
        <f>IF(Rankings!D47&lt;=2,1,0)</f>
        <v>0</v>
      </c>
      <c r="E46" s="16">
        <f>IF(Rankings!E47&lt;=2,1,0)</f>
        <v>0</v>
      </c>
      <c r="F46" s="16">
        <f>IF(Rankings!F47&lt;=2,1,0)</f>
        <v>0</v>
      </c>
      <c r="G46" s="16">
        <f>IF(Rankings!G47&lt;=2,1,0)</f>
        <v>0</v>
      </c>
      <c r="H46" s="16">
        <f>IF(Rankings!H47&lt;=2,1,0)</f>
        <v>1</v>
      </c>
      <c r="I46" s="16">
        <f>IF(Rankings!I47&lt;=2,1,0)</f>
        <v>0</v>
      </c>
      <c r="J46" s="16">
        <f>IF(Rankings!J47&lt;=2,1,0)</f>
        <v>0</v>
      </c>
      <c r="K46" s="19">
        <f t="shared" si="4"/>
        <v>2</v>
      </c>
      <c r="L46" s="15">
        <f>SUMPRODUCT(C46:J46,Returns!B50:I50)/K46</f>
        <v>0.16000743157284825</v>
      </c>
      <c r="M46" s="15">
        <v>0</v>
      </c>
      <c r="N46" s="15">
        <v>0</v>
      </c>
      <c r="O46" s="15">
        <f t="shared" si="5"/>
        <v>0.16000743157284825</v>
      </c>
      <c r="P46" s="20">
        <f t="shared" si="7"/>
        <v>1.3404925860533485</v>
      </c>
      <c r="Q46" s="20">
        <f>MAX($P$5:P46)</f>
        <v>1.7023632150360453</v>
      </c>
      <c r="R46" s="15">
        <f t="shared" si="6"/>
        <v>-0.21256957727146064</v>
      </c>
      <c r="S46" s="15">
        <f>O46-Benchmark_RF!D46</f>
        <v>0.15180373026081251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IF(Rankings!C53&lt;=2,1,0)</f>
        <v>1</v>
      </c>
      <c r="D47" s="16">
        <f>IF(Rankings!D53&lt;=2,1,0)</f>
        <v>0</v>
      </c>
      <c r="E47" s="16">
        <f>IF(Rankings!E53&lt;=2,1,0)</f>
        <v>0</v>
      </c>
      <c r="F47" s="16">
        <f>IF(Rankings!F53&lt;=2,1,0)</f>
        <v>0</v>
      </c>
      <c r="G47" s="16">
        <f>IF(Rankings!G53&lt;=2,1,0)</f>
        <v>1</v>
      </c>
      <c r="H47" s="16">
        <f>IF(Rankings!H53&lt;=2,1,0)</f>
        <v>0</v>
      </c>
      <c r="I47" s="16">
        <f>IF(Rankings!I53&lt;=2,1,0)</f>
        <v>0</v>
      </c>
      <c r="J47" s="16">
        <f>IF(Rankings!J53&lt;=2,1,0)</f>
        <v>0</v>
      </c>
      <c r="K47" s="19">
        <f t="shared" si="4"/>
        <v>2</v>
      </c>
      <c r="L47" s="15">
        <f>SUMPRODUCT(C47:J47,Returns!B51:I51)/K47</f>
        <v>-5.8530812086252104E-3</v>
      </c>
      <c r="M47" s="15">
        <f>-2*Assumptions!$B$13</f>
        <v>-7.0000000000000001E-3</v>
      </c>
      <c r="N47" s="15">
        <f>-Assumptions!$B$16*MAX(0,(1+O41)*(1+O42)*(1+O43)*(1+O44)*(1+O45)*(1+O46)-1)</f>
        <v>-3.8894493450912001E-3</v>
      </c>
      <c r="O47" s="15">
        <f t="shared" si="5"/>
        <v>-1.6742530553716412E-2</v>
      </c>
      <c r="P47" s="20">
        <f t="shared" si="7"/>
        <v>1.3180493479743201</v>
      </c>
      <c r="Q47" s="20">
        <f>MAX($P$5:P47)</f>
        <v>1.7023632150360453</v>
      </c>
      <c r="R47" s="15">
        <f t="shared" si="6"/>
        <v>-0.22575315518291894</v>
      </c>
      <c r="S47" s="15">
        <f>O47-Benchmark_RF!D47</f>
        <v>-2.5135548769062849E-2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IF(Rankings!C53&lt;=2,1,0)</f>
        <v>1</v>
      </c>
      <c r="D48" s="16">
        <f>IF(Rankings!D53&lt;=2,1,0)</f>
        <v>0</v>
      </c>
      <c r="E48" s="16">
        <f>IF(Rankings!E53&lt;=2,1,0)</f>
        <v>0</v>
      </c>
      <c r="F48" s="16">
        <f>IF(Rankings!F53&lt;=2,1,0)</f>
        <v>0</v>
      </c>
      <c r="G48" s="16">
        <f>IF(Rankings!G53&lt;=2,1,0)</f>
        <v>1</v>
      </c>
      <c r="H48" s="16">
        <f>IF(Rankings!H53&lt;=2,1,0)</f>
        <v>0</v>
      </c>
      <c r="I48" s="16">
        <f>IF(Rankings!I53&lt;=2,1,0)</f>
        <v>0</v>
      </c>
      <c r="J48" s="16">
        <f>IF(Rankings!J53&lt;=2,1,0)</f>
        <v>0</v>
      </c>
      <c r="K48" s="19">
        <f t="shared" si="4"/>
        <v>2</v>
      </c>
      <c r="L48" s="15">
        <f>SUMPRODUCT(C48:J48,Returns!B52:I52)/K48</f>
        <v>-4.7397776685492221E-2</v>
      </c>
      <c r="M48" s="15">
        <v>0</v>
      </c>
      <c r="N48" s="15">
        <v>0</v>
      </c>
      <c r="O48" s="15">
        <f t="shared" si="5"/>
        <v>-4.7397776685492221E-2</v>
      </c>
      <c r="P48" s="20">
        <f t="shared" si="7"/>
        <v>1.2555767393185746</v>
      </c>
      <c r="Q48" s="20">
        <f>MAX($P$5:P48)</f>
        <v>1.7023632150360453</v>
      </c>
      <c r="R48" s="15">
        <f t="shared" si="6"/>
        <v>-0.26245073423300591</v>
      </c>
      <c r="S48" s="15">
        <f>O48-Benchmark_RF!D48</f>
        <v>-5.5785473802721197E-2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IF(Rankings!C53&lt;=2,1,0)</f>
        <v>1</v>
      </c>
      <c r="D49" s="16">
        <f>IF(Rankings!D53&lt;=2,1,0)</f>
        <v>0</v>
      </c>
      <c r="E49" s="16">
        <f>IF(Rankings!E53&lt;=2,1,0)</f>
        <v>0</v>
      </c>
      <c r="F49" s="16">
        <f>IF(Rankings!F53&lt;=2,1,0)</f>
        <v>0</v>
      </c>
      <c r="G49" s="16">
        <f>IF(Rankings!G53&lt;=2,1,0)</f>
        <v>1</v>
      </c>
      <c r="H49" s="16">
        <f>IF(Rankings!H53&lt;=2,1,0)</f>
        <v>0</v>
      </c>
      <c r="I49" s="16">
        <f>IF(Rankings!I53&lt;=2,1,0)</f>
        <v>0</v>
      </c>
      <c r="J49" s="16">
        <f>IF(Rankings!J53&lt;=2,1,0)</f>
        <v>0</v>
      </c>
      <c r="K49" s="19">
        <f t="shared" si="4"/>
        <v>2</v>
      </c>
      <c r="L49" s="15">
        <f>SUMPRODUCT(C49:J49,Returns!B53:I53)/K49</f>
        <v>-7.4289724679104607E-2</v>
      </c>
      <c r="M49" s="15">
        <v>0</v>
      </c>
      <c r="N49" s="15">
        <v>0</v>
      </c>
      <c r="O49" s="15">
        <f t="shared" si="5"/>
        <v>-7.4289724679104607E-2</v>
      </c>
      <c r="P49" s="20">
        <f t="shared" si="7"/>
        <v>1.1623002890411098</v>
      </c>
      <c r="Q49" s="20">
        <f>MAX($P$5:P49)</f>
        <v>1.7023632150360453</v>
      </c>
      <c r="R49" s="15">
        <f t="shared" si="6"/>
        <v>-0.31724306612411168</v>
      </c>
      <c r="S49" s="15">
        <f>O49-Benchmark_RF!D49</f>
        <v>-8.2986672556211671E-2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IF(Rankings!C53&lt;=2,1,0)</f>
        <v>1</v>
      </c>
      <c r="D50" s="16">
        <f>IF(Rankings!D53&lt;=2,1,0)</f>
        <v>0</v>
      </c>
      <c r="E50" s="16">
        <f>IF(Rankings!E53&lt;=2,1,0)</f>
        <v>0</v>
      </c>
      <c r="F50" s="16">
        <f>IF(Rankings!F53&lt;=2,1,0)</f>
        <v>0</v>
      </c>
      <c r="G50" s="16">
        <f>IF(Rankings!G53&lt;=2,1,0)</f>
        <v>1</v>
      </c>
      <c r="H50" s="16">
        <f>IF(Rankings!H53&lt;=2,1,0)</f>
        <v>0</v>
      </c>
      <c r="I50" s="16">
        <f>IF(Rankings!I53&lt;=2,1,0)</f>
        <v>0</v>
      </c>
      <c r="J50" s="16">
        <f>IF(Rankings!J53&lt;=2,1,0)</f>
        <v>0</v>
      </c>
      <c r="K50" s="19">
        <f t="shared" si="4"/>
        <v>2</v>
      </c>
      <c r="L50" s="15">
        <f>SUMPRODUCT(C50:J50,Returns!B54:I54)/K50</f>
        <v>3.5703397613760457E-2</v>
      </c>
      <c r="M50" s="15">
        <v>0</v>
      </c>
      <c r="N50" s="15">
        <v>0</v>
      </c>
      <c r="O50" s="15">
        <f t="shared" si="5"/>
        <v>3.5703397613760457E-2</v>
      </c>
      <c r="P50" s="20">
        <f t="shared" si="7"/>
        <v>1.2037983584073333</v>
      </c>
      <c r="Q50" s="20">
        <f>MAX($P$5:P50)</f>
        <v>1.7023632150360453</v>
      </c>
      <c r="R50" s="15">
        <f t="shared" si="6"/>
        <v>-0.29286632384038891</v>
      </c>
      <c r="S50" s="15">
        <f>O50-Benchmark_RF!D50</f>
        <v>2.5783954941092369E-2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IF(Rankings!C53&lt;=2,1,0)</f>
        <v>1</v>
      </c>
      <c r="D51" s="16">
        <f>IF(Rankings!D53&lt;=2,1,0)</f>
        <v>0</v>
      </c>
      <c r="E51" s="16">
        <f>IF(Rankings!E53&lt;=2,1,0)</f>
        <v>0</v>
      </c>
      <c r="F51" s="16">
        <f>IF(Rankings!F53&lt;=2,1,0)</f>
        <v>0</v>
      </c>
      <c r="G51" s="16">
        <f>IF(Rankings!G53&lt;=2,1,0)</f>
        <v>1</v>
      </c>
      <c r="H51" s="16">
        <f>IF(Rankings!H53&lt;=2,1,0)</f>
        <v>0</v>
      </c>
      <c r="I51" s="16">
        <f>IF(Rankings!I53&lt;=2,1,0)</f>
        <v>0</v>
      </c>
      <c r="J51" s="16">
        <f>IF(Rankings!J53&lt;=2,1,0)</f>
        <v>0</v>
      </c>
      <c r="K51" s="19">
        <f t="shared" si="4"/>
        <v>2</v>
      </c>
      <c r="L51" s="15">
        <f>SUMPRODUCT(C51:J51,Returns!B55:I55)/K51</f>
        <v>-7.3022263230753448E-2</v>
      </c>
      <c r="M51" s="15">
        <v>0</v>
      </c>
      <c r="N51" s="15">
        <v>0</v>
      </c>
      <c r="O51" s="15">
        <f t="shared" si="5"/>
        <v>-7.3022263230753448E-2</v>
      </c>
      <c r="P51" s="20">
        <f t="shared" si="7"/>
        <v>1.1158942778029641</v>
      </c>
      <c r="Q51" s="20">
        <f>MAX($P$5:P51)</f>
        <v>1.7023632150360453</v>
      </c>
      <c r="R51" s="15">
        <f t="shared" si="6"/>
        <v>-0.34450282528024634</v>
      </c>
      <c r="S51" s="15">
        <f>O51-Benchmark_RF!D51</f>
        <v>-8.3063781257640135E-2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IF(Rankings!C53&lt;=2,1,0)</f>
        <v>1</v>
      </c>
      <c r="D52" s="16">
        <f>IF(Rankings!D53&lt;=2,1,0)</f>
        <v>0</v>
      </c>
      <c r="E52" s="16">
        <f>IF(Rankings!E53&lt;=2,1,0)</f>
        <v>0</v>
      </c>
      <c r="F52" s="16">
        <f>IF(Rankings!F53&lt;=2,1,0)</f>
        <v>0</v>
      </c>
      <c r="G52" s="16">
        <f>IF(Rankings!G53&lt;=2,1,0)</f>
        <v>1</v>
      </c>
      <c r="H52" s="16">
        <f>IF(Rankings!H53&lt;=2,1,0)</f>
        <v>0</v>
      </c>
      <c r="I52" s="16">
        <f>IF(Rankings!I53&lt;=2,1,0)</f>
        <v>0</v>
      </c>
      <c r="J52" s="16">
        <f>IF(Rankings!J53&lt;=2,1,0)</f>
        <v>0</v>
      </c>
      <c r="K52" s="19">
        <f t="shared" si="4"/>
        <v>2</v>
      </c>
      <c r="L52" s="15">
        <f>SUMPRODUCT(C52:J52,Returns!B56:I56)/K52</f>
        <v>-1.6037429381732304E-2</v>
      </c>
      <c r="M52" s="15">
        <v>0</v>
      </c>
      <c r="N52" s="15">
        <v>0</v>
      </c>
      <c r="O52" s="15">
        <f t="shared" si="5"/>
        <v>-1.6037429381732304E-2</v>
      </c>
      <c r="P52" s="20">
        <f t="shared" si="7"/>
        <v>1.0979982021252199</v>
      </c>
      <c r="Q52" s="20">
        <f>MAX($P$5:P52)</f>
        <v>1.7023632150360453</v>
      </c>
      <c r="R52" s="15">
        <f t="shared" si="6"/>
        <v>-0.35501531492973948</v>
      </c>
      <c r="S52" s="15">
        <f>O52-Benchmark_RF!D52</f>
        <v>-2.6828156222746868E-2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IF(Rankings!C59&lt;=2,1,0)</f>
        <v>1</v>
      </c>
      <c r="D53" s="16">
        <f>IF(Rankings!D59&lt;=2,1,0)</f>
        <v>0</v>
      </c>
      <c r="E53" s="16">
        <f>IF(Rankings!E59&lt;=2,1,0)</f>
        <v>0</v>
      </c>
      <c r="F53" s="16">
        <f>IF(Rankings!F59&lt;=2,1,0)</f>
        <v>0</v>
      </c>
      <c r="G53" s="16">
        <f>IF(Rankings!G59&lt;=2,1,0)</f>
        <v>1</v>
      </c>
      <c r="H53" s="16">
        <f>IF(Rankings!H59&lt;=2,1,0)</f>
        <v>0</v>
      </c>
      <c r="I53" s="16">
        <f>IF(Rankings!I59&lt;=2,1,0)</f>
        <v>0</v>
      </c>
      <c r="J53" s="16">
        <f>IF(Rankings!J59&lt;=2,1,0)</f>
        <v>0</v>
      </c>
      <c r="K53" s="19">
        <f t="shared" si="4"/>
        <v>2</v>
      </c>
      <c r="L53" s="15">
        <f>SUMPRODUCT(C53:J53,Returns!B57:I57)/K53</f>
        <v>-0.12575351412676361</v>
      </c>
      <c r="M53" s="15">
        <f>-2*Assumptions!$B$13</f>
        <v>-7.0000000000000001E-3</v>
      </c>
      <c r="N53" s="15">
        <f>-Assumptions!$B$16*MAX(0,(1+O47)*(1+O48)*(1+O49)*(1+O50)*(1+O51)*(1+O52)-1)</f>
        <v>0</v>
      </c>
      <c r="O53" s="15">
        <f t="shared" si="5"/>
        <v>-0.13275351412676362</v>
      </c>
      <c r="P53" s="20">
        <f t="shared" si="7"/>
        <v>0.95223508228822851</v>
      </c>
      <c r="Q53" s="20">
        <f>MAX($P$5:P53)</f>
        <v>1.7023632150360453</v>
      </c>
      <c r="R53" s="15">
        <f t="shared" si="6"/>
        <v>-0.44063929843076044</v>
      </c>
      <c r="S53" s="15">
        <f>O53-Benchmark_RF!D53</f>
        <v>-0.14354668469755227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IF(Rankings!C59&lt;=2,1,0)</f>
        <v>1</v>
      </c>
      <c r="D54" s="16">
        <f>IF(Rankings!D59&lt;=2,1,0)</f>
        <v>0</v>
      </c>
      <c r="E54" s="16">
        <f>IF(Rankings!E59&lt;=2,1,0)</f>
        <v>0</v>
      </c>
      <c r="F54" s="16">
        <f>IF(Rankings!F59&lt;=2,1,0)</f>
        <v>0</v>
      </c>
      <c r="G54" s="16">
        <f>IF(Rankings!G59&lt;=2,1,0)</f>
        <v>1</v>
      </c>
      <c r="H54" s="16">
        <f>IF(Rankings!H59&lt;=2,1,0)</f>
        <v>0</v>
      </c>
      <c r="I54" s="16">
        <f>IF(Rankings!I59&lt;=2,1,0)</f>
        <v>0</v>
      </c>
      <c r="J54" s="16">
        <f>IF(Rankings!J59&lt;=2,1,0)</f>
        <v>0</v>
      </c>
      <c r="K54" s="19">
        <f t="shared" si="4"/>
        <v>2</v>
      </c>
      <c r="L54" s="15">
        <f>SUMPRODUCT(C54:J54,Returns!B58:I58)/K54</f>
        <v>8.128558512888201E-2</v>
      </c>
      <c r="M54" s="15">
        <v>0</v>
      </c>
      <c r="N54" s="15">
        <v>0</v>
      </c>
      <c r="O54" s="15">
        <f t="shared" si="5"/>
        <v>8.128558512888201E-2</v>
      </c>
      <c r="P54" s="20">
        <f t="shared" si="7"/>
        <v>1.0296380681322763</v>
      </c>
      <c r="Q54" s="20">
        <f>MAX($P$5:P54)</f>
        <v>1.7023632150360453</v>
      </c>
      <c r="R54" s="15">
        <f t="shared" si="6"/>
        <v>-0.39517133650560288</v>
      </c>
      <c r="S54" s="15">
        <f>O54-Benchmark_RF!D54</f>
        <v>7.0515447440121448E-2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IF(Rankings!C59&lt;=2,1,0)</f>
        <v>1</v>
      </c>
      <c r="D55" s="16">
        <f>IF(Rankings!D59&lt;=2,1,0)</f>
        <v>0</v>
      </c>
      <c r="E55" s="16">
        <f>IF(Rankings!E59&lt;=2,1,0)</f>
        <v>0</v>
      </c>
      <c r="F55" s="16">
        <f>IF(Rankings!F59&lt;=2,1,0)</f>
        <v>0</v>
      </c>
      <c r="G55" s="16">
        <f>IF(Rankings!G59&lt;=2,1,0)</f>
        <v>1</v>
      </c>
      <c r="H55" s="16">
        <f>IF(Rankings!H59&lt;=2,1,0)</f>
        <v>0</v>
      </c>
      <c r="I55" s="16">
        <f>IF(Rankings!I59&lt;=2,1,0)</f>
        <v>0</v>
      </c>
      <c r="J55" s="16">
        <f>IF(Rankings!J59&lt;=2,1,0)</f>
        <v>0</v>
      </c>
      <c r="K55" s="19">
        <f t="shared" si="4"/>
        <v>2</v>
      </c>
      <c r="L55" s="15">
        <f>SUMPRODUCT(C55:J55,Returns!B59:I59)/K55</f>
        <v>3.0249119663918078E-2</v>
      </c>
      <c r="M55" s="15">
        <v>0</v>
      </c>
      <c r="N55" s="15">
        <v>0</v>
      </c>
      <c r="O55" s="15">
        <f t="shared" si="5"/>
        <v>3.0249119663918078E-2</v>
      </c>
      <c r="P55" s="20">
        <f t="shared" si="7"/>
        <v>1.060783713265735</v>
      </c>
      <c r="Q55" s="20">
        <f>MAX($P$5:P55)</f>
        <v>1.7023632150360453</v>
      </c>
      <c r="R55" s="15">
        <f t="shared" si="6"/>
        <v>-0.37687580188739322</v>
      </c>
      <c r="S55" s="15">
        <f>O55-Benchmark_RF!D55</f>
        <v>1.9825913395137951E-2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IF(Rankings!C59&lt;=2,1,0)</f>
        <v>1</v>
      </c>
      <c r="D56" s="16">
        <f>IF(Rankings!D59&lt;=2,1,0)</f>
        <v>0</v>
      </c>
      <c r="E56" s="16">
        <f>IF(Rankings!E59&lt;=2,1,0)</f>
        <v>0</v>
      </c>
      <c r="F56" s="16">
        <f>IF(Rankings!F59&lt;=2,1,0)</f>
        <v>0</v>
      </c>
      <c r="G56" s="16">
        <f>IF(Rankings!G59&lt;=2,1,0)</f>
        <v>1</v>
      </c>
      <c r="H56" s="16">
        <f>IF(Rankings!H59&lt;=2,1,0)</f>
        <v>0</v>
      </c>
      <c r="I56" s="16">
        <f>IF(Rankings!I59&lt;=2,1,0)</f>
        <v>0</v>
      </c>
      <c r="J56" s="16">
        <f>IF(Rankings!J59&lt;=2,1,0)</f>
        <v>0</v>
      </c>
      <c r="K56" s="19">
        <f t="shared" si="4"/>
        <v>2</v>
      </c>
      <c r="L56" s="15">
        <f>SUMPRODUCT(C56:J56,Returns!B60:I60)/K56</f>
        <v>0.11286080457854086</v>
      </c>
      <c r="M56" s="15">
        <v>0</v>
      </c>
      <c r="N56" s="15">
        <v>0</v>
      </c>
      <c r="O56" s="15">
        <f t="shared" si="5"/>
        <v>0.11286080457854086</v>
      </c>
      <c r="P56" s="20">
        <f t="shared" si="7"/>
        <v>1.1805046166287181</v>
      </c>
      <c r="Q56" s="20">
        <f>MAX($P$5:P56)</f>
        <v>1.7023632150360453</v>
      </c>
      <c r="R56" s="15">
        <f t="shared" si="6"/>
        <v>-0.30654950353604626</v>
      </c>
      <c r="S56" s="15">
        <f>O56-Benchmark_RF!D56</f>
        <v>0.10228129846958445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IF(Rankings!C59&lt;=2,1,0)</f>
        <v>1</v>
      </c>
      <c r="D57" s="16">
        <f>IF(Rankings!D59&lt;=2,1,0)</f>
        <v>0</v>
      </c>
      <c r="E57" s="16">
        <f>IF(Rankings!E59&lt;=2,1,0)</f>
        <v>0</v>
      </c>
      <c r="F57" s="16">
        <f>IF(Rankings!F59&lt;=2,1,0)</f>
        <v>0</v>
      </c>
      <c r="G57" s="16">
        <f>IF(Rankings!G59&lt;=2,1,0)</f>
        <v>1</v>
      </c>
      <c r="H57" s="16">
        <f>IF(Rankings!H59&lt;=2,1,0)</f>
        <v>0</v>
      </c>
      <c r="I57" s="16">
        <f>IF(Rankings!I59&lt;=2,1,0)</f>
        <v>0</v>
      </c>
      <c r="J57" s="16">
        <f>IF(Rankings!J59&lt;=2,1,0)</f>
        <v>0</v>
      </c>
      <c r="K57" s="19">
        <f t="shared" si="4"/>
        <v>2</v>
      </c>
      <c r="L57" s="15">
        <f>SUMPRODUCT(C57:J57,Returns!B61:I61)/K57</f>
        <v>4.6760682953032706E-2</v>
      </c>
      <c r="M57" s="15">
        <v>0</v>
      </c>
      <c r="N57" s="15">
        <v>0</v>
      </c>
      <c r="O57" s="15">
        <f t="shared" si="5"/>
        <v>4.6760682953032706E-2</v>
      </c>
      <c r="P57" s="20">
        <f t="shared" si="7"/>
        <v>1.2357058187314849</v>
      </c>
      <c r="Q57" s="20">
        <f>MAX($P$5:P57)</f>
        <v>1.7023632150360453</v>
      </c>
      <c r="R57" s="15">
        <f t="shared" si="6"/>
        <v>-0.27412328472727221</v>
      </c>
      <c r="S57" s="15">
        <f>O57-Benchmark_RF!D57</f>
        <v>3.6192014163401565E-2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IF(Rankings!C59&lt;=2,1,0)</f>
        <v>1</v>
      </c>
      <c r="D58" s="16">
        <f>IF(Rankings!D59&lt;=2,1,0)</f>
        <v>0</v>
      </c>
      <c r="E58" s="16">
        <f>IF(Rankings!E59&lt;=2,1,0)</f>
        <v>0</v>
      </c>
      <c r="F58" s="16">
        <f>IF(Rankings!F59&lt;=2,1,0)</f>
        <v>0</v>
      </c>
      <c r="G58" s="16">
        <f>IF(Rankings!G59&lt;=2,1,0)</f>
        <v>1</v>
      </c>
      <c r="H58" s="16">
        <f>IF(Rankings!H59&lt;=2,1,0)</f>
        <v>0</v>
      </c>
      <c r="I58" s="16">
        <f>IF(Rankings!I59&lt;=2,1,0)</f>
        <v>0</v>
      </c>
      <c r="J58" s="16">
        <f>IF(Rankings!J59&lt;=2,1,0)</f>
        <v>0</v>
      </c>
      <c r="K58" s="19">
        <f t="shared" si="4"/>
        <v>2</v>
      </c>
      <c r="L58" s="15">
        <f>SUMPRODUCT(C58:J58,Returns!B62:I62)/K58</f>
        <v>4.3506416288256855E-2</v>
      </c>
      <c r="M58" s="15">
        <v>0</v>
      </c>
      <c r="N58" s="15">
        <v>0</v>
      </c>
      <c r="O58" s="15">
        <f t="shared" si="5"/>
        <v>4.3506416288256855E-2</v>
      </c>
      <c r="P58" s="20">
        <f t="shared" si="7"/>
        <v>1.2894669504910381</v>
      </c>
      <c r="Q58" s="20">
        <f>MAX($P$5:P58)</f>
        <v>1.7023632150360453</v>
      </c>
      <c r="R58" s="15">
        <f t="shared" si="6"/>
        <v>-0.24254299017866443</v>
      </c>
      <c r="S58" s="15">
        <f>O58-Benchmark_RF!D58</f>
        <v>3.2980589692699624E-2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IF(Rankings!C65&lt;=2,1,0)</f>
        <v>0</v>
      </c>
      <c r="D59" s="16">
        <f>IF(Rankings!D65&lt;=2,1,0)</f>
        <v>0</v>
      </c>
      <c r="E59" s="16">
        <f>IF(Rankings!E65&lt;=2,1,0)</f>
        <v>0</v>
      </c>
      <c r="F59" s="16">
        <f>IF(Rankings!F65&lt;=2,1,0)</f>
        <v>0</v>
      </c>
      <c r="G59" s="16">
        <f>IF(Rankings!G65&lt;=2,1,0)</f>
        <v>0</v>
      </c>
      <c r="H59" s="16">
        <f>IF(Rankings!H65&lt;=2,1,0)</f>
        <v>0</v>
      </c>
      <c r="I59" s="16">
        <f>IF(Rankings!I65&lt;=2,1,0)</f>
        <v>1</v>
      </c>
      <c r="J59" s="16">
        <f>IF(Rankings!J65&lt;=2,1,0)</f>
        <v>1</v>
      </c>
      <c r="K59" s="19">
        <f t="shared" si="4"/>
        <v>2</v>
      </c>
      <c r="L59" s="15">
        <f>SUMPRODUCT(C59:J59,Returns!B63:I63)/K59</f>
        <v>-1.0381828709898677E-2</v>
      </c>
      <c r="M59" s="15">
        <f>-2*Assumptions!$B$13</f>
        <v>-7.0000000000000001E-3</v>
      </c>
      <c r="N59" s="15">
        <f>-Assumptions!$B$16*MAX(0,(1+O53)*(1+O54)*(1+O55)*(1+O56)*(1+O57)*(1+O58)-1)</f>
        <v>-2.6156975666520563E-2</v>
      </c>
      <c r="O59" s="15">
        <f t="shared" si="5"/>
        <v>-4.3538804376419243E-2</v>
      </c>
      <c r="P59" s="20">
        <f t="shared" si="7"/>
        <v>1.2333251011837509</v>
      </c>
      <c r="Q59" s="20">
        <f>MAX($P$5:P59)</f>
        <v>1.7023632150360453</v>
      </c>
      <c r="R59" s="15">
        <f t="shared" si="6"/>
        <v>-0.27552176275282303</v>
      </c>
      <c r="S59" s="15">
        <f>O59-Benchmark_RF!D59</f>
        <v>-5.4059135033378697E-2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IF(Rankings!C65&lt;=2,1,0)</f>
        <v>0</v>
      </c>
      <c r="D60" s="16">
        <f>IF(Rankings!D65&lt;=2,1,0)</f>
        <v>0</v>
      </c>
      <c r="E60" s="16">
        <f>IF(Rankings!E65&lt;=2,1,0)</f>
        <v>0</v>
      </c>
      <c r="F60" s="16">
        <f>IF(Rankings!F65&lt;=2,1,0)</f>
        <v>0</v>
      </c>
      <c r="G60" s="16">
        <f>IF(Rankings!G65&lt;=2,1,0)</f>
        <v>0</v>
      </c>
      <c r="H60" s="16">
        <f>IF(Rankings!H65&lt;=2,1,0)</f>
        <v>0</v>
      </c>
      <c r="I60" s="16">
        <f>IF(Rankings!I65&lt;=2,1,0)</f>
        <v>1</v>
      </c>
      <c r="J60" s="16">
        <f>IF(Rankings!J65&lt;=2,1,0)</f>
        <v>1</v>
      </c>
      <c r="K60" s="19">
        <f t="shared" si="4"/>
        <v>2</v>
      </c>
      <c r="L60" s="15">
        <f>SUMPRODUCT(C60:J60,Returns!B64:I64)/K60</f>
        <v>-0.34875890863496367</v>
      </c>
      <c r="M60" s="15">
        <v>0</v>
      </c>
      <c r="N60" s="15">
        <v>0</v>
      </c>
      <c r="O60" s="15">
        <f t="shared" si="5"/>
        <v>-0.34875890863496367</v>
      </c>
      <c r="P60" s="20">
        <f t="shared" si="7"/>
        <v>0.80319198490279986</v>
      </c>
      <c r="Q60" s="20">
        <f>MAX($P$5:P60)</f>
        <v>1.7023632150360453</v>
      </c>
      <c r="R60" s="15">
        <f t="shared" si="6"/>
        <v>-0.52819000210493072</v>
      </c>
      <c r="S60" s="15">
        <f>O60-Benchmark_RF!D60</f>
        <v>-0.35765799366575673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IF(Rankings!C65&lt;=2,1,0)</f>
        <v>0</v>
      </c>
      <c r="D61" s="16">
        <f>IF(Rankings!D65&lt;=2,1,0)</f>
        <v>0</v>
      </c>
      <c r="E61" s="16">
        <f>IF(Rankings!E65&lt;=2,1,0)</f>
        <v>0</v>
      </c>
      <c r="F61" s="16">
        <f>IF(Rankings!F65&lt;=2,1,0)</f>
        <v>0</v>
      </c>
      <c r="G61" s="16">
        <f>IF(Rankings!G65&lt;=2,1,0)</f>
        <v>0</v>
      </c>
      <c r="H61" s="16">
        <f>IF(Rankings!H65&lt;=2,1,0)</f>
        <v>0</v>
      </c>
      <c r="I61" s="16">
        <f>IF(Rankings!I65&lt;=2,1,0)</f>
        <v>1</v>
      </c>
      <c r="J61" s="16">
        <f>IF(Rankings!J65&lt;=2,1,0)</f>
        <v>1</v>
      </c>
      <c r="K61" s="19">
        <f t="shared" si="4"/>
        <v>2</v>
      </c>
      <c r="L61" s="15">
        <f>SUMPRODUCT(C61:J61,Returns!B65:I65)/K61</f>
        <v>7.4438785504340077E-2</v>
      </c>
      <c r="M61" s="15">
        <v>0</v>
      </c>
      <c r="N61" s="15">
        <v>0</v>
      </c>
      <c r="O61" s="15">
        <f t="shared" si="5"/>
        <v>7.4438785504340077E-2</v>
      </c>
      <c r="P61" s="20">
        <f t="shared" si="7"/>
        <v>0.86298062078578452</v>
      </c>
      <c r="Q61" s="20">
        <f>MAX($P$5:P61)</f>
        <v>1.7023632150360453</v>
      </c>
      <c r="R61" s="15">
        <f t="shared" si="6"/>
        <v>-0.4930690388728165</v>
      </c>
      <c r="S61" s="15">
        <f>O61-Benchmark_RF!D61</f>
        <v>6.7838720263980135E-2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IF(Rankings!C65&lt;=2,1,0)</f>
        <v>0</v>
      </c>
      <c r="D62" s="16">
        <f>IF(Rankings!D65&lt;=2,1,0)</f>
        <v>0</v>
      </c>
      <c r="E62" s="16">
        <f>IF(Rankings!E65&lt;=2,1,0)</f>
        <v>0</v>
      </c>
      <c r="F62" s="16">
        <f>IF(Rankings!F65&lt;=2,1,0)</f>
        <v>0</v>
      </c>
      <c r="G62" s="16">
        <f>IF(Rankings!G65&lt;=2,1,0)</f>
        <v>0</v>
      </c>
      <c r="H62" s="16">
        <f>IF(Rankings!H65&lt;=2,1,0)</f>
        <v>0</v>
      </c>
      <c r="I62" s="16">
        <f>IF(Rankings!I65&lt;=2,1,0)</f>
        <v>1</v>
      </c>
      <c r="J62" s="16">
        <f>IF(Rankings!J65&lt;=2,1,0)</f>
        <v>1</v>
      </c>
      <c r="K62" s="19">
        <f t="shared" si="4"/>
        <v>2</v>
      </c>
      <c r="L62" s="15">
        <f>SUMPRODUCT(C62:J62,Returns!B66:I66)/K62</f>
        <v>0.20583769214062086</v>
      </c>
      <c r="M62" s="15">
        <v>0</v>
      </c>
      <c r="N62" s="15">
        <v>0</v>
      </c>
      <c r="O62" s="15">
        <f t="shared" si="5"/>
        <v>0.20583769214062086</v>
      </c>
      <c r="P62" s="20">
        <f t="shared" si="7"/>
        <v>1.0406145601304106</v>
      </c>
      <c r="Q62" s="20">
        <f>MAX($P$5:P62)</f>
        <v>1.7023632150360453</v>
      </c>
      <c r="R62" s="15">
        <f t="shared" si="6"/>
        <v>-0.38872353975977036</v>
      </c>
      <c r="S62" s="15">
        <f>O62-Benchmark_RF!D62</f>
        <v>0.19930997807391826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IF(Rankings!C65&lt;=2,1,0)</f>
        <v>0</v>
      </c>
      <c r="D63" s="16">
        <f>IF(Rankings!D65&lt;=2,1,0)</f>
        <v>0</v>
      </c>
      <c r="E63" s="16">
        <f>IF(Rankings!E65&lt;=2,1,0)</f>
        <v>0</v>
      </c>
      <c r="F63" s="16">
        <f>IF(Rankings!F65&lt;=2,1,0)</f>
        <v>0</v>
      </c>
      <c r="G63" s="16">
        <f>IF(Rankings!G65&lt;=2,1,0)</f>
        <v>0</v>
      </c>
      <c r="H63" s="16">
        <f>IF(Rankings!H65&lt;=2,1,0)</f>
        <v>0</v>
      </c>
      <c r="I63" s="16">
        <f>IF(Rankings!I65&lt;=2,1,0)</f>
        <v>1</v>
      </c>
      <c r="J63" s="16">
        <f>IF(Rankings!J65&lt;=2,1,0)</f>
        <v>1</v>
      </c>
      <c r="K63" s="19">
        <f t="shared" si="4"/>
        <v>2</v>
      </c>
      <c r="L63" s="15">
        <f>SUMPRODUCT(C63:J63,Returns!B67:I67)/K63</f>
        <v>6.4054107861357124E-2</v>
      </c>
      <c r="M63" s="15">
        <v>0</v>
      </c>
      <c r="N63" s="15">
        <v>0</v>
      </c>
      <c r="O63" s="15">
        <f t="shared" si="5"/>
        <v>6.4054107861357124E-2</v>
      </c>
      <c r="P63" s="20">
        <f t="shared" si="7"/>
        <v>1.1072701974071029</v>
      </c>
      <c r="Q63" s="20">
        <f>MAX($P$5:P63)</f>
        <v>1.7023632150360453</v>
      </c>
      <c r="R63" s="15">
        <f t="shared" si="6"/>
        <v>-0.34956877144243403</v>
      </c>
      <c r="S63" s="15">
        <f>O63-Benchmark_RF!D63</f>
        <v>5.8518462066010746E-2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IF(Rankings!C65&lt;=2,1,0)</f>
        <v>0</v>
      </c>
      <c r="D64" s="16">
        <f>IF(Rankings!D65&lt;=2,1,0)</f>
        <v>0</v>
      </c>
      <c r="E64" s="16">
        <f>IF(Rankings!E65&lt;=2,1,0)</f>
        <v>0</v>
      </c>
      <c r="F64" s="16">
        <f>IF(Rankings!F65&lt;=2,1,0)</f>
        <v>0</v>
      </c>
      <c r="G64" s="16">
        <f>IF(Rankings!G65&lt;=2,1,0)</f>
        <v>0</v>
      </c>
      <c r="H64" s="16">
        <f>IF(Rankings!H65&lt;=2,1,0)</f>
        <v>0</v>
      </c>
      <c r="I64" s="16">
        <f>IF(Rankings!I65&lt;=2,1,0)</f>
        <v>1</v>
      </c>
      <c r="J64" s="16">
        <f>IF(Rankings!J65&lt;=2,1,0)</f>
        <v>1</v>
      </c>
      <c r="K64" s="19">
        <f t="shared" si="4"/>
        <v>2</v>
      </c>
      <c r="L64" s="15">
        <f>SUMPRODUCT(C64:J64,Returns!B68:I68)/K64</f>
        <v>0.13962736927502029</v>
      </c>
      <c r="M64" s="15">
        <v>0</v>
      </c>
      <c r="N64" s="15">
        <v>0</v>
      </c>
      <c r="O64" s="15">
        <f t="shared" si="5"/>
        <v>0.13962736927502029</v>
      </c>
      <c r="P64" s="20">
        <f t="shared" si="7"/>
        <v>1.2618754221476891</v>
      </c>
      <c r="Q64" s="20">
        <f>MAX($P$5:P64)</f>
        <v>1.7023632150360453</v>
      </c>
      <c r="R64" s="15">
        <f t="shared" si="6"/>
        <v>-0.25875077010462155</v>
      </c>
      <c r="S64" s="15">
        <f>O64-Benchmark_RF!D64</f>
        <v>0.13407243331837737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IF(Rankings!C71&lt;=2,1,0)</f>
        <v>0</v>
      </c>
      <c r="D65" s="16">
        <f>IF(Rankings!D71&lt;=2,1,0)</f>
        <v>0</v>
      </c>
      <c r="E65" s="16">
        <f>IF(Rankings!E71&lt;=2,1,0)</f>
        <v>0</v>
      </c>
      <c r="F65" s="16">
        <f>IF(Rankings!F71&lt;=2,1,0)</f>
        <v>1</v>
      </c>
      <c r="G65" s="16">
        <f>IF(Rankings!G71&lt;=2,1,0)</f>
        <v>1</v>
      </c>
      <c r="H65" s="16">
        <f>IF(Rankings!H71&lt;=2,1,0)</f>
        <v>0</v>
      </c>
      <c r="I65" s="16">
        <f>IF(Rankings!I71&lt;=2,1,0)</f>
        <v>0</v>
      </c>
      <c r="J65" s="16">
        <f>IF(Rankings!J71&lt;=2,1,0)</f>
        <v>0</v>
      </c>
      <c r="K65" s="19">
        <f t="shared" si="4"/>
        <v>2</v>
      </c>
      <c r="L65" s="15">
        <f>SUMPRODUCT(C65:J65,Returns!B69:I69)/K65</f>
        <v>9.1443174951498229E-3</v>
      </c>
      <c r="M65" s="15">
        <f>-2*Assumptions!$B$13</f>
        <v>-7.0000000000000001E-3</v>
      </c>
      <c r="N65" s="15">
        <f>-Assumptions!$B$16*MAX(0,(1+O59)*(1+O60)*(1+O61)*(1+O62)*(1+O63)*(1+O64)-1)</f>
        <v>0</v>
      </c>
      <c r="O65" s="15">
        <f t="shared" si="5"/>
        <v>2.1443174951498228E-3</v>
      </c>
      <c r="P65" s="20">
        <f t="shared" si="7"/>
        <v>1.2645812836921</v>
      </c>
      <c r="Q65" s="20">
        <f>MAX($P$5:P65)</f>
        <v>1.7023632150360453</v>
      </c>
      <c r="R65" s="15">
        <f t="shared" si="6"/>
        <v>-0.25716129641269059</v>
      </c>
      <c r="S65" s="15">
        <f>O65-Benchmark_RF!D65</f>
        <v>-3.5815426861701078E-3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IF(Rankings!C71&lt;=2,1,0)</f>
        <v>0</v>
      </c>
      <c r="D66" s="16">
        <f>IF(Rankings!D71&lt;=2,1,0)</f>
        <v>0</v>
      </c>
      <c r="E66" s="16">
        <f>IF(Rankings!E71&lt;=2,1,0)</f>
        <v>0</v>
      </c>
      <c r="F66" s="16">
        <f>IF(Rankings!F71&lt;=2,1,0)</f>
        <v>1</v>
      </c>
      <c r="G66" s="16">
        <f>IF(Rankings!G71&lt;=2,1,0)</f>
        <v>1</v>
      </c>
      <c r="H66" s="16">
        <f>IF(Rankings!H71&lt;=2,1,0)</f>
        <v>0</v>
      </c>
      <c r="I66" s="16">
        <f>IF(Rankings!I71&lt;=2,1,0)</f>
        <v>0</v>
      </c>
      <c r="J66" s="16">
        <f>IF(Rankings!J71&lt;=2,1,0)</f>
        <v>0</v>
      </c>
      <c r="K66" s="19">
        <f t="shared" si="4"/>
        <v>2</v>
      </c>
      <c r="L66" s="15">
        <f>SUMPRODUCT(C66:J66,Returns!B70:I70)/K66</f>
        <v>3.6518222202071682E-2</v>
      </c>
      <c r="M66" s="15">
        <v>0</v>
      </c>
      <c r="N66" s="15">
        <v>0</v>
      </c>
      <c r="O66" s="15">
        <f t="shared" si="5"/>
        <v>3.6518222202071682E-2</v>
      </c>
      <c r="P66" s="20">
        <f t="shared" si="7"/>
        <v>1.3107615440025491</v>
      </c>
      <c r="Q66" s="20">
        <f>MAX($P$5:P66)</f>
        <v>1.7023632150360453</v>
      </c>
      <c r="R66" s="15">
        <f t="shared" si="6"/>
        <v>-0.23003414757479035</v>
      </c>
      <c r="S66" s="15">
        <f>O66-Benchmark_RF!D66</f>
        <v>3.0787118713426098E-2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IF(Rankings!C71&lt;=2,1,0)</f>
        <v>0</v>
      </c>
      <c r="D67" s="16">
        <f>IF(Rankings!D71&lt;=2,1,0)</f>
        <v>0</v>
      </c>
      <c r="E67" s="16">
        <f>IF(Rankings!E71&lt;=2,1,0)</f>
        <v>0</v>
      </c>
      <c r="F67" s="16">
        <f>IF(Rankings!F71&lt;=2,1,0)</f>
        <v>1</v>
      </c>
      <c r="G67" s="16">
        <f>IF(Rankings!G71&lt;=2,1,0)</f>
        <v>1</v>
      </c>
      <c r="H67" s="16">
        <f>IF(Rankings!H71&lt;=2,1,0)</f>
        <v>0</v>
      </c>
      <c r="I67" s="16">
        <f>IF(Rankings!I71&lt;=2,1,0)</f>
        <v>0</v>
      </c>
      <c r="J67" s="16">
        <f>IF(Rankings!J71&lt;=2,1,0)</f>
        <v>0</v>
      </c>
      <c r="K67" s="19">
        <f t="shared" si="4"/>
        <v>2</v>
      </c>
      <c r="L67" s="15">
        <f>SUMPRODUCT(C67:J67,Returns!B71:I71)/K67</f>
        <v>-5.1337602280555616E-3</v>
      </c>
      <c r="M67" s="15">
        <v>0</v>
      </c>
      <c r="N67" s="15">
        <v>0</v>
      </c>
      <c r="O67" s="15">
        <f t="shared" si="5"/>
        <v>-5.1337602280555616E-3</v>
      </c>
      <c r="P67" s="20">
        <f t="shared" si="7"/>
        <v>1.3040324085194841</v>
      </c>
      <c r="Q67" s="20">
        <f>MAX($P$5:P67)</f>
        <v>1.7023632150360453</v>
      </c>
      <c r="R67" s="15">
        <f t="shared" si="6"/>
        <v>-0.23398696764493176</v>
      </c>
      <c r="S67" s="15">
        <f>O67-Benchmark_RF!D67</f>
        <v>-1.0911570661159442E-2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IF(Rankings!C71&lt;=2,1,0)</f>
        <v>0</v>
      </c>
      <c r="D68" s="16">
        <f>IF(Rankings!D71&lt;=2,1,0)</f>
        <v>0</v>
      </c>
      <c r="E68" s="16">
        <f>IF(Rankings!E71&lt;=2,1,0)</f>
        <v>0</v>
      </c>
      <c r="F68" s="16">
        <f>IF(Rankings!F71&lt;=2,1,0)</f>
        <v>1</v>
      </c>
      <c r="G68" s="16">
        <f>IF(Rankings!G71&lt;=2,1,0)</f>
        <v>1</v>
      </c>
      <c r="H68" s="16">
        <f>IF(Rankings!H71&lt;=2,1,0)</f>
        <v>0</v>
      </c>
      <c r="I68" s="16">
        <f>IF(Rankings!I71&lt;=2,1,0)</f>
        <v>0</v>
      </c>
      <c r="J68" s="16">
        <f>IF(Rankings!J71&lt;=2,1,0)</f>
        <v>0</v>
      </c>
      <c r="K68" s="19">
        <f t="shared" si="4"/>
        <v>2</v>
      </c>
      <c r="L68" s="15">
        <f>SUMPRODUCT(C68:J68,Returns!B72:I72)/K68</f>
        <v>1.8015316788856428E-2</v>
      </c>
      <c r="M68" s="15">
        <v>0</v>
      </c>
      <c r="N68" s="15">
        <v>0</v>
      </c>
      <c r="O68" s="15">
        <f t="shared" si="5"/>
        <v>1.8015316788856428E-2</v>
      </c>
      <c r="P68" s="20">
        <f t="shared" si="7"/>
        <v>1.3275249654618979</v>
      </c>
      <c r="Q68" s="20">
        <f>MAX($P$5:P68)</f>
        <v>1.7023632150360453</v>
      </c>
      <c r="R68" s="15">
        <f t="shared" si="6"/>
        <v>-0.2201870002026628</v>
      </c>
      <c r="S68" s="15">
        <f>O68-Benchmark_RF!D68</f>
        <v>1.2251429883144926E-2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IF(Rankings!C71&lt;=2,1,0)</f>
        <v>0</v>
      </c>
      <c r="D69" s="16">
        <f>IF(Rankings!D71&lt;=2,1,0)</f>
        <v>0</v>
      </c>
      <c r="E69" s="16">
        <f>IF(Rankings!E71&lt;=2,1,0)</f>
        <v>0</v>
      </c>
      <c r="F69" s="16">
        <f>IF(Rankings!F71&lt;=2,1,0)</f>
        <v>1</v>
      </c>
      <c r="G69" s="16">
        <f>IF(Rankings!G71&lt;=2,1,0)</f>
        <v>1</v>
      </c>
      <c r="H69" s="16">
        <f>IF(Rankings!H71&lt;=2,1,0)</f>
        <v>0</v>
      </c>
      <c r="I69" s="16">
        <f>IF(Rankings!I71&lt;=2,1,0)</f>
        <v>0</v>
      </c>
      <c r="J69" s="16">
        <f>IF(Rankings!J71&lt;=2,1,0)</f>
        <v>0</v>
      </c>
      <c r="K69" s="19">
        <f t="shared" ref="K69:K100" si="8">SUM(C69:J69)</f>
        <v>2</v>
      </c>
      <c r="L69" s="15">
        <f>SUMPRODUCT(C69:J69,Returns!B73:I73)/K69</f>
        <v>6.488238807909319E-2</v>
      </c>
      <c r="M69" s="15">
        <v>0</v>
      </c>
      <c r="N69" s="15">
        <v>0</v>
      </c>
      <c r="O69" s="15">
        <f t="shared" ref="O69:O100" si="9">L69+M69+N69</f>
        <v>6.488238807909319E-2</v>
      </c>
      <c r="P69" s="20">
        <f t="shared" si="7"/>
        <v>1.4136579554556816</v>
      </c>
      <c r="Q69" s="20">
        <f>MAX($P$5:P69)</f>
        <v>1.7023632150360453</v>
      </c>
      <c r="R69" s="15">
        <f t="shared" ref="R69:R100" si="10">P69/Q69-1</f>
        <v>-0.16959087052069011</v>
      </c>
      <c r="S69" s="15">
        <f>O69-Benchmark_RF!D69</f>
        <v>5.9142911573894619E-2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IF(Rankings!C71&lt;=2,1,0)</f>
        <v>0</v>
      </c>
      <c r="D70" s="16">
        <f>IF(Rankings!D71&lt;=2,1,0)</f>
        <v>0</v>
      </c>
      <c r="E70" s="16">
        <f>IF(Rankings!E71&lt;=2,1,0)</f>
        <v>0</v>
      </c>
      <c r="F70" s="16">
        <f>IF(Rankings!F71&lt;=2,1,0)</f>
        <v>1</v>
      </c>
      <c r="G70" s="16">
        <f>IF(Rankings!G71&lt;=2,1,0)</f>
        <v>1</v>
      </c>
      <c r="H70" s="16">
        <f>IF(Rankings!H71&lt;=2,1,0)</f>
        <v>0</v>
      </c>
      <c r="I70" s="16">
        <f>IF(Rankings!I71&lt;=2,1,0)</f>
        <v>0</v>
      </c>
      <c r="J70" s="16">
        <f>IF(Rankings!J71&lt;=2,1,0)</f>
        <v>0</v>
      </c>
      <c r="K70" s="19">
        <f t="shared" si="8"/>
        <v>2</v>
      </c>
      <c r="L70" s="15">
        <f>SUMPRODUCT(C70:J70,Returns!B74:I74)/K70</f>
        <v>3.54512772582809E-2</v>
      </c>
      <c r="M70" s="15">
        <v>0</v>
      </c>
      <c r="N70" s="15">
        <v>0</v>
      </c>
      <c r="O70" s="15">
        <f t="shared" si="9"/>
        <v>3.54512772582809E-2</v>
      </c>
      <c r="P70" s="20">
        <f t="shared" ref="P70:P101" si="11">P69*(1+O70)</f>
        <v>1.4637739355829156</v>
      </c>
      <c r="Q70" s="20">
        <f>MAX($P$5:P70)</f>
        <v>1.7023632150360453</v>
      </c>
      <c r="R70" s="15">
        <f t="shared" si="10"/>
        <v>-0.14015180623371137</v>
      </c>
      <c r="S70" s="15">
        <f>O70-Benchmark_RF!D70</f>
        <v>2.9678394572797195E-2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IF(Rankings!C77&lt;=2,1,0)</f>
        <v>1</v>
      </c>
      <c r="D71" s="16">
        <f>IF(Rankings!D77&lt;=2,1,0)</f>
        <v>0</v>
      </c>
      <c r="E71" s="16">
        <f>IF(Rankings!E77&lt;=2,1,0)</f>
        <v>0</v>
      </c>
      <c r="F71" s="16">
        <f>IF(Rankings!F77&lt;=2,1,0)</f>
        <v>0</v>
      </c>
      <c r="G71" s="16">
        <f>IF(Rankings!G77&lt;=2,1,0)</f>
        <v>0</v>
      </c>
      <c r="H71" s="16">
        <f>IF(Rankings!H77&lt;=2,1,0)</f>
        <v>1</v>
      </c>
      <c r="I71" s="16">
        <f>IF(Rankings!I77&lt;=2,1,0)</f>
        <v>0</v>
      </c>
      <c r="J71" s="16">
        <f>IF(Rankings!J77&lt;=2,1,0)</f>
        <v>0</v>
      </c>
      <c r="K71" s="19">
        <f t="shared" si="8"/>
        <v>2</v>
      </c>
      <c r="L71" s="15">
        <f>SUMPRODUCT(C71:J71,Returns!B75:I75)/K71</f>
        <v>-6.6020119969449342E-3</v>
      </c>
      <c r="M71" s="15">
        <f>-2*Assumptions!$B$13</f>
        <v>-7.0000000000000001E-3</v>
      </c>
      <c r="N71" s="15">
        <f>-Assumptions!$B$16*MAX(0,(1+O65)*(1+O66)*(1+O67)*(1+O68)*(1+O69)*(1+O70)-1)</f>
        <v>-2.3999815262064371E-2</v>
      </c>
      <c r="O71" s="15">
        <f t="shared" si="9"/>
        <v>-3.7601827259009304E-2</v>
      </c>
      <c r="P71" s="20">
        <f t="shared" si="11"/>
        <v>1.4087333609108865</v>
      </c>
      <c r="Q71" s="20">
        <f>MAX($P$5:P71)</f>
        <v>1.7023632150360453</v>
      </c>
      <c r="R71" s="15">
        <f t="shared" si="10"/>
        <v>-0.17248366948468252</v>
      </c>
      <c r="S71" s="15">
        <f>O71-Benchmark_RF!D71</f>
        <v>-4.340513258877389E-2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IF(Rankings!C77&lt;=2,1,0)</f>
        <v>1</v>
      </c>
      <c r="D72" s="16">
        <f>IF(Rankings!D77&lt;=2,1,0)</f>
        <v>0</v>
      </c>
      <c r="E72" s="16">
        <f>IF(Rankings!E77&lt;=2,1,0)</f>
        <v>0</v>
      </c>
      <c r="F72" s="16">
        <f>IF(Rankings!F77&lt;=2,1,0)</f>
        <v>0</v>
      </c>
      <c r="G72" s="16">
        <f>IF(Rankings!G77&lt;=2,1,0)</f>
        <v>0</v>
      </c>
      <c r="H72" s="16">
        <f>IF(Rankings!H77&lt;=2,1,0)</f>
        <v>1</v>
      </c>
      <c r="I72" s="16">
        <f>IF(Rankings!I77&lt;=2,1,0)</f>
        <v>0</v>
      </c>
      <c r="J72" s="16">
        <f>IF(Rankings!J77&lt;=2,1,0)</f>
        <v>0</v>
      </c>
      <c r="K72" s="19">
        <f t="shared" si="8"/>
        <v>2</v>
      </c>
      <c r="L72" s="15">
        <f>SUMPRODUCT(C72:J72,Returns!B76:I76)/K72</f>
        <v>-4.5848372182856312E-2</v>
      </c>
      <c r="M72" s="15">
        <v>0</v>
      </c>
      <c r="N72" s="15">
        <v>0</v>
      </c>
      <c r="O72" s="15">
        <f t="shared" si="9"/>
        <v>-4.5848372182856312E-2</v>
      </c>
      <c r="P72" s="20">
        <f t="shared" si="11"/>
        <v>1.3441452294734382</v>
      </c>
      <c r="Q72" s="20">
        <f>MAX($P$5:P72)</f>
        <v>1.7023632150360453</v>
      </c>
      <c r="R72" s="15">
        <f t="shared" si="10"/>
        <v>-0.21042394619354032</v>
      </c>
      <c r="S72" s="15">
        <f>O72-Benchmark_RF!D72</f>
        <v>-5.1838527253526334E-2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IF(Rankings!C77&lt;=2,1,0)</f>
        <v>1</v>
      </c>
      <c r="D73" s="16">
        <f>IF(Rankings!D77&lt;=2,1,0)</f>
        <v>0</v>
      </c>
      <c r="E73" s="16">
        <f>IF(Rankings!E77&lt;=2,1,0)</f>
        <v>0</v>
      </c>
      <c r="F73" s="16">
        <f>IF(Rankings!F77&lt;=2,1,0)</f>
        <v>0</v>
      </c>
      <c r="G73" s="16">
        <f>IF(Rankings!G77&lt;=2,1,0)</f>
        <v>0</v>
      </c>
      <c r="H73" s="16">
        <f>IF(Rankings!H77&lt;=2,1,0)</f>
        <v>1</v>
      </c>
      <c r="I73" s="16">
        <f>IF(Rankings!I77&lt;=2,1,0)</f>
        <v>0</v>
      </c>
      <c r="J73" s="16">
        <f>IF(Rankings!J77&lt;=2,1,0)</f>
        <v>0</v>
      </c>
      <c r="K73" s="19">
        <f t="shared" si="8"/>
        <v>2</v>
      </c>
      <c r="L73" s="15">
        <f>SUMPRODUCT(C73:J73,Returns!B77:I77)/K73</f>
        <v>-4.6916445623342184E-2</v>
      </c>
      <c r="M73" s="15">
        <v>0</v>
      </c>
      <c r="N73" s="15">
        <v>0</v>
      </c>
      <c r="O73" s="15">
        <f t="shared" si="9"/>
        <v>-4.6916445623342184E-2</v>
      </c>
      <c r="P73" s="20">
        <f t="shared" si="11"/>
        <v>1.2810827129049729</v>
      </c>
      <c r="Q73" s="20">
        <f>MAX($P$5:P73)</f>
        <v>1.7023632150360453</v>
      </c>
      <c r="R73" s="15">
        <f t="shared" si="10"/>
        <v>-0.24746804818744417</v>
      </c>
      <c r="S73" s="15">
        <f>O73-Benchmark_RF!D73</f>
        <v>-5.286484260196822E-2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IF(Rankings!C77&lt;=2,1,0)</f>
        <v>1</v>
      </c>
      <c r="D74" s="16">
        <f>IF(Rankings!D77&lt;=2,1,0)</f>
        <v>0</v>
      </c>
      <c r="E74" s="16">
        <f>IF(Rankings!E77&lt;=2,1,0)</f>
        <v>0</v>
      </c>
      <c r="F74" s="16">
        <f>IF(Rankings!F77&lt;=2,1,0)</f>
        <v>0</v>
      </c>
      <c r="G74" s="16">
        <f>IF(Rankings!G77&lt;=2,1,0)</f>
        <v>0</v>
      </c>
      <c r="H74" s="16">
        <f>IF(Rankings!H77&lt;=2,1,0)</f>
        <v>1</v>
      </c>
      <c r="I74" s="16">
        <f>IF(Rankings!I77&lt;=2,1,0)</f>
        <v>0</v>
      </c>
      <c r="J74" s="16">
        <f>IF(Rankings!J77&lt;=2,1,0)</f>
        <v>0</v>
      </c>
      <c r="K74" s="19">
        <f t="shared" si="8"/>
        <v>2</v>
      </c>
      <c r="L74" s="15">
        <f>SUMPRODUCT(C74:J74,Returns!B78:I78)/K74</f>
        <v>4.6545787545787531E-2</v>
      </c>
      <c r="M74" s="15">
        <v>0</v>
      </c>
      <c r="N74" s="15">
        <v>0</v>
      </c>
      <c r="O74" s="15">
        <f t="shared" si="9"/>
        <v>4.6545787545787531E-2</v>
      </c>
      <c r="P74" s="20">
        <f t="shared" si="11"/>
        <v>1.3407117166884288</v>
      </c>
      <c r="Q74" s="20">
        <f>MAX($P$5:P74)</f>
        <v>1.7023632150360453</v>
      </c>
      <c r="R74" s="15">
        <f t="shared" si="10"/>
        <v>-0.21244085583696015</v>
      </c>
      <c r="S74" s="15">
        <f>O74-Benchmark_RF!D74</f>
        <v>4.0624172612129028E-2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IF(Rankings!C77&lt;=2,1,0)</f>
        <v>1</v>
      </c>
      <c r="D75" s="16">
        <f>IF(Rankings!D77&lt;=2,1,0)</f>
        <v>0</v>
      </c>
      <c r="E75" s="16">
        <f>IF(Rankings!E77&lt;=2,1,0)</f>
        <v>0</v>
      </c>
      <c r="F75" s="16">
        <f>IF(Rankings!F77&lt;=2,1,0)</f>
        <v>0</v>
      </c>
      <c r="G75" s="16">
        <f>IF(Rankings!G77&lt;=2,1,0)</f>
        <v>0</v>
      </c>
      <c r="H75" s="16">
        <f>IF(Rankings!H77&lt;=2,1,0)</f>
        <v>1</v>
      </c>
      <c r="I75" s="16">
        <f>IF(Rankings!I77&lt;=2,1,0)</f>
        <v>0</v>
      </c>
      <c r="J75" s="16">
        <f>IF(Rankings!J77&lt;=2,1,0)</f>
        <v>0</v>
      </c>
      <c r="K75" s="19">
        <f t="shared" si="8"/>
        <v>2</v>
      </c>
      <c r="L75" s="15">
        <f>SUMPRODUCT(C75:J75,Returns!B79:I79)/K75</f>
        <v>-1.73690216989143E-2</v>
      </c>
      <c r="M75" s="15">
        <v>0</v>
      </c>
      <c r="N75" s="15">
        <v>0</v>
      </c>
      <c r="O75" s="15">
        <f t="shared" si="9"/>
        <v>-1.73690216989143E-2</v>
      </c>
      <c r="P75" s="20">
        <f t="shared" si="11"/>
        <v>1.3174248657892789</v>
      </c>
      <c r="Q75" s="20">
        <f>MAX($P$5:P75)</f>
        <v>1.7023632150360453</v>
      </c>
      <c r="R75" s="15">
        <f t="shared" si="10"/>
        <v>-0.22611998770110631</v>
      </c>
      <c r="S75" s="15">
        <f>O75-Benchmark_RF!D75</f>
        <v>-2.3254159834721899E-2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IF(Rankings!C77&lt;=2,1,0)</f>
        <v>1</v>
      </c>
      <c r="D76" s="16">
        <f>IF(Rankings!D77&lt;=2,1,0)</f>
        <v>0</v>
      </c>
      <c r="E76" s="16">
        <f>IF(Rankings!E77&lt;=2,1,0)</f>
        <v>0</v>
      </c>
      <c r="F76" s="16">
        <f>IF(Rankings!F77&lt;=2,1,0)</f>
        <v>0</v>
      </c>
      <c r="G76" s="16">
        <f>IF(Rankings!G77&lt;=2,1,0)</f>
        <v>0</v>
      </c>
      <c r="H76" s="16">
        <f>IF(Rankings!H77&lt;=2,1,0)</f>
        <v>1</v>
      </c>
      <c r="I76" s="16">
        <f>IF(Rankings!I77&lt;=2,1,0)</f>
        <v>0</v>
      </c>
      <c r="J76" s="16">
        <f>IF(Rankings!J77&lt;=2,1,0)</f>
        <v>0</v>
      </c>
      <c r="K76" s="19">
        <f t="shared" si="8"/>
        <v>2</v>
      </c>
      <c r="L76" s="15">
        <f>SUMPRODUCT(C76:J76,Returns!B80:I80)/K76</f>
        <v>-7.5474256654445293E-3</v>
      </c>
      <c r="M76" s="15">
        <v>0</v>
      </c>
      <c r="N76" s="15">
        <v>0</v>
      </c>
      <c r="O76" s="15">
        <f t="shared" si="9"/>
        <v>-7.5474256654445293E-3</v>
      </c>
      <c r="P76" s="20">
        <f t="shared" si="11"/>
        <v>1.3074816995449261</v>
      </c>
      <c r="Q76" s="20">
        <f>MAX($P$5:P76)</f>
        <v>1.7023632150360453</v>
      </c>
      <c r="R76" s="15">
        <f t="shared" si="10"/>
        <v>-0.23196078956790556</v>
      </c>
      <c r="S76" s="15">
        <f>O76-Benchmark_RF!D76</f>
        <v>-1.3383488539597255E-2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IF(Rankings!C83&lt;=2,1,0)</f>
        <v>0</v>
      </c>
      <c r="D77" s="16">
        <f>IF(Rankings!D83&lt;=2,1,0)</f>
        <v>1</v>
      </c>
      <c r="E77" s="16">
        <f>IF(Rankings!E83&lt;=2,1,0)</f>
        <v>0</v>
      </c>
      <c r="F77" s="16">
        <f>IF(Rankings!F83&lt;=2,1,0)</f>
        <v>1</v>
      </c>
      <c r="G77" s="16">
        <f>IF(Rankings!G83&lt;=2,1,0)</f>
        <v>0</v>
      </c>
      <c r="H77" s="16">
        <f>IF(Rankings!H83&lt;=2,1,0)</f>
        <v>0</v>
      </c>
      <c r="I77" s="16">
        <f>IF(Rankings!I83&lt;=2,1,0)</f>
        <v>0</v>
      </c>
      <c r="J77" s="16">
        <f>IF(Rankings!J83&lt;=2,1,0)</f>
        <v>0</v>
      </c>
      <c r="K77" s="19">
        <f t="shared" si="8"/>
        <v>2</v>
      </c>
      <c r="L77" s="15">
        <f>SUMPRODUCT(C77:J77,Returns!B81:I81)/K77</f>
        <v>0.12659882178083659</v>
      </c>
      <c r="M77" s="15">
        <f>-2*Assumptions!$B$13</f>
        <v>-7.0000000000000001E-3</v>
      </c>
      <c r="N77" s="15">
        <f>-Assumptions!$B$16*MAX(0,(1+O71)*(1+O72)*(1+O73)*(1+O74)*(1+O75)*(1+O76)-1)</f>
        <v>0</v>
      </c>
      <c r="O77" s="15">
        <f t="shared" si="9"/>
        <v>0.11959882178083658</v>
      </c>
      <c r="P77" s="20">
        <f t="shared" si="11"/>
        <v>1.463854970310505</v>
      </c>
      <c r="Q77" s="20">
        <f>MAX($P$5:P77)</f>
        <v>1.7023632150360453</v>
      </c>
      <c r="R77" s="15">
        <f t="shared" si="10"/>
        <v>-0.14010420491874298</v>
      </c>
      <c r="S77" s="15">
        <f>O77-Benchmark_RF!D77</f>
        <v>0.11376526026232492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IF(Rankings!C83&lt;=2,1,0)</f>
        <v>0</v>
      </c>
      <c r="D78" s="16">
        <f>IF(Rankings!D83&lt;=2,1,0)</f>
        <v>1</v>
      </c>
      <c r="E78" s="16">
        <f>IF(Rankings!E83&lt;=2,1,0)</f>
        <v>0</v>
      </c>
      <c r="F78" s="16">
        <f>IF(Rankings!F83&lt;=2,1,0)</f>
        <v>1</v>
      </c>
      <c r="G78" s="16">
        <f>IF(Rankings!G83&lt;=2,1,0)</f>
        <v>0</v>
      </c>
      <c r="H78" s="16">
        <f>IF(Rankings!H83&lt;=2,1,0)</f>
        <v>0</v>
      </c>
      <c r="I78" s="16">
        <f>IF(Rankings!I83&lt;=2,1,0)</f>
        <v>0</v>
      </c>
      <c r="J78" s="16">
        <f>IF(Rankings!J83&lt;=2,1,0)</f>
        <v>0</v>
      </c>
      <c r="K78" s="19">
        <f t="shared" si="8"/>
        <v>2</v>
      </c>
      <c r="L78" s="15">
        <f>SUMPRODUCT(C78:J78,Returns!B82:I82)/K78</f>
        <v>-1.4243457975781582E-2</v>
      </c>
      <c r="M78" s="15">
        <v>0</v>
      </c>
      <c r="N78" s="15">
        <v>0</v>
      </c>
      <c r="O78" s="15">
        <f t="shared" si="9"/>
        <v>-1.4243457975781582E-2</v>
      </c>
      <c r="P78" s="20">
        <f t="shared" si="11"/>
        <v>1.4430046135582484</v>
      </c>
      <c r="Q78" s="20">
        <f>MAX($P$5:P78)</f>
        <v>1.7023632150360453</v>
      </c>
      <c r="R78" s="15">
        <f t="shared" si="10"/>
        <v>-0.15235209453953413</v>
      </c>
      <c r="S78" s="15">
        <f>O78-Benchmark_RF!D78</f>
        <v>-2.0343809650764932E-2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IF(Rankings!C83&lt;=2,1,0)</f>
        <v>0</v>
      </c>
      <c r="D79" s="16">
        <f>IF(Rankings!D83&lt;=2,1,0)</f>
        <v>1</v>
      </c>
      <c r="E79" s="16">
        <f>IF(Rankings!E83&lt;=2,1,0)</f>
        <v>0</v>
      </c>
      <c r="F79" s="16">
        <f>IF(Rankings!F83&lt;=2,1,0)</f>
        <v>1</v>
      </c>
      <c r="G79" s="16">
        <f>IF(Rankings!G83&lt;=2,1,0)</f>
        <v>0</v>
      </c>
      <c r="H79" s="16">
        <f>IF(Rankings!H83&lt;=2,1,0)</f>
        <v>0</v>
      </c>
      <c r="I79" s="16">
        <f>IF(Rankings!I83&lt;=2,1,0)</f>
        <v>0</v>
      </c>
      <c r="J79" s="16">
        <f>IF(Rankings!J83&lt;=2,1,0)</f>
        <v>0</v>
      </c>
      <c r="K79" s="19">
        <f t="shared" si="8"/>
        <v>2</v>
      </c>
      <c r="L79" s="15">
        <f>SUMPRODUCT(C79:J79,Returns!B83:I83)/K79</f>
        <v>1.1311984434609845E-2</v>
      </c>
      <c r="M79" s="15">
        <v>0</v>
      </c>
      <c r="N79" s="15">
        <v>0</v>
      </c>
      <c r="O79" s="15">
        <f t="shared" si="9"/>
        <v>1.1311984434609845E-2</v>
      </c>
      <c r="P79" s="20">
        <f t="shared" si="11"/>
        <v>1.4593278592858896</v>
      </c>
      <c r="Q79" s="20">
        <f>MAX($P$5:P79)</f>
        <v>1.7023632150360453</v>
      </c>
      <c r="R79" s="15">
        <f t="shared" si="10"/>
        <v>-0.14276351462693571</v>
      </c>
      <c r="S79" s="15">
        <f>O79-Benchmark_RF!D79</f>
        <v>4.7423105756544959E-3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IF(Rankings!C83&lt;=2,1,0)</f>
        <v>0</v>
      </c>
      <c r="D80" s="16">
        <f>IF(Rankings!D83&lt;=2,1,0)</f>
        <v>1</v>
      </c>
      <c r="E80" s="16">
        <f>IF(Rankings!E83&lt;=2,1,0)</f>
        <v>0</v>
      </c>
      <c r="F80" s="16">
        <f>IF(Rankings!F83&lt;=2,1,0)</f>
        <v>1</v>
      </c>
      <c r="G80" s="16">
        <f>IF(Rankings!G83&lt;=2,1,0)</f>
        <v>0</v>
      </c>
      <c r="H80" s="16">
        <f>IF(Rankings!H83&lt;=2,1,0)</f>
        <v>0</v>
      </c>
      <c r="I80" s="16">
        <f>IF(Rankings!I83&lt;=2,1,0)</f>
        <v>0</v>
      </c>
      <c r="J80" s="16">
        <f>IF(Rankings!J83&lt;=2,1,0)</f>
        <v>0</v>
      </c>
      <c r="K80" s="19">
        <f t="shared" si="8"/>
        <v>2</v>
      </c>
      <c r="L80" s="15">
        <f>SUMPRODUCT(C80:J80,Returns!B84:I84)/K80</f>
        <v>3.878590404876836E-2</v>
      </c>
      <c r="M80" s="15">
        <v>0</v>
      </c>
      <c r="N80" s="15">
        <v>0</v>
      </c>
      <c r="O80" s="15">
        <f t="shared" si="9"/>
        <v>3.878590404876836E-2</v>
      </c>
      <c r="P80" s="20">
        <f t="shared" si="11"/>
        <v>1.5159292096118466</v>
      </c>
      <c r="Q80" s="20">
        <f>MAX($P$5:P80)</f>
        <v>1.7023632150360453</v>
      </c>
      <c r="R80" s="15">
        <f t="shared" si="10"/>
        <v>-0.10951482255815259</v>
      </c>
      <c r="S80" s="15">
        <f>O80-Benchmark_RF!D80</f>
        <v>3.1964178696580969E-2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IF(Rankings!C83&lt;=2,1,0)</f>
        <v>0</v>
      </c>
      <c r="D81" s="16">
        <f>IF(Rankings!D83&lt;=2,1,0)</f>
        <v>1</v>
      </c>
      <c r="E81" s="16">
        <f>IF(Rankings!E83&lt;=2,1,0)</f>
        <v>0</v>
      </c>
      <c r="F81" s="16">
        <f>IF(Rankings!F83&lt;=2,1,0)</f>
        <v>1</v>
      </c>
      <c r="G81" s="16">
        <f>IF(Rankings!G83&lt;=2,1,0)</f>
        <v>0</v>
      </c>
      <c r="H81" s="16">
        <f>IF(Rankings!H83&lt;=2,1,0)</f>
        <v>0</v>
      </c>
      <c r="I81" s="16">
        <f>IF(Rankings!I83&lt;=2,1,0)</f>
        <v>0</v>
      </c>
      <c r="J81" s="16">
        <f>IF(Rankings!J83&lt;=2,1,0)</f>
        <v>0</v>
      </c>
      <c r="K81" s="19">
        <f t="shared" si="8"/>
        <v>2</v>
      </c>
      <c r="L81" s="15">
        <f>SUMPRODUCT(C81:J81,Returns!B85:I85)/K81</f>
        <v>-6.1568832836052467E-2</v>
      </c>
      <c r="M81" s="15">
        <v>0</v>
      </c>
      <c r="N81" s="15">
        <v>0</v>
      </c>
      <c r="O81" s="15">
        <f t="shared" si="9"/>
        <v>-6.1568832836052467E-2</v>
      </c>
      <c r="P81" s="20">
        <f t="shared" si="11"/>
        <v>1.4225952175139658</v>
      </c>
      <c r="Q81" s="20">
        <f>MAX($P$5:P81)</f>
        <v>1.7023632150360453</v>
      </c>
      <c r="R81" s="15">
        <f t="shared" si="10"/>
        <v>-0.16434095559105211</v>
      </c>
      <c r="S81" s="15">
        <f>O81-Benchmark_RF!D81</f>
        <v>-6.9838245847415215E-2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IF(Rankings!C83&lt;=2,1,0)</f>
        <v>0</v>
      </c>
      <c r="D82" s="16">
        <f>IF(Rankings!D83&lt;=2,1,0)</f>
        <v>1</v>
      </c>
      <c r="E82" s="16">
        <f>IF(Rankings!E83&lt;=2,1,0)</f>
        <v>0</v>
      </c>
      <c r="F82" s="16">
        <f>IF(Rankings!F83&lt;=2,1,0)</f>
        <v>1</v>
      </c>
      <c r="G82" s="16">
        <f>IF(Rankings!G83&lt;=2,1,0)</f>
        <v>0</v>
      </c>
      <c r="H82" s="16">
        <f>IF(Rankings!H83&lt;=2,1,0)</f>
        <v>0</v>
      </c>
      <c r="I82" s="16">
        <f>IF(Rankings!I83&lt;=2,1,0)</f>
        <v>0</v>
      </c>
      <c r="J82" s="16">
        <f>IF(Rankings!J83&lt;=2,1,0)</f>
        <v>0</v>
      </c>
      <c r="K82" s="19">
        <f t="shared" si="8"/>
        <v>2</v>
      </c>
      <c r="L82" s="15">
        <f>SUMPRODUCT(C82:J82,Returns!B86:I86)/K82</f>
        <v>3.633979467312265E-2</v>
      </c>
      <c r="M82" s="15">
        <v>0</v>
      </c>
      <c r="N82" s="15">
        <v>0</v>
      </c>
      <c r="O82" s="15">
        <f t="shared" si="9"/>
        <v>3.633979467312265E-2</v>
      </c>
      <c r="P82" s="20">
        <f t="shared" si="11"/>
        <v>1.4742920356213898</v>
      </c>
      <c r="Q82" s="20">
        <f>MAX($P$5:P82)</f>
        <v>1.7023632150360453</v>
      </c>
      <c r="R82" s="15">
        <f t="shared" si="10"/>
        <v>-0.13397327750049293</v>
      </c>
      <c r="S82" s="15">
        <f>O82-Benchmark_RF!D82</f>
        <v>2.8210771001087376E-2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IF(Rankings!C89&lt;=2,1,0)</f>
        <v>1</v>
      </c>
      <c r="D83" s="16">
        <f>IF(Rankings!D89&lt;=2,1,0)</f>
        <v>0</v>
      </c>
      <c r="E83" s="16">
        <f>IF(Rankings!E89&lt;=2,1,0)</f>
        <v>0</v>
      </c>
      <c r="F83" s="16">
        <f>IF(Rankings!F89&lt;=2,1,0)</f>
        <v>0</v>
      </c>
      <c r="G83" s="16">
        <f>IF(Rankings!G89&lt;=2,1,0)</f>
        <v>0</v>
      </c>
      <c r="H83" s="16">
        <f>IF(Rankings!H89&lt;=2,1,0)</f>
        <v>0</v>
      </c>
      <c r="I83" s="16">
        <f>IF(Rankings!I89&lt;=2,1,0)</f>
        <v>1</v>
      </c>
      <c r="J83" s="16">
        <f>IF(Rankings!J89&lt;=2,1,0)</f>
        <v>0</v>
      </c>
      <c r="K83" s="19">
        <f t="shared" si="8"/>
        <v>2</v>
      </c>
      <c r="L83" s="15">
        <f>SUMPRODUCT(C83:J83,Returns!B87:I87)/K83</f>
        <v>-3.527234493924114E-2</v>
      </c>
      <c r="M83" s="15">
        <f>-2*Assumptions!$B$13</f>
        <v>-7.0000000000000001E-3</v>
      </c>
      <c r="N83" s="15">
        <f>-Assumptions!$B$16*MAX(0,(1+O77)*(1+O78)*(1+O79)*(1+O80)*(1+O81)*(1+O82)-1)</f>
        <v>-1.9137208895679689E-2</v>
      </c>
      <c r="O83" s="15">
        <f t="shared" si="9"/>
        <v>-6.1409553834920833E-2</v>
      </c>
      <c r="P83" s="20">
        <f t="shared" si="11"/>
        <v>1.3837564194915031</v>
      </c>
      <c r="Q83" s="20">
        <f>MAX($P$5:P83)</f>
        <v>1.7023632150360453</v>
      </c>
      <c r="R83" s="15">
        <f t="shared" si="10"/>
        <v>-0.18715559213830646</v>
      </c>
      <c r="S83" s="15">
        <f>O83-Benchmark_RF!D83</f>
        <v>-6.9676150509213358E-2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IF(Rankings!C89&lt;=2,1,0)</f>
        <v>1</v>
      </c>
      <c r="D84" s="16">
        <f>IF(Rankings!D89&lt;=2,1,0)</f>
        <v>0</v>
      </c>
      <c r="E84" s="16">
        <f>IF(Rankings!E89&lt;=2,1,0)</f>
        <v>0</v>
      </c>
      <c r="F84" s="16">
        <f>IF(Rankings!F89&lt;=2,1,0)</f>
        <v>0</v>
      </c>
      <c r="G84" s="16">
        <f>IF(Rankings!G89&lt;=2,1,0)</f>
        <v>0</v>
      </c>
      <c r="H84" s="16">
        <f>IF(Rankings!H89&lt;=2,1,0)</f>
        <v>0</v>
      </c>
      <c r="I84" s="16">
        <f>IF(Rankings!I89&lt;=2,1,0)</f>
        <v>1</v>
      </c>
      <c r="J84" s="16">
        <f>IF(Rankings!J89&lt;=2,1,0)</f>
        <v>0</v>
      </c>
      <c r="K84" s="19">
        <f t="shared" si="8"/>
        <v>2</v>
      </c>
      <c r="L84" s="15">
        <f>SUMPRODUCT(C84:J84,Returns!B88:I88)/K84</f>
        <v>-8.0835299768036939E-2</v>
      </c>
      <c r="M84" s="15">
        <v>0</v>
      </c>
      <c r="N84" s="15">
        <v>0</v>
      </c>
      <c r="O84" s="15">
        <f t="shared" si="9"/>
        <v>-8.0835299768036939E-2</v>
      </c>
      <c r="P84" s="20">
        <f t="shared" si="11"/>
        <v>1.271900054515962</v>
      </c>
      <c r="Q84" s="20">
        <f>MAX($P$5:P84)</f>
        <v>1.7023632150360453</v>
      </c>
      <c r="R84" s="15">
        <f t="shared" si="10"/>
        <v>-0.25286211351257892</v>
      </c>
      <c r="S84" s="15">
        <f>O84-Benchmark_RF!D84</f>
        <v>-9.013657497452654E-2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IF(Rankings!C89&lt;=2,1,0)</f>
        <v>1</v>
      </c>
      <c r="D85" s="16">
        <f>IF(Rankings!D89&lt;=2,1,0)</f>
        <v>0</v>
      </c>
      <c r="E85" s="16">
        <f>IF(Rankings!E89&lt;=2,1,0)</f>
        <v>0</v>
      </c>
      <c r="F85" s="16">
        <f>IF(Rankings!F89&lt;=2,1,0)</f>
        <v>0</v>
      </c>
      <c r="G85" s="16">
        <f>IF(Rankings!G89&lt;=2,1,0)</f>
        <v>0</v>
      </c>
      <c r="H85" s="16">
        <f>IF(Rankings!H89&lt;=2,1,0)</f>
        <v>0</v>
      </c>
      <c r="I85" s="16">
        <f>IF(Rankings!I89&lt;=2,1,0)</f>
        <v>1</v>
      </c>
      <c r="J85" s="16">
        <f>IF(Rankings!J89&lt;=2,1,0)</f>
        <v>0</v>
      </c>
      <c r="K85" s="19">
        <f t="shared" si="8"/>
        <v>2</v>
      </c>
      <c r="L85" s="15">
        <f>SUMPRODUCT(C85:J85,Returns!B89:I89)/K85</f>
        <v>1.0946836597086396E-2</v>
      </c>
      <c r="M85" s="15">
        <v>0</v>
      </c>
      <c r="N85" s="15">
        <v>0</v>
      </c>
      <c r="O85" s="15">
        <f t="shared" si="9"/>
        <v>1.0946836597086396E-2</v>
      </c>
      <c r="P85" s="20">
        <f t="shared" si="11"/>
        <v>1.2858233365805736</v>
      </c>
      <c r="Q85" s="20">
        <f>MAX($P$5:P85)</f>
        <v>1.7023632150360453</v>
      </c>
      <c r="R85" s="15">
        <f t="shared" si="10"/>
        <v>-0.24468331715370861</v>
      </c>
      <c r="S85" s="15">
        <f>O85-Benchmark_RF!D85</f>
        <v>-1.7497831026425104E-4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IF(Rankings!C89&lt;=2,1,0)</f>
        <v>1</v>
      </c>
      <c r="D86" s="16">
        <f>IF(Rankings!D89&lt;=2,1,0)</f>
        <v>0</v>
      </c>
      <c r="E86" s="16">
        <f>IF(Rankings!E89&lt;=2,1,0)</f>
        <v>0</v>
      </c>
      <c r="F86" s="16">
        <f>IF(Rankings!F89&lt;=2,1,0)</f>
        <v>0</v>
      </c>
      <c r="G86" s="16">
        <f>IF(Rankings!G89&lt;=2,1,0)</f>
        <v>0</v>
      </c>
      <c r="H86" s="16">
        <f>IF(Rankings!H89&lt;=2,1,0)</f>
        <v>0</v>
      </c>
      <c r="I86" s="16">
        <f>IF(Rankings!I89&lt;=2,1,0)</f>
        <v>1</v>
      </c>
      <c r="J86" s="16">
        <f>IF(Rankings!J89&lt;=2,1,0)</f>
        <v>0</v>
      </c>
      <c r="K86" s="19">
        <f t="shared" si="8"/>
        <v>2</v>
      </c>
      <c r="L86" s="15">
        <f>SUMPRODUCT(C86:J86,Returns!B90:I90)/K86</f>
        <v>-8.1337537356706235E-2</v>
      </c>
      <c r="M86" s="15">
        <v>0</v>
      </c>
      <c r="N86" s="15">
        <v>0</v>
      </c>
      <c r="O86" s="15">
        <f t="shared" si="9"/>
        <v>-8.1337537356706235E-2</v>
      </c>
      <c r="P86" s="20">
        <f t="shared" si="11"/>
        <v>1.1812376329073264</v>
      </c>
      <c r="Q86" s="20">
        <f>MAX($P$5:P86)</f>
        <v>1.7023632150360453</v>
      </c>
      <c r="R86" s="15">
        <f t="shared" si="10"/>
        <v>-0.30611891606086228</v>
      </c>
      <c r="S86" s="15">
        <f>O86-Benchmark_RF!D86</f>
        <v>-9.2628095973824376E-2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IF(Rankings!C89&lt;=2,1,0)</f>
        <v>1</v>
      </c>
      <c r="D87" s="16">
        <f>IF(Rankings!D89&lt;=2,1,0)</f>
        <v>0</v>
      </c>
      <c r="E87" s="16">
        <f>IF(Rankings!E89&lt;=2,1,0)</f>
        <v>0</v>
      </c>
      <c r="F87" s="16">
        <f>IF(Rankings!F89&lt;=2,1,0)</f>
        <v>0</v>
      </c>
      <c r="G87" s="16">
        <f>IF(Rankings!G89&lt;=2,1,0)</f>
        <v>0</v>
      </c>
      <c r="H87" s="16">
        <f>IF(Rankings!H89&lt;=2,1,0)</f>
        <v>0</v>
      </c>
      <c r="I87" s="16">
        <f>IF(Rankings!I89&lt;=2,1,0)</f>
        <v>1</v>
      </c>
      <c r="J87" s="16">
        <f>IF(Rankings!J89&lt;=2,1,0)</f>
        <v>0</v>
      </c>
      <c r="K87" s="19">
        <f t="shared" si="8"/>
        <v>2</v>
      </c>
      <c r="L87" s="15">
        <f>SUMPRODUCT(C87:J87,Returns!B91:I91)/K87</f>
        <v>-5.1370917564654728E-2</v>
      </c>
      <c r="M87" s="15">
        <v>0</v>
      </c>
      <c r="N87" s="15">
        <v>0</v>
      </c>
      <c r="O87" s="15">
        <f t="shared" si="9"/>
        <v>-5.1370917564654728E-2</v>
      </c>
      <c r="P87" s="20">
        <f t="shared" si="11"/>
        <v>1.1205563718429763</v>
      </c>
      <c r="Q87" s="20">
        <f>MAX($P$5:P87)</f>
        <v>1.7023632150360453</v>
      </c>
      <c r="R87" s="15">
        <f t="shared" si="10"/>
        <v>-0.34176422402357298</v>
      </c>
      <c r="S87" s="15">
        <f>O87-Benchmark_RF!D87</f>
        <v>-6.3144465932881588E-2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IF(Rankings!C89&lt;=2,1,0)</f>
        <v>1</v>
      </c>
      <c r="D88" s="16">
        <f>IF(Rankings!D89&lt;=2,1,0)</f>
        <v>0</v>
      </c>
      <c r="E88" s="16">
        <f>IF(Rankings!E89&lt;=2,1,0)</f>
        <v>0</v>
      </c>
      <c r="F88" s="16">
        <f>IF(Rankings!F89&lt;=2,1,0)</f>
        <v>0</v>
      </c>
      <c r="G88" s="16">
        <f>IF(Rankings!G89&lt;=2,1,0)</f>
        <v>0</v>
      </c>
      <c r="H88" s="16">
        <f>IF(Rankings!H89&lt;=2,1,0)</f>
        <v>0</v>
      </c>
      <c r="I88" s="16">
        <f>IF(Rankings!I89&lt;=2,1,0)</f>
        <v>1</v>
      </c>
      <c r="J88" s="16">
        <f>IF(Rankings!J89&lt;=2,1,0)</f>
        <v>0</v>
      </c>
      <c r="K88" s="19">
        <f t="shared" si="8"/>
        <v>2</v>
      </c>
      <c r="L88" s="15">
        <f>SUMPRODUCT(C88:J88,Returns!B92:I92)/K88</f>
        <v>-2.4643280592011596E-3</v>
      </c>
      <c r="M88" s="15">
        <v>0</v>
      </c>
      <c r="N88" s="15">
        <v>0</v>
      </c>
      <c r="O88" s="15">
        <f t="shared" si="9"/>
        <v>-2.4643280592011596E-3</v>
      </c>
      <c r="P88" s="20">
        <f t="shared" si="11"/>
        <v>1.1177949533339271</v>
      </c>
      <c r="Q88" s="20">
        <f>MAX($P$5:P88)</f>
        <v>1.7023632150360453</v>
      </c>
      <c r="R88" s="15">
        <f t="shared" si="10"/>
        <v>-0.34338633291588172</v>
      </c>
      <c r="S88" s="15">
        <f>O88-Benchmark_RF!D88</f>
        <v>-1.4639959180260842E-2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IF(Rankings!C95&lt;=2,1,0)</f>
        <v>0</v>
      </c>
      <c r="D89" s="16">
        <f>IF(Rankings!D95&lt;=2,1,0)</f>
        <v>0</v>
      </c>
      <c r="E89" s="16">
        <f>IF(Rankings!E95&lt;=2,1,0)</f>
        <v>0</v>
      </c>
      <c r="F89" s="16">
        <f>IF(Rankings!F95&lt;=2,1,0)</f>
        <v>0</v>
      </c>
      <c r="G89" s="16">
        <f>IF(Rankings!G95&lt;=2,1,0)</f>
        <v>1</v>
      </c>
      <c r="H89" s="16">
        <f>IF(Rankings!H95&lt;=2,1,0)</f>
        <v>0</v>
      </c>
      <c r="I89" s="16">
        <f>IF(Rankings!I95&lt;=2,1,0)</f>
        <v>1</v>
      </c>
      <c r="J89" s="16">
        <f>IF(Rankings!J95&lt;=2,1,0)</f>
        <v>0</v>
      </c>
      <c r="K89" s="19">
        <f t="shared" si="8"/>
        <v>2</v>
      </c>
      <c r="L89" s="15">
        <f>SUMPRODUCT(C89:J89,Returns!B93:I93)/K89</f>
        <v>0.16547020445783045</v>
      </c>
      <c r="M89" s="15">
        <f>-2*Assumptions!$B$13</f>
        <v>-7.0000000000000001E-3</v>
      </c>
      <c r="N89" s="15">
        <f>-Assumptions!$B$16*MAX(0,(1+O83)*(1+O84)*(1+O85)*(1+O86)*(1+O87)*(1+O88)-1)</f>
        <v>0</v>
      </c>
      <c r="O89" s="15">
        <f t="shared" si="9"/>
        <v>0.15847020445783044</v>
      </c>
      <c r="P89" s="20">
        <f t="shared" si="11"/>
        <v>1.2949321481306857</v>
      </c>
      <c r="Q89" s="20">
        <f>MAX($P$5:P89)</f>
        <v>1.7023632150360453</v>
      </c>
      <c r="R89" s="15">
        <f t="shared" si="10"/>
        <v>-0.23933263084325562</v>
      </c>
      <c r="S89" s="15">
        <f>O89-Benchmark_RF!D89</f>
        <v>0.14622165579466551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IF(Rankings!C95&lt;=2,1,0)</f>
        <v>0</v>
      </c>
      <c r="D90" s="16">
        <f>IF(Rankings!D95&lt;=2,1,0)</f>
        <v>0</v>
      </c>
      <c r="E90" s="16">
        <f>IF(Rankings!E95&lt;=2,1,0)</f>
        <v>0</v>
      </c>
      <c r="F90" s="16">
        <f>IF(Rankings!F95&lt;=2,1,0)</f>
        <v>0</v>
      </c>
      <c r="G90" s="16">
        <f>IF(Rankings!G95&lt;=2,1,0)</f>
        <v>1</v>
      </c>
      <c r="H90" s="16">
        <f>IF(Rankings!H95&lt;=2,1,0)</f>
        <v>0</v>
      </c>
      <c r="I90" s="16">
        <f>IF(Rankings!I95&lt;=2,1,0)</f>
        <v>1</v>
      </c>
      <c r="J90" s="16">
        <f>IF(Rankings!J95&lt;=2,1,0)</f>
        <v>0</v>
      </c>
      <c r="K90" s="19">
        <f t="shared" si="8"/>
        <v>2</v>
      </c>
      <c r="L90" s="15">
        <f>SUMPRODUCT(C90:J90,Returns!B94:I94)/K90</f>
        <v>-6.2547657439350202E-2</v>
      </c>
      <c r="M90" s="15">
        <v>0</v>
      </c>
      <c r="N90" s="15">
        <v>0</v>
      </c>
      <c r="O90" s="15">
        <f t="shared" si="9"/>
        <v>-6.2547657439350202E-2</v>
      </c>
      <c r="P90" s="20">
        <f t="shared" si="11"/>
        <v>1.2139371757222057</v>
      </c>
      <c r="Q90" s="20">
        <f>MAX($P$5:P90)</f>
        <v>1.7023632150360453</v>
      </c>
      <c r="R90" s="15">
        <f t="shared" si="10"/>
        <v>-0.28691059287456333</v>
      </c>
      <c r="S90" s="15">
        <f>O90-Benchmark_RF!D90</f>
        <v>-7.4970972833903859E-2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IF(Rankings!C95&lt;=2,1,0)</f>
        <v>0</v>
      </c>
      <c r="D91" s="16">
        <f>IF(Rankings!D95&lt;=2,1,0)</f>
        <v>0</v>
      </c>
      <c r="E91" s="16">
        <f>IF(Rankings!E95&lt;=2,1,0)</f>
        <v>0</v>
      </c>
      <c r="F91" s="16">
        <f>IF(Rankings!F95&lt;=2,1,0)</f>
        <v>0</v>
      </c>
      <c r="G91" s="16">
        <f>IF(Rankings!G95&lt;=2,1,0)</f>
        <v>1</v>
      </c>
      <c r="H91" s="16">
        <f>IF(Rankings!H95&lt;=2,1,0)</f>
        <v>0</v>
      </c>
      <c r="I91" s="16">
        <f>IF(Rankings!I95&lt;=2,1,0)</f>
        <v>1</v>
      </c>
      <c r="J91" s="16">
        <f>IF(Rankings!J95&lt;=2,1,0)</f>
        <v>0</v>
      </c>
      <c r="K91" s="19">
        <f t="shared" si="8"/>
        <v>2</v>
      </c>
      <c r="L91" s="15">
        <f>SUMPRODUCT(C91:J91,Returns!B95:I95)/K91</f>
        <v>-7.7449948079763575E-2</v>
      </c>
      <c r="M91" s="15">
        <v>0</v>
      </c>
      <c r="N91" s="15">
        <v>0</v>
      </c>
      <c r="O91" s="15">
        <f t="shared" si="9"/>
        <v>-7.7449948079763575E-2</v>
      </c>
      <c r="P91" s="20">
        <f t="shared" si="11"/>
        <v>1.1199178044904261</v>
      </c>
      <c r="Q91" s="20">
        <f>MAX($P$5:P91)</f>
        <v>1.7023632150360453</v>
      </c>
      <c r="R91" s="15">
        <f t="shared" si="10"/>
        <v>-0.34213933043265776</v>
      </c>
      <c r="S91" s="15">
        <f>O91-Benchmark_RF!D91</f>
        <v>-8.9654753151770739E-2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IF(Rankings!C95&lt;=2,1,0)</f>
        <v>0</v>
      </c>
      <c r="D92" s="16">
        <f>IF(Rankings!D95&lt;=2,1,0)</f>
        <v>0</v>
      </c>
      <c r="E92" s="16">
        <f>IF(Rankings!E95&lt;=2,1,0)</f>
        <v>0</v>
      </c>
      <c r="F92" s="16">
        <f>IF(Rankings!F95&lt;=2,1,0)</f>
        <v>0</v>
      </c>
      <c r="G92" s="16">
        <f>IF(Rankings!G95&lt;=2,1,0)</f>
        <v>1</v>
      </c>
      <c r="H92" s="16">
        <f>IF(Rankings!H95&lt;=2,1,0)</f>
        <v>0</v>
      </c>
      <c r="I92" s="16">
        <f>IF(Rankings!I95&lt;=2,1,0)</f>
        <v>1</v>
      </c>
      <c r="J92" s="16">
        <f>IF(Rankings!J95&lt;=2,1,0)</f>
        <v>0</v>
      </c>
      <c r="K92" s="19">
        <f t="shared" si="8"/>
        <v>2</v>
      </c>
      <c r="L92" s="15">
        <f>SUMPRODUCT(C92:J92,Returns!B96:I96)/K92</f>
        <v>5.4530774812675986E-2</v>
      </c>
      <c r="M92" s="15">
        <v>0</v>
      </c>
      <c r="N92" s="15">
        <v>0</v>
      </c>
      <c r="O92" s="15">
        <f t="shared" si="9"/>
        <v>5.4530774812675986E-2</v>
      </c>
      <c r="P92" s="20">
        <f t="shared" si="11"/>
        <v>1.1809877900958001</v>
      </c>
      <c r="Q92" s="20">
        <f>MAX($P$5:P92)</f>
        <v>1.7023632150360453</v>
      </c>
      <c r="R92" s="15">
        <f t="shared" si="10"/>
        <v>-0.30626567840236474</v>
      </c>
      <c r="S92" s="15">
        <f>O92-Benchmark_RF!D92</f>
        <v>4.1447800108544097E-2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IF(Rankings!C95&lt;=2,1,0)</f>
        <v>0</v>
      </c>
      <c r="D93" s="16">
        <f>IF(Rankings!D95&lt;=2,1,0)</f>
        <v>0</v>
      </c>
      <c r="E93" s="16">
        <f>IF(Rankings!E95&lt;=2,1,0)</f>
        <v>0</v>
      </c>
      <c r="F93" s="16">
        <f>IF(Rankings!F95&lt;=2,1,0)</f>
        <v>0</v>
      </c>
      <c r="G93" s="16">
        <f>IF(Rankings!G95&lt;=2,1,0)</f>
        <v>1</v>
      </c>
      <c r="H93" s="16">
        <f>IF(Rankings!H95&lt;=2,1,0)</f>
        <v>0</v>
      </c>
      <c r="I93" s="16">
        <f>IF(Rankings!I95&lt;=2,1,0)</f>
        <v>1</v>
      </c>
      <c r="J93" s="16">
        <f>IF(Rankings!J95&lt;=2,1,0)</f>
        <v>0</v>
      </c>
      <c r="K93" s="19">
        <f t="shared" si="8"/>
        <v>2</v>
      </c>
      <c r="L93" s="15">
        <f>SUMPRODUCT(C93:J93,Returns!B97:I97)/K93</f>
        <v>-0.11564626464433819</v>
      </c>
      <c r="M93" s="15">
        <v>0</v>
      </c>
      <c r="N93" s="15">
        <v>0</v>
      </c>
      <c r="O93" s="15">
        <f t="shared" si="9"/>
        <v>-0.11564626464433819</v>
      </c>
      <c r="P93" s="20">
        <f t="shared" si="11"/>
        <v>1.0444109635806491</v>
      </c>
      <c r="Q93" s="20">
        <f>MAX($P$5:P93)</f>
        <v>1.7023632150360453</v>
      </c>
      <c r="R93" s="15">
        <f t="shared" si="10"/>
        <v>-0.38649346135070528</v>
      </c>
      <c r="S93" s="15">
        <f>O93-Benchmark_RF!D93</f>
        <v>-0.12878700602068421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IF(Rankings!C95&lt;=2,1,0)</f>
        <v>0</v>
      </c>
      <c r="D94" s="16">
        <f>IF(Rankings!D95&lt;=2,1,0)</f>
        <v>0</v>
      </c>
      <c r="E94" s="16">
        <f>IF(Rankings!E95&lt;=2,1,0)</f>
        <v>0</v>
      </c>
      <c r="F94" s="16">
        <f>IF(Rankings!F95&lt;=2,1,0)</f>
        <v>0</v>
      </c>
      <c r="G94" s="16">
        <f>IF(Rankings!G95&lt;=2,1,0)</f>
        <v>1</v>
      </c>
      <c r="H94" s="16">
        <f>IF(Rankings!H95&lt;=2,1,0)</f>
        <v>0</v>
      </c>
      <c r="I94" s="16">
        <f>IF(Rankings!I95&lt;=2,1,0)</f>
        <v>1</v>
      </c>
      <c r="J94" s="16">
        <f>IF(Rankings!J95&lt;=2,1,0)</f>
        <v>0</v>
      </c>
      <c r="K94" s="19">
        <f t="shared" si="8"/>
        <v>2</v>
      </c>
      <c r="L94" s="15">
        <f>SUMPRODUCT(C94:J94,Returns!B98:I98)/K94</f>
        <v>-4.458219911797856E-2</v>
      </c>
      <c r="M94" s="15">
        <v>0</v>
      </c>
      <c r="N94" s="15">
        <v>0</v>
      </c>
      <c r="O94" s="15">
        <f t="shared" si="9"/>
        <v>-4.458219911797856E-2</v>
      </c>
      <c r="P94" s="20">
        <f t="shared" si="11"/>
        <v>0.99784882604129677</v>
      </c>
      <c r="Q94" s="20">
        <f>MAX($P$5:P94)</f>
        <v>1.7023632150360453</v>
      </c>
      <c r="R94" s="15">
        <f t="shared" si="10"/>
        <v>-0.41384493201694994</v>
      </c>
      <c r="S94" s="15">
        <f>O94-Benchmark_RF!D94</f>
        <v>-5.834165514630818E-2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IF(Rankings!C101&lt;=2,1,0)</f>
        <v>0</v>
      </c>
      <c r="D95" s="16">
        <f>IF(Rankings!D101&lt;=2,1,0)</f>
        <v>1</v>
      </c>
      <c r="E95" s="16">
        <f>IF(Rankings!E101&lt;=2,1,0)</f>
        <v>0</v>
      </c>
      <c r="F95" s="16">
        <f>IF(Rankings!F101&lt;=2,1,0)</f>
        <v>0</v>
      </c>
      <c r="G95" s="16">
        <f>IF(Rankings!G101&lt;=2,1,0)</f>
        <v>0</v>
      </c>
      <c r="H95" s="16">
        <f>IF(Rankings!H101&lt;=2,1,0)</f>
        <v>0</v>
      </c>
      <c r="I95" s="16">
        <f>IF(Rankings!I101&lt;=2,1,0)</f>
        <v>0</v>
      </c>
      <c r="J95" s="16">
        <f>IF(Rankings!J101&lt;=2,1,0)</f>
        <v>1</v>
      </c>
      <c r="K95" s="19">
        <f t="shared" si="8"/>
        <v>2</v>
      </c>
      <c r="L95" s="15">
        <f>SUMPRODUCT(C95:J95,Returns!B99:I99)/K95</f>
        <v>-1.3613933492394314E-2</v>
      </c>
      <c r="M95" s="15">
        <f>-2*Assumptions!$B$13</f>
        <v>-7.0000000000000001E-3</v>
      </c>
      <c r="N95" s="15">
        <f>-Assumptions!$B$16*MAX(0,(1+O89)*(1+O90)*(1+O91)*(1+O92)*(1+O93)*(1+O94)-1)</f>
        <v>0</v>
      </c>
      <c r="O95" s="15">
        <f t="shared" si="9"/>
        <v>-2.0613933492394314E-2</v>
      </c>
      <c r="P95" s="20">
        <f t="shared" si="11"/>
        <v>0.97727923670581773</v>
      </c>
      <c r="Q95" s="20">
        <f>MAX($P$5:P95)</f>
        <v>1.7023632150360453</v>
      </c>
      <c r="R95" s="15">
        <f t="shared" si="10"/>
        <v>-0.42592789360458239</v>
      </c>
      <c r="S95" s="15">
        <f>O95-Benchmark_RF!D95</f>
        <v>-3.5407257795182771E-2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IF(Rankings!C101&lt;=2,1,0)</f>
        <v>0</v>
      </c>
      <c r="D96" s="16">
        <f>IF(Rankings!D101&lt;=2,1,0)</f>
        <v>1</v>
      </c>
      <c r="E96" s="16">
        <f>IF(Rankings!E101&lt;=2,1,0)</f>
        <v>0</v>
      </c>
      <c r="F96" s="16">
        <f>IF(Rankings!F101&lt;=2,1,0)</f>
        <v>0</v>
      </c>
      <c r="G96" s="16">
        <f>IF(Rankings!G101&lt;=2,1,0)</f>
        <v>0</v>
      </c>
      <c r="H96" s="16">
        <f>IF(Rankings!H101&lt;=2,1,0)</f>
        <v>0</v>
      </c>
      <c r="I96" s="16">
        <f>IF(Rankings!I101&lt;=2,1,0)</f>
        <v>0</v>
      </c>
      <c r="J96" s="16">
        <f>IF(Rankings!J101&lt;=2,1,0)</f>
        <v>1</v>
      </c>
      <c r="K96" s="19">
        <f t="shared" si="8"/>
        <v>2</v>
      </c>
      <c r="L96" s="15">
        <f>SUMPRODUCT(C96:J96,Returns!B100:I100)/K96</f>
        <v>2.8462973811989534E-2</v>
      </c>
      <c r="M96" s="15">
        <v>0</v>
      </c>
      <c r="N96" s="15">
        <v>0</v>
      </c>
      <c r="O96" s="15">
        <f t="shared" si="9"/>
        <v>2.8462973811989534E-2</v>
      </c>
      <c r="P96" s="20">
        <f t="shared" si="11"/>
        <v>1.0050955100271766</v>
      </c>
      <c r="Q96" s="20">
        <f>MAX($P$5:P96)</f>
        <v>1.7023632150360453</v>
      </c>
      <c r="R96" s="15">
        <f t="shared" si="10"/>
        <v>-0.40958809427405596</v>
      </c>
      <c r="S96" s="15">
        <f>O96-Benchmark_RF!D96</f>
        <v>1.2409131615911673E-2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IF(Rankings!C101&lt;=2,1,0)</f>
        <v>0</v>
      </c>
      <c r="D97" s="16">
        <f>IF(Rankings!D101&lt;=2,1,0)</f>
        <v>1</v>
      </c>
      <c r="E97" s="16">
        <f>IF(Rankings!E101&lt;=2,1,0)</f>
        <v>0</v>
      </c>
      <c r="F97" s="16">
        <f>IF(Rankings!F101&lt;=2,1,0)</f>
        <v>0</v>
      </c>
      <c r="G97" s="16">
        <f>IF(Rankings!G101&lt;=2,1,0)</f>
        <v>0</v>
      </c>
      <c r="H97" s="16">
        <f>IF(Rankings!H101&lt;=2,1,0)</f>
        <v>0</v>
      </c>
      <c r="I97" s="16">
        <f>IF(Rankings!I101&lt;=2,1,0)</f>
        <v>0</v>
      </c>
      <c r="J97" s="16">
        <f>IF(Rankings!J101&lt;=2,1,0)</f>
        <v>1</v>
      </c>
      <c r="K97" s="19">
        <f t="shared" si="8"/>
        <v>2</v>
      </c>
      <c r="L97" s="15">
        <f>SUMPRODUCT(C97:J97,Returns!B101:I101)/K97</f>
        <v>4.654935793485282E-2</v>
      </c>
      <c r="M97" s="15">
        <v>0</v>
      </c>
      <c r="N97" s="15">
        <v>0</v>
      </c>
      <c r="O97" s="15">
        <f t="shared" si="9"/>
        <v>4.654935793485282E-2</v>
      </c>
      <c r="P97" s="20">
        <f t="shared" si="11"/>
        <v>1.0518820606821451</v>
      </c>
      <c r="Q97" s="20">
        <f>MAX($P$5:P97)</f>
        <v>1.7023632150360453</v>
      </c>
      <c r="R97" s="15">
        <f t="shared" si="10"/>
        <v>-0.38210479914542039</v>
      </c>
      <c r="S97" s="15">
        <f>O97-Benchmark_RF!D97</f>
        <v>2.9854284572160994E-2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IF(Rankings!C101&lt;=2,1,0)</f>
        <v>0</v>
      </c>
      <c r="D98" s="16">
        <f>IF(Rankings!D101&lt;=2,1,0)</f>
        <v>1</v>
      </c>
      <c r="E98" s="16">
        <f>IF(Rankings!E101&lt;=2,1,0)</f>
        <v>0</v>
      </c>
      <c r="F98" s="16">
        <f>IF(Rankings!F101&lt;=2,1,0)</f>
        <v>0</v>
      </c>
      <c r="G98" s="16">
        <f>IF(Rankings!G101&lt;=2,1,0)</f>
        <v>0</v>
      </c>
      <c r="H98" s="16">
        <f>IF(Rankings!H101&lt;=2,1,0)</f>
        <v>0</v>
      </c>
      <c r="I98" s="16">
        <f>IF(Rankings!I101&lt;=2,1,0)</f>
        <v>0</v>
      </c>
      <c r="J98" s="16">
        <f>IF(Rankings!J101&lt;=2,1,0)</f>
        <v>1</v>
      </c>
      <c r="K98" s="19">
        <f t="shared" si="8"/>
        <v>2</v>
      </c>
      <c r="L98" s="15">
        <f>SUMPRODUCT(C98:J98,Returns!B102:I102)/K98</f>
        <v>-6.7661788503139864E-2</v>
      </c>
      <c r="M98" s="15">
        <v>0</v>
      </c>
      <c r="N98" s="15">
        <v>0</v>
      </c>
      <c r="O98" s="15">
        <f t="shared" si="9"/>
        <v>-6.7661788503139864E-2</v>
      </c>
      <c r="P98" s="20">
        <f t="shared" si="11"/>
        <v>0.98070983916202281</v>
      </c>
      <c r="Q98" s="20">
        <f>MAX($P$5:P98)</f>
        <v>1.7023632150360453</v>
      </c>
      <c r="R98" s="15">
        <f t="shared" si="10"/>
        <v>-0.42391269354274808</v>
      </c>
      <c r="S98" s="15">
        <f>O98-Benchmark_RF!D98</f>
        <v>-8.4356861865831689E-2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IF(Rankings!C101&lt;=2,1,0)</f>
        <v>0</v>
      </c>
      <c r="D99" s="16">
        <f>IF(Rankings!D101&lt;=2,1,0)</f>
        <v>1</v>
      </c>
      <c r="E99" s="16">
        <f>IF(Rankings!E101&lt;=2,1,0)</f>
        <v>0</v>
      </c>
      <c r="F99" s="16">
        <f>IF(Rankings!F101&lt;=2,1,0)</f>
        <v>0</v>
      </c>
      <c r="G99" s="16">
        <f>IF(Rankings!G101&lt;=2,1,0)</f>
        <v>0</v>
      </c>
      <c r="H99" s="16">
        <f>IF(Rankings!H101&lt;=2,1,0)</f>
        <v>0</v>
      </c>
      <c r="I99" s="16">
        <f>IF(Rankings!I101&lt;=2,1,0)</f>
        <v>0</v>
      </c>
      <c r="J99" s="16">
        <f>IF(Rankings!J101&lt;=2,1,0)</f>
        <v>1</v>
      </c>
      <c r="K99" s="19">
        <f t="shared" si="8"/>
        <v>2</v>
      </c>
      <c r="L99" s="15">
        <f>SUMPRODUCT(C99:J99,Returns!B103:I103)/K99</f>
        <v>-2.6440054146540382E-2</v>
      </c>
      <c r="M99" s="15">
        <v>0</v>
      </c>
      <c r="N99" s="15">
        <v>0</v>
      </c>
      <c r="O99" s="15">
        <f t="shared" si="9"/>
        <v>-2.6440054146540382E-2</v>
      </c>
      <c r="P99" s="20">
        <f t="shared" si="11"/>
        <v>0.95477981791253397</v>
      </c>
      <c r="Q99" s="20">
        <f>MAX($P$5:P99)</f>
        <v>1.7023632150360453</v>
      </c>
      <c r="R99" s="15">
        <f t="shared" si="10"/>
        <v>-0.43914447311861249</v>
      </c>
      <c r="S99" s="15">
        <f>O99-Benchmark_RF!D99</f>
        <v>-4.3142073025393302E-2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IF(Rankings!C101&lt;=2,1,0)</f>
        <v>0</v>
      </c>
      <c r="D100" s="16">
        <f>IF(Rankings!D101&lt;=2,1,0)</f>
        <v>1</v>
      </c>
      <c r="E100" s="16">
        <f>IF(Rankings!E101&lt;=2,1,0)</f>
        <v>0</v>
      </c>
      <c r="F100" s="16">
        <f>IF(Rankings!F101&lt;=2,1,0)</f>
        <v>0</v>
      </c>
      <c r="G100" s="16">
        <f>IF(Rankings!G101&lt;=2,1,0)</f>
        <v>0</v>
      </c>
      <c r="H100" s="16">
        <f>IF(Rankings!H101&lt;=2,1,0)</f>
        <v>0</v>
      </c>
      <c r="I100" s="16">
        <f>IF(Rankings!I101&lt;=2,1,0)</f>
        <v>0</v>
      </c>
      <c r="J100" s="16">
        <f>IF(Rankings!J101&lt;=2,1,0)</f>
        <v>1</v>
      </c>
      <c r="K100" s="19">
        <f t="shared" si="8"/>
        <v>2</v>
      </c>
      <c r="L100" s="15">
        <f>SUMPRODUCT(C100:J100,Returns!B104:I104)/K100</f>
        <v>0.29946323674135844</v>
      </c>
      <c r="M100" s="15">
        <v>0</v>
      </c>
      <c r="N100" s="15">
        <v>0</v>
      </c>
      <c r="O100" s="15">
        <f t="shared" si="9"/>
        <v>0.29946323674135844</v>
      </c>
      <c r="P100" s="20">
        <f t="shared" si="11"/>
        <v>1.2407012725599462</v>
      </c>
      <c r="Q100" s="20">
        <f>MAX($P$5:P100)</f>
        <v>1.7023632150360453</v>
      </c>
      <c r="R100" s="15">
        <f t="shared" si="10"/>
        <v>-0.27118886169443224</v>
      </c>
      <c r="S100" s="15">
        <f>O100-Benchmark_RF!D100</f>
        <v>0.28213314378756416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IF(Rankings!C107&lt;=2,1,0)</f>
        <v>0</v>
      </c>
      <c r="D101" s="16">
        <f>IF(Rankings!D107&lt;=2,1,0)</f>
        <v>0</v>
      </c>
      <c r="E101" s="16">
        <f>IF(Rankings!E107&lt;=2,1,0)</f>
        <v>0</v>
      </c>
      <c r="F101" s="16">
        <f>IF(Rankings!F107&lt;=2,1,0)</f>
        <v>1</v>
      </c>
      <c r="G101" s="16">
        <f>IF(Rankings!G107&lt;=2,1,0)</f>
        <v>0</v>
      </c>
      <c r="H101" s="16">
        <f>IF(Rankings!H107&lt;=2,1,0)</f>
        <v>1</v>
      </c>
      <c r="I101" s="16">
        <f>IF(Rankings!I107&lt;=2,1,0)</f>
        <v>0</v>
      </c>
      <c r="J101" s="16">
        <f>IF(Rankings!J107&lt;=2,1,0)</f>
        <v>0</v>
      </c>
      <c r="K101" s="19">
        <f t="shared" ref="K101:K132" si="12">SUM(C101:J101)</f>
        <v>2</v>
      </c>
      <c r="L101" s="15">
        <f>SUMPRODUCT(C101:J101,Returns!B105:I105)/K101</f>
        <v>-9.1581651609475401E-2</v>
      </c>
      <c r="M101" s="15">
        <f>-2*Assumptions!$B$13</f>
        <v>-7.0000000000000001E-3</v>
      </c>
      <c r="N101" s="15">
        <f>-Assumptions!$B$16*MAX(0,(1+O95)*(1+O96)*(1+O97)*(1+O98)*(1+O99)*(1+O100)-1)</f>
        <v>-3.650639859177407E-2</v>
      </c>
      <c r="O101" s="15">
        <f t="shared" ref="O101:O132" si="13">L101+M101+N101</f>
        <v>-0.13508805020124948</v>
      </c>
      <c r="P101" s="20">
        <f t="shared" si="11"/>
        <v>1.0730973567676141</v>
      </c>
      <c r="Q101" s="20">
        <f>MAX($P$5:P101)</f>
        <v>1.7023632150360453</v>
      </c>
      <c r="R101" s="15">
        <f t="shared" ref="R101:R132" si="14">P101/Q101-1</f>
        <v>-0.3696425373330845</v>
      </c>
      <c r="S101" s="15">
        <f>O101-Benchmark_RF!D101</f>
        <v>-0.15239924006097394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IF(Rankings!C107&lt;=2,1,0)</f>
        <v>0</v>
      </c>
      <c r="D102" s="16">
        <f>IF(Rankings!D107&lt;=2,1,0)</f>
        <v>0</v>
      </c>
      <c r="E102" s="16">
        <f>IF(Rankings!E107&lt;=2,1,0)</f>
        <v>0</v>
      </c>
      <c r="F102" s="16">
        <f>IF(Rankings!F107&lt;=2,1,0)</f>
        <v>1</v>
      </c>
      <c r="G102" s="16">
        <f>IF(Rankings!G107&lt;=2,1,0)</f>
        <v>0</v>
      </c>
      <c r="H102" s="16">
        <f>IF(Rankings!H107&lt;=2,1,0)</f>
        <v>1</v>
      </c>
      <c r="I102" s="16">
        <f>IF(Rankings!I107&lt;=2,1,0)</f>
        <v>0</v>
      </c>
      <c r="J102" s="16">
        <f>IF(Rankings!J107&lt;=2,1,0)</f>
        <v>0</v>
      </c>
      <c r="K102" s="19">
        <f t="shared" si="12"/>
        <v>2</v>
      </c>
      <c r="L102" s="15">
        <f>SUMPRODUCT(C102:J102,Returns!B106:I106)/K102</f>
        <v>-9.6257282677077449E-3</v>
      </c>
      <c r="M102" s="15">
        <v>0</v>
      </c>
      <c r="N102" s="15">
        <v>0</v>
      </c>
      <c r="O102" s="15">
        <f t="shared" si="13"/>
        <v>-9.6257282677077449E-3</v>
      </c>
      <c r="P102" s="20">
        <f t="shared" ref="P102:P133" si="15">P101*(1+O102)</f>
        <v>1.0627680132065738</v>
      </c>
      <c r="Q102" s="20">
        <f>MAX($P$5:P102)</f>
        <v>1.7023632150360453</v>
      </c>
      <c r="R102" s="15">
        <f t="shared" si="14"/>
        <v>-0.37571018698023795</v>
      </c>
      <c r="S102" s="15">
        <f>O102-Benchmark_RF!D102</f>
        <v>-2.685850493197145E-2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IF(Rankings!C107&lt;=2,1,0)</f>
        <v>0</v>
      </c>
      <c r="D103" s="16">
        <f>IF(Rankings!D107&lt;=2,1,0)</f>
        <v>0</v>
      </c>
      <c r="E103" s="16">
        <f>IF(Rankings!E107&lt;=2,1,0)</f>
        <v>0</v>
      </c>
      <c r="F103" s="16">
        <f>IF(Rankings!F107&lt;=2,1,0)</f>
        <v>1</v>
      </c>
      <c r="G103" s="16">
        <f>IF(Rankings!G107&lt;=2,1,0)</f>
        <v>0</v>
      </c>
      <c r="H103" s="16">
        <f>IF(Rankings!H107&lt;=2,1,0)</f>
        <v>1</v>
      </c>
      <c r="I103" s="16">
        <f>IF(Rankings!I107&lt;=2,1,0)</f>
        <v>0</v>
      </c>
      <c r="J103" s="16">
        <f>IF(Rankings!J107&lt;=2,1,0)</f>
        <v>0</v>
      </c>
      <c r="K103" s="19">
        <f t="shared" si="12"/>
        <v>2</v>
      </c>
      <c r="L103" s="15">
        <f>SUMPRODUCT(C103:J103,Returns!B107:I107)/K103</f>
        <v>0.14536825234938444</v>
      </c>
      <c r="M103" s="15">
        <v>0</v>
      </c>
      <c r="N103" s="15">
        <v>0</v>
      </c>
      <c r="O103" s="15">
        <f t="shared" si="13"/>
        <v>0.14536825234938444</v>
      </c>
      <c r="P103" s="20">
        <f t="shared" si="15"/>
        <v>1.2172607419392409</v>
      </c>
      <c r="Q103" s="20">
        <f>MAX($P$5:P103)</f>
        <v>1.7023632150360453</v>
      </c>
      <c r="R103" s="15">
        <f t="shared" si="14"/>
        <v>-0.28495826790203105</v>
      </c>
      <c r="S103" s="15">
        <f>O103-Benchmark_RF!D103</f>
        <v>0.12856211330852552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IF(Rankings!C107&lt;=2,1,0)</f>
        <v>0</v>
      </c>
      <c r="D104" s="16">
        <f>IF(Rankings!D107&lt;=2,1,0)</f>
        <v>0</v>
      </c>
      <c r="E104" s="16">
        <f>IF(Rankings!E107&lt;=2,1,0)</f>
        <v>0</v>
      </c>
      <c r="F104" s="16">
        <f>IF(Rankings!F107&lt;=2,1,0)</f>
        <v>1</v>
      </c>
      <c r="G104" s="16">
        <f>IF(Rankings!G107&lt;=2,1,0)</f>
        <v>0</v>
      </c>
      <c r="H104" s="16">
        <f>IF(Rankings!H107&lt;=2,1,0)</f>
        <v>1</v>
      </c>
      <c r="I104" s="16">
        <f>IF(Rankings!I107&lt;=2,1,0)</f>
        <v>0</v>
      </c>
      <c r="J104" s="16">
        <f>IF(Rankings!J107&lt;=2,1,0)</f>
        <v>0</v>
      </c>
      <c r="K104" s="19">
        <f t="shared" si="12"/>
        <v>2</v>
      </c>
      <c r="L104" s="15">
        <f>SUMPRODUCT(C104:J104,Returns!B108:I108)/K104</f>
        <v>9.1831354161754253E-2</v>
      </c>
      <c r="M104" s="15">
        <v>0</v>
      </c>
      <c r="N104" s="15">
        <v>0</v>
      </c>
      <c r="O104" s="15">
        <f t="shared" si="13"/>
        <v>9.1831354161754253E-2</v>
      </c>
      <c r="P104" s="20">
        <f t="shared" si="15"/>
        <v>1.329043444239463</v>
      </c>
      <c r="Q104" s="20">
        <f>MAX($P$5:P104)</f>
        <v>1.7023632150360453</v>
      </c>
      <c r="R104" s="15">
        <f t="shared" si="14"/>
        <v>-0.21929501736130841</v>
      </c>
      <c r="S104" s="15">
        <f>O104-Benchmark_RF!D104</f>
        <v>7.558188312249714E-2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IF(Rankings!C107&lt;=2,1,0)</f>
        <v>0</v>
      </c>
      <c r="D105" s="16">
        <f>IF(Rankings!D107&lt;=2,1,0)</f>
        <v>0</v>
      </c>
      <c r="E105" s="16">
        <f>IF(Rankings!E107&lt;=2,1,0)</f>
        <v>0</v>
      </c>
      <c r="F105" s="16">
        <f>IF(Rankings!F107&lt;=2,1,0)</f>
        <v>1</v>
      </c>
      <c r="G105" s="16">
        <f>IF(Rankings!G107&lt;=2,1,0)</f>
        <v>0</v>
      </c>
      <c r="H105" s="16">
        <f>IF(Rankings!H107&lt;=2,1,0)</f>
        <v>1</v>
      </c>
      <c r="I105" s="16">
        <f>IF(Rankings!I107&lt;=2,1,0)</f>
        <v>0</v>
      </c>
      <c r="J105" s="16">
        <f>IF(Rankings!J107&lt;=2,1,0)</f>
        <v>0</v>
      </c>
      <c r="K105" s="19">
        <f t="shared" si="12"/>
        <v>2</v>
      </c>
      <c r="L105" s="15">
        <f>SUMPRODUCT(C105:J105,Returns!B109:I109)/K105</f>
        <v>1.9010702844545646E-2</v>
      </c>
      <c r="M105" s="15">
        <v>0</v>
      </c>
      <c r="N105" s="15">
        <v>0</v>
      </c>
      <c r="O105" s="15">
        <f t="shared" si="13"/>
        <v>1.9010702844545646E-2</v>
      </c>
      <c r="P105" s="20">
        <f t="shared" si="15"/>
        <v>1.3543094942253908</v>
      </c>
      <c r="Q105" s="20">
        <f>MAX($P$5:P105)</f>
        <v>1.7023632150360453</v>
      </c>
      <c r="R105" s="15">
        <f t="shared" si="14"/>
        <v>-0.20445326692710808</v>
      </c>
      <c r="S105" s="15">
        <f>O105-Benchmark_RF!D105</f>
        <v>2.7751915637084235E-3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IF(Rankings!C107&lt;=2,1,0)</f>
        <v>0</v>
      </c>
      <c r="D106" s="16">
        <f>IF(Rankings!D107&lt;=2,1,0)</f>
        <v>0</v>
      </c>
      <c r="E106" s="16">
        <f>IF(Rankings!E107&lt;=2,1,0)</f>
        <v>0</v>
      </c>
      <c r="F106" s="16">
        <f>IF(Rankings!F107&lt;=2,1,0)</f>
        <v>1</v>
      </c>
      <c r="G106" s="16">
        <f>IF(Rankings!G107&lt;=2,1,0)</f>
        <v>0</v>
      </c>
      <c r="H106" s="16">
        <f>IF(Rankings!H107&lt;=2,1,0)</f>
        <v>1</v>
      </c>
      <c r="I106" s="16">
        <f>IF(Rankings!I107&lt;=2,1,0)</f>
        <v>0</v>
      </c>
      <c r="J106" s="16">
        <f>IF(Rankings!J107&lt;=2,1,0)</f>
        <v>0</v>
      </c>
      <c r="K106" s="19">
        <f t="shared" si="12"/>
        <v>2</v>
      </c>
      <c r="L106" s="15">
        <f>SUMPRODUCT(C106:J106,Returns!B110:I110)/K106</f>
        <v>2.0769104456167031E-2</v>
      </c>
      <c r="M106" s="15">
        <v>0</v>
      </c>
      <c r="N106" s="15">
        <v>0</v>
      </c>
      <c r="O106" s="15">
        <f t="shared" si="13"/>
        <v>2.0769104456167031E-2</v>
      </c>
      <c r="P106" s="20">
        <f t="shared" si="15"/>
        <v>1.3824372895769368</v>
      </c>
      <c r="Q106" s="20">
        <f>MAX($P$5:P106)</f>
        <v>1.7023632150360453</v>
      </c>
      <c r="R106" s="15">
        <f t="shared" si="14"/>
        <v>-0.18793047372815475</v>
      </c>
      <c r="S106" s="15">
        <f>O106-Benchmark_RF!D106</f>
        <v>4.7801907670652066E-3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IF(Rankings!C113&lt;=2,1,0)</f>
        <v>0</v>
      </c>
      <c r="D107" s="16">
        <f>IF(Rankings!D113&lt;=2,1,0)</f>
        <v>1</v>
      </c>
      <c r="E107" s="16">
        <f>IF(Rankings!E113&lt;=2,1,0)</f>
        <v>0</v>
      </c>
      <c r="F107" s="16">
        <f>IF(Rankings!F113&lt;=2,1,0)</f>
        <v>0</v>
      </c>
      <c r="G107" s="16">
        <f>IF(Rankings!G113&lt;=2,1,0)</f>
        <v>0</v>
      </c>
      <c r="H107" s="16">
        <f>IF(Rankings!H113&lt;=2,1,0)</f>
        <v>1</v>
      </c>
      <c r="I107" s="16">
        <f>IF(Rankings!I113&lt;=2,1,0)</f>
        <v>0</v>
      </c>
      <c r="J107" s="16">
        <f>IF(Rankings!J113&lt;=2,1,0)</f>
        <v>0</v>
      </c>
      <c r="K107" s="19">
        <f t="shared" si="12"/>
        <v>2</v>
      </c>
      <c r="L107" s="15">
        <f>SUMPRODUCT(C107:J107,Returns!B111:I111)/K107</f>
        <v>0.10702228777450018</v>
      </c>
      <c r="M107" s="15">
        <f>-2*Assumptions!$B$13</f>
        <v>-7.0000000000000001E-3</v>
      </c>
      <c r="N107" s="15">
        <f>-Assumptions!$B$16*MAX(0,(1+O101)*(1+O102)*(1+O103)*(1+O104)*(1+O105)*(1+O106)-1)</f>
        <v>-1.7135794911116543E-2</v>
      </c>
      <c r="O107" s="15">
        <f t="shared" si="13"/>
        <v>8.2886492863383635E-2</v>
      </c>
      <c r="P107" s="20">
        <f t="shared" si="15"/>
        <v>1.497022668113531</v>
      </c>
      <c r="Q107" s="20">
        <f>MAX($P$5:P107)</f>
        <v>1.7023632150360453</v>
      </c>
      <c r="R107" s="15">
        <f t="shared" si="14"/>
        <v>-0.12062087873425209</v>
      </c>
      <c r="S107" s="15">
        <f>O107-Benchmark_RF!D107</f>
        <v>6.6657962252850436E-2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IF(Rankings!C113&lt;=2,1,0)</f>
        <v>0</v>
      </c>
      <c r="D108" s="16">
        <f>IF(Rankings!D113&lt;=2,1,0)</f>
        <v>1</v>
      </c>
      <c r="E108" s="16">
        <f>IF(Rankings!E113&lt;=2,1,0)</f>
        <v>0</v>
      </c>
      <c r="F108" s="16">
        <f>IF(Rankings!F113&lt;=2,1,0)</f>
        <v>0</v>
      </c>
      <c r="G108" s="16">
        <f>IF(Rankings!G113&lt;=2,1,0)</f>
        <v>0</v>
      </c>
      <c r="H108" s="16">
        <f>IF(Rankings!H113&lt;=2,1,0)</f>
        <v>1</v>
      </c>
      <c r="I108" s="16">
        <f>IF(Rankings!I113&lt;=2,1,0)</f>
        <v>0</v>
      </c>
      <c r="J108" s="16">
        <f>IF(Rankings!J113&lt;=2,1,0)</f>
        <v>0</v>
      </c>
      <c r="K108" s="19">
        <f t="shared" si="12"/>
        <v>2</v>
      </c>
      <c r="L108" s="15">
        <f>SUMPRODUCT(C108:J108,Returns!B112:I112)/K108</f>
        <v>0.10167865996649905</v>
      </c>
      <c r="M108" s="15">
        <v>0</v>
      </c>
      <c r="N108" s="15">
        <v>0</v>
      </c>
      <c r="O108" s="15">
        <f t="shared" si="13"/>
        <v>0.10167865996649905</v>
      </c>
      <c r="P108" s="20">
        <f t="shared" si="15"/>
        <v>1.6492379269467878</v>
      </c>
      <c r="Q108" s="20">
        <f>MAX($P$5:P108)</f>
        <v>1.7023632150360453</v>
      </c>
      <c r="R108" s="15">
        <f t="shared" si="14"/>
        <v>-3.1206788081433401E-2</v>
      </c>
      <c r="S108" s="15">
        <f>O108-Benchmark_RF!D108</f>
        <v>8.5366396103972009E-2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IF(Rankings!C113&lt;=2,1,0)</f>
        <v>0</v>
      </c>
      <c r="D109" s="16">
        <f>IF(Rankings!D113&lt;=2,1,0)</f>
        <v>1</v>
      </c>
      <c r="E109" s="16">
        <f>IF(Rankings!E113&lt;=2,1,0)</f>
        <v>0</v>
      </c>
      <c r="F109" s="16">
        <f>IF(Rankings!F113&lt;=2,1,0)</f>
        <v>0</v>
      </c>
      <c r="G109" s="16">
        <f>IF(Rankings!G113&lt;=2,1,0)</f>
        <v>0</v>
      </c>
      <c r="H109" s="16">
        <f>IF(Rankings!H113&lt;=2,1,0)</f>
        <v>1</v>
      </c>
      <c r="I109" s="16">
        <f>IF(Rankings!I113&lt;=2,1,0)</f>
        <v>0</v>
      </c>
      <c r="J109" s="16">
        <f>IF(Rankings!J113&lt;=2,1,0)</f>
        <v>0</v>
      </c>
      <c r="K109" s="19">
        <f t="shared" si="12"/>
        <v>2</v>
      </c>
      <c r="L109" s="15">
        <f>SUMPRODUCT(C109:J109,Returns!B113:I113)/K109</f>
        <v>7.2790906732046523E-2</v>
      </c>
      <c r="M109" s="15">
        <v>0</v>
      </c>
      <c r="N109" s="15">
        <v>0</v>
      </c>
      <c r="O109" s="15">
        <f t="shared" si="13"/>
        <v>7.2790906732046523E-2</v>
      </c>
      <c r="P109" s="20">
        <f t="shared" si="15"/>
        <v>1.7692874510661252</v>
      </c>
      <c r="Q109" s="20">
        <f>MAX($P$5:P109)</f>
        <v>1.7692874510661252</v>
      </c>
      <c r="R109" s="15">
        <f t="shared" si="14"/>
        <v>0</v>
      </c>
      <c r="S109" s="15">
        <f>O109-Benchmark_RF!D109</f>
        <v>5.636711644668374E-2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IF(Rankings!C113&lt;=2,1,0)</f>
        <v>0</v>
      </c>
      <c r="D110" s="16">
        <f>IF(Rankings!D113&lt;=2,1,0)</f>
        <v>1</v>
      </c>
      <c r="E110" s="16">
        <f>IF(Rankings!E113&lt;=2,1,0)</f>
        <v>0</v>
      </c>
      <c r="F110" s="16">
        <f>IF(Rankings!F113&lt;=2,1,0)</f>
        <v>0</v>
      </c>
      <c r="G110" s="16">
        <f>IF(Rankings!G113&lt;=2,1,0)</f>
        <v>0</v>
      </c>
      <c r="H110" s="16">
        <f>IF(Rankings!H113&lt;=2,1,0)</f>
        <v>1</v>
      </c>
      <c r="I110" s="16">
        <f>IF(Rankings!I113&lt;=2,1,0)</f>
        <v>0</v>
      </c>
      <c r="J110" s="16">
        <f>IF(Rankings!J113&lt;=2,1,0)</f>
        <v>0</v>
      </c>
      <c r="K110" s="19">
        <f t="shared" si="12"/>
        <v>2</v>
      </c>
      <c r="L110" s="15">
        <f>SUMPRODUCT(C110:J110,Returns!B114:I114)/K110</f>
        <v>6.572790697038039E-2</v>
      </c>
      <c r="M110" s="15">
        <v>0</v>
      </c>
      <c r="N110" s="15">
        <v>0</v>
      </c>
      <c r="O110" s="15">
        <f t="shared" si="13"/>
        <v>6.572790697038039E-2</v>
      </c>
      <c r="P110" s="20">
        <f t="shared" si="15"/>
        <v>1.8855790120536611</v>
      </c>
      <c r="Q110" s="20">
        <f>MAX($P$5:P110)</f>
        <v>1.8855790120536611</v>
      </c>
      <c r="R110" s="15">
        <f t="shared" si="14"/>
        <v>0</v>
      </c>
      <c r="S110" s="15">
        <f>O110-Benchmark_RF!D110</f>
        <v>4.9758032703304644E-2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IF(Rankings!C113&lt;=2,1,0)</f>
        <v>0</v>
      </c>
      <c r="D111" s="16">
        <f>IF(Rankings!D113&lt;=2,1,0)</f>
        <v>1</v>
      </c>
      <c r="E111" s="16">
        <f>IF(Rankings!E113&lt;=2,1,0)</f>
        <v>0</v>
      </c>
      <c r="F111" s="16">
        <f>IF(Rankings!F113&lt;=2,1,0)</f>
        <v>0</v>
      </c>
      <c r="G111" s="16">
        <f>IF(Rankings!G113&lt;=2,1,0)</f>
        <v>0</v>
      </c>
      <c r="H111" s="16">
        <f>IF(Rankings!H113&lt;=2,1,0)</f>
        <v>1</v>
      </c>
      <c r="I111" s="16">
        <f>IF(Rankings!I113&lt;=2,1,0)</f>
        <v>0</v>
      </c>
      <c r="J111" s="16">
        <f>IF(Rankings!J113&lt;=2,1,0)</f>
        <v>0</v>
      </c>
      <c r="K111" s="19">
        <f t="shared" si="12"/>
        <v>2</v>
      </c>
      <c r="L111" s="15">
        <f>SUMPRODUCT(C111:J111,Returns!B115:I115)/K111</f>
        <v>5.9061523871837773E-2</v>
      </c>
      <c r="M111" s="15">
        <v>0</v>
      </c>
      <c r="N111" s="15">
        <v>0</v>
      </c>
      <c r="O111" s="15">
        <f t="shared" si="13"/>
        <v>5.9061523871837773E-2</v>
      </c>
      <c r="P111" s="20">
        <f t="shared" si="15"/>
        <v>1.9969441818863045</v>
      </c>
      <c r="Q111" s="20">
        <f>MAX($P$5:P111)</f>
        <v>1.9969441818863045</v>
      </c>
      <c r="R111" s="15">
        <f t="shared" si="14"/>
        <v>0</v>
      </c>
      <c r="S111" s="15">
        <f>O111-Benchmark_RF!D111</f>
        <v>4.3741830335958742E-2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IF(Rankings!C113&lt;=2,1,0)</f>
        <v>0</v>
      </c>
      <c r="D112" s="16">
        <f>IF(Rankings!D113&lt;=2,1,0)</f>
        <v>1</v>
      </c>
      <c r="E112" s="16">
        <f>IF(Rankings!E113&lt;=2,1,0)</f>
        <v>0</v>
      </c>
      <c r="F112" s="16">
        <f>IF(Rankings!F113&lt;=2,1,0)</f>
        <v>0</v>
      </c>
      <c r="G112" s="16">
        <f>IF(Rankings!G113&lt;=2,1,0)</f>
        <v>0</v>
      </c>
      <c r="H112" s="16">
        <f>IF(Rankings!H113&lt;=2,1,0)</f>
        <v>1</v>
      </c>
      <c r="I112" s="16">
        <f>IF(Rankings!I113&lt;=2,1,0)</f>
        <v>0</v>
      </c>
      <c r="J112" s="16">
        <f>IF(Rankings!J113&lt;=2,1,0)</f>
        <v>0</v>
      </c>
      <c r="K112" s="19">
        <f t="shared" si="12"/>
        <v>2</v>
      </c>
      <c r="L112" s="15">
        <f>SUMPRODUCT(C112:J112,Returns!B116:I116)/K112</f>
        <v>5.3417399909754693E-2</v>
      </c>
      <c r="M112" s="15">
        <v>0</v>
      </c>
      <c r="N112" s="15">
        <v>0</v>
      </c>
      <c r="O112" s="15">
        <f t="shared" si="13"/>
        <v>5.3417399909754693E-2</v>
      </c>
      <c r="P112" s="20">
        <f t="shared" si="15"/>
        <v>2.103615747847583</v>
      </c>
      <c r="Q112" s="20">
        <f>MAX($P$5:P112)</f>
        <v>2.103615747847583</v>
      </c>
      <c r="R112" s="15">
        <f t="shared" si="14"/>
        <v>0</v>
      </c>
      <c r="S112" s="15">
        <f>O112-Benchmark_RF!D112</f>
        <v>3.8468220537612341E-2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IF(Rankings!C119&lt;=2,1,0)</f>
        <v>0</v>
      </c>
      <c r="D113" s="16">
        <f>IF(Rankings!D119&lt;=2,1,0)</f>
        <v>0</v>
      </c>
      <c r="E113" s="16">
        <f>IF(Rankings!E119&lt;=2,1,0)</f>
        <v>0</v>
      </c>
      <c r="F113" s="16">
        <f>IF(Rankings!F119&lt;=2,1,0)</f>
        <v>0</v>
      </c>
      <c r="G113" s="16">
        <f>IF(Rankings!G119&lt;=2,1,0)</f>
        <v>1</v>
      </c>
      <c r="H113" s="16">
        <f>IF(Rankings!H119&lt;=2,1,0)</f>
        <v>1</v>
      </c>
      <c r="I113" s="16">
        <f>IF(Rankings!I119&lt;=2,1,0)</f>
        <v>0</v>
      </c>
      <c r="J113" s="16">
        <f>IF(Rankings!J119&lt;=2,1,0)</f>
        <v>0</v>
      </c>
      <c r="K113" s="19">
        <f t="shared" si="12"/>
        <v>2</v>
      </c>
      <c r="L113" s="15">
        <f>SUMPRODUCT(C113:J113,Returns!B117:I117)/K113</f>
        <v>-2.4226415691236958E-2</v>
      </c>
      <c r="M113" s="15">
        <f>-2*Assumptions!$B$13</f>
        <v>-7.0000000000000001E-3</v>
      </c>
      <c r="N113" s="15">
        <f>-Assumptions!$B$16*MAX(0,(1+O107)*(1+O108)*(1+O109)*(1+O110)*(1+O111)*(1+O112)-1)</f>
        <v>-7.8250760129381314E-2</v>
      </c>
      <c r="O113" s="15">
        <f t="shared" si="13"/>
        <v>-0.10947717582061828</v>
      </c>
      <c r="P113" s="20">
        <f t="shared" si="15"/>
        <v>1.8733178367614516</v>
      </c>
      <c r="Q113" s="20">
        <f>MAX($P$5:P113)</f>
        <v>2.103615747847583</v>
      </c>
      <c r="R113" s="15">
        <f t="shared" si="14"/>
        <v>-0.10947717582061833</v>
      </c>
      <c r="S113" s="15">
        <f>O113-Benchmark_RF!D113</f>
        <v>-0.12298533055286071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IF(Rankings!C119&lt;=2,1,0)</f>
        <v>0</v>
      </c>
      <c r="D114" s="16">
        <f>IF(Rankings!D119&lt;=2,1,0)</f>
        <v>0</v>
      </c>
      <c r="E114" s="16">
        <f>IF(Rankings!E119&lt;=2,1,0)</f>
        <v>0</v>
      </c>
      <c r="F114" s="16">
        <f>IF(Rankings!F119&lt;=2,1,0)</f>
        <v>0</v>
      </c>
      <c r="G114" s="16">
        <f>IF(Rankings!G119&lt;=2,1,0)</f>
        <v>1</v>
      </c>
      <c r="H114" s="16">
        <f>IF(Rankings!H119&lt;=2,1,0)</f>
        <v>1</v>
      </c>
      <c r="I114" s="16">
        <f>IF(Rankings!I119&lt;=2,1,0)</f>
        <v>0</v>
      </c>
      <c r="J114" s="16">
        <f>IF(Rankings!J119&lt;=2,1,0)</f>
        <v>0</v>
      </c>
      <c r="K114" s="19">
        <f t="shared" si="12"/>
        <v>2</v>
      </c>
      <c r="L114" s="15">
        <f>SUMPRODUCT(C114:J114,Returns!B118:I118)/K114</f>
        <v>0.14645007213634265</v>
      </c>
      <c r="M114" s="15">
        <v>0</v>
      </c>
      <c r="N114" s="15">
        <v>0</v>
      </c>
      <c r="O114" s="15">
        <f t="shared" si="13"/>
        <v>0.14645007213634265</v>
      </c>
      <c r="P114" s="20">
        <f t="shared" si="15"/>
        <v>2.1476653690894634</v>
      </c>
      <c r="Q114" s="20">
        <f>MAX($P$5:P114)</f>
        <v>2.1476653690894634</v>
      </c>
      <c r="R114" s="15">
        <f t="shared" si="14"/>
        <v>0</v>
      </c>
      <c r="S114" s="15">
        <f>O114-Benchmark_RF!D114</f>
        <v>0.13298506652714437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IF(Rankings!C119&lt;=2,1,0)</f>
        <v>0</v>
      </c>
      <c r="D115" s="16">
        <f>IF(Rankings!D119&lt;=2,1,0)</f>
        <v>0</v>
      </c>
      <c r="E115" s="16">
        <f>IF(Rankings!E119&lt;=2,1,0)</f>
        <v>0</v>
      </c>
      <c r="F115" s="16">
        <f>IF(Rankings!F119&lt;=2,1,0)</f>
        <v>0</v>
      </c>
      <c r="G115" s="16">
        <f>IF(Rankings!G119&lt;=2,1,0)</f>
        <v>1</v>
      </c>
      <c r="H115" s="16">
        <f>IF(Rankings!H119&lt;=2,1,0)</f>
        <v>1</v>
      </c>
      <c r="I115" s="16">
        <f>IF(Rankings!I119&lt;=2,1,0)</f>
        <v>0</v>
      </c>
      <c r="J115" s="16">
        <f>IF(Rankings!J119&lt;=2,1,0)</f>
        <v>0</v>
      </c>
      <c r="K115" s="19">
        <f t="shared" si="12"/>
        <v>2</v>
      </c>
      <c r="L115" s="15">
        <f>SUMPRODUCT(C115:J115,Returns!B119:I119)/K115</f>
        <v>0.13204907110838526</v>
      </c>
      <c r="M115" s="15">
        <v>0</v>
      </c>
      <c r="N115" s="15">
        <v>0</v>
      </c>
      <c r="O115" s="15">
        <f t="shared" si="13"/>
        <v>0.13204907110838526</v>
      </c>
      <c r="P115" s="20">
        <f t="shared" si="15"/>
        <v>2.4312625861293742</v>
      </c>
      <c r="Q115" s="20">
        <f>MAX($P$5:P115)</f>
        <v>2.4312625861293742</v>
      </c>
      <c r="R115" s="15">
        <f t="shared" si="14"/>
        <v>0</v>
      </c>
      <c r="S115" s="15">
        <f>O115-Benchmark_RF!D115</f>
        <v>0.1211663419599045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IF(Rankings!C119&lt;=2,1,0)</f>
        <v>0</v>
      </c>
      <c r="D116" s="16">
        <f>IF(Rankings!D119&lt;=2,1,0)</f>
        <v>0</v>
      </c>
      <c r="E116" s="16">
        <f>IF(Rankings!E119&lt;=2,1,0)</f>
        <v>0</v>
      </c>
      <c r="F116" s="16">
        <f>IF(Rankings!F119&lt;=2,1,0)</f>
        <v>0</v>
      </c>
      <c r="G116" s="16">
        <f>IF(Rankings!G119&lt;=2,1,0)</f>
        <v>1</v>
      </c>
      <c r="H116" s="16">
        <f>IF(Rankings!H119&lt;=2,1,0)</f>
        <v>1</v>
      </c>
      <c r="I116" s="16">
        <f>IF(Rankings!I119&lt;=2,1,0)</f>
        <v>0</v>
      </c>
      <c r="J116" s="16">
        <f>IF(Rankings!J119&lt;=2,1,0)</f>
        <v>0</v>
      </c>
      <c r="K116" s="19">
        <f t="shared" si="12"/>
        <v>2</v>
      </c>
      <c r="L116" s="15">
        <f>SUMPRODUCT(C116:J116,Returns!B120:I120)/K116</f>
        <v>0.15444472567200407</v>
      </c>
      <c r="M116" s="15">
        <v>0</v>
      </c>
      <c r="N116" s="15">
        <v>0</v>
      </c>
      <c r="O116" s="15">
        <f t="shared" si="13"/>
        <v>0.15444472567200407</v>
      </c>
      <c r="P116" s="20">
        <f t="shared" si="15"/>
        <v>2.8067582692807327</v>
      </c>
      <c r="Q116" s="20">
        <f>MAX($P$5:P116)</f>
        <v>2.8067582692807327</v>
      </c>
      <c r="R116" s="15">
        <f t="shared" si="14"/>
        <v>0</v>
      </c>
      <c r="S116" s="15">
        <f>O116-Benchmark_RF!D116</f>
        <v>0.14356199652352331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IF(Rankings!C119&lt;=2,1,0)</f>
        <v>0</v>
      </c>
      <c r="D117" s="16">
        <f>IF(Rankings!D119&lt;=2,1,0)</f>
        <v>0</v>
      </c>
      <c r="E117" s="16">
        <f>IF(Rankings!E119&lt;=2,1,0)</f>
        <v>0</v>
      </c>
      <c r="F117" s="16">
        <f>IF(Rankings!F119&lt;=2,1,0)</f>
        <v>0</v>
      </c>
      <c r="G117" s="16">
        <f>IF(Rankings!G119&lt;=2,1,0)</f>
        <v>1</v>
      </c>
      <c r="H117" s="16">
        <f>IF(Rankings!H119&lt;=2,1,0)</f>
        <v>1</v>
      </c>
      <c r="I117" s="16">
        <f>IF(Rankings!I119&lt;=2,1,0)</f>
        <v>0</v>
      </c>
      <c r="J117" s="16">
        <f>IF(Rankings!J119&lt;=2,1,0)</f>
        <v>0</v>
      </c>
      <c r="K117" s="19">
        <f t="shared" si="12"/>
        <v>2</v>
      </c>
      <c r="L117" s="15">
        <f>SUMPRODUCT(C117:J117,Returns!B121:I121)/K117</f>
        <v>0.10345402449972163</v>
      </c>
      <c r="M117" s="15">
        <v>0</v>
      </c>
      <c r="N117" s="15">
        <v>0</v>
      </c>
      <c r="O117" s="15">
        <f t="shared" si="13"/>
        <v>0.10345402449972163</v>
      </c>
      <c r="P117" s="20">
        <f t="shared" si="15"/>
        <v>3.0971287080356977</v>
      </c>
      <c r="Q117" s="20">
        <f>MAX($P$5:P117)</f>
        <v>3.0971287080356977</v>
      </c>
      <c r="R117" s="15">
        <f t="shared" si="14"/>
        <v>0</v>
      </c>
      <c r="S117" s="15">
        <f>O117-Benchmark_RF!D117</f>
        <v>9.4077966943213576E-2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81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IF(Rankings!C11&lt;=2,1,0)</f>
        <v>0</v>
      </c>
      <c r="D5" s="16">
        <f>IF(Rankings!D11&lt;=2,1,0)</f>
        <v>0</v>
      </c>
      <c r="E5" s="16">
        <f>IF(Rankings!E11&lt;=2,1,0)</f>
        <v>0</v>
      </c>
      <c r="F5" s="16">
        <f>IF(Rankings!F11&lt;=2,1,0)</f>
        <v>0</v>
      </c>
      <c r="G5" s="16">
        <f>IF(Rankings!G11&lt;=2,1,0)</f>
        <v>1</v>
      </c>
      <c r="H5" s="16">
        <f>IF(Rankings!H11&lt;=2,1,0)</f>
        <v>1</v>
      </c>
      <c r="I5" s="16">
        <f>IF(Rankings!I11&lt;=2,1,0)</f>
        <v>0</v>
      </c>
      <c r="J5" s="16">
        <f>IF(Rankings!J11&lt;=2,1,0)</f>
        <v>0</v>
      </c>
      <c r="K5" s="19">
        <f t="shared" ref="K5:K36" si="0">SUM(C5:J5)</f>
        <v>2</v>
      </c>
      <c r="L5" s="15">
        <f>SUMPRODUCT(C5:J5,Returns!B9:I9)/K5</f>
        <v>-5.6681129342425696E-2</v>
      </c>
      <c r="M5" s="15">
        <f>-2*Assumptions!$B$13</f>
        <v>-7.0000000000000001E-3</v>
      </c>
      <c r="N5" s="15">
        <v>0</v>
      </c>
      <c r="O5" s="15">
        <f t="shared" ref="O5:O36" si="1">L5+M5+N5</f>
        <v>-6.3681129342425702E-2</v>
      </c>
      <c r="P5" s="20">
        <f>1*(1+O5)</f>
        <v>0.93631887065757424</v>
      </c>
      <c r="Q5" s="20">
        <f>MAX($P$5:P5)</f>
        <v>0.93631887065757424</v>
      </c>
      <c r="R5" s="15">
        <f t="shared" ref="R5:R36" si="2">P5/Q5-1</f>
        <v>0</v>
      </c>
      <c r="S5" s="15">
        <f>O5-Benchmark_RF!D5</f>
        <v>-6.9281059851751869E-2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IF(Rankings!C11&lt;=2,1,0)</f>
        <v>0</v>
      </c>
      <c r="D6" s="16">
        <f>IF(Rankings!D11&lt;=2,1,0)</f>
        <v>0</v>
      </c>
      <c r="E6" s="16">
        <f>IF(Rankings!E11&lt;=2,1,0)</f>
        <v>0</v>
      </c>
      <c r="F6" s="16">
        <f>IF(Rankings!F11&lt;=2,1,0)</f>
        <v>0</v>
      </c>
      <c r="G6" s="16">
        <f>IF(Rankings!G11&lt;=2,1,0)</f>
        <v>1</v>
      </c>
      <c r="H6" s="16">
        <f>IF(Rankings!H11&lt;=2,1,0)</f>
        <v>1</v>
      </c>
      <c r="I6" s="16">
        <f>IF(Rankings!I11&lt;=2,1,0)</f>
        <v>0</v>
      </c>
      <c r="J6" s="16">
        <f>IF(Rankings!J11&lt;=2,1,0)</f>
        <v>0</v>
      </c>
      <c r="K6" s="19">
        <f t="shared" si="0"/>
        <v>2</v>
      </c>
      <c r="L6" s="15">
        <f>SUMPRODUCT(C6:J6,Returns!B10:I10)/K6</f>
        <v>-5.0873779427611898E-2</v>
      </c>
      <c r="M6" s="15">
        <v>0</v>
      </c>
      <c r="N6" s="15">
        <v>0</v>
      </c>
      <c r="O6" s="15">
        <f t="shared" si="1"/>
        <v>-5.0873779427611898E-2</v>
      </c>
      <c r="P6" s="20">
        <f t="shared" ref="P6:P37" si="3">P5*(1+O6)</f>
        <v>0.88868479095783004</v>
      </c>
      <c r="Q6" s="20">
        <f>MAX($P$5:P6)</f>
        <v>0.93631887065757424</v>
      </c>
      <c r="R6" s="15">
        <f t="shared" si="2"/>
        <v>-5.0873779427611954E-2</v>
      </c>
      <c r="S6" s="15">
        <f>O6-Benchmark_RF!D6</f>
        <v>-5.6108961784770928E-2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IF(Rankings!C11&lt;=2,1,0)</f>
        <v>0</v>
      </c>
      <c r="D7" s="16">
        <f>IF(Rankings!D11&lt;=2,1,0)</f>
        <v>0</v>
      </c>
      <c r="E7" s="16">
        <f>IF(Rankings!E11&lt;=2,1,0)</f>
        <v>0</v>
      </c>
      <c r="F7" s="16">
        <f>IF(Rankings!F11&lt;=2,1,0)</f>
        <v>0</v>
      </c>
      <c r="G7" s="16">
        <f>IF(Rankings!G11&lt;=2,1,0)</f>
        <v>1</v>
      </c>
      <c r="H7" s="16">
        <f>IF(Rankings!H11&lt;=2,1,0)</f>
        <v>1</v>
      </c>
      <c r="I7" s="16">
        <f>IF(Rankings!I11&lt;=2,1,0)</f>
        <v>0</v>
      </c>
      <c r="J7" s="16">
        <f>IF(Rankings!J11&lt;=2,1,0)</f>
        <v>0</v>
      </c>
      <c r="K7" s="19">
        <f t="shared" si="0"/>
        <v>2</v>
      </c>
      <c r="L7" s="15">
        <f>SUMPRODUCT(C7:J7,Returns!B11:I11)/K7</f>
        <v>1.9764869938321272E-2</v>
      </c>
      <c r="M7" s="15">
        <v>0</v>
      </c>
      <c r="N7" s="15">
        <v>0</v>
      </c>
      <c r="O7" s="15">
        <f t="shared" si="1"/>
        <v>1.9764869938321272E-2</v>
      </c>
      <c r="P7" s="20">
        <f t="shared" si="3"/>
        <v>0.90624953026727573</v>
      </c>
      <c r="Q7" s="20">
        <f>MAX($P$5:P7)</f>
        <v>0.93631887065757424</v>
      </c>
      <c r="R7" s="15">
        <f t="shared" si="2"/>
        <v>-3.2114423122948432E-2</v>
      </c>
      <c r="S7" s="15">
        <f>O7-Benchmark_RF!D7</f>
        <v>1.4657635033161975E-2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IF(Rankings!C14&lt;=2,1,0)</f>
        <v>1</v>
      </c>
      <c r="D8" s="16">
        <f>IF(Rankings!D14&lt;=2,1,0)</f>
        <v>0</v>
      </c>
      <c r="E8" s="16">
        <f>IF(Rankings!E14&lt;=2,1,0)</f>
        <v>0</v>
      </c>
      <c r="F8" s="16">
        <f>IF(Rankings!F14&lt;=2,1,0)</f>
        <v>1</v>
      </c>
      <c r="G8" s="16">
        <f>IF(Rankings!G14&lt;=2,1,0)</f>
        <v>0</v>
      </c>
      <c r="H8" s="16">
        <f>IF(Rankings!H14&lt;=2,1,0)</f>
        <v>0</v>
      </c>
      <c r="I8" s="16">
        <f>IF(Rankings!I14&lt;=2,1,0)</f>
        <v>0</v>
      </c>
      <c r="J8" s="16">
        <f>IF(Rankings!J14&lt;=2,1,0)</f>
        <v>0</v>
      </c>
      <c r="K8" s="19">
        <f t="shared" si="0"/>
        <v>2</v>
      </c>
      <c r="L8" s="15">
        <f>SUMPRODUCT(C8:J8,Returns!B12:I12)/K8</f>
        <v>-0.14351227447500736</v>
      </c>
      <c r="M8" s="15">
        <f>-2*Assumptions!$B$13</f>
        <v>-7.0000000000000001E-3</v>
      </c>
      <c r="N8" s="15">
        <f>-Assumptions!$B$16*MAX(0,(1+O5)*(1+O6)*(1+O7)-1)</f>
        <v>0</v>
      </c>
      <c r="O8" s="15">
        <f t="shared" si="1"/>
        <v>-0.15051227447500737</v>
      </c>
      <c r="P8" s="20">
        <f t="shared" si="3"/>
        <v>0.76984785222484098</v>
      </c>
      <c r="Q8" s="20">
        <f>MAX($P$5:P8)</f>
        <v>0.93631887065757424</v>
      </c>
      <c r="R8" s="15">
        <f t="shared" si="2"/>
        <v>-0.17779308273026806</v>
      </c>
      <c r="S8" s="15">
        <f>O8-Benchmark_RF!D8</f>
        <v>-0.15567094610443255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IF(Rankings!C14&lt;=2,1,0)</f>
        <v>1</v>
      </c>
      <c r="D9" s="16">
        <f>IF(Rankings!D14&lt;=2,1,0)</f>
        <v>0</v>
      </c>
      <c r="E9" s="16">
        <f>IF(Rankings!E14&lt;=2,1,0)</f>
        <v>0</v>
      </c>
      <c r="F9" s="16">
        <f>IF(Rankings!F14&lt;=2,1,0)</f>
        <v>1</v>
      </c>
      <c r="G9" s="16">
        <f>IF(Rankings!G14&lt;=2,1,0)</f>
        <v>0</v>
      </c>
      <c r="H9" s="16">
        <f>IF(Rankings!H14&lt;=2,1,0)</f>
        <v>0</v>
      </c>
      <c r="I9" s="16">
        <f>IF(Rankings!I14&lt;=2,1,0)</f>
        <v>0</v>
      </c>
      <c r="J9" s="16">
        <f>IF(Rankings!J14&lt;=2,1,0)</f>
        <v>0</v>
      </c>
      <c r="K9" s="19">
        <f t="shared" si="0"/>
        <v>2</v>
      </c>
      <c r="L9" s="15">
        <f>SUMPRODUCT(C9:J9,Returns!B13:I13)/K9</f>
        <v>1.6912351248657809E-2</v>
      </c>
      <c r="M9" s="15">
        <v>0</v>
      </c>
      <c r="N9" s="15">
        <v>0</v>
      </c>
      <c r="O9" s="15">
        <f t="shared" si="1"/>
        <v>1.6912351248657809E-2</v>
      </c>
      <c r="P9" s="20">
        <f t="shared" si="3"/>
        <v>0.78286778950969227</v>
      </c>
      <c r="Q9" s="20">
        <f>MAX($P$5:P9)</f>
        <v>0.93631887065757424</v>
      </c>
      <c r="R9" s="15">
        <f t="shared" si="2"/>
        <v>-0.16388763054632627</v>
      </c>
      <c r="S9" s="15">
        <f>O9-Benchmark_RF!D9</f>
        <v>1.177864605138762E-2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IF(Rankings!C14&lt;=2,1,0)</f>
        <v>1</v>
      </c>
      <c r="D10" s="16">
        <f>IF(Rankings!D14&lt;=2,1,0)</f>
        <v>0</v>
      </c>
      <c r="E10" s="16">
        <f>IF(Rankings!E14&lt;=2,1,0)</f>
        <v>0</v>
      </c>
      <c r="F10" s="16">
        <f>IF(Rankings!F14&lt;=2,1,0)</f>
        <v>1</v>
      </c>
      <c r="G10" s="16">
        <f>IF(Rankings!G14&lt;=2,1,0)</f>
        <v>0</v>
      </c>
      <c r="H10" s="16">
        <f>IF(Rankings!H14&lt;=2,1,0)</f>
        <v>0</v>
      </c>
      <c r="I10" s="16">
        <f>IF(Rankings!I14&lt;=2,1,0)</f>
        <v>0</v>
      </c>
      <c r="J10" s="16">
        <f>IF(Rankings!J14&lt;=2,1,0)</f>
        <v>0</v>
      </c>
      <c r="K10" s="19">
        <f t="shared" si="0"/>
        <v>2</v>
      </c>
      <c r="L10" s="15">
        <f>SUMPRODUCT(C10:J10,Returns!B14:I14)/K10</f>
        <v>-9.2617267739556364E-2</v>
      </c>
      <c r="M10" s="15">
        <v>0</v>
      </c>
      <c r="N10" s="15">
        <v>0</v>
      </c>
      <c r="O10" s="15">
        <f t="shared" si="1"/>
        <v>-9.2617267739556364E-2</v>
      </c>
      <c r="P10" s="20">
        <f t="shared" si="3"/>
        <v>0.71036071384399846</v>
      </c>
      <c r="Q10" s="20">
        <f>MAX($P$5:P10)</f>
        <v>0.93631887065757424</v>
      </c>
      <c r="R10" s="15">
        <f t="shared" si="2"/>
        <v>-0.241326073728372</v>
      </c>
      <c r="S10" s="15">
        <f>O10-Benchmark_RF!D10</f>
        <v>-9.76124704956981E-2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IF(Rankings!C17&lt;=2,1,0)</f>
        <v>1</v>
      </c>
      <c r="D11" s="16">
        <f>IF(Rankings!D17&lt;=2,1,0)</f>
        <v>0</v>
      </c>
      <c r="E11" s="16">
        <f>IF(Rankings!E17&lt;=2,1,0)</f>
        <v>0</v>
      </c>
      <c r="F11" s="16">
        <f>IF(Rankings!F17&lt;=2,1,0)</f>
        <v>0</v>
      </c>
      <c r="G11" s="16">
        <f>IF(Rankings!G17&lt;=2,1,0)</f>
        <v>0</v>
      </c>
      <c r="H11" s="16">
        <f>IF(Rankings!H17&lt;=2,1,0)</f>
        <v>0</v>
      </c>
      <c r="I11" s="16">
        <f>IF(Rankings!I17&lt;=2,1,0)</f>
        <v>1</v>
      </c>
      <c r="J11" s="16">
        <f>IF(Rankings!J17&lt;=2,1,0)</f>
        <v>0</v>
      </c>
      <c r="K11" s="19">
        <f t="shared" si="0"/>
        <v>2</v>
      </c>
      <c r="L11" s="15">
        <f>SUMPRODUCT(C11:J11,Returns!B15:I15)/K11</f>
        <v>-2.5393422610239691E-2</v>
      </c>
      <c r="M11" s="15">
        <f>-2*Assumptions!$B$13</f>
        <v>-7.0000000000000001E-3</v>
      </c>
      <c r="N11" s="15">
        <f>-Assumptions!$B$16*MAX(0,(1+O8)*(1+O9)*(1+O10)-1)</f>
        <v>0</v>
      </c>
      <c r="O11" s="15">
        <f t="shared" si="1"/>
        <v>-3.239342261023969E-2</v>
      </c>
      <c r="P11" s="20">
        <f t="shared" si="3"/>
        <v>0.6873496990347383</v>
      </c>
      <c r="Q11" s="20">
        <f>MAX($P$5:P11)</f>
        <v>0.93631887065757424</v>
      </c>
      <c r="R11" s="15">
        <f t="shared" si="2"/>
        <v>-0.26590211884545867</v>
      </c>
      <c r="S11" s="15">
        <f>O11-Benchmark_RF!D11</f>
        <v>-3.7429953703922762E-2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IF(Rankings!C17&lt;=2,1,0)</f>
        <v>1</v>
      </c>
      <c r="D12" s="16">
        <f>IF(Rankings!D17&lt;=2,1,0)</f>
        <v>0</v>
      </c>
      <c r="E12" s="16">
        <f>IF(Rankings!E17&lt;=2,1,0)</f>
        <v>0</v>
      </c>
      <c r="F12" s="16">
        <f>IF(Rankings!F17&lt;=2,1,0)</f>
        <v>0</v>
      </c>
      <c r="G12" s="16">
        <f>IF(Rankings!G17&lt;=2,1,0)</f>
        <v>0</v>
      </c>
      <c r="H12" s="16">
        <f>IF(Rankings!H17&lt;=2,1,0)</f>
        <v>0</v>
      </c>
      <c r="I12" s="16">
        <f>IF(Rankings!I17&lt;=2,1,0)</f>
        <v>1</v>
      </c>
      <c r="J12" s="16">
        <f>IF(Rankings!J17&lt;=2,1,0)</f>
        <v>0</v>
      </c>
      <c r="K12" s="19">
        <f t="shared" si="0"/>
        <v>2</v>
      </c>
      <c r="L12" s="15">
        <f>SUMPRODUCT(C12:J12,Returns!B16:I16)/K12</f>
        <v>7.4093776300402925E-2</v>
      </c>
      <c r="M12" s="15">
        <v>0</v>
      </c>
      <c r="N12" s="15">
        <v>0</v>
      </c>
      <c r="O12" s="15">
        <f t="shared" si="1"/>
        <v>7.4093776300402925E-2</v>
      </c>
      <c r="P12" s="20">
        <f t="shared" si="3"/>
        <v>0.73827803387516755</v>
      </c>
      <c r="Q12" s="20">
        <f>MAX($P$5:P12)</f>
        <v>0.93631887065757424</v>
      </c>
      <c r="R12" s="15">
        <f t="shared" si="2"/>
        <v>-0.21151003465659424</v>
      </c>
      <c r="S12" s="15">
        <f>O12-Benchmark_RF!D12</f>
        <v>6.9092262665081061E-2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IF(Rankings!C17&lt;=2,1,0)</f>
        <v>1</v>
      </c>
      <c r="D13" s="16">
        <f>IF(Rankings!D17&lt;=2,1,0)</f>
        <v>0</v>
      </c>
      <c r="E13" s="16">
        <f>IF(Rankings!E17&lt;=2,1,0)</f>
        <v>0</v>
      </c>
      <c r="F13" s="16">
        <f>IF(Rankings!F17&lt;=2,1,0)</f>
        <v>0</v>
      </c>
      <c r="G13" s="16">
        <f>IF(Rankings!G17&lt;=2,1,0)</f>
        <v>0</v>
      </c>
      <c r="H13" s="16">
        <f>IF(Rankings!H17&lt;=2,1,0)</f>
        <v>0</v>
      </c>
      <c r="I13" s="16">
        <f>IF(Rankings!I17&lt;=2,1,0)</f>
        <v>1</v>
      </c>
      <c r="J13" s="16">
        <f>IF(Rankings!J17&lt;=2,1,0)</f>
        <v>0</v>
      </c>
      <c r="K13" s="19">
        <f t="shared" si="0"/>
        <v>2</v>
      </c>
      <c r="L13" s="15">
        <f>SUMPRODUCT(C13:J13,Returns!B17:I17)/K13</f>
        <v>0.12657555697301637</v>
      </c>
      <c r="M13" s="15">
        <v>0</v>
      </c>
      <c r="N13" s="15">
        <v>0</v>
      </c>
      <c r="O13" s="15">
        <f t="shared" si="1"/>
        <v>0.12657555697301637</v>
      </c>
      <c r="P13" s="20">
        <f t="shared" si="3"/>
        <v>0.83172598721386037</v>
      </c>
      <c r="Q13" s="20">
        <f>MAX($P$5:P13)</f>
        <v>0.93631887065757424</v>
      </c>
      <c r="R13" s="15">
        <f t="shared" si="2"/>
        <v>-0.11170647812561818</v>
      </c>
      <c r="S13" s="15">
        <f>O13-Benchmark_RF!D13</f>
        <v>0.1215740433376945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IF(Rankings!C20&lt;=2,1,0)</f>
        <v>0</v>
      </c>
      <c r="D14" s="16">
        <f>IF(Rankings!D20&lt;=2,1,0)</f>
        <v>0</v>
      </c>
      <c r="E14" s="16">
        <f>IF(Rankings!E20&lt;=2,1,0)</f>
        <v>0</v>
      </c>
      <c r="F14" s="16">
        <f>IF(Rankings!F20&lt;=2,1,0)</f>
        <v>1</v>
      </c>
      <c r="G14" s="16">
        <f>IF(Rankings!G20&lt;=2,1,0)</f>
        <v>0</v>
      </c>
      <c r="H14" s="16">
        <f>IF(Rankings!H20&lt;=2,1,0)</f>
        <v>0</v>
      </c>
      <c r="I14" s="16">
        <f>IF(Rankings!I20&lt;=2,1,0)</f>
        <v>1</v>
      </c>
      <c r="J14" s="16">
        <f>IF(Rankings!J20&lt;=2,1,0)</f>
        <v>0</v>
      </c>
      <c r="K14" s="19">
        <f t="shared" si="0"/>
        <v>2</v>
      </c>
      <c r="L14" s="15">
        <f>SUMPRODUCT(C14:J14,Returns!B18:I18)/K14</f>
        <v>-5.0299252864399402E-2</v>
      </c>
      <c r="M14" s="15">
        <f>-2*Assumptions!$B$13</f>
        <v>-7.0000000000000001E-3</v>
      </c>
      <c r="N14" s="15">
        <f>-Assumptions!$B$16*MAX(0,(1+O11)*(1+O12)*(1+O13)-1)</f>
        <v>-2.5627530704741674E-2</v>
      </c>
      <c r="O14" s="15">
        <f t="shared" si="1"/>
        <v>-8.2926783569141072E-2</v>
      </c>
      <c r="P14" s="20">
        <f t="shared" si="3"/>
        <v>0.76275362628334642</v>
      </c>
      <c r="Q14" s="20">
        <f>MAX($P$5:P14)</f>
        <v>0.93631887065757424</v>
      </c>
      <c r="R14" s="15">
        <f t="shared" si="2"/>
        <v>-0.18536980275996506</v>
      </c>
      <c r="S14" s="15">
        <f>O14-Benchmark_RF!D14</f>
        <v>-8.7784458723060399E-2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IF(Rankings!C20&lt;=2,1,0)</f>
        <v>0</v>
      </c>
      <c r="D15" s="16">
        <f>IF(Rankings!D20&lt;=2,1,0)</f>
        <v>0</v>
      </c>
      <c r="E15" s="16">
        <f>IF(Rankings!E20&lt;=2,1,0)</f>
        <v>0</v>
      </c>
      <c r="F15" s="16">
        <f>IF(Rankings!F20&lt;=2,1,0)</f>
        <v>1</v>
      </c>
      <c r="G15" s="16">
        <f>IF(Rankings!G20&lt;=2,1,0)</f>
        <v>0</v>
      </c>
      <c r="H15" s="16">
        <f>IF(Rankings!H20&lt;=2,1,0)</f>
        <v>0</v>
      </c>
      <c r="I15" s="16">
        <f>IF(Rankings!I20&lt;=2,1,0)</f>
        <v>1</v>
      </c>
      <c r="J15" s="16">
        <f>IF(Rankings!J20&lt;=2,1,0)</f>
        <v>0</v>
      </c>
      <c r="K15" s="19">
        <f t="shared" si="0"/>
        <v>2</v>
      </c>
      <c r="L15" s="15">
        <f>SUMPRODUCT(C15:J15,Returns!B19:I19)/K15</f>
        <v>2.5205714678205871E-2</v>
      </c>
      <c r="M15" s="15">
        <v>0</v>
      </c>
      <c r="N15" s="15">
        <v>0</v>
      </c>
      <c r="O15" s="15">
        <f t="shared" si="1"/>
        <v>2.5205714678205871E-2</v>
      </c>
      <c r="P15" s="20">
        <f t="shared" si="3"/>
        <v>0.78197937655721128</v>
      </c>
      <c r="Q15" s="20">
        <f>MAX($P$5:P15)</f>
        <v>0.93631887065757424</v>
      </c>
      <c r="R15" s="15">
        <f t="shared" si="2"/>
        <v>-0.16483646644008221</v>
      </c>
      <c r="S15" s="15">
        <f>O15-Benchmark_RF!D15</f>
        <v>2.0417355448054453E-2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IF(Rankings!C20&lt;=2,1,0)</f>
        <v>0</v>
      </c>
      <c r="D16" s="16">
        <f>IF(Rankings!D20&lt;=2,1,0)</f>
        <v>0</v>
      </c>
      <c r="E16" s="16">
        <f>IF(Rankings!E20&lt;=2,1,0)</f>
        <v>0</v>
      </c>
      <c r="F16" s="16">
        <f>IF(Rankings!F20&lt;=2,1,0)</f>
        <v>1</v>
      </c>
      <c r="G16" s="16">
        <f>IF(Rankings!G20&lt;=2,1,0)</f>
        <v>0</v>
      </c>
      <c r="H16" s="16">
        <f>IF(Rankings!H20&lt;=2,1,0)</f>
        <v>0</v>
      </c>
      <c r="I16" s="16">
        <f>IF(Rankings!I20&lt;=2,1,0)</f>
        <v>1</v>
      </c>
      <c r="J16" s="16">
        <f>IF(Rankings!J20&lt;=2,1,0)</f>
        <v>0</v>
      </c>
      <c r="K16" s="19">
        <f t="shared" si="0"/>
        <v>2</v>
      </c>
      <c r="L16" s="15">
        <f>SUMPRODUCT(C16:J16,Returns!B20:I20)/K16</f>
        <v>3.2169871778940373E-2</v>
      </c>
      <c r="M16" s="15">
        <v>0</v>
      </c>
      <c r="N16" s="15">
        <v>0</v>
      </c>
      <c r="O16" s="15">
        <f t="shared" si="1"/>
        <v>3.2169871778940373E-2</v>
      </c>
      <c r="P16" s="20">
        <f t="shared" si="3"/>
        <v>0.8071355528348324</v>
      </c>
      <c r="Q16" s="20">
        <f>MAX($P$5:P16)</f>
        <v>0.93631887065757424</v>
      </c>
      <c r="R16" s="15">
        <f t="shared" si="2"/>
        <v>-0.13796936265101301</v>
      </c>
      <c r="S16" s="15">
        <f>O16-Benchmark_RF!D16</f>
        <v>2.7470506867172451E-2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IF(Rankings!C23&lt;=2,1,0)</f>
        <v>0</v>
      </c>
      <c r="D17" s="16">
        <f>IF(Rankings!D23&lt;=2,1,0)</f>
        <v>0</v>
      </c>
      <c r="E17" s="16">
        <f>IF(Rankings!E23&lt;=2,1,0)</f>
        <v>0</v>
      </c>
      <c r="F17" s="16">
        <f>IF(Rankings!F23&lt;=2,1,0)</f>
        <v>1</v>
      </c>
      <c r="G17" s="16">
        <f>IF(Rankings!G23&lt;=2,1,0)</f>
        <v>0</v>
      </c>
      <c r="H17" s="16">
        <f>IF(Rankings!H23&lt;=2,1,0)</f>
        <v>0</v>
      </c>
      <c r="I17" s="16">
        <f>IF(Rankings!I23&lt;=2,1,0)</f>
        <v>1</v>
      </c>
      <c r="J17" s="16">
        <f>IF(Rankings!J23&lt;=2,1,0)</f>
        <v>0</v>
      </c>
      <c r="K17" s="19">
        <f t="shared" si="0"/>
        <v>2</v>
      </c>
      <c r="L17" s="15">
        <f>SUMPRODUCT(C17:J17,Returns!B21:I21)/K17</f>
        <v>4.2663683182295964E-2</v>
      </c>
      <c r="M17" s="15">
        <f>-2*Assumptions!$B$13</f>
        <v>-7.0000000000000001E-3</v>
      </c>
      <c r="N17" s="15">
        <f>-Assumptions!$B$16*MAX(0,(1+O14)*(1+O15)*(1+O16)-1)</f>
        <v>0</v>
      </c>
      <c r="O17" s="15">
        <f t="shared" si="1"/>
        <v>3.5663683182295965E-2</v>
      </c>
      <c r="P17" s="20">
        <f t="shared" si="3"/>
        <v>0.83592097947630128</v>
      </c>
      <c r="Q17" s="20">
        <f>MAX($P$5:P17)</f>
        <v>0.93631887065757424</v>
      </c>
      <c r="R17" s="15">
        <f t="shared" si="2"/>
        <v>-0.10722617510716603</v>
      </c>
      <c r="S17" s="15">
        <f>O17-Benchmark_RF!D17</f>
        <v>3.0906798253708907E-2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IF(Rankings!C23&lt;=2,1,0)</f>
        <v>0</v>
      </c>
      <c r="D18" s="16">
        <f>IF(Rankings!D23&lt;=2,1,0)</f>
        <v>0</v>
      </c>
      <c r="E18" s="16">
        <f>IF(Rankings!E23&lt;=2,1,0)</f>
        <v>0</v>
      </c>
      <c r="F18" s="16">
        <f>IF(Rankings!F23&lt;=2,1,0)</f>
        <v>1</v>
      </c>
      <c r="G18" s="16">
        <f>IF(Rankings!G23&lt;=2,1,0)</f>
        <v>0</v>
      </c>
      <c r="H18" s="16">
        <f>IF(Rankings!H23&lt;=2,1,0)</f>
        <v>0</v>
      </c>
      <c r="I18" s="16">
        <f>IF(Rankings!I23&lt;=2,1,0)</f>
        <v>1</v>
      </c>
      <c r="J18" s="16">
        <f>IF(Rankings!J23&lt;=2,1,0)</f>
        <v>0</v>
      </c>
      <c r="K18" s="19">
        <f t="shared" si="0"/>
        <v>2</v>
      </c>
      <c r="L18" s="15">
        <f>SUMPRODUCT(C18:J18,Returns!B22:I22)/K18</f>
        <v>0.3021001477533799</v>
      </c>
      <c r="M18" s="15">
        <v>0</v>
      </c>
      <c r="N18" s="15">
        <v>0</v>
      </c>
      <c r="O18" s="15">
        <f t="shared" si="1"/>
        <v>0.3021001477533799</v>
      </c>
      <c r="P18" s="20">
        <f t="shared" si="3"/>
        <v>1.088452830886242</v>
      </c>
      <c r="Q18" s="20">
        <f>MAX($P$5:P18)</f>
        <v>1.088452830886242</v>
      </c>
      <c r="R18" s="15">
        <f t="shared" si="2"/>
        <v>0</v>
      </c>
      <c r="S18" s="15">
        <f>O18-Benchmark_RF!D18</f>
        <v>0.29734326282479284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IF(Rankings!C23&lt;=2,1,0)</f>
        <v>0</v>
      </c>
      <c r="D19" s="16">
        <f>IF(Rankings!D23&lt;=2,1,0)</f>
        <v>0</v>
      </c>
      <c r="E19" s="16">
        <f>IF(Rankings!E23&lt;=2,1,0)</f>
        <v>0</v>
      </c>
      <c r="F19" s="16">
        <f>IF(Rankings!F23&lt;=2,1,0)</f>
        <v>1</v>
      </c>
      <c r="G19" s="16">
        <f>IF(Rankings!G23&lt;=2,1,0)</f>
        <v>0</v>
      </c>
      <c r="H19" s="16">
        <f>IF(Rankings!H23&lt;=2,1,0)</f>
        <v>0</v>
      </c>
      <c r="I19" s="16">
        <f>IF(Rankings!I23&lt;=2,1,0)</f>
        <v>1</v>
      </c>
      <c r="J19" s="16">
        <f>IF(Rankings!J23&lt;=2,1,0)</f>
        <v>0</v>
      </c>
      <c r="K19" s="19">
        <f t="shared" si="0"/>
        <v>2</v>
      </c>
      <c r="L19" s="15">
        <f>SUMPRODUCT(C19:J19,Returns!B23:I23)/K19</f>
        <v>0.10422242667558834</v>
      </c>
      <c r="M19" s="15">
        <v>0</v>
      </c>
      <c r="N19" s="15">
        <v>0</v>
      </c>
      <c r="O19" s="15">
        <f t="shared" si="1"/>
        <v>0.10422242667558834</v>
      </c>
      <c r="P19" s="20">
        <f t="shared" si="3"/>
        <v>1.2018940262431197</v>
      </c>
      <c r="Q19" s="20">
        <f>MAX($P$5:P19)</f>
        <v>1.2018940262431197</v>
      </c>
      <c r="R19" s="15">
        <f t="shared" si="2"/>
        <v>0</v>
      </c>
      <c r="S19" s="15">
        <f>O19-Benchmark_RF!D19</f>
        <v>9.9449724159445752E-2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IF(Rankings!C26&lt;=2,1,0)</f>
        <v>0</v>
      </c>
      <c r="D20" s="16">
        <f>IF(Rankings!D26&lt;=2,1,0)</f>
        <v>0</v>
      </c>
      <c r="E20" s="16">
        <f>IF(Rankings!E26&lt;=2,1,0)</f>
        <v>0</v>
      </c>
      <c r="F20" s="16">
        <f>IF(Rankings!F26&lt;=2,1,0)</f>
        <v>0</v>
      </c>
      <c r="G20" s="16">
        <f>IF(Rankings!G26&lt;=2,1,0)</f>
        <v>0</v>
      </c>
      <c r="H20" s="16">
        <f>IF(Rankings!H26&lt;=2,1,0)</f>
        <v>1</v>
      </c>
      <c r="I20" s="16">
        <f>IF(Rankings!I26&lt;=2,1,0)</f>
        <v>1</v>
      </c>
      <c r="J20" s="16">
        <f>IF(Rankings!J26&lt;=2,1,0)</f>
        <v>0</v>
      </c>
      <c r="K20" s="19">
        <f t="shared" si="0"/>
        <v>2</v>
      </c>
      <c r="L20" s="15">
        <f>SUMPRODUCT(C20:J20,Returns!B24:I24)/K20</f>
        <v>0.20622902235235296</v>
      </c>
      <c r="M20" s="15">
        <f>-2*Assumptions!$B$13</f>
        <v>-7.0000000000000001E-3</v>
      </c>
      <c r="N20" s="15">
        <f>-Assumptions!$B$16*MAX(0,(1+O17)*(1+O18)*(1+O19)-1)</f>
        <v>-7.336285807665352E-2</v>
      </c>
      <c r="O20" s="15">
        <f t="shared" si="1"/>
        <v>0.12586616427569944</v>
      </c>
      <c r="P20" s="20">
        <f t="shared" si="3"/>
        <v>1.353171817192218</v>
      </c>
      <c r="Q20" s="20">
        <f>MAX($P$5:P20)</f>
        <v>1.353171817192218</v>
      </c>
      <c r="R20" s="15">
        <f t="shared" si="2"/>
        <v>0</v>
      </c>
      <c r="S20" s="15">
        <f>O20-Benchmark_RF!D20</f>
        <v>0.12103812176316167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IF(Rankings!C26&lt;=2,1,0)</f>
        <v>0</v>
      </c>
      <c r="D21" s="16">
        <f>IF(Rankings!D26&lt;=2,1,0)</f>
        <v>0</v>
      </c>
      <c r="E21" s="16">
        <f>IF(Rankings!E26&lt;=2,1,0)</f>
        <v>0</v>
      </c>
      <c r="F21" s="16">
        <f>IF(Rankings!F26&lt;=2,1,0)</f>
        <v>0</v>
      </c>
      <c r="G21" s="16">
        <f>IF(Rankings!G26&lt;=2,1,0)</f>
        <v>0</v>
      </c>
      <c r="H21" s="16">
        <f>IF(Rankings!H26&lt;=2,1,0)</f>
        <v>1</v>
      </c>
      <c r="I21" s="16">
        <f>IF(Rankings!I26&lt;=2,1,0)</f>
        <v>1</v>
      </c>
      <c r="J21" s="16">
        <f>IF(Rankings!J26&lt;=2,1,0)</f>
        <v>0</v>
      </c>
      <c r="K21" s="19">
        <f t="shared" si="0"/>
        <v>2</v>
      </c>
      <c r="L21" s="15">
        <f>SUMPRODUCT(C21:J21,Returns!B25:I25)/K21</f>
        <v>-2.9855360689705568E-2</v>
      </c>
      <c r="M21" s="15">
        <v>0</v>
      </c>
      <c r="N21" s="15">
        <v>0</v>
      </c>
      <c r="O21" s="15">
        <f t="shared" si="1"/>
        <v>-2.9855360689705568E-2</v>
      </c>
      <c r="P21" s="20">
        <f t="shared" si="3"/>
        <v>1.3127723845148001</v>
      </c>
      <c r="Q21" s="20">
        <f>MAX($P$5:P21)</f>
        <v>1.353171817192218</v>
      </c>
      <c r="R21" s="15">
        <f t="shared" si="2"/>
        <v>-2.9855360689705512E-2</v>
      </c>
      <c r="S21" s="15">
        <f>O21-Benchmark_RF!D21</f>
        <v>-3.469517838934516E-2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IF(Rankings!C26&lt;=2,1,0)</f>
        <v>0</v>
      </c>
      <c r="D22" s="16">
        <f>IF(Rankings!D26&lt;=2,1,0)</f>
        <v>0</v>
      </c>
      <c r="E22" s="16">
        <f>IF(Rankings!E26&lt;=2,1,0)</f>
        <v>0</v>
      </c>
      <c r="F22" s="16">
        <f>IF(Rankings!F26&lt;=2,1,0)</f>
        <v>0</v>
      </c>
      <c r="G22" s="16">
        <f>IF(Rankings!G26&lt;=2,1,0)</f>
        <v>0</v>
      </c>
      <c r="H22" s="16">
        <f>IF(Rankings!H26&lt;=2,1,0)</f>
        <v>1</v>
      </c>
      <c r="I22" s="16">
        <f>IF(Rankings!I26&lt;=2,1,0)</f>
        <v>1</v>
      </c>
      <c r="J22" s="16">
        <f>IF(Rankings!J26&lt;=2,1,0)</f>
        <v>0</v>
      </c>
      <c r="K22" s="19">
        <f t="shared" si="0"/>
        <v>2</v>
      </c>
      <c r="L22" s="15">
        <f>SUMPRODUCT(C22:J22,Returns!B26:I26)/K22</f>
        <v>3.8461342391362618E-2</v>
      </c>
      <c r="M22" s="15">
        <v>0</v>
      </c>
      <c r="N22" s="15">
        <v>0</v>
      </c>
      <c r="O22" s="15">
        <f t="shared" si="1"/>
        <v>3.8461342391362618E-2</v>
      </c>
      <c r="P22" s="20">
        <f t="shared" si="3"/>
        <v>1.3632633726775494</v>
      </c>
      <c r="Q22" s="20">
        <f>MAX($P$5:P22)</f>
        <v>1.3632633726775494</v>
      </c>
      <c r="R22" s="15">
        <f t="shared" si="2"/>
        <v>0</v>
      </c>
      <c r="S22" s="15">
        <f>O22-Benchmark_RF!D22</f>
        <v>3.3686979187417643E-2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IF(Rankings!C29&lt;=2,1,0)</f>
        <v>1</v>
      </c>
      <c r="D23" s="16">
        <f>IF(Rankings!D29&lt;=2,1,0)</f>
        <v>0</v>
      </c>
      <c r="E23" s="16">
        <f>IF(Rankings!E29&lt;=2,1,0)</f>
        <v>0</v>
      </c>
      <c r="F23" s="16">
        <f>IF(Rankings!F29&lt;=2,1,0)</f>
        <v>0</v>
      </c>
      <c r="G23" s="16">
        <f>IF(Rankings!G29&lt;=2,1,0)</f>
        <v>0</v>
      </c>
      <c r="H23" s="16">
        <f>IF(Rankings!H29&lt;=2,1,0)</f>
        <v>1</v>
      </c>
      <c r="I23" s="16">
        <f>IF(Rankings!I29&lt;=2,1,0)</f>
        <v>0</v>
      </c>
      <c r="J23" s="16">
        <f>IF(Rankings!J29&lt;=2,1,0)</f>
        <v>0</v>
      </c>
      <c r="K23" s="19">
        <f t="shared" si="0"/>
        <v>2</v>
      </c>
      <c r="L23" s="15">
        <f>SUMPRODUCT(C23:J23,Returns!B27:I27)/K23</f>
        <v>-4.4622449328191205E-2</v>
      </c>
      <c r="M23" s="15">
        <f>-2*Assumptions!$B$13</f>
        <v>-7.0000000000000001E-3</v>
      </c>
      <c r="N23" s="15">
        <f>-Assumptions!$B$16*MAX(0,(1+O20)*(1+O21)*(1+O22)-1)</f>
        <v>-2.013938120719818E-2</v>
      </c>
      <c r="O23" s="15">
        <f t="shared" si="1"/>
        <v>-7.1761830535389384E-2</v>
      </c>
      <c r="P23" s="20">
        <f t="shared" si="3"/>
        <v>1.2654330975523596</v>
      </c>
      <c r="Q23" s="20">
        <f>MAX($P$5:P23)</f>
        <v>1.3632633726775494</v>
      </c>
      <c r="R23" s="15">
        <f t="shared" si="2"/>
        <v>-7.1761830535389537E-2</v>
      </c>
      <c r="S23" s="15">
        <f>O23-Benchmark_RF!D23</f>
        <v>-7.6583313057192084E-2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IF(Rankings!C29&lt;=2,1,0)</f>
        <v>1</v>
      </c>
      <c r="D24" s="16">
        <f>IF(Rankings!D29&lt;=2,1,0)</f>
        <v>0</v>
      </c>
      <c r="E24" s="16">
        <f>IF(Rankings!E29&lt;=2,1,0)</f>
        <v>0</v>
      </c>
      <c r="F24" s="16">
        <f>IF(Rankings!F29&lt;=2,1,0)</f>
        <v>0</v>
      </c>
      <c r="G24" s="16">
        <f>IF(Rankings!G29&lt;=2,1,0)</f>
        <v>0</v>
      </c>
      <c r="H24" s="16">
        <f>IF(Rankings!H29&lt;=2,1,0)</f>
        <v>1</v>
      </c>
      <c r="I24" s="16">
        <f>IF(Rankings!I29&lt;=2,1,0)</f>
        <v>0</v>
      </c>
      <c r="J24" s="16">
        <f>IF(Rankings!J29&lt;=2,1,0)</f>
        <v>0</v>
      </c>
      <c r="K24" s="19">
        <f t="shared" si="0"/>
        <v>2</v>
      </c>
      <c r="L24" s="15">
        <f>SUMPRODUCT(C24:J24,Returns!B28:I28)/K24</f>
        <v>-4.5573838169379488E-2</v>
      </c>
      <c r="M24" s="15">
        <v>0</v>
      </c>
      <c r="N24" s="15">
        <v>0</v>
      </c>
      <c r="O24" s="15">
        <f t="shared" si="1"/>
        <v>-4.5573838169379488E-2</v>
      </c>
      <c r="P24" s="20">
        <f t="shared" si="3"/>
        <v>1.2077624543503316</v>
      </c>
      <c r="Q24" s="20">
        <f>MAX($P$5:P24)</f>
        <v>1.3632633726775494</v>
      </c>
      <c r="R24" s="15">
        <f t="shared" si="2"/>
        <v>-0.11406520665321085</v>
      </c>
      <c r="S24" s="15">
        <f>O24-Benchmark_RF!D24</f>
        <v>-5.0419108293851156E-2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IF(Rankings!C29&lt;=2,1,0)</f>
        <v>1</v>
      </c>
      <c r="D25" s="16">
        <f>IF(Rankings!D29&lt;=2,1,0)</f>
        <v>0</v>
      </c>
      <c r="E25" s="16">
        <f>IF(Rankings!E29&lt;=2,1,0)</f>
        <v>0</v>
      </c>
      <c r="F25" s="16">
        <f>IF(Rankings!F29&lt;=2,1,0)</f>
        <v>0</v>
      </c>
      <c r="G25" s="16">
        <f>IF(Rankings!G29&lt;=2,1,0)</f>
        <v>0</v>
      </c>
      <c r="H25" s="16">
        <f>IF(Rankings!H29&lt;=2,1,0)</f>
        <v>1</v>
      </c>
      <c r="I25" s="16">
        <f>IF(Rankings!I29&lt;=2,1,0)</f>
        <v>0</v>
      </c>
      <c r="J25" s="16">
        <f>IF(Rankings!J29&lt;=2,1,0)</f>
        <v>0</v>
      </c>
      <c r="K25" s="19">
        <f t="shared" si="0"/>
        <v>2</v>
      </c>
      <c r="L25" s="15">
        <f>SUMPRODUCT(C25:J25,Returns!B29:I29)/K25</f>
        <v>-1.6658427613034488E-2</v>
      </c>
      <c r="M25" s="15">
        <v>0</v>
      </c>
      <c r="N25" s="15">
        <v>0</v>
      </c>
      <c r="O25" s="15">
        <f t="shared" si="1"/>
        <v>-1.6658427613034488E-2</v>
      </c>
      <c r="P25" s="20">
        <f t="shared" si="3"/>
        <v>1.1876430309307957</v>
      </c>
      <c r="Q25" s="20">
        <f>MAX($P$5:P25)</f>
        <v>1.3632633726775494</v>
      </c>
      <c r="R25" s="15">
        <f t="shared" si="2"/>
        <v>-0.12882348727804693</v>
      </c>
      <c r="S25" s="15">
        <f>O25-Benchmark_RF!D25</f>
        <v>-2.1514206565789729E-2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IF(Rankings!C32&lt;=2,1,0)</f>
        <v>0</v>
      </c>
      <c r="D26" s="16">
        <f>IF(Rankings!D32&lt;=2,1,0)</f>
        <v>0</v>
      </c>
      <c r="E26" s="16">
        <f>IF(Rankings!E32&lt;=2,1,0)</f>
        <v>0</v>
      </c>
      <c r="F26" s="16">
        <f>IF(Rankings!F32&lt;=2,1,0)</f>
        <v>0</v>
      </c>
      <c r="G26" s="16">
        <f>IF(Rankings!G32&lt;=2,1,0)</f>
        <v>0</v>
      </c>
      <c r="H26" s="16">
        <f>IF(Rankings!H32&lt;=2,1,0)</f>
        <v>1</v>
      </c>
      <c r="I26" s="16">
        <f>IF(Rankings!I32&lt;=2,1,0)</f>
        <v>1</v>
      </c>
      <c r="J26" s="16">
        <f>IF(Rankings!J32&lt;=2,1,0)</f>
        <v>0</v>
      </c>
      <c r="K26" s="19">
        <f t="shared" si="0"/>
        <v>2</v>
      </c>
      <c r="L26" s="15">
        <f>SUMPRODUCT(C26:J26,Returns!B30:I30)/K26</f>
        <v>0.36259031430002497</v>
      </c>
      <c r="M26" s="15">
        <f>-2*Assumptions!$B$13</f>
        <v>-7.0000000000000001E-3</v>
      </c>
      <c r="N26" s="15">
        <f>-Assumptions!$B$16*MAX(0,(1+O23)*(1+O24)*(1+O25)-1)</f>
        <v>0</v>
      </c>
      <c r="O26" s="15">
        <f t="shared" si="1"/>
        <v>0.35559031430002497</v>
      </c>
      <c r="P26" s="20">
        <f t="shared" si="3"/>
        <v>1.6099573895757116</v>
      </c>
      <c r="Q26" s="20">
        <f>MAX($P$5:P26)</f>
        <v>1.6099573895757116</v>
      </c>
      <c r="R26" s="15">
        <f t="shared" si="2"/>
        <v>0</v>
      </c>
      <c r="S26" s="15">
        <f>O26-Benchmark_RF!D26</f>
        <v>0.35073453534726973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IF(Rankings!C32&lt;=2,1,0)</f>
        <v>0</v>
      </c>
      <c r="D27" s="16">
        <f>IF(Rankings!D32&lt;=2,1,0)</f>
        <v>0</v>
      </c>
      <c r="E27" s="16">
        <f>IF(Rankings!E32&lt;=2,1,0)</f>
        <v>0</v>
      </c>
      <c r="F27" s="16">
        <f>IF(Rankings!F32&lt;=2,1,0)</f>
        <v>0</v>
      </c>
      <c r="G27" s="16">
        <f>IF(Rankings!G32&lt;=2,1,0)</f>
        <v>0</v>
      </c>
      <c r="H27" s="16">
        <f>IF(Rankings!H32&lt;=2,1,0)</f>
        <v>1</v>
      </c>
      <c r="I27" s="16">
        <f>IF(Rankings!I32&lt;=2,1,0)</f>
        <v>1</v>
      </c>
      <c r="J27" s="16">
        <f>IF(Rankings!J32&lt;=2,1,0)</f>
        <v>0</v>
      </c>
      <c r="K27" s="19">
        <f t="shared" si="0"/>
        <v>2</v>
      </c>
      <c r="L27" s="15">
        <f>SUMPRODUCT(C27:J27,Returns!B31:I31)/K27</f>
        <v>9.8497508508911924E-2</v>
      </c>
      <c r="M27" s="15">
        <v>0</v>
      </c>
      <c r="N27" s="15">
        <v>0</v>
      </c>
      <c r="O27" s="15">
        <f t="shared" si="1"/>
        <v>9.8497508508911924E-2</v>
      </c>
      <c r="P27" s="20">
        <f t="shared" si="3"/>
        <v>1.7685341812544308</v>
      </c>
      <c r="Q27" s="20">
        <f>MAX($P$5:P27)</f>
        <v>1.7685341812544308</v>
      </c>
      <c r="R27" s="15">
        <f t="shared" si="2"/>
        <v>0</v>
      </c>
      <c r="S27" s="15">
        <f>O27-Benchmark_RF!D27</f>
        <v>9.36370681321812E-2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IF(Rankings!C32&lt;=2,1,0)</f>
        <v>0</v>
      </c>
      <c r="D28" s="16">
        <f>IF(Rankings!D32&lt;=2,1,0)</f>
        <v>0</v>
      </c>
      <c r="E28" s="16">
        <f>IF(Rankings!E32&lt;=2,1,0)</f>
        <v>0</v>
      </c>
      <c r="F28" s="16">
        <f>IF(Rankings!F32&lt;=2,1,0)</f>
        <v>0</v>
      </c>
      <c r="G28" s="16">
        <f>IF(Rankings!G32&lt;=2,1,0)</f>
        <v>0</v>
      </c>
      <c r="H28" s="16">
        <f>IF(Rankings!H32&lt;=2,1,0)</f>
        <v>1</v>
      </c>
      <c r="I28" s="16">
        <f>IF(Rankings!I32&lt;=2,1,0)</f>
        <v>1</v>
      </c>
      <c r="J28" s="16">
        <f>IF(Rankings!J32&lt;=2,1,0)</f>
        <v>0</v>
      </c>
      <c r="K28" s="19">
        <f t="shared" si="0"/>
        <v>2</v>
      </c>
      <c r="L28" s="15">
        <f>SUMPRODUCT(C28:J28,Returns!B32:I32)/K28</f>
        <v>-0.10129726957070706</v>
      </c>
      <c r="M28" s="15">
        <v>0</v>
      </c>
      <c r="N28" s="15">
        <v>0</v>
      </c>
      <c r="O28" s="15">
        <f t="shared" si="1"/>
        <v>-0.10129726957070706</v>
      </c>
      <c r="P28" s="20">
        <f t="shared" si="3"/>
        <v>1.5893864975508911</v>
      </c>
      <c r="Q28" s="20">
        <f>MAX($P$5:P28)</f>
        <v>1.7685341812544308</v>
      </c>
      <c r="R28" s="15">
        <f t="shared" si="2"/>
        <v>-0.10129726957070706</v>
      </c>
      <c r="S28" s="15">
        <f>O28-Benchmark_RF!D28</f>
        <v>-0.10615763094223341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IF(Rankings!C35&lt;=2,1,0)</f>
        <v>0</v>
      </c>
      <c r="D29" s="16">
        <f>IF(Rankings!D35&lt;=2,1,0)</f>
        <v>0</v>
      </c>
      <c r="E29" s="16">
        <f>IF(Rankings!E35&lt;=2,1,0)</f>
        <v>0</v>
      </c>
      <c r="F29" s="16">
        <f>IF(Rankings!F35&lt;=2,1,0)</f>
        <v>0</v>
      </c>
      <c r="G29" s="16">
        <f>IF(Rankings!G35&lt;=2,1,0)</f>
        <v>0</v>
      </c>
      <c r="H29" s="16">
        <f>IF(Rankings!H35&lt;=2,1,0)</f>
        <v>1</v>
      </c>
      <c r="I29" s="16">
        <f>IF(Rankings!I35&lt;=2,1,0)</f>
        <v>1</v>
      </c>
      <c r="J29" s="16">
        <f>IF(Rankings!J35&lt;=2,1,0)</f>
        <v>0</v>
      </c>
      <c r="K29" s="19">
        <f t="shared" si="0"/>
        <v>2</v>
      </c>
      <c r="L29" s="15">
        <f>SUMPRODUCT(C29:J29,Returns!B33:I33)/K29</f>
        <v>-0.21319482814204349</v>
      </c>
      <c r="M29" s="15">
        <f>-2*Assumptions!$B$13</f>
        <v>-7.0000000000000001E-3</v>
      </c>
      <c r="N29" s="15">
        <f>-Assumptions!$B$16*MAX(0,(1+O26)*(1+O27)*(1+O28)-1)</f>
        <v>-5.0740431614190791E-2</v>
      </c>
      <c r="O29" s="15">
        <f t="shared" si="1"/>
        <v>-0.27093525975623428</v>
      </c>
      <c r="P29" s="20">
        <f t="shared" si="3"/>
        <v>1.1587656539838891</v>
      </c>
      <c r="Q29" s="20">
        <f>MAX($P$5:P29)</f>
        <v>1.7685341812544308</v>
      </c>
      <c r="R29" s="15">
        <f t="shared" si="2"/>
        <v>-0.3447875272832045</v>
      </c>
      <c r="S29" s="15">
        <f>O29-Benchmark_RF!D29</f>
        <v>-0.2757950680894164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IF(Rankings!C35&lt;=2,1,0)</f>
        <v>0</v>
      </c>
      <c r="D30" s="16">
        <f>IF(Rankings!D35&lt;=2,1,0)</f>
        <v>0</v>
      </c>
      <c r="E30" s="16">
        <f>IF(Rankings!E35&lt;=2,1,0)</f>
        <v>0</v>
      </c>
      <c r="F30" s="16">
        <f>IF(Rankings!F35&lt;=2,1,0)</f>
        <v>0</v>
      </c>
      <c r="G30" s="16">
        <f>IF(Rankings!G35&lt;=2,1,0)</f>
        <v>0</v>
      </c>
      <c r="H30" s="16">
        <f>IF(Rankings!H35&lt;=2,1,0)</f>
        <v>1</v>
      </c>
      <c r="I30" s="16">
        <f>IF(Rankings!I35&lt;=2,1,0)</f>
        <v>1</v>
      </c>
      <c r="J30" s="16">
        <f>IF(Rankings!J35&lt;=2,1,0)</f>
        <v>0</v>
      </c>
      <c r="K30" s="19">
        <f t="shared" si="0"/>
        <v>2</v>
      </c>
      <c r="L30" s="15">
        <f>SUMPRODUCT(C30:J30,Returns!B34:I34)/K30</f>
        <v>0.10265278006530765</v>
      </c>
      <c r="M30" s="15">
        <v>0</v>
      </c>
      <c r="N30" s="15">
        <v>0</v>
      </c>
      <c r="O30" s="15">
        <f t="shared" si="1"/>
        <v>0.10265278006530765</v>
      </c>
      <c r="P30" s="20">
        <f t="shared" si="3"/>
        <v>1.2777161698095296</v>
      </c>
      <c r="Q30" s="20">
        <f>MAX($P$5:P30)</f>
        <v>1.7685341812544308</v>
      </c>
      <c r="R30" s="15">
        <f t="shared" si="2"/>
        <v>-0.27752814542536086</v>
      </c>
      <c r="S30" s="15">
        <f>O30-Benchmark_RF!D30</f>
        <v>9.7792339688576924E-2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IF(Rankings!C35&lt;=2,1,0)</f>
        <v>0</v>
      </c>
      <c r="D31" s="16">
        <f>IF(Rankings!D35&lt;=2,1,0)</f>
        <v>0</v>
      </c>
      <c r="E31" s="16">
        <f>IF(Rankings!E35&lt;=2,1,0)</f>
        <v>0</v>
      </c>
      <c r="F31" s="16">
        <f>IF(Rankings!F35&lt;=2,1,0)</f>
        <v>0</v>
      </c>
      <c r="G31" s="16">
        <f>IF(Rankings!G35&lt;=2,1,0)</f>
        <v>0</v>
      </c>
      <c r="H31" s="16">
        <f>IF(Rankings!H35&lt;=2,1,0)</f>
        <v>1</v>
      </c>
      <c r="I31" s="16">
        <f>IF(Rankings!I35&lt;=2,1,0)</f>
        <v>1</v>
      </c>
      <c r="J31" s="16">
        <f>IF(Rankings!J35&lt;=2,1,0)</f>
        <v>0</v>
      </c>
      <c r="K31" s="19">
        <f t="shared" si="0"/>
        <v>2</v>
      </c>
      <c r="L31" s="15">
        <f>SUMPRODUCT(C31:J31,Returns!B35:I35)/K31</f>
        <v>-4.5651393973542342E-2</v>
      </c>
      <c r="M31" s="15">
        <v>0</v>
      </c>
      <c r="N31" s="15">
        <v>0</v>
      </c>
      <c r="O31" s="15">
        <f t="shared" si="1"/>
        <v>-4.5651393973542342E-2</v>
      </c>
      <c r="P31" s="20">
        <f t="shared" si="3"/>
        <v>1.2193866455551892</v>
      </c>
      <c r="Q31" s="20">
        <f>MAX($P$5:P31)</f>
        <v>1.7685341812544308</v>
      </c>
      <c r="R31" s="15">
        <f t="shared" si="2"/>
        <v>-0.31050999269334356</v>
      </c>
      <c r="S31" s="15">
        <f>O31-Benchmark_RF!D31</f>
        <v>-5.0511834350273066E-2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IF(Rankings!C38&lt;=2,1,0)</f>
        <v>0</v>
      </c>
      <c r="D32" s="16">
        <f>IF(Rankings!D38&lt;=2,1,0)</f>
        <v>1</v>
      </c>
      <c r="E32" s="16">
        <f>IF(Rankings!E38&lt;=2,1,0)</f>
        <v>0</v>
      </c>
      <c r="F32" s="16">
        <f>IF(Rankings!F38&lt;=2,1,0)</f>
        <v>0</v>
      </c>
      <c r="G32" s="16">
        <f>IF(Rankings!G38&lt;=2,1,0)</f>
        <v>0</v>
      </c>
      <c r="H32" s="16">
        <f>IF(Rankings!H38&lt;=2,1,0)</f>
        <v>1</v>
      </c>
      <c r="I32" s="16">
        <f>IF(Rankings!I38&lt;=2,1,0)</f>
        <v>0</v>
      </c>
      <c r="J32" s="16">
        <f>IF(Rankings!J38&lt;=2,1,0)</f>
        <v>0</v>
      </c>
      <c r="K32" s="19">
        <f t="shared" si="0"/>
        <v>2</v>
      </c>
      <c r="L32" s="15">
        <f>SUMPRODUCT(C32:J32,Returns!B36:I36)/K32</f>
        <v>1.4399582262210719E-2</v>
      </c>
      <c r="M32" s="15">
        <f>-2*Assumptions!$B$13</f>
        <v>-7.0000000000000001E-3</v>
      </c>
      <c r="N32" s="15">
        <f>-Assumptions!$B$16*MAX(0,(1+O29)*(1+O30)*(1+O31)-1)</f>
        <v>0</v>
      </c>
      <c r="O32" s="15">
        <f t="shared" si="1"/>
        <v>7.3995822622107193E-3</v>
      </c>
      <c r="P32" s="20">
        <f t="shared" si="3"/>
        <v>1.2284095973484161</v>
      </c>
      <c r="Q32" s="20">
        <f>MAX($P$5:P32)</f>
        <v>1.7685341812544308</v>
      </c>
      <c r="R32" s="15">
        <f t="shared" si="2"/>
        <v>-0.30540805466530563</v>
      </c>
      <c r="S32" s="15">
        <f>O32-Benchmark_RF!D32</f>
        <v>2.5392208906843744E-3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IF(Rankings!C38&lt;=2,1,0)</f>
        <v>0</v>
      </c>
      <c r="D33" s="16">
        <f>IF(Rankings!D38&lt;=2,1,0)</f>
        <v>1</v>
      </c>
      <c r="E33" s="16">
        <f>IF(Rankings!E38&lt;=2,1,0)</f>
        <v>0</v>
      </c>
      <c r="F33" s="16">
        <f>IF(Rankings!F38&lt;=2,1,0)</f>
        <v>0</v>
      </c>
      <c r="G33" s="16">
        <f>IF(Rankings!G38&lt;=2,1,0)</f>
        <v>0</v>
      </c>
      <c r="H33" s="16">
        <f>IF(Rankings!H38&lt;=2,1,0)</f>
        <v>1</v>
      </c>
      <c r="I33" s="16">
        <f>IF(Rankings!I38&lt;=2,1,0)</f>
        <v>0</v>
      </c>
      <c r="J33" s="16">
        <f>IF(Rankings!J38&lt;=2,1,0)</f>
        <v>0</v>
      </c>
      <c r="K33" s="19">
        <f t="shared" si="0"/>
        <v>2</v>
      </c>
      <c r="L33" s="15">
        <f>SUMPRODUCT(C33:J33,Returns!B37:I37)/K33</f>
        <v>-5.2983903580746117E-3</v>
      </c>
      <c r="M33" s="15">
        <v>0</v>
      </c>
      <c r="N33" s="15">
        <v>0</v>
      </c>
      <c r="O33" s="15">
        <f t="shared" si="1"/>
        <v>-5.2983903580746117E-3</v>
      </c>
      <c r="P33" s="20">
        <f t="shared" si="3"/>
        <v>1.221901003782059</v>
      </c>
      <c r="Q33" s="20">
        <f>MAX($P$5:P33)</f>
        <v>1.7685341812544308</v>
      </c>
      <c r="R33" s="15">
        <f t="shared" si="2"/>
        <v>-0.30908827393126326</v>
      </c>
      <c r="S33" s="15">
        <f>O33-Benchmark_RF!D33</f>
        <v>-1.0158830734805335E-2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IF(Rankings!C38&lt;=2,1,0)</f>
        <v>0</v>
      </c>
      <c r="D34" s="16">
        <f>IF(Rankings!D38&lt;=2,1,0)</f>
        <v>1</v>
      </c>
      <c r="E34" s="16">
        <f>IF(Rankings!E38&lt;=2,1,0)</f>
        <v>0</v>
      </c>
      <c r="F34" s="16">
        <f>IF(Rankings!F38&lt;=2,1,0)</f>
        <v>0</v>
      </c>
      <c r="G34" s="16">
        <f>IF(Rankings!G38&lt;=2,1,0)</f>
        <v>0</v>
      </c>
      <c r="H34" s="16">
        <f>IF(Rankings!H38&lt;=2,1,0)</f>
        <v>1</v>
      </c>
      <c r="I34" s="16">
        <f>IF(Rankings!I38&lt;=2,1,0)</f>
        <v>0</v>
      </c>
      <c r="J34" s="16">
        <f>IF(Rankings!J38&lt;=2,1,0)</f>
        <v>0</v>
      </c>
      <c r="K34" s="19">
        <f t="shared" si="0"/>
        <v>2</v>
      </c>
      <c r="L34" s="15">
        <f>SUMPRODUCT(C34:J34,Returns!B38:I38)/K34</f>
        <v>0.14186071844678572</v>
      </c>
      <c r="M34" s="15">
        <v>0</v>
      </c>
      <c r="N34" s="15">
        <v>0</v>
      </c>
      <c r="O34" s="15">
        <f t="shared" si="1"/>
        <v>0.14186071844678572</v>
      </c>
      <c r="P34" s="20">
        <f t="shared" si="3"/>
        <v>1.3952407580494306</v>
      </c>
      <c r="Q34" s="20">
        <f>MAX($P$5:P34)</f>
        <v>1.7685341812544308</v>
      </c>
      <c r="R34" s="15">
        <f t="shared" si="2"/>
        <v>-0.21107504008784339</v>
      </c>
      <c r="S34" s="15">
        <f>O34-Benchmark_RF!D34</f>
        <v>0.13683530630794949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IF(Rankings!C41&lt;=2,1,0)</f>
        <v>0</v>
      </c>
      <c r="D35" s="16">
        <f>IF(Rankings!D41&lt;=2,1,0)</f>
        <v>1</v>
      </c>
      <c r="E35" s="16">
        <f>IF(Rankings!E41&lt;=2,1,0)</f>
        <v>0</v>
      </c>
      <c r="F35" s="16">
        <f>IF(Rankings!F41&lt;=2,1,0)</f>
        <v>0</v>
      </c>
      <c r="G35" s="16">
        <f>IF(Rankings!G41&lt;=2,1,0)</f>
        <v>1</v>
      </c>
      <c r="H35" s="16">
        <f>IF(Rankings!H41&lt;=2,1,0)</f>
        <v>0</v>
      </c>
      <c r="I35" s="16">
        <f>IF(Rankings!I41&lt;=2,1,0)</f>
        <v>0</v>
      </c>
      <c r="J35" s="16">
        <f>IF(Rankings!J41&lt;=2,1,0)</f>
        <v>0</v>
      </c>
      <c r="K35" s="19">
        <f t="shared" si="0"/>
        <v>2</v>
      </c>
      <c r="L35" s="15">
        <f>SUMPRODUCT(C35:J35,Returns!B39:I39)/K35</f>
        <v>-2.4763237070377475E-2</v>
      </c>
      <c r="M35" s="15">
        <f>-2*Assumptions!$B$13</f>
        <v>-7.0000000000000001E-3</v>
      </c>
      <c r="N35" s="15">
        <f>-Assumptions!$B$16*MAX(0,(1+O32)*(1+O33)*(1+O34)-1)</f>
        <v>-2.1632282894262975E-2</v>
      </c>
      <c r="O35" s="15">
        <f t="shared" si="1"/>
        <v>-5.3395519964640453E-2</v>
      </c>
      <c r="P35" s="20">
        <f t="shared" si="3"/>
        <v>1.3207411522975221</v>
      </c>
      <c r="Q35" s="20">
        <f>MAX($P$5:P35)</f>
        <v>1.7685341812544308</v>
      </c>
      <c r="R35" s="15">
        <f t="shared" si="2"/>
        <v>-0.25320009853543612</v>
      </c>
      <c r="S35" s="15">
        <f>O35-Benchmark_RF!D35</f>
        <v>-5.844632234351535E-2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IF(Rankings!C41&lt;=2,1,0)</f>
        <v>0</v>
      </c>
      <c r="D36" s="16">
        <f>IF(Rankings!D41&lt;=2,1,0)</f>
        <v>1</v>
      </c>
      <c r="E36" s="16">
        <f>IF(Rankings!E41&lt;=2,1,0)</f>
        <v>0</v>
      </c>
      <c r="F36" s="16">
        <f>IF(Rankings!F41&lt;=2,1,0)</f>
        <v>0</v>
      </c>
      <c r="G36" s="16">
        <f>IF(Rankings!G41&lt;=2,1,0)</f>
        <v>1</v>
      </c>
      <c r="H36" s="16">
        <f>IF(Rankings!H41&lt;=2,1,0)</f>
        <v>0</v>
      </c>
      <c r="I36" s="16">
        <f>IF(Rankings!I41&lt;=2,1,0)</f>
        <v>0</v>
      </c>
      <c r="J36" s="16">
        <f>IF(Rankings!J41&lt;=2,1,0)</f>
        <v>0</v>
      </c>
      <c r="K36" s="19">
        <f t="shared" si="0"/>
        <v>2</v>
      </c>
      <c r="L36" s="15">
        <f>SUMPRODUCT(C36:J36,Returns!B40:I40)/K36</f>
        <v>0.10337764069423028</v>
      </c>
      <c r="M36" s="15">
        <v>0</v>
      </c>
      <c r="N36" s="15">
        <v>0</v>
      </c>
      <c r="O36" s="15">
        <f t="shared" si="1"/>
        <v>0.10337764069423028</v>
      </c>
      <c r="P36" s="20">
        <f t="shared" si="3"/>
        <v>1.457276256589819</v>
      </c>
      <c r="Q36" s="20">
        <f>MAX($P$5:P36)</f>
        <v>1.7685341812544308</v>
      </c>
      <c r="R36" s="15">
        <f t="shared" si="2"/>
        <v>-0.17599768665134585</v>
      </c>
      <c r="S36" s="15">
        <f>O36-Benchmark_RF!D36</f>
        <v>9.8305632622115113E-2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IF(Rankings!C41&lt;=2,1,0)</f>
        <v>0</v>
      </c>
      <c r="D37" s="16">
        <f>IF(Rankings!D41&lt;=2,1,0)</f>
        <v>1</v>
      </c>
      <c r="E37" s="16">
        <f>IF(Rankings!E41&lt;=2,1,0)</f>
        <v>0</v>
      </c>
      <c r="F37" s="16">
        <f>IF(Rankings!F41&lt;=2,1,0)</f>
        <v>0</v>
      </c>
      <c r="G37" s="16">
        <f>IF(Rankings!G41&lt;=2,1,0)</f>
        <v>1</v>
      </c>
      <c r="H37" s="16">
        <f>IF(Rankings!H41&lt;=2,1,0)</f>
        <v>0</v>
      </c>
      <c r="I37" s="16">
        <f>IF(Rankings!I41&lt;=2,1,0)</f>
        <v>0</v>
      </c>
      <c r="J37" s="16">
        <f>IF(Rankings!J41&lt;=2,1,0)</f>
        <v>0</v>
      </c>
      <c r="K37" s="19">
        <f t="shared" ref="K37:K68" si="4">SUM(C37:J37)</f>
        <v>2</v>
      </c>
      <c r="L37" s="15">
        <f>SUMPRODUCT(C37:J37,Returns!B41:I41)/K37</f>
        <v>-2.692027242498779E-2</v>
      </c>
      <c r="M37" s="15">
        <v>0</v>
      </c>
      <c r="N37" s="15">
        <v>0</v>
      </c>
      <c r="O37" s="15">
        <f t="shared" ref="O37:O68" si="5">L37+M37+N37</f>
        <v>-2.692027242498779E-2</v>
      </c>
      <c r="P37" s="20">
        <f t="shared" si="3"/>
        <v>1.4180459827639547</v>
      </c>
      <c r="Q37" s="20">
        <f>MAX($P$5:P37)</f>
        <v>1.7685341812544308</v>
      </c>
      <c r="R37" s="15">
        <f t="shared" ref="R37:R68" si="6">P37/Q37-1</f>
        <v>-0.19818005340551181</v>
      </c>
      <c r="S37" s="15">
        <f>O37-Benchmark_RF!D37</f>
        <v>-3.1974780242661149E-2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IF(Rankings!C44&lt;=2,1,0)</f>
        <v>0</v>
      </c>
      <c r="D38" s="16">
        <f>IF(Rankings!D44&lt;=2,1,0)</f>
        <v>0</v>
      </c>
      <c r="E38" s="16">
        <f>IF(Rankings!E44&lt;=2,1,0)</f>
        <v>0</v>
      </c>
      <c r="F38" s="16">
        <f>IF(Rankings!F44&lt;=2,1,0)</f>
        <v>1</v>
      </c>
      <c r="G38" s="16">
        <f>IF(Rankings!G44&lt;=2,1,0)</f>
        <v>0</v>
      </c>
      <c r="H38" s="16">
        <f>IF(Rankings!H44&lt;=2,1,0)</f>
        <v>1</v>
      </c>
      <c r="I38" s="16">
        <f>IF(Rankings!I44&lt;=2,1,0)</f>
        <v>0</v>
      </c>
      <c r="J38" s="16">
        <f>IF(Rankings!J44&lt;=2,1,0)</f>
        <v>0</v>
      </c>
      <c r="K38" s="19">
        <f t="shared" si="4"/>
        <v>2</v>
      </c>
      <c r="L38" s="15">
        <f>SUMPRODUCT(C38:J38,Returns!B42:I42)/K38</f>
        <v>-1.9534883106197443E-2</v>
      </c>
      <c r="M38" s="15">
        <f>-2*Assumptions!$B$13</f>
        <v>-7.0000000000000001E-3</v>
      </c>
      <c r="N38" s="15">
        <f>-Assumptions!$B$16*MAX(0,(1+O35)*(1+O36)*(1+O37)-1)</f>
        <v>-2.4517515614731256E-3</v>
      </c>
      <c r="O38" s="15">
        <f t="shared" si="5"/>
        <v>-2.8986634667670569E-2</v>
      </c>
      <c r="P38" s="20">
        <f t="shared" ref="P38:P69" si="7">P37*(1+O38)</f>
        <v>1.3769416019196179</v>
      </c>
      <c r="Q38" s="20">
        <f>MAX($P$5:P38)</f>
        <v>1.7685341812544308</v>
      </c>
      <c r="R38" s="15">
        <f t="shared" si="6"/>
        <v>-0.22142211526669742</v>
      </c>
      <c r="S38" s="15">
        <f>O38-Benchmark_RF!D38</f>
        <v>-3.4058169804004529E-2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IF(Rankings!C44&lt;=2,1,0)</f>
        <v>0</v>
      </c>
      <c r="D39" s="16">
        <f>IF(Rankings!D44&lt;=2,1,0)</f>
        <v>0</v>
      </c>
      <c r="E39" s="16">
        <f>IF(Rankings!E44&lt;=2,1,0)</f>
        <v>0</v>
      </c>
      <c r="F39" s="16">
        <f>IF(Rankings!F44&lt;=2,1,0)</f>
        <v>1</v>
      </c>
      <c r="G39" s="16">
        <f>IF(Rankings!G44&lt;=2,1,0)</f>
        <v>0</v>
      </c>
      <c r="H39" s="16">
        <f>IF(Rankings!H44&lt;=2,1,0)</f>
        <v>1</v>
      </c>
      <c r="I39" s="16">
        <f>IF(Rankings!I44&lt;=2,1,0)</f>
        <v>0</v>
      </c>
      <c r="J39" s="16">
        <f>IF(Rankings!J44&lt;=2,1,0)</f>
        <v>0</v>
      </c>
      <c r="K39" s="19">
        <f t="shared" si="4"/>
        <v>2</v>
      </c>
      <c r="L39" s="15">
        <f>SUMPRODUCT(C39:J39,Returns!B43:I43)/K39</f>
        <v>-1.0981589031162364E-2</v>
      </c>
      <c r="M39" s="15">
        <v>0</v>
      </c>
      <c r="N39" s="15">
        <v>0</v>
      </c>
      <c r="O39" s="15">
        <f t="shared" si="5"/>
        <v>-1.0981589031162364E-2</v>
      </c>
      <c r="P39" s="20">
        <f t="shared" si="7"/>
        <v>1.3618205951274263</v>
      </c>
      <c r="Q39" s="20">
        <f>MAX($P$5:P39)</f>
        <v>1.7685341812544308</v>
      </c>
      <c r="R39" s="15">
        <f t="shared" si="6"/>
        <v>-0.22997213762559032</v>
      </c>
      <c r="S39" s="15">
        <f>O39-Benchmark_RF!D39</f>
        <v>-1.644717574311011E-2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IF(Rankings!C44&lt;=2,1,0)</f>
        <v>0</v>
      </c>
      <c r="D40" s="16">
        <f>IF(Rankings!D44&lt;=2,1,0)</f>
        <v>0</v>
      </c>
      <c r="E40" s="16">
        <f>IF(Rankings!E44&lt;=2,1,0)</f>
        <v>0</v>
      </c>
      <c r="F40" s="16">
        <f>IF(Rankings!F44&lt;=2,1,0)</f>
        <v>1</v>
      </c>
      <c r="G40" s="16">
        <f>IF(Rankings!G44&lt;=2,1,0)</f>
        <v>0</v>
      </c>
      <c r="H40" s="16">
        <f>IF(Rankings!H44&lt;=2,1,0)</f>
        <v>1</v>
      </c>
      <c r="I40" s="16">
        <f>IF(Rankings!I44&lt;=2,1,0)</f>
        <v>0</v>
      </c>
      <c r="J40" s="16">
        <f>IF(Rankings!J44&lt;=2,1,0)</f>
        <v>0</v>
      </c>
      <c r="K40" s="19">
        <f t="shared" si="4"/>
        <v>2</v>
      </c>
      <c r="L40" s="15">
        <f>SUMPRODUCT(C40:J40,Returns!B44:I44)/K40</f>
        <v>2.6722789725317941E-2</v>
      </c>
      <c r="M40" s="15">
        <v>0</v>
      </c>
      <c r="N40" s="15">
        <v>0</v>
      </c>
      <c r="O40" s="15">
        <f t="shared" si="5"/>
        <v>2.6722789725317941E-2</v>
      </c>
      <c r="P40" s="20">
        <f t="shared" si="7"/>
        <v>1.3982122405346238</v>
      </c>
      <c r="Q40" s="20">
        <f>MAX($P$5:P40)</f>
        <v>1.7685341812544308</v>
      </c>
      <c r="R40" s="15">
        <f t="shared" si="6"/>
        <v>-0.20939484497672289</v>
      </c>
      <c r="S40" s="15">
        <f>O40-Benchmark_RF!D40</f>
        <v>2.0505445932267774E-2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IF(Rankings!C47&lt;=2,1,0)</f>
        <v>1</v>
      </c>
      <c r="D41" s="16">
        <f>IF(Rankings!D47&lt;=2,1,0)</f>
        <v>0</v>
      </c>
      <c r="E41" s="16">
        <f>IF(Rankings!E47&lt;=2,1,0)</f>
        <v>0</v>
      </c>
      <c r="F41" s="16">
        <f>IF(Rankings!F47&lt;=2,1,0)</f>
        <v>0</v>
      </c>
      <c r="G41" s="16">
        <f>IF(Rankings!G47&lt;=2,1,0)</f>
        <v>0</v>
      </c>
      <c r="H41" s="16">
        <f>IF(Rankings!H47&lt;=2,1,0)</f>
        <v>1</v>
      </c>
      <c r="I41" s="16">
        <f>IF(Rankings!I47&lt;=2,1,0)</f>
        <v>0</v>
      </c>
      <c r="J41" s="16">
        <f>IF(Rankings!J47&lt;=2,1,0)</f>
        <v>0</v>
      </c>
      <c r="K41" s="19">
        <f t="shared" si="4"/>
        <v>2</v>
      </c>
      <c r="L41" s="15">
        <f>SUMPRODUCT(C41:J41,Returns!B45:I45)/K41</f>
        <v>-4.4257352583539356E-3</v>
      </c>
      <c r="M41" s="15">
        <f>-2*Assumptions!$B$13</f>
        <v>-7.0000000000000001E-3</v>
      </c>
      <c r="N41" s="15">
        <f>-Assumptions!$B$16*MAX(0,(1+O38)*(1+O39)*(1+O40)-1)</f>
        <v>0</v>
      </c>
      <c r="O41" s="15">
        <f t="shared" si="5"/>
        <v>-1.1425735258353935E-2</v>
      </c>
      <c r="P41" s="20">
        <f t="shared" si="7"/>
        <v>1.3822366376392854</v>
      </c>
      <c r="Q41" s="20">
        <f>MAX($P$5:P41)</f>
        <v>1.7685341812544308</v>
      </c>
      <c r="R41" s="15">
        <f t="shared" si="6"/>
        <v>-0.21842809017190867</v>
      </c>
      <c r="S41" s="15">
        <f>O41-Benchmark_RF!D41</f>
        <v>-1.7665416719639664E-2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IF(Rankings!C47&lt;=2,1,0)</f>
        <v>1</v>
      </c>
      <c r="D42" s="16">
        <f>IF(Rankings!D47&lt;=2,1,0)</f>
        <v>0</v>
      </c>
      <c r="E42" s="16">
        <f>IF(Rankings!E47&lt;=2,1,0)</f>
        <v>0</v>
      </c>
      <c r="F42" s="16">
        <f>IF(Rankings!F47&lt;=2,1,0)</f>
        <v>0</v>
      </c>
      <c r="G42" s="16">
        <f>IF(Rankings!G47&lt;=2,1,0)</f>
        <v>0</v>
      </c>
      <c r="H42" s="16">
        <f>IF(Rankings!H47&lt;=2,1,0)</f>
        <v>1</v>
      </c>
      <c r="I42" s="16">
        <f>IF(Rankings!I47&lt;=2,1,0)</f>
        <v>0</v>
      </c>
      <c r="J42" s="16">
        <f>IF(Rankings!J47&lt;=2,1,0)</f>
        <v>0</v>
      </c>
      <c r="K42" s="19">
        <f t="shared" si="4"/>
        <v>2</v>
      </c>
      <c r="L42" s="15">
        <f>SUMPRODUCT(C42:J42,Returns!B46:I46)/K42</f>
        <v>2.763325510274639E-3</v>
      </c>
      <c r="M42" s="15">
        <v>0</v>
      </c>
      <c r="N42" s="15">
        <v>0</v>
      </c>
      <c r="O42" s="15">
        <f t="shared" si="5"/>
        <v>2.763325510274639E-3</v>
      </c>
      <c r="P42" s="20">
        <f t="shared" si="7"/>
        <v>1.3860562074013103</v>
      </c>
      <c r="Q42" s="20">
        <f>MAX($P$5:P42)</f>
        <v>1.7685341812544308</v>
      </c>
      <c r="R42" s="15">
        <f t="shared" si="6"/>
        <v>-0.21626835257536658</v>
      </c>
      <c r="S42" s="15">
        <f>O42-Benchmark_RF!D42</f>
        <v>-3.4763559510110897E-3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IF(Rankings!C47&lt;=2,1,0)</f>
        <v>1</v>
      </c>
      <c r="D43" s="16">
        <f>IF(Rankings!D47&lt;=2,1,0)</f>
        <v>0</v>
      </c>
      <c r="E43" s="16">
        <f>IF(Rankings!E47&lt;=2,1,0)</f>
        <v>0</v>
      </c>
      <c r="F43" s="16">
        <f>IF(Rankings!F47&lt;=2,1,0)</f>
        <v>0</v>
      </c>
      <c r="G43" s="16">
        <f>IF(Rankings!G47&lt;=2,1,0)</f>
        <v>0</v>
      </c>
      <c r="H43" s="16">
        <f>IF(Rankings!H47&lt;=2,1,0)</f>
        <v>1</v>
      </c>
      <c r="I43" s="16">
        <f>IF(Rankings!I47&lt;=2,1,0)</f>
        <v>0</v>
      </c>
      <c r="J43" s="16">
        <f>IF(Rankings!J47&lt;=2,1,0)</f>
        <v>0</v>
      </c>
      <c r="K43" s="19">
        <f t="shared" si="4"/>
        <v>2</v>
      </c>
      <c r="L43" s="15">
        <f>SUMPRODUCT(C43:J43,Returns!B47:I47)/K43</f>
        <v>2.0208866155157712E-2</v>
      </c>
      <c r="M43" s="15">
        <v>0</v>
      </c>
      <c r="N43" s="15">
        <v>0</v>
      </c>
      <c r="O43" s="15">
        <f t="shared" si="5"/>
        <v>2.0208866155157712E-2</v>
      </c>
      <c r="P43" s="20">
        <f t="shared" si="7"/>
        <v>1.4140668317802088</v>
      </c>
      <c r="Q43" s="20">
        <f>MAX($P$5:P43)</f>
        <v>1.7685341812544308</v>
      </c>
      <c r="R43" s="15">
        <f t="shared" si="6"/>
        <v>-0.20043002461100101</v>
      </c>
      <c r="S43" s="15">
        <f>O43-Benchmark_RF!D43</f>
        <v>1.3161927759419823E-2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IF(Rankings!C50&lt;=2,1,0)</f>
        <v>1</v>
      </c>
      <c r="D44" s="16">
        <f>IF(Rankings!D50&lt;=2,1,0)</f>
        <v>1</v>
      </c>
      <c r="E44" s="16">
        <f>IF(Rankings!E50&lt;=2,1,0)</f>
        <v>0</v>
      </c>
      <c r="F44" s="16">
        <f>IF(Rankings!F50&lt;=2,1,0)</f>
        <v>0</v>
      </c>
      <c r="G44" s="16">
        <f>IF(Rankings!G50&lt;=2,1,0)</f>
        <v>0</v>
      </c>
      <c r="H44" s="16">
        <f>IF(Rankings!H50&lt;=2,1,0)</f>
        <v>0</v>
      </c>
      <c r="I44" s="16">
        <f>IF(Rankings!I50&lt;=2,1,0)</f>
        <v>0</v>
      </c>
      <c r="J44" s="16">
        <f>IF(Rankings!J50&lt;=2,1,0)</f>
        <v>0</v>
      </c>
      <c r="K44" s="19">
        <f t="shared" si="4"/>
        <v>2</v>
      </c>
      <c r="L44" s="15">
        <f>SUMPRODUCT(C44:J44,Returns!B48:I48)/K44</f>
        <v>-4.0714696840327524E-2</v>
      </c>
      <c r="M44" s="15">
        <f>-2*Assumptions!$B$13</f>
        <v>-7.0000000000000001E-3</v>
      </c>
      <c r="N44" s="15">
        <f>-Assumptions!$B$16*MAX(0,(1+O41)*(1+O42)*(1+O43)-1)</f>
        <v>-1.700878177070142E-3</v>
      </c>
      <c r="O44" s="15">
        <f t="shared" si="5"/>
        <v>-4.9415575017397663E-2</v>
      </c>
      <c r="P44" s="20">
        <f t="shared" si="7"/>
        <v>1.34418990617476</v>
      </c>
      <c r="Q44" s="20">
        <f>MAX($P$5:P44)</f>
        <v>1.7685341812544308</v>
      </c>
      <c r="R44" s="15">
        <f t="shared" si="6"/>
        <v>-0.23994123471149487</v>
      </c>
      <c r="S44" s="15">
        <f>O44-Benchmark_RF!D44</f>
        <v>-5.6467295883106262E-2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IF(Rankings!C50&lt;=2,1,0)</f>
        <v>1</v>
      </c>
      <c r="D45" s="16">
        <f>IF(Rankings!D50&lt;=2,1,0)</f>
        <v>1</v>
      </c>
      <c r="E45" s="16">
        <f>IF(Rankings!E50&lt;=2,1,0)</f>
        <v>0</v>
      </c>
      <c r="F45" s="16">
        <f>IF(Rankings!F50&lt;=2,1,0)</f>
        <v>0</v>
      </c>
      <c r="G45" s="16">
        <f>IF(Rankings!G50&lt;=2,1,0)</f>
        <v>0</v>
      </c>
      <c r="H45" s="16">
        <f>IF(Rankings!H50&lt;=2,1,0)</f>
        <v>0</v>
      </c>
      <c r="I45" s="16">
        <f>IF(Rankings!I50&lt;=2,1,0)</f>
        <v>0</v>
      </c>
      <c r="J45" s="16">
        <f>IF(Rankings!J50&lt;=2,1,0)</f>
        <v>0</v>
      </c>
      <c r="K45" s="19">
        <f t="shared" si="4"/>
        <v>2</v>
      </c>
      <c r="L45" s="15">
        <f>SUMPRODUCT(C45:J45,Returns!B49:I49)/K45</f>
        <v>-0.10587564706699093</v>
      </c>
      <c r="M45" s="15">
        <v>0</v>
      </c>
      <c r="N45" s="15">
        <v>0</v>
      </c>
      <c r="O45" s="15">
        <f t="shared" si="5"/>
        <v>-0.10587564706699093</v>
      </c>
      <c r="P45" s="20">
        <f t="shared" si="7"/>
        <v>1.2018729300775894</v>
      </c>
      <c r="Q45" s="20">
        <f>MAX($P$5:P45)</f>
        <v>1.7685341812544308</v>
      </c>
      <c r="R45" s="15">
        <f t="shared" si="6"/>
        <v>-0.32041294829535361</v>
      </c>
      <c r="S45" s="15">
        <f>O45-Benchmark_RF!D45</f>
        <v>-0.11407599680968905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IF(Rankings!C50&lt;=2,1,0)</f>
        <v>1</v>
      </c>
      <c r="D46" s="16">
        <f>IF(Rankings!D50&lt;=2,1,0)</f>
        <v>1</v>
      </c>
      <c r="E46" s="16">
        <f>IF(Rankings!E50&lt;=2,1,0)</f>
        <v>0</v>
      </c>
      <c r="F46" s="16">
        <f>IF(Rankings!F50&lt;=2,1,0)</f>
        <v>0</v>
      </c>
      <c r="G46" s="16">
        <f>IF(Rankings!G50&lt;=2,1,0)</f>
        <v>0</v>
      </c>
      <c r="H46" s="16">
        <f>IF(Rankings!H50&lt;=2,1,0)</f>
        <v>0</v>
      </c>
      <c r="I46" s="16">
        <f>IF(Rankings!I50&lt;=2,1,0)</f>
        <v>0</v>
      </c>
      <c r="J46" s="16">
        <f>IF(Rankings!J50&lt;=2,1,0)</f>
        <v>0</v>
      </c>
      <c r="K46" s="19">
        <f t="shared" si="4"/>
        <v>2</v>
      </c>
      <c r="L46" s="15">
        <f>SUMPRODUCT(C46:J46,Returns!B50:I50)/K46</f>
        <v>8.9370667412234095E-2</v>
      </c>
      <c r="M46" s="15">
        <v>0</v>
      </c>
      <c r="N46" s="15">
        <v>0</v>
      </c>
      <c r="O46" s="15">
        <f t="shared" si="5"/>
        <v>8.9370667412234095E-2</v>
      </c>
      <c r="P46" s="20">
        <f t="shared" si="7"/>
        <v>1.309285115983321</v>
      </c>
      <c r="Q46" s="20">
        <f>MAX($P$5:P46)</f>
        <v>1.7685341812544308</v>
      </c>
      <c r="R46" s="15">
        <f t="shared" si="6"/>
        <v>-0.25967779991979689</v>
      </c>
      <c r="S46" s="15">
        <f>O46-Benchmark_RF!D46</f>
        <v>8.1166966100198357E-2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IF(Rankings!C53&lt;=2,1,0)</f>
        <v>1</v>
      </c>
      <c r="D47" s="16">
        <f>IF(Rankings!D53&lt;=2,1,0)</f>
        <v>0</v>
      </c>
      <c r="E47" s="16">
        <f>IF(Rankings!E53&lt;=2,1,0)</f>
        <v>0</v>
      </c>
      <c r="F47" s="16">
        <f>IF(Rankings!F53&lt;=2,1,0)</f>
        <v>0</v>
      </c>
      <c r="G47" s="16">
        <f>IF(Rankings!G53&lt;=2,1,0)</f>
        <v>1</v>
      </c>
      <c r="H47" s="16">
        <f>IF(Rankings!H53&lt;=2,1,0)</f>
        <v>0</v>
      </c>
      <c r="I47" s="16">
        <f>IF(Rankings!I53&lt;=2,1,0)</f>
        <v>0</v>
      </c>
      <c r="J47" s="16">
        <f>IF(Rankings!J53&lt;=2,1,0)</f>
        <v>0</v>
      </c>
      <c r="K47" s="19">
        <f t="shared" si="4"/>
        <v>2</v>
      </c>
      <c r="L47" s="15">
        <f>SUMPRODUCT(C47:J47,Returns!B51:I51)/K47</f>
        <v>-5.8530812086252104E-3</v>
      </c>
      <c r="M47" s="15">
        <f>-2*Assumptions!$B$13</f>
        <v>-7.0000000000000001E-3</v>
      </c>
      <c r="N47" s="15">
        <f>-Assumptions!$B$16*MAX(0,(1+O44)*(1+O45)*(1+O46)-1)</f>
        <v>0</v>
      </c>
      <c r="O47" s="15">
        <f t="shared" si="5"/>
        <v>-1.285308120862521E-2</v>
      </c>
      <c r="P47" s="20">
        <f t="shared" si="7"/>
        <v>1.2924567680623431</v>
      </c>
      <c r="Q47" s="20">
        <f>MAX($P$5:P47)</f>
        <v>1.7685341812544308</v>
      </c>
      <c r="R47" s="15">
        <f t="shared" si="6"/>
        <v>-0.26919322127797574</v>
      </c>
      <c r="S47" s="15">
        <f>O47-Benchmark_RF!D47</f>
        <v>-2.1246099423971647E-2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IF(Rankings!C53&lt;=2,1,0)</f>
        <v>1</v>
      </c>
      <c r="D48" s="16">
        <f>IF(Rankings!D53&lt;=2,1,0)</f>
        <v>0</v>
      </c>
      <c r="E48" s="16">
        <f>IF(Rankings!E53&lt;=2,1,0)</f>
        <v>0</v>
      </c>
      <c r="F48" s="16">
        <f>IF(Rankings!F53&lt;=2,1,0)</f>
        <v>0</v>
      </c>
      <c r="G48" s="16">
        <f>IF(Rankings!G53&lt;=2,1,0)</f>
        <v>1</v>
      </c>
      <c r="H48" s="16">
        <f>IF(Rankings!H53&lt;=2,1,0)</f>
        <v>0</v>
      </c>
      <c r="I48" s="16">
        <f>IF(Rankings!I53&lt;=2,1,0)</f>
        <v>0</v>
      </c>
      <c r="J48" s="16">
        <f>IF(Rankings!J53&lt;=2,1,0)</f>
        <v>0</v>
      </c>
      <c r="K48" s="19">
        <f t="shared" si="4"/>
        <v>2</v>
      </c>
      <c r="L48" s="15">
        <f>SUMPRODUCT(C48:J48,Returns!B52:I52)/K48</f>
        <v>-4.7397776685492221E-2</v>
      </c>
      <c r="M48" s="15">
        <v>0</v>
      </c>
      <c r="N48" s="15">
        <v>0</v>
      </c>
      <c r="O48" s="15">
        <f t="shared" si="5"/>
        <v>-4.7397776685492221E-2</v>
      </c>
      <c r="P48" s="20">
        <f t="shared" si="7"/>
        <v>1.2311971907940711</v>
      </c>
      <c r="Q48" s="20">
        <f>MAX($P$5:P48)</f>
        <v>1.7685341812544308</v>
      </c>
      <c r="R48" s="15">
        <f t="shared" si="6"/>
        <v>-0.30383183777608624</v>
      </c>
      <c r="S48" s="15">
        <f>O48-Benchmark_RF!D48</f>
        <v>-5.5785473802721197E-2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IF(Rankings!C53&lt;=2,1,0)</f>
        <v>1</v>
      </c>
      <c r="D49" s="16">
        <f>IF(Rankings!D53&lt;=2,1,0)</f>
        <v>0</v>
      </c>
      <c r="E49" s="16">
        <f>IF(Rankings!E53&lt;=2,1,0)</f>
        <v>0</v>
      </c>
      <c r="F49" s="16">
        <f>IF(Rankings!F53&lt;=2,1,0)</f>
        <v>0</v>
      </c>
      <c r="G49" s="16">
        <f>IF(Rankings!G53&lt;=2,1,0)</f>
        <v>1</v>
      </c>
      <c r="H49" s="16">
        <f>IF(Rankings!H53&lt;=2,1,0)</f>
        <v>0</v>
      </c>
      <c r="I49" s="16">
        <f>IF(Rankings!I53&lt;=2,1,0)</f>
        <v>0</v>
      </c>
      <c r="J49" s="16">
        <f>IF(Rankings!J53&lt;=2,1,0)</f>
        <v>0</v>
      </c>
      <c r="K49" s="19">
        <f t="shared" si="4"/>
        <v>2</v>
      </c>
      <c r="L49" s="15">
        <f>SUMPRODUCT(C49:J49,Returns!B53:I53)/K49</f>
        <v>-7.4289724679104607E-2</v>
      </c>
      <c r="M49" s="15">
        <v>0</v>
      </c>
      <c r="N49" s="15">
        <v>0</v>
      </c>
      <c r="O49" s="15">
        <f t="shared" si="5"/>
        <v>-7.4289724679104607E-2</v>
      </c>
      <c r="P49" s="20">
        <f t="shared" si="7"/>
        <v>1.1397318904642926</v>
      </c>
      <c r="Q49" s="20">
        <f>MAX($P$5:P49)</f>
        <v>1.7685341812544308</v>
      </c>
      <c r="R49" s="15">
        <f t="shared" si="6"/>
        <v>-0.35554997887805906</v>
      </c>
      <c r="S49" s="15">
        <f>O49-Benchmark_RF!D49</f>
        <v>-8.2986672556211671E-2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IF(Rankings!C56&lt;=2,1,0)</f>
        <v>0</v>
      </c>
      <c r="D50" s="16">
        <f>IF(Rankings!D56&lt;=2,1,0)</f>
        <v>0</v>
      </c>
      <c r="E50" s="16">
        <f>IF(Rankings!E56&lt;=2,1,0)</f>
        <v>1</v>
      </c>
      <c r="F50" s="16">
        <f>IF(Rankings!F56&lt;=2,1,0)</f>
        <v>0</v>
      </c>
      <c r="G50" s="16">
        <f>IF(Rankings!G56&lt;=2,1,0)</f>
        <v>1</v>
      </c>
      <c r="H50" s="16">
        <f>IF(Rankings!H56&lt;=2,1,0)</f>
        <v>0</v>
      </c>
      <c r="I50" s="16">
        <f>IF(Rankings!I56&lt;=2,1,0)</f>
        <v>0</v>
      </c>
      <c r="J50" s="16">
        <f>IF(Rankings!J56&lt;=2,1,0)</f>
        <v>0</v>
      </c>
      <c r="K50" s="19">
        <f t="shared" si="4"/>
        <v>2</v>
      </c>
      <c r="L50" s="15">
        <f>SUMPRODUCT(C50:J50,Returns!B54:I54)/K50</f>
        <v>4.6305563567829999E-2</v>
      </c>
      <c r="M50" s="15">
        <f>-2*Assumptions!$B$13</f>
        <v>-7.0000000000000001E-3</v>
      </c>
      <c r="N50" s="15">
        <f>-Assumptions!$B$16*MAX(0,(1+O47)*(1+O48)*(1+O49)-1)</f>
        <v>0</v>
      </c>
      <c r="O50" s="15">
        <f t="shared" si="5"/>
        <v>3.930556356783E-2</v>
      </c>
      <c r="P50" s="20">
        <f t="shared" si="7"/>
        <v>1.18452969473522</v>
      </c>
      <c r="Q50" s="20">
        <f>MAX($P$5:P50)</f>
        <v>1.7685341812544308</v>
      </c>
      <c r="R50" s="15">
        <f t="shared" si="6"/>
        <v>-0.33021950760656116</v>
      </c>
      <c r="S50" s="15">
        <f>O50-Benchmark_RF!D50</f>
        <v>2.9386120895161912E-2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IF(Rankings!C56&lt;=2,1,0)</f>
        <v>0</v>
      </c>
      <c r="D51" s="16">
        <f>IF(Rankings!D56&lt;=2,1,0)</f>
        <v>0</v>
      </c>
      <c r="E51" s="16">
        <f>IF(Rankings!E56&lt;=2,1,0)</f>
        <v>1</v>
      </c>
      <c r="F51" s="16">
        <f>IF(Rankings!F56&lt;=2,1,0)</f>
        <v>0</v>
      </c>
      <c r="G51" s="16">
        <f>IF(Rankings!G56&lt;=2,1,0)</f>
        <v>1</v>
      </c>
      <c r="H51" s="16">
        <f>IF(Rankings!H56&lt;=2,1,0)</f>
        <v>0</v>
      </c>
      <c r="I51" s="16">
        <f>IF(Rankings!I56&lt;=2,1,0)</f>
        <v>0</v>
      </c>
      <c r="J51" s="16">
        <f>IF(Rankings!J56&lt;=2,1,0)</f>
        <v>0</v>
      </c>
      <c r="K51" s="19">
        <f t="shared" si="4"/>
        <v>2</v>
      </c>
      <c r="L51" s="15">
        <f>SUMPRODUCT(C51:J51,Returns!B55:I55)/K51</f>
        <v>-9.3258520276210732E-2</v>
      </c>
      <c r="M51" s="15">
        <v>0</v>
      </c>
      <c r="N51" s="15">
        <v>0</v>
      </c>
      <c r="O51" s="15">
        <f t="shared" si="5"/>
        <v>-9.3258520276210732E-2</v>
      </c>
      <c r="P51" s="20">
        <f t="shared" si="7"/>
        <v>1.0740622081809816</v>
      </c>
      <c r="Q51" s="20">
        <f>MAX($P$5:P51)</f>
        <v>1.7685341812544308</v>
      </c>
      <c r="R51" s="15">
        <f t="shared" si="6"/>
        <v>-0.39268224523704509</v>
      </c>
      <c r="S51" s="15">
        <f>O51-Benchmark_RF!D51</f>
        <v>-0.10330003830309742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IF(Rankings!C56&lt;=2,1,0)</f>
        <v>0</v>
      </c>
      <c r="D52" s="16">
        <f>IF(Rankings!D56&lt;=2,1,0)</f>
        <v>0</v>
      </c>
      <c r="E52" s="16">
        <f>IF(Rankings!E56&lt;=2,1,0)</f>
        <v>1</v>
      </c>
      <c r="F52" s="16">
        <f>IF(Rankings!F56&lt;=2,1,0)</f>
        <v>0</v>
      </c>
      <c r="G52" s="16">
        <f>IF(Rankings!G56&lt;=2,1,0)</f>
        <v>1</v>
      </c>
      <c r="H52" s="16">
        <f>IF(Rankings!H56&lt;=2,1,0)</f>
        <v>0</v>
      </c>
      <c r="I52" s="16">
        <f>IF(Rankings!I56&lt;=2,1,0)</f>
        <v>0</v>
      </c>
      <c r="J52" s="16">
        <f>IF(Rankings!J56&lt;=2,1,0)</f>
        <v>0</v>
      </c>
      <c r="K52" s="19">
        <f t="shared" si="4"/>
        <v>2</v>
      </c>
      <c r="L52" s="15">
        <f>SUMPRODUCT(C52:J52,Returns!B56:I56)/K52</f>
        <v>5.3635415225650185E-3</v>
      </c>
      <c r="M52" s="15">
        <v>0</v>
      </c>
      <c r="N52" s="15">
        <v>0</v>
      </c>
      <c r="O52" s="15">
        <f t="shared" si="5"/>
        <v>5.3635415225650185E-3</v>
      </c>
      <c r="P52" s="20">
        <f t="shared" si="7"/>
        <v>1.0798229854323782</v>
      </c>
      <c r="Q52" s="20">
        <f>MAX($P$5:P52)</f>
        <v>1.7685341812544308</v>
      </c>
      <c r="R52" s="15">
        <f t="shared" si="6"/>
        <v>-0.38942487124198299</v>
      </c>
      <c r="S52" s="15">
        <f>O52-Benchmark_RF!D52</f>
        <v>-5.4271853184495455E-3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IF(Rankings!C59&lt;=2,1,0)</f>
        <v>1</v>
      </c>
      <c r="D53" s="16">
        <f>IF(Rankings!D59&lt;=2,1,0)</f>
        <v>0</v>
      </c>
      <c r="E53" s="16">
        <f>IF(Rankings!E59&lt;=2,1,0)</f>
        <v>0</v>
      </c>
      <c r="F53" s="16">
        <f>IF(Rankings!F59&lt;=2,1,0)</f>
        <v>0</v>
      </c>
      <c r="G53" s="16">
        <f>IF(Rankings!G59&lt;=2,1,0)</f>
        <v>1</v>
      </c>
      <c r="H53" s="16">
        <f>IF(Rankings!H59&lt;=2,1,0)</f>
        <v>0</v>
      </c>
      <c r="I53" s="16">
        <f>IF(Rankings!I59&lt;=2,1,0)</f>
        <v>0</v>
      </c>
      <c r="J53" s="16">
        <f>IF(Rankings!J59&lt;=2,1,0)</f>
        <v>0</v>
      </c>
      <c r="K53" s="19">
        <f t="shared" si="4"/>
        <v>2</v>
      </c>
      <c r="L53" s="15">
        <f>SUMPRODUCT(C53:J53,Returns!B57:I57)/K53</f>
        <v>-0.12575351412676361</v>
      </c>
      <c r="M53" s="15">
        <f>-2*Assumptions!$B$13</f>
        <v>-7.0000000000000001E-3</v>
      </c>
      <c r="N53" s="15">
        <f>-Assumptions!$B$16*MAX(0,(1+O50)*(1+O51)*(1+O52)-1)</f>
        <v>0</v>
      </c>
      <c r="O53" s="15">
        <f t="shared" si="5"/>
        <v>-0.13275351412676362</v>
      </c>
      <c r="P53" s="20">
        <f t="shared" si="7"/>
        <v>0.93647268948137696</v>
      </c>
      <c r="Q53" s="20">
        <f>MAX($P$5:P53)</f>
        <v>1.7685341812544308</v>
      </c>
      <c r="R53" s="15">
        <f t="shared" si="6"/>
        <v>-0.47048086522301091</v>
      </c>
      <c r="S53" s="15">
        <f>O53-Benchmark_RF!D53</f>
        <v>-0.14354668469755227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IF(Rankings!C59&lt;=2,1,0)</f>
        <v>1</v>
      </c>
      <c r="D54" s="16">
        <f>IF(Rankings!D59&lt;=2,1,0)</f>
        <v>0</v>
      </c>
      <c r="E54" s="16">
        <f>IF(Rankings!E59&lt;=2,1,0)</f>
        <v>0</v>
      </c>
      <c r="F54" s="16">
        <f>IF(Rankings!F59&lt;=2,1,0)</f>
        <v>0</v>
      </c>
      <c r="G54" s="16">
        <f>IF(Rankings!G59&lt;=2,1,0)</f>
        <v>1</v>
      </c>
      <c r="H54" s="16">
        <f>IF(Rankings!H59&lt;=2,1,0)</f>
        <v>0</v>
      </c>
      <c r="I54" s="16">
        <f>IF(Rankings!I59&lt;=2,1,0)</f>
        <v>0</v>
      </c>
      <c r="J54" s="16">
        <f>IF(Rankings!J59&lt;=2,1,0)</f>
        <v>0</v>
      </c>
      <c r="K54" s="19">
        <f t="shared" si="4"/>
        <v>2</v>
      </c>
      <c r="L54" s="15">
        <f>SUMPRODUCT(C54:J54,Returns!B58:I58)/K54</f>
        <v>8.128558512888201E-2</v>
      </c>
      <c r="M54" s="15">
        <v>0</v>
      </c>
      <c r="N54" s="15">
        <v>0</v>
      </c>
      <c r="O54" s="15">
        <f t="shared" si="5"/>
        <v>8.128558512888201E-2</v>
      </c>
      <c r="P54" s="20">
        <f t="shared" si="7"/>
        <v>1.0125944200030885</v>
      </c>
      <c r="Q54" s="20">
        <f>MAX($P$5:P54)</f>
        <v>1.7685341812544308</v>
      </c>
      <c r="R54" s="15">
        <f t="shared" si="6"/>
        <v>-0.42743859251572403</v>
      </c>
      <c r="S54" s="15">
        <f>O54-Benchmark_RF!D54</f>
        <v>7.0515447440121448E-2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IF(Rankings!C59&lt;=2,1,0)</f>
        <v>1</v>
      </c>
      <c r="D55" s="16">
        <f>IF(Rankings!D59&lt;=2,1,0)</f>
        <v>0</v>
      </c>
      <c r="E55" s="16">
        <f>IF(Rankings!E59&lt;=2,1,0)</f>
        <v>0</v>
      </c>
      <c r="F55" s="16">
        <f>IF(Rankings!F59&lt;=2,1,0)</f>
        <v>0</v>
      </c>
      <c r="G55" s="16">
        <f>IF(Rankings!G59&lt;=2,1,0)</f>
        <v>1</v>
      </c>
      <c r="H55" s="16">
        <f>IF(Rankings!H59&lt;=2,1,0)</f>
        <v>0</v>
      </c>
      <c r="I55" s="16">
        <f>IF(Rankings!I59&lt;=2,1,0)</f>
        <v>0</v>
      </c>
      <c r="J55" s="16">
        <f>IF(Rankings!J59&lt;=2,1,0)</f>
        <v>0</v>
      </c>
      <c r="K55" s="19">
        <f t="shared" si="4"/>
        <v>2</v>
      </c>
      <c r="L55" s="15">
        <f>SUMPRODUCT(C55:J55,Returns!B59:I59)/K55</f>
        <v>3.0249119663918078E-2</v>
      </c>
      <c r="M55" s="15">
        <v>0</v>
      </c>
      <c r="N55" s="15">
        <v>0</v>
      </c>
      <c r="O55" s="15">
        <f t="shared" si="5"/>
        <v>3.0249119663918078E-2</v>
      </c>
      <c r="P55" s="20">
        <f t="shared" si="7"/>
        <v>1.0432245097847777</v>
      </c>
      <c r="Q55" s="20">
        <f>MAX($P$5:P55)</f>
        <v>1.7685341812544308</v>
      </c>
      <c r="R55" s="15">
        <f t="shared" si="6"/>
        <v>-0.41011911398579082</v>
      </c>
      <c r="S55" s="15">
        <f>O55-Benchmark_RF!D55</f>
        <v>1.9825913395137951E-2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IF(Rankings!C62&lt;=2,1,0)</f>
        <v>0</v>
      </c>
      <c r="D56" s="16">
        <f>IF(Rankings!D62&lt;=2,1,0)</f>
        <v>1</v>
      </c>
      <c r="E56" s="16">
        <f>IF(Rankings!E62&lt;=2,1,0)</f>
        <v>0</v>
      </c>
      <c r="F56" s="16">
        <f>IF(Rankings!F62&lt;=2,1,0)</f>
        <v>0</v>
      </c>
      <c r="G56" s="16">
        <f>IF(Rankings!G62&lt;=2,1,0)</f>
        <v>0</v>
      </c>
      <c r="H56" s="16">
        <f>IF(Rankings!H62&lt;=2,1,0)</f>
        <v>0</v>
      </c>
      <c r="I56" s="16">
        <f>IF(Rankings!I62&lt;=2,1,0)</f>
        <v>1</v>
      </c>
      <c r="J56" s="16">
        <f>IF(Rankings!J62&lt;=2,1,0)</f>
        <v>0</v>
      </c>
      <c r="K56" s="19">
        <f t="shared" si="4"/>
        <v>2</v>
      </c>
      <c r="L56" s="15">
        <f>SUMPRODUCT(C56:J56,Returns!B60:I60)/K56</f>
        <v>5.7795219407777321E-2</v>
      </c>
      <c r="M56" s="15">
        <f>-2*Assumptions!$B$13</f>
        <v>-7.0000000000000001E-3</v>
      </c>
      <c r="N56" s="15">
        <f>-Assumptions!$B$16*MAX(0,(1+O53)*(1+O54)*(1+O55)-1)</f>
        <v>0</v>
      </c>
      <c r="O56" s="15">
        <f t="shared" si="5"/>
        <v>5.0795219407777321E-2</v>
      </c>
      <c r="P56" s="20">
        <f t="shared" si="7"/>
        <v>1.0962153276508664</v>
      </c>
      <c r="Q56" s="20">
        <f>MAX($P$5:P56)</f>
        <v>1.7685341812544308</v>
      </c>
      <c r="R56" s="15">
        <f t="shared" si="6"/>
        <v>-0.38015598495624503</v>
      </c>
      <c r="S56" s="15">
        <f>O56-Benchmark_RF!D56</f>
        <v>4.0215713298820906E-2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IF(Rankings!C62&lt;=2,1,0)</f>
        <v>0</v>
      </c>
      <c r="D57" s="16">
        <f>IF(Rankings!D62&lt;=2,1,0)</f>
        <v>1</v>
      </c>
      <c r="E57" s="16">
        <f>IF(Rankings!E62&lt;=2,1,0)</f>
        <v>0</v>
      </c>
      <c r="F57" s="16">
        <f>IF(Rankings!F62&lt;=2,1,0)</f>
        <v>0</v>
      </c>
      <c r="G57" s="16">
        <f>IF(Rankings!G62&lt;=2,1,0)</f>
        <v>0</v>
      </c>
      <c r="H57" s="16">
        <f>IF(Rankings!H62&lt;=2,1,0)</f>
        <v>0</v>
      </c>
      <c r="I57" s="16">
        <f>IF(Rankings!I62&lt;=2,1,0)</f>
        <v>1</v>
      </c>
      <c r="J57" s="16">
        <f>IF(Rankings!J62&lt;=2,1,0)</f>
        <v>0</v>
      </c>
      <c r="K57" s="19">
        <f t="shared" si="4"/>
        <v>2</v>
      </c>
      <c r="L57" s="15">
        <f>SUMPRODUCT(C57:J57,Returns!B61:I61)/K57</f>
        <v>0.14342592848577906</v>
      </c>
      <c r="M57" s="15">
        <v>0</v>
      </c>
      <c r="N57" s="15">
        <v>0</v>
      </c>
      <c r="O57" s="15">
        <f t="shared" si="5"/>
        <v>0.14342592848577906</v>
      </c>
      <c r="P57" s="20">
        <f t="shared" si="7"/>
        <v>1.2534410288395343</v>
      </c>
      <c r="Q57" s="20">
        <f>MAX($P$5:P57)</f>
        <v>1.7685341812544308</v>
      </c>
      <c r="R57" s="15">
        <f t="shared" si="6"/>
        <v>-0.29125428158224131</v>
      </c>
      <c r="S57" s="15">
        <f>O57-Benchmark_RF!D57</f>
        <v>0.13285725969614792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IF(Rankings!C62&lt;=2,1,0)</f>
        <v>0</v>
      </c>
      <c r="D58" s="16">
        <f>IF(Rankings!D62&lt;=2,1,0)</f>
        <v>1</v>
      </c>
      <c r="E58" s="16">
        <f>IF(Rankings!E62&lt;=2,1,0)</f>
        <v>0</v>
      </c>
      <c r="F58" s="16">
        <f>IF(Rankings!F62&lt;=2,1,0)</f>
        <v>0</v>
      </c>
      <c r="G58" s="16">
        <f>IF(Rankings!G62&lt;=2,1,0)</f>
        <v>0</v>
      </c>
      <c r="H58" s="16">
        <f>IF(Rankings!H62&lt;=2,1,0)</f>
        <v>0</v>
      </c>
      <c r="I58" s="16">
        <f>IF(Rankings!I62&lt;=2,1,0)</f>
        <v>1</v>
      </c>
      <c r="J58" s="16">
        <f>IF(Rankings!J62&lt;=2,1,0)</f>
        <v>0</v>
      </c>
      <c r="K58" s="19">
        <f t="shared" si="4"/>
        <v>2</v>
      </c>
      <c r="L58" s="15">
        <f>SUMPRODUCT(C58:J58,Returns!B62:I62)/K58</f>
        <v>3.5710907450213658E-2</v>
      </c>
      <c r="M58" s="15">
        <v>0</v>
      </c>
      <c r="N58" s="15">
        <v>0</v>
      </c>
      <c r="O58" s="15">
        <f t="shared" si="5"/>
        <v>3.5710907450213658E-2</v>
      </c>
      <c r="P58" s="20">
        <f t="shared" si="7"/>
        <v>1.2982025454147235</v>
      </c>
      <c r="Q58" s="20">
        <f>MAX($P$5:P58)</f>
        <v>1.7685341812544308</v>
      </c>
      <c r="R58" s="15">
        <f t="shared" si="6"/>
        <v>-0.26594432882608954</v>
      </c>
      <c r="S58" s="15">
        <f>O58-Benchmark_RF!D58</f>
        <v>2.5185080854656428E-2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IF(Rankings!C65&lt;=2,1,0)</f>
        <v>0</v>
      </c>
      <c r="D59" s="16">
        <f>IF(Rankings!D65&lt;=2,1,0)</f>
        <v>0</v>
      </c>
      <c r="E59" s="16">
        <f>IF(Rankings!E65&lt;=2,1,0)</f>
        <v>0</v>
      </c>
      <c r="F59" s="16">
        <f>IF(Rankings!F65&lt;=2,1,0)</f>
        <v>0</v>
      </c>
      <c r="G59" s="16">
        <f>IF(Rankings!G65&lt;=2,1,0)</f>
        <v>0</v>
      </c>
      <c r="H59" s="16">
        <f>IF(Rankings!H65&lt;=2,1,0)</f>
        <v>0</v>
      </c>
      <c r="I59" s="16">
        <f>IF(Rankings!I65&lt;=2,1,0)</f>
        <v>1</v>
      </c>
      <c r="J59" s="16">
        <f>IF(Rankings!J65&lt;=2,1,0)</f>
        <v>1</v>
      </c>
      <c r="K59" s="19">
        <f t="shared" si="4"/>
        <v>2</v>
      </c>
      <c r="L59" s="15">
        <f>SUMPRODUCT(C59:J59,Returns!B63:I63)/K59</f>
        <v>-1.0381828709898677E-2</v>
      </c>
      <c r="M59" s="15">
        <f>-2*Assumptions!$B$13</f>
        <v>-7.0000000000000001E-3</v>
      </c>
      <c r="N59" s="15">
        <f>-Assumptions!$B$16*MAX(0,(1+O56)*(1+O57)*(1+O58)-1)</f>
        <v>-3.6662008020097558E-2</v>
      </c>
      <c r="O59" s="15">
        <f t="shared" si="5"/>
        <v>-5.4043836729996235E-2</v>
      </c>
      <c r="P59" s="20">
        <f t="shared" si="7"/>
        <v>1.2280426990078646</v>
      </c>
      <c r="Q59" s="20">
        <f>MAX($P$5:P59)</f>
        <v>1.7685341812544308</v>
      </c>
      <c r="R59" s="15">
        <f t="shared" si="6"/>
        <v>-0.30561551366974016</v>
      </c>
      <c r="S59" s="15">
        <f>O59-Benchmark_RF!D59</f>
        <v>-6.4564167386955695E-2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IF(Rankings!C65&lt;=2,1,0)</f>
        <v>0</v>
      </c>
      <c r="D60" s="16">
        <f>IF(Rankings!D65&lt;=2,1,0)</f>
        <v>0</v>
      </c>
      <c r="E60" s="16">
        <f>IF(Rankings!E65&lt;=2,1,0)</f>
        <v>0</v>
      </c>
      <c r="F60" s="16">
        <f>IF(Rankings!F65&lt;=2,1,0)</f>
        <v>0</v>
      </c>
      <c r="G60" s="16">
        <f>IF(Rankings!G65&lt;=2,1,0)</f>
        <v>0</v>
      </c>
      <c r="H60" s="16">
        <f>IF(Rankings!H65&lt;=2,1,0)</f>
        <v>0</v>
      </c>
      <c r="I60" s="16">
        <f>IF(Rankings!I65&lt;=2,1,0)</f>
        <v>1</v>
      </c>
      <c r="J60" s="16">
        <f>IF(Rankings!J65&lt;=2,1,0)</f>
        <v>1</v>
      </c>
      <c r="K60" s="19">
        <f t="shared" si="4"/>
        <v>2</v>
      </c>
      <c r="L60" s="15">
        <f>SUMPRODUCT(C60:J60,Returns!B64:I64)/K60</f>
        <v>-0.34875890863496367</v>
      </c>
      <c r="M60" s="15">
        <v>0</v>
      </c>
      <c r="N60" s="15">
        <v>0</v>
      </c>
      <c r="O60" s="15">
        <f t="shared" si="5"/>
        <v>-0.34875890863496367</v>
      </c>
      <c r="P60" s="20">
        <f t="shared" si="7"/>
        <v>0.79975186754474659</v>
      </c>
      <c r="Q60" s="20">
        <f>MAX($P$5:P60)</f>
        <v>1.7685341812544308</v>
      </c>
      <c r="R60" s="15">
        <f t="shared" si="6"/>
        <v>-0.54778828929533141</v>
      </c>
      <c r="S60" s="15">
        <f>O60-Benchmark_RF!D60</f>
        <v>-0.35765799366575673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IF(Rankings!C65&lt;=2,1,0)</f>
        <v>0</v>
      </c>
      <c r="D61" s="16">
        <f>IF(Rankings!D65&lt;=2,1,0)</f>
        <v>0</v>
      </c>
      <c r="E61" s="16">
        <f>IF(Rankings!E65&lt;=2,1,0)</f>
        <v>0</v>
      </c>
      <c r="F61" s="16">
        <f>IF(Rankings!F65&lt;=2,1,0)</f>
        <v>0</v>
      </c>
      <c r="G61" s="16">
        <f>IF(Rankings!G65&lt;=2,1,0)</f>
        <v>0</v>
      </c>
      <c r="H61" s="16">
        <f>IF(Rankings!H65&lt;=2,1,0)</f>
        <v>0</v>
      </c>
      <c r="I61" s="16">
        <f>IF(Rankings!I65&lt;=2,1,0)</f>
        <v>1</v>
      </c>
      <c r="J61" s="16">
        <f>IF(Rankings!J65&lt;=2,1,0)</f>
        <v>1</v>
      </c>
      <c r="K61" s="19">
        <f t="shared" si="4"/>
        <v>2</v>
      </c>
      <c r="L61" s="15">
        <f>SUMPRODUCT(C61:J61,Returns!B65:I65)/K61</f>
        <v>7.4438785504340077E-2</v>
      </c>
      <c r="M61" s="15">
        <v>0</v>
      </c>
      <c r="N61" s="15">
        <v>0</v>
      </c>
      <c r="O61" s="15">
        <f t="shared" si="5"/>
        <v>7.4438785504340077E-2</v>
      </c>
      <c r="P61" s="20">
        <f t="shared" si="7"/>
        <v>0.85928442526960536</v>
      </c>
      <c r="Q61" s="20">
        <f>MAX($P$5:P61)</f>
        <v>1.7685341812544308</v>
      </c>
      <c r="R61" s="15">
        <f t="shared" si="6"/>
        <v>-0.51412619875963594</v>
      </c>
      <c r="S61" s="15">
        <f>O61-Benchmark_RF!D61</f>
        <v>6.7838720263980135E-2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IF(Rankings!C68&lt;=2,1,0)</f>
        <v>0</v>
      </c>
      <c r="D62" s="16">
        <f>IF(Rankings!D68&lt;=2,1,0)</f>
        <v>0</v>
      </c>
      <c r="E62" s="16">
        <f>IF(Rankings!E68&lt;=2,1,0)</f>
        <v>0</v>
      </c>
      <c r="F62" s="16">
        <f>IF(Rankings!F68&lt;=2,1,0)</f>
        <v>1</v>
      </c>
      <c r="G62" s="16">
        <f>IF(Rankings!G68&lt;=2,1,0)</f>
        <v>1</v>
      </c>
      <c r="H62" s="16">
        <f>IF(Rankings!H68&lt;=2,1,0)</f>
        <v>0</v>
      </c>
      <c r="I62" s="16">
        <f>IF(Rankings!I68&lt;=2,1,0)</f>
        <v>0</v>
      </c>
      <c r="J62" s="16">
        <f>IF(Rankings!J68&lt;=2,1,0)</f>
        <v>0</v>
      </c>
      <c r="K62" s="19">
        <f t="shared" si="4"/>
        <v>2</v>
      </c>
      <c r="L62" s="15">
        <f>SUMPRODUCT(C62:J62,Returns!B66:I66)/K62</f>
        <v>-4.950677337187076E-2</v>
      </c>
      <c r="M62" s="15">
        <f>-2*Assumptions!$B$13</f>
        <v>-7.0000000000000001E-3</v>
      </c>
      <c r="N62" s="15">
        <f>-Assumptions!$B$16*MAX(0,(1+O59)*(1+O60)*(1+O61)-1)</f>
        <v>0</v>
      </c>
      <c r="O62" s="15">
        <f t="shared" si="5"/>
        <v>-5.650677337187076E-2</v>
      </c>
      <c r="P62" s="20">
        <f t="shared" si="7"/>
        <v>0.81072903498891757</v>
      </c>
      <c r="Q62" s="20">
        <f>MAX($P$5:P62)</f>
        <v>1.7685341812544308</v>
      </c>
      <c r="R62" s="15">
        <f t="shared" si="6"/>
        <v>-0.54158135953365449</v>
      </c>
      <c r="S62" s="15">
        <f>O62-Benchmark_RF!D62</f>
        <v>-6.3034487438573372E-2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IF(Rankings!C68&lt;=2,1,0)</f>
        <v>0</v>
      </c>
      <c r="D63" s="16">
        <f>IF(Rankings!D68&lt;=2,1,0)</f>
        <v>0</v>
      </c>
      <c r="E63" s="16">
        <f>IF(Rankings!E68&lt;=2,1,0)</f>
        <v>0</v>
      </c>
      <c r="F63" s="16">
        <f>IF(Rankings!F68&lt;=2,1,0)</f>
        <v>1</v>
      </c>
      <c r="G63" s="16">
        <f>IF(Rankings!G68&lt;=2,1,0)</f>
        <v>1</v>
      </c>
      <c r="H63" s="16">
        <f>IF(Rankings!H68&lt;=2,1,0)</f>
        <v>0</v>
      </c>
      <c r="I63" s="16">
        <f>IF(Rankings!I68&lt;=2,1,0)</f>
        <v>0</v>
      </c>
      <c r="J63" s="16">
        <f>IF(Rankings!J68&lt;=2,1,0)</f>
        <v>0</v>
      </c>
      <c r="K63" s="19">
        <f t="shared" si="4"/>
        <v>2</v>
      </c>
      <c r="L63" s="15">
        <f>SUMPRODUCT(C63:J63,Returns!B67:I67)/K63</f>
        <v>4.0139027934531057E-2</v>
      </c>
      <c r="M63" s="15">
        <v>0</v>
      </c>
      <c r="N63" s="15">
        <v>0</v>
      </c>
      <c r="O63" s="15">
        <f t="shared" si="5"/>
        <v>4.0139027934531057E-2</v>
      </c>
      <c r="P63" s="20">
        <f t="shared" si="7"/>
        <v>0.84327091037167312</v>
      </c>
      <c r="Q63" s="20">
        <f>MAX($P$5:P63)</f>
        <v>1.7685341812544308</v>
      </c>
      <c r="R63" s="15">
        <f t="shared" si="6"/>
        <v>-0.52318088091826609</v>
      </c>
      <c r="S63" s="15">
        <f>O63-Benchmark_RF!D63</f>
        <v>3.460338213918468E-2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IF(Rankings!C68&lt;=2,1,0)</f>
        <v>0</v>
      </c>
      <c r="D64" s="16">
        <f>IF(Rankings!D68&lt;=2,1,0)</f>
        <v>0</v>
      </c>
      <c r="E64" s="16">
        <f>IF(Rankings!E68&lt;=2,1,0)</f>
        <v>0</v>
      </c>
      <c r="F64" s="16">
        <f>IF(Rankings!F68&lt;=2,1,0)</f>
        <v>1</v>
      </c>
      <c r="G64" s="16">
        <f>IF(Rankings!G68&lt;=2,1,0)</f>
        <v>1</v>
      </c>
      <c r="H64" s="16">
        <f>IF(Rankings!H68&lt;=2,1,0)</f>
        <v>0</v>
      </c>
      <c r="I64" s="16">
        <f>IF(Rankings!I68&lt;=2,1,0)</f>
        <v>0</v>
      </c>
      <c r="J64" s="16">
        <f>IF(Rankings!J68&lt;=2,1,0)</f>
        <v>0</v>
      </c>
      <c r="K64" s="19">
        <f t="shared" si="4"/>
        <v>2</v>
      </c>
      <c r="L64" s="15">
        <f>SUMPRODUCT(C64:J64,Returns!B68:I68)/K64</f>
        <v>0.17940292260437185</v>
      </c>
      <c r="M64" s="15">
        <v>0</v>
      </c>
      <c r="N64" s="15">
        <v>0</v>
      </c>
      <c r="O64" s="15">
        <f t="shared" si="5"/>
        <v>0.17940292260437185</v>
      </c>
      <c r="P64" s="20">
        <f t="shared" si="7"/>
        <v>0.99455617623960058</v>
      </c>
      <c r="Q64" s="20">
        <f>MAX($P$5:P64)</f>
        <v>1.7685341812544308</v>
      </c>
      <c r="R64" s="15">
        <f t="shared" si="6"/>
        <v>-0.43763813740136115</v>
      </c>
      <c r="S64" s="15">
        <f>O64-Benchmark_RF!D64</f>
        <v>0.17384798664772894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IF(Rankings!C71&lt;=2,1,0)</f>
        <v>0</v>
      </c>
      <c r="D65" s="16">
        <f>IF(Rankings!D71&lt;=2,1,0)</f>
        <v>0</v>
      </c>
      <c r="E65" s="16">
        <f>IF(Rankings!E71&lt;=2,1,0)</f>
        <v>0</v>
      </c>
      <c r="F65" s="16">
        <f>IF(Rankings!F71&lt;=2,1,0)</f>
        <v>1</v>
      </c>
      <c r="G65" s="16">
        <f>IF(Rankings!G71&lt;=2,1,0)</f>
        <v>1</v>
      </c>
      <c r="H65" s="16">
        <f>IF(Rankings!H71&lt;=2,1,0)</f>
        <v>0</v>
      </c>
      <c r="I65" s="16">
        <f>IF(Rankings!I71&lt;=2,1,0)</f>
        <v>0</v>
      </c>
      <c r="J65" s="16">
        <f>IF(Rankings!J71&lt;=2,1,0)</f>
        <v>0</v>
      </c>
      <c r="K65" s="19">
        <f t="shared" si="4"/>
        <v>2</v>
      </c>
      <c r="L65" s="15">
        <f>SUMPRODUCT(C65:J65,Returns!B69:I69)/K65</f>
        <v>9.1443174951498229E-3</v>
      </c>
      <c r="M65" s="15">
        <f>-2*Assumptions!$B$13</f>
        <v>-7.0000000000000001E-3</v>
      </c>
      <c r="N65" s="15">
        <f>-Assumptions!$B$16*MAX(0,(1+O62)*(1+O63)*(1+O64)-1)</f>
        <v>-2.361355803595876E-2</v>
      </c>
      <c r="O65" s="15">
        <f t="shared" si="5"/>
        <v>-2.1469240540808936E-2</v>
      </c>
      <c r="P65" s="20">
        <f t="shared" si="7"/>
        <v>0.97320381046056548</v>
      </c>
      <c r="Q65" s="20">
        <f>MAX($P$5:P65)</f>
        <v>1.7685341812544308</v>
      </c>
      <c r="R65" s="15">
        <f t="shared" si="6"/>
        <v>-0.44971161950046856</v>
      </c>
      <c r="S65" s="15">
        <f>O65-Benchmark_RF!D65</f>
        <v>-2.7195100722128867E-2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IF(Rankings!C71&lt;=2,1,0)</f>
        <v>0</v>
      </c>
      <c r="D66" s="16">
        <f>IF(Rankings!D71&lt;=2,1,0)</f>
        <v>0</v>
      </c>
      <c r="E66" s="16">
        <f>IF(Rankings!E71&lt;=2,1,0)</f>
        <v>0</v>
      </c>
      <c r="F66" s="16">
        <f>IF(Rankings!F71&lt;=2,1,0)</f>
        <v>1</v>
      </c>
      <c r="G66" s="16">
        <f>IF(Rankings!G71&lt;=2,1,0)</f>
        <v>1</v>
      </c>
      <c r="H66" s="16">
        <f>IF(Rankings!H71&lt;=2,1,0)</f>
        <v>0</v>
      </c>
      <c r="I66" s="16">
        <f>IF(Rankings!I71&lt;=2,1,0)</f>
        <v>0</v>
      </c>
      <c r="J66" s="16">
        <f>IF(Rankings!J71&lt;=2,1,0)</f>
        <v>0</v>
      </c>
      <c r="K66" s="19">
        <f t="shared" si="4"/>
        <v>2</v>
      </c>
      <c r="L66" s="15">
        <f>SUMPRODUCT(C66:J66,Returns!B70:I70)/K66</f>
        <v>3.6518222202071682E-2</v>
      </c>
      <c r="M66" s="15">
        <v>0</v>
      </c>
      <c r="N66" s="15">
        <v>0</v>
      </c>
      <c r="O66" s="15">
        <f t="shared" si="5"/>
        <v>3.6518222202071682E-2</v>
      </c>
      <c r="P66" s="20">
        <f t="shared" si="7"/>
        <v>1.0087434834588673</v>
      </c>
      <c r="Q66" s="20">
        <f>MAX($P$5:P66)</f>
        <v>1.7685341812544308</v>
      </c>
      <c r="R66" s="15">
        <f t="shared" si="6"/>
        <v>-0.42961606614616854</v>
      </c>
      <c r="S66" s="15">
        <f>O66-Benchmark_RF!D66</f>
        <v>3.0787118713426098E-2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IF(Rankings!C71&lt;=2,1,0)</f>
        <v>0</v>
      </c>
      <c r="D67" s="16">
        <f>IF(Rankings!D71&lt;=2,1,0)</f>
        <v>0</v>
      </c>
      <c r="E67" s="16">
        <f>IF(Rankings!E71&lt;=2,1,0)</f>
        <v>0</v>
      </c>
      <c r="F67" s="16">
        <f>IF(Rankings!F71&lt;=2,1,0)</f>
        <v>1</v>
      </c>
      <c r="G67" s="16">
        <f>IF(Rankings!G71&lt;=2,1,0)</f>
        <v>1</v>
      </c>
      <c r="H67" s="16">
        <f>IF(Rankings!H71&lt;=2,1,0)</f>
        <v>0</v>
      </c>
      <c r="I67" s="16">
        <f>IF(Rankings!I71&lt;=2,1,0)</f>
        <v>0</v>
      </c>
      <c r="J67" s="16">
        <f>IF(Rankings!J71&lt;=2,1,0)</f>
        <v>0</v>
      </c>
      <c r="K67" s="19">
        <f t="shared" si="4"/>
        <v>2</v>
      </c>
      <c r="L67" s="15">
        <f>SUMPRODUCT(C67:J67,Returns!B71:I71)/K67</f>
        <v>-5.1337602280555616E-3</v>
      </c>
      <c r="M67" s="15">
        <v>0</v>
      </c>
      <c r="N67" s="15">
        <v>0</v>
      </c>
      <c r="O67" s="15">
        <f t="shared" si="5"/>
        <v>-5.1337602280555616E-3</v>
      </c>
      <c r="P67" s="20">
        <f t="shared" si="7"/>
        <v>1.0035648362831759</v>
      </c>
      <c r="Q67" s="20">
        <f>MAX($P$5:P67)</f>
        <v>1.7685341812544308</v>
      </c>
      <c r="R67" s="15">
        <f t="shared" si="6"/>
        <v>-0.43254428050050919</v>
      </c>
      <c r="S67" s="15">
        <f>O67-Benchmark_RF!D67</f>
        <v>-1.0911570661159442E-2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IF(Rankings!C74&lt;=2,1,0)</f>
        <v>1</v>
      </c>
      <c r="D68" s="16">
        <f>IF(Rankings!D74&lt;=2,1,0)</f>
        <v>0</v>
      </c>
      <c r="E68" s="16">
        <f>IF(Rankings!E74&lt;=2,1,0)</f>
        <v>0</v>
      </c>
      <c r="F68" s="16">
        <f>IF(Rankings!F74&lt;=2,1,0)</f>
        <v>0</v>
      </c>
      <c r="G68" s="16">
        <f>IF(Rankings!G74&lt;=2,1,0)</f>
        <v>0</v>
      </c>
      <c r="H68" s="16">
        <f>IF(Rankings!H74&lt;=2,1,0)</f>
        <v>1</v>
      </c>
      <c r="I68" s="16">
        <f>IF(Rankings!I74&lt;=2,1,0)</f>
        <v>0</v>
      </c>
      <c r="J68" s="16">
        <f>IF(Rankings!J74&lt;=2,1,0)</f>
        <v>0</v>
      </c>
      <c r="K68" s="19">
        <f t="shared" si="4"/>
        <v>2</v>
      </c>
      <c r="L68" s="15">
        <f>SUMPRODUCT(C68:J68,Returns!B72:I72)/K68</f>
        <v>2.0525383774427197E-2</v>
      </c>
      <c r="M68" s="15">
        <f>-2*Assumptions!$B$13</f>
        <v>-7.0000000000000001E-3</v>
      </c>
      <c r="N68" s="15">
        <f>-Assumptions!$B$16*MAX(0,(1+O65)*(1+O66)*(1+O67)-1)</f>
        <v>-1.3586955054117999E-3</v>
      </c>
      <c r="O68" s="15">
        <f t="shared" si="5"/>
        <v>1.2166688269015399E-2</v>
      </c>
      <c r="P68" s="20">
        <f t="shared" si="7"/>
        <v>1.0157748968039788</v>
      </c>
      <c r="Q68" s="20">
        <f>MAX($P$5:P68)</f>
        <v>1.7685341812544308</v>
      </c>
      <c r="R68" s="15">
        <f t="shared" si="6"/>
        <v>-0.42564022365488907</v>
      </c>
      <c r="S68" s="15">
        <f>O68-Benchmark_RF!D68</f>
        <v>6.402801363303897E-3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IF(Rankings!C74&lt;=2,1,0)</f>
        <v>1</v>
      </c>
      <c r="D69" s="16">
        <f>IF(Rankings!D74&lt;=2,1,0)</f>
        <v>0</v>
      </c>
      <c r="E69" s="16">
        <f>IF(Rankings!E74&lt;=2,1,0)</f>
        <v>0</v>
      </c>
      <c r="F69" s="16">
        <f>IF(Rankings!F74&lt;=2,1,0)</f>
        <v>0</v>
      </c>
      <c r="G69" s="16">
        <f>IF(Rankings!G74&lt;=2,1,0)</f>
        <v>0</v>
      </c>
      <c r="H69" s="16">
        <f>IF(Rankings!H74&lt;=2,1,0)</f>
        <v>1</v>
      </c>
      <c r="I69" s="16">
        <f>IF(Rankings!I74&lt;=2,1,0)</f>
        <v>0</v>
      </c>
      <c r="J69" s="16">
        <f>IF(Rankings!J74&lt;=2,1,0)</f>
        <v>0</v>
      </c>
      <c r="K69" s="19">
        <f t="shared" ref="K69:K100" si="8">SUM(C69:J69)</f>
        <v>2</v>
      </c>
      <c r="L69" s="15">
        <f>SUMPRODUCT(C69:J69,Returns!B73:I73)/K69</f>
        <v>5.2219654168806695E-2</v>
      </c>
      <c r="M69" s="15">
        <v>0</v>
      </c>
      <c r="N69" s="15">
        <v>0</v>
      </c>
      <c r="O69" s="15">
        <f t="shared" ref="O69:O100" si="9">L69+M69+N69</f>
        <v>5.2219654168806695E-2</v>
      </c>
      <c r="P69" s="20">
        <f t="shared" si="7"/>
        <v>1.0688183106284379</v>
      </c>
      <c r="Q69" s="20">
        <f>MAX($P$5:P69)</f>
        <v>1.7685341812544308</v>
      </c>
      <c r="R69" s="15">
        <f t="shared" ref="R69:R100" si="10">P69/Q69-1</f>
        <v>-0.39564735476567414</v>
      </c>
      <c r="S69" s="15">
        <f>O69-Benchmark_RF!D69</f>
        <v>4.6480177663608124E-2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IF(Rankings!C74&lt;=2,1,0)</f>
        <v>1</v>
      </c>
      <c r="D70" s="16">
        <f>IF(Rankings!D74&lt;=2,1,0)</f>
        <v>0</v>
      </c>
      <c r="E70" s="16">
        <f>IF(Rankings!E74&lt;=2,1,0)</f>
        <v>0</v>
      </c>
      <c r="F70" s="16">
        <f>IF(Rankings!F74&lt;=2,1,0)</f>
        <v>0</v>
      </c>
      <c r="G70" s="16">
        <f>IF(Rankings!G74&lt;=2,1,0)</f>
        <v>0</v>
      </c>
      <c r="H70" s="16">
        <f>IF(Rankings!H74&lt;=2,1,0)</f>
        <v>1</v>
      </c>
      <c r="I70" s="16">
        <f>IF(Rankings!I74&lt;=2,1,0)</f>
        <v>0</v>
      </c>
      <c r="J70" s="16">
        <f>IF(Rankings!J74&lt;=2,1,0)</f>
        <v>0</v>
      </c>
      <c r="K70" s="19">
        <f t="shared" si="8"/>
        <v>2</v>
      </c>
      <c r="L70" s="15">
        <f>SUMPRODUCT(C70:J70,Returns!B74:I74)/K70</f>
        <v>1.9157022477730545E-2</v>
      </c>
      <c r="M70" s="15">
        <v>0</v>
      </c>
      <c r="N70" s="15">
        <v>0</v>
      </c>
      <c r="O70" s="15">
        <f t="shared" si="9"/>
        <v>1.9157022477730545E-2</v>
      </c>
      <c r="P70" s="20">
        <f t="shared" ref="P70:P101" si="11">P69*(1+O70)</f>
        <v>1.0892936870297569</v>
      </c>
      <c r="Q70" s="20">
        <f>MAX($P$5:P70)</f>
        <v>1.7685341812544308</v>
      </c>
      <c r="R70" s="15">
        <f t="shared" si="10"/>
        <v>-0.38406975755644424</v>
      </c>
      <c r="S70" s="15">
        <f>O70-Benchmark_RF!D70</f>
        <v>1.3384139792246841E-2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IF(Rankings!C77&lt;=2,1,0)</f>
        <v>1</v>
      </c>
      <c r="D71" s="16">
        <f>IF(Rankings!D77&lt;=2,1,0)</f>
        <v>0</v>
      </c>
      <c r="E71" s="16">
        <f>IF(Rankings!E77&lt;=2,1,0)</f>
        <v>0</v>
      </c>
      <c r="F71" s="16">
        <f>IF(Rankings!F77&lt;=2,1,0)</f>
        <v>0</v>
      </c>
      <c r="G71" s="16">
        <f>IF(Rankings!G77&lt;=2,1,0)</f>
        <v>0</v>
      </c>
      <c r="H71" s="16">
        <f>IF(Rankings!H77&lt;=2,1,0)</f>
        <v>1</v>
      </c>
      <c r="I71" s="16">
        <f>IF(Rankings!I77&lt;=2,1,0)</f>
        <v>0</v>
      </c>
      <c r="J71" s="16">
        <f>IF(Rankings!J77&lt;=2,1,0)</f>
        <v>0</v>
      </c>
      <c r="K71" s="19">
        <f t="shared" si="8"/>
        <v>2</v>
      </c>
      <c r="L71" s="15">
        <f>SUMPRODUCT(C71:J71,Returns!B75:I75)/K71</f>
        <v>-6.6020119969449342E-3</v>
      </c>
      <c r="M71" s="15">
        <f>-2*Assumptions!$B$13</f>
        <v>-7.0000000000000001E-3</v>
      </c>
      <c r="N71" s="15">
        <f>-Assumptions!$B$16*MAX(0,(1+O68)*(1+O69)*(1+O70)-1)</f>
        <v>-1.2813649050930543E-2</v>
      </c>
      <c r="O71" s="15">
        <f t="shared" si="9"/>
        <v>-2.6415661047875474E-2</v>
      </c>
      <c r="P71" s="20">
        <f t="shared" si="11"/>
        <v>1.0605192742115883</v>
      </c>
      <c r="Q71" s="20">
        <f>MAX($P$5:P71)</f>
        <v>1.7685341812544308</v>
      </c>
      <c r="R71" s="15">
        <f t="shared" si="10"/>
        <v>-0.40033996206996902</v>
      </c>
      <c r="S71" s="15">
        <f>O71-Benchmark_RF!D71</f>
        <v>-3.221896637764006E-2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IF(Rankings!C77&lt;=2,1,0)</f>
        <v>1</v>
      </c>
      <c r="D72" s="16">
        <f>IF(Rankings!D77&lt;=2,1,0)</f>
        <v>0</v>
      </c>
      <c r="E72" s="16">
        <f>IF(Rankings!E77&lt;=2,1,0)</f>
        <v>0</v>
      </c>
      <c r="F72" s="16">
        <f>IF(Rankings!F77&lt;=2,1,0)</f>
        <v>0</v>
      </c>
      <c r="G72" s="16">
        <f>IF(Rankings!G77&lt;=2,1,0)</f>
        <v>0</v>
      </c>
      <c r="H72" s="16">
        <f>IF(Rankings!H77&lt;=2,1,0)</f>
        <v>1</v>
      </c>
      <c r="I72" s="16">
        <f>IF(Rankings!I77&lt;=2,1,0)</f>
        <v>0</v>
      </c>
      <c r="J72" s="16">
        <f>IF(Rankings!J77&lt;=2,1,0)</f>
        <v>0</v>
      </c>
      <c r="K72" s="19">
        <f t="shared" si="8"/>
        <v>2</v>
      </c>
      <c r="L72" s="15">
        <f>SUMPRODUCT(C72:J72,Returns!B76:I76)/K72</f>
        <v>-4.5848372182856312E-2</v>
      </c>
      <c r="M72" s="15">
        <v>0</v>
      </c>
      <c r="N72" s="15">
        <v>0</v>
      </c>
      <c r="O72" s="15">
        <f t="shared" si="9"/>
        <v>-4.5848372182856312E-2</v>
      </c>
      <c r="P72" s="20">
        <f t="shared" si="11"/>
        <v>1.0118961918204428</v>
      </c>
      <c r="Q72" s="20">
        <f>MAX($P$5:P72)</f>
        <v>1.7685341812544308</v>
      </c>
      <c r="R72" s="15">
        <f t="shared" si="10"/>
        <v>-0.42783339867217074</v>
      </c>
      <c r="S72" s="15">
        <f>O72-Benchmark_RF!D72</f>
        <v>-5.1838527253526334E-2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IF(Rankings!C77&lt;=2,1,0)</f>
        <v>1</v>
      </c>
      <c r="D73" s="16">
        <f>IF(Rankings!D77&lt;=2,1,0)</f>
        <v>0</v>
      </c>
      <c r="E73" s="16">
        <f>IF(Rankings!E77&lt;=2,1,0)</f>
        <v>0</v>
      </c>
      <c r="F73" s="16">
        <f>IF(Rankings!F77&lt;=2,1,0)</f>
        <v>0</v>
      </c>
      <c r="G73" s="16">
        <f>IF(Rankings!G77&lt;=2,1,0)</f>
        <v>0</v>
      </c>
      <c r="H73" s="16">
        <f>IF(Rankings!H77&lt;=2,1,0)</f>
        <v>1</v>
      </c>
      <c r="I73" s="16">
        <f>IF(Rankings!I77&lt;=2,1,0)</f>
        <v>0</v>
      </c>
      <c r="J73" s="16">
        <f>IF(Rankings!J77&lt;=2,1,0)</f>
        <v>0</v>
      </c>
      <c r="K73" s="19">
        <f t="shared" si="8"/>
        <v>2</v>
      </c>
      <c r="L73" s="15">
        <f>SUMPRODUCT(C73:J73,Returns!B77:I77)/K73</f>
        <v>-4.6916445623342184E-2</v>
      </c>
      <c r="M73" s="15">
        <v>0</v>
      </c>
      <c r="N73" s="15">
        <v>0</v>
      </c>
      <c r="O73" s="15">
        <f t="shared" si="9"/>
        <v>-4.6916445623342184E-2</v>
      </c>
      <c r="P73" s="20">
        <f t="shared" si="11"/>
        <v>0.9644216191604319</v>
      </c>
      <c r="Q73" s="20">
        <f>MAX($P$5:P73)</f>
        <v>1.7685341812544308</v>
      </c>
      <c r="R73" s="15">
        <f t="shared" si="10"/>
        <v>-0.45467742191086047</v>
      </c>
      <c r="S73" s="15">
        <f>O73-Benchmark_RF!D73</f>
        <v>-5.286484260196822E-2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IF(Rankings!C80&lt;=2,1,0)</f>
        <v>1</v>
      </c>
      <c r="D74" s="16">
        <f>IF(Rankings!D80&lt;=2,1,0)</f>
        <v>0</v>
      </c>
      <c r="E74" s="16">
        <f>IF(Rankings!E80&lt;=2,1,0)</f>
        <v>0</v>
      </c>
      <c r="F74" s="16">
        <f>IF(Rankings!F80&lt;=2,1,0)</f>
        <v>1</v>
      </c>
      <c r="G74" s="16">
        <f>IF(Rankings!G80&lt;=2,1,0)</f>
        <v>0</v>
      </c>
      <c r="H74" s="16">
        <f>IF(Rankings!H80&lt;=2,1,0)</f>
        <v>0</v>
      </c>
      <c r="I74" s="16">
        <f>IF(Rankings!I80&lt;=2,1,0)</f>
        <v>0</v>
      </c>
      <c r="J74" s="16">
        <f>IF(Rankings!J80&lt;=2,1,0)</f>
        <v>0</v>
      </c>
      <c r="K74" s="19">
        <f t="shared" si="8"/>
        <v>2</v>
      </c>
      <c r="L74" s="15">
        <f>SUMPRODUCT(C74:J74,Returns!B78:I78)/K74</f>
        <v>4.4367289152565159E-2</v>
      </c>
      <c r="M74" s="15">
        <f>-2*Assumptions!$B$13</f>
        <v>-7.0000000000000001E-3</v>
      </c>
      <c r="N74" s="15">
        <f>-Assumptions!$B$16*MAX(0,(1+O71)*(1+O72)*(1+O73)-1)</f>
        <v>0</v>
      </c>
      <c r="O74" s="15">
        <f t="shared" si="9"/>
        <v>3.736728915256516E-2</v>
      </c>
      <c r="P74" s="20">
        <f t="shared" si="11"/>
        <v>1.0004594406685847</v>
      </c>
      <c r="Q74" s="20">
        <f>MAX($P$5:P74)</f>
        <v>1.7685341812544308</v>
      </c>
      <c r="R74" s="15">
        <f t="shared" si="10"/>
        <v>-0.43430019545398135</v>
      </c>
      <c r="S74" s="15">
        <f>O74-Benchmark_RF!D74</f>
        <v>3.1445674218906657E-2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IF(Rankings!C80&lt;=2,1,0)</f>
        <v>1</v>
      </c>
      <c r="D75" s="16">
        <f>IF(Rankings!D80&lt;=2,1,0)</f>
        <v>0</v>
      </c>
      <c r="E75" s="16">
        <f>IF(Rankings!E80&lt;=2,1,0)</f>
        <v>0</v>
      </c>
      <c r="F75" s="16">
        <f>IF(Rankings!F80&lt;=2,1,0)</f>
        <v>1</v>
      </c>
      <c r="G75" s="16">
        <f>IF(Rankings!G80&lt;=2,1,0)</f>
        <v>0</v>
      </c>
      <c r="H75" s="16">
        <f>IF(Rankings!H80&lt;=2,1,0)</f>
        <v>0</v>
      </c>
      <c r="I75" s="16">
        <f>IF(Rankings!I80&lt;=2,1,0)</f>
        <v>0</v>
      </c>
      <c r="J75" s="16">
        <f>IF(Rankings!J80&lt;=2,1,0)</f>
        <v>0</v>
      </c>
      <c r="K75" s="19">
        <f t="shared" si="8"/>
        <v>2</v>
      </c>
      <c r="L75" s="15">
        <f>SUMPRODUCT(C75:J75,Returns!B79:I79)/K75</f>
        <v>-2.609720194948173E-2</v>
      </c>
      <c r="M75" s="15">
        <v>0</v>
      </c>
      <c r="N75" s="15">
        <v>0</v>
      </c>
      <c r="O75" s="15">
        <f t="shared" si="9"/>
        <v>-2.609720194948173E-2</v>
      </c>
      <c r="P75" s="20">
        <f t="shared" si="11"/>
        <v>0.97435024860319108</v>
      </c>
      <c r="Q75" s="20">
        <f>MAX($P$5:P75)</f>
        <v>1.7685341812544308</v>
      </c>
      <c r="R75" s="15">
        <f t="shared" si="10"/>
        <v>-0.44906337749600111</v>
      </c>
      <c r="S75" s="15">
        <f>O75-Benchmark_RF!D75</f>
        <v>-3.1982340085289329E-2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IF(Rankings!C80&lt;=2,1,0)</f>
        <v>1</v>
      </c>
      <c r="D76" s="16">
        <f>IF(Rankings!D80&lt;=2,1,0)</f>
        <v>0</v>
      </c>
      <c r="E76" s="16">
        <f>IF(Rankings!E80&lt;=2,1,0)</f>
        <v>0</v>
      </c>
      <c r="F76" s="16">
        <f>IF(Rankings!F80&lt;=2,1,0)</f>
        <v>1</v>
      </c>
      <c r="G76" s="16">
        <f>IF(Rankings!G80&lt;=2,1,0)</f>
        <v>0</v>
      </c>
      <c r="H76" s="16">
        <f>IF(Rankings!H80&lt;=2,1,0)</f>
        <v>0</v>
      </c>
      <c r="I76" s="16">
        <f>IF(Rankings!I80&lt;=2,1,0)</f>
        <v>0</v>
      </c>
      <c r="J76" s="16">
        <f>IF(Rankings!J80&lt;=2,1,0)</f>
        <v>0</v>
      </c>
      <c r="K76" s="19">
        <f t="shared" si="8"/>
        <v>2</v>
      </c>
      <c r="L76" s="15">
        <f>SUMPRODUCT(C76:J76,Returns!B80:I80)/K76</f>
        <v>-7.4966987822174813E-3</v>
      </c>
      <c r="M76" s="15">
        <v>0</v>
      </c>
      <c r="N76" s="15">
        <v>0</v>
      </c>
      <c r="O76" s="15">
        <f t="shared" si="9"/>
        <v>-7.4966987822174813E-3</v>
      </c>
      <c r="P76" s="20">
        <f t="shared" si="11"/>
        <v>0.96704583828103419</v>
      </c>
      <c r="Q76" s="20">
        <f>MAX($P$5:P76)</f>
        <v>1.7685341812544308</v>
      </c>
      <c r="R76" s="15">
        <f t="shared" si="10"/>
        <v>-0.45319358340300586</v>
      </c>
      <c r="S76" s="15">
        <f>O76-Benchmark_RF!D76</f>
        <v>-1.3332761656370207E-2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IF(Rankings!C83&lt;=2,1,0)</f>
        <v>0</v>
      </c>
      <c r="D77" s="16">
        <f>IF(Rankings!D83&lt;=2,1,0)</f>
        <v>1</v>
      </c>
      <c r="E77" s="16">
        <f>IF(Rankings!E83&lt;=2,1,0)</f>
        <v>0</v>
      </c>
      <c r="F77" s="16">
        <f>IF(Rankings!F83&lt;=2,1,0)</f>
        <v>1</v>
      </c>
      <c r="G77" s="16">
        <f>IF(Rankings!G83&lt;=2,1,0)</f>
        <v>0</v>
      </c>
      <c r="H77" s="16">
        <f>IF(Rankings!H83&lt;=2,1,0)</f>
        <v>0</v>
      </c>
      <c r="I77" s="16">
        <f>IF(Rankings!I83&lt;=2,1,0)</f>
        <v>0</v>
      </c>
      <c r="J77" s="16">
        <f>IF(Rankings!J83&lt;=2,1,0)</f>
        <v>0</v>
      </c>
      <c r="K77" s="19">
        <f t="shared" si="8"/>
        <v>2</v>
      </c>
      <c r="L77" s="15">
        <f>SUMPRODUCT(C77:J77,Returns!B81:I81)/K77</f>
        <v>0.12659882178083659</v>
      </c>
      <c r="M77" s="15">
        <f>-2*Assumptions!$B$13</f>
        <v>-7.0000000000000001E-3</v>
      </c>
      <c r="N77" s="15">
        <f>-Assumptions!$B$16*MAX(0,(1+O74)*(1+O75)*(1+O76)-1)</f>
        <v>-4.0815433859004991E-4</v>
      </c>
      <c r="O77" s="15">
        <f t="shared" si="9"/>
        <v>0.11919066744224653</v>
      </c>
      <c r="P77" s="20">
        <f t="shared" si="11"/>
        <v>1.0823086771929975</v>
      </c>
      <c r="Q77" s="20">
        <f>MAX($P$5:P77)</f>
        <v>1.7685341812544308</v>
      </c>
      <c r="R77" s="15">
        <f t="shared" si="10"/>
        <v>-0.38801936164710704</v>
      </c>
      <c r="S77" s="15">
        <f>O77-Benchmark_RF!D77</f>
        <v>0.11335710592373487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IF(Rankings!C83&lt;=2,1,0)</f>
        <v>0</v>
      </c>
      <c r="D78" s="16">
        <f>IF(Rankings!D83&lt;=2,1,0)</f>
        <v>1</v>
      </c>
      <c r="E78" s="16">
        <f>IF(Rankings!E83&lt;=2,1,0)</f>
        <v>0</v>
      </c>
      <c r="F78" s="16">
        <f>IF(Rankings!F83&lt;=2,1,0)</f>
        <v>1</v>
      </c>
      <c r="G78" s="16">
        <f>IF(Rankings!G83&lt;=2,1,0)</f>
        <v>0</v>
      </c>
      <c r="H78" s="16">
        <f>IF(Rankings!H83&lt;=2,1,0)</f>
        <v>0</v>
      </c>
      <c r="I78" s="16">
        <f>IF(Rankings!I83&lt;=2,1,0)</f>
        <v>0</v>
      </c>
      <c r="J78" s="16">
        <f>IF(Rankings!J83&lt;=2,1,0)</f>
        <v>0</v>
      </c>
      <c r="K78" s="19">
        <f t="shared" si="8"/>
        <v>2</v>
      </c>
      <c r="L78" s="15">
        <f>SUMPRODUCT(C78:J78,Returns!B82:I82)/K78</f>
        <v>-1.4243457975781582E-2</v>
      </c>
      <c r="M78" s="15">
        <v>0</v>
      </c>
      <c r="N78" s="15">
        <v>0</v>
      </c>
      <c r="O78" s="15">
        <f t="shared" si="9"/>
        <v>-1.4243457975781582E-2</v>
      </c>
      <c r="P78" s="20">
        <f t="shared" si="11"/>
        <v>1.0668928590325752</v>
      </c>
      <c r="Q78" s="20">
        <f>MAX($P$5:P78)</f>
        <v>1.7685341812544308</v>
      </c>
      <c r="R78" s="15">
        <f t="shared" si="10"/>
        <v>-0.39673608215147849</v>
      </c>
      <c r="S78" s="15">
        <f>O78-Benchmark_RF!D78</f>
        <v>-2.0343809650764932E-2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IF(Rankings!C83&lt;=2,1,0)</f>
        <v>0</v>
      </c>
      <c r="D79" s="16">
        <f>IF(Rankings!D83&lt;=2,1,0)</f>
        <v>1</v>
      </c>
      <c r="E79" s="16">
        <f>IF(Rankings!E83&lt;=2,1,0)</f>
        <v>0</v>
      </c>
      <c r="F79" s="16">
        <f>IF(Rankings!F83&lt;=2,1,0)</f>
        <v>1</v>
      </c>
      <c r="G79" s="16">
        <f>IF(Rankings!G83&lt;=2,1,0)</f>
        <v>0</v>
      </c>
      <c r="H79" s="16">
        <f>IF(Rankings!H83&lt;=2,1,0)</f>
        <v>0</v>
      </c>
      <c r="I79" s="16">
        <f>IF(Rankings!I83&lt;=2,1,0)</f>
        <v>0</v>
      </c>
      <c r="J79" s="16">
        <f>IF(Rankings!J83&lt;=2,1,0)</f>
        <v>0</v>
      </c>
      <c r="K79" s="19">
        <f t="shared" si="8"/>
        <v>2</v>
      </c>
      <c r="L79" s="15">
        <f>SUMPRODUCT(C79:J79,Returns!B83:I83)/K79</f>
        <v>1.1311984434609845E-2</v>
      </c>
      <c r="M79" s="15">
        <v>0</v>
      </c>
      <c r="N79" s="15">
        <v>0</v>
      </c>
      <c r="O79" s="15">
        <f t="shared" si="9"/>
        <v>1.1311984434609845E-2</v>
      </c>
      <c r="P79" s="20">
        <f t="shared" si="11"/>
        <v>1.0789615344473482</v>
      </c>
      <c r="Q79" s="20">
        <f>MAX($P$5:P79)</f>
        <v>1.7685341812544308</v>
      </c>
      <c r="R79" s="15">
        <f t="shared" si="10"/>
        <v>-0.3899119701028142</v>
      </c>
      <c r="S79" s="15">
        <f>O79-Benchmark_RF!D79</f>
        <v>4.7423105756544959E-3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IF(Rankings!C86&lt;=2,1,0)</f>
        <v>1</v>
      </c>
      <c r="D80" s="16">
        <f>IF(Rankings!D86&lt;=2,1,0)</f>
        <v>0</v>
      </c>
      <c r="E80" s="16">
        <f>IF(Rankings!E86&lt;=2,1,0)</f>
        <v>0</v>
      </c>
      <c r="F80" s="16">
        <f>IF(Rankings!F86&lt;=2,1,0)</f>
        <v>0</v>
      </c>
      <c r="G80" s="16">
        <f>IF(Rankings!G86&lt;=2,1,0)</f>
        <v>0</v>
      </c>
      <c r="H80" s="16">
        <f>IF(Rankings!H86&lt;=2,1,0)</f>
        <v>0</v>
      </c>
      <c r="I80" s="16">
        <f>IF(Rankings!I86&lt;=2,1,0)</f>
        <v>1</v>
      </c>
      <c r="J80" s="16">
        <f>IF(Rankings!J86&lt;=2,1,0)</f>
        <v>0</v>
      </c>
      <c r="K80" s="19">
        <f t="shared" si="8"/>
        <v>2</v>
      </c>
      <c r="L80" s="15">
        <f>SUMPRODUCT(C80:J80,Returns!B84:I84)/K80</f>
        <v>-7.3126679076072176E-2</v>
      </c>
      <c r="M80" s="15">
        <f>-2*Assumptions!$B$13</f>
        <v>-7.0000000000000001E-3</v>
      </c>
      <c r="N80" s="15">
        <f>-Assumptions!$B$16*MAX(0,(1+O77)*(1+O78)*(1+O79)-1)</f>
        <v>-1.7359419543945664E-2</v>
      </c>
      <c r="O80" s="15">
        <f t="shared" si="9"/>
        <v>-9.748609862001785E-2</v>
      </c>
      <c r="P80" s="20">
        <f t="shared" si="11"/>
        <v>0.97377778389300818</v>
      </c>
      <c r="Q80" s="20">
        <f>MAX($P$5:P80)</f>
        <v>1.7685341812544308</v>
      </c>
      <c r="R80" s="15">
        <f t="shared" si="10"/>
        <v>-0.44938707195226368</v>
      </c>
      <c r="S80" s="15">
        <f>O80-Benchmark_RF!D80</f>
        <v>-0.10430782397220524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IF(Rankings!C86&lt;=2,1,0)</f>
        <v>1</v>
      </c>
      <c r="D81" s="16">
        <f>IF(Rankings!D86&lt;=2,1,0)</f>
        <v>0</v>
      </c>
      <c r="E81" s="16">
        <f>IF(Rankings!E86&lt;=2,1,0)</f>
        <v>0</v>
      </c>
      <c r="F81" s="16">
        <f>IF(Rankings!F86&lt;=2,1,0)</f>
        <v>0</v>
      </c>
      <c r="G81" s="16">
        <f>IF(Rankings!G86&lt;=2,1,0)</f>
        <v>0</v>
      </c>
      <c r="H81" s="16">
        <f>IF(Rankings!H86&lt;=2,1,0)</f>
        <v>0</v>
      </c>
      <c r="I81" s="16">
        <f>IF(Rankings!I86&lt;=2,1,0)</f>
        <v>1</v>
      </c>
      <c r="J81" s="16">
        <f>IF(Rankings!J86&lt;=2,1,0)</f>
        <v>0</v>
      </c>
      <c r="K81" s="19">
        <f t="shared" si="8"/>
        <v>2</v>
      </c>
      <c r="L81" s="15">
        <f>SUMPRODUCT(C81:J81,Returns!B85:I85)/K81</f>
        <v>-1.7612226722974023E-2</v>
      </c>
      <c r="M81" s="15">
        <v>0</v>
      </c>
      <c r="N81" s="15">
        <v>0</v>
      </c>
      <c r="O81" s="15">
        <f t="shared" si="9"/>
        <v>-1.7612226722974023E-2</v>
      </c>
      <c r="P81" s="20">
        <f t="shared" si="11"/>
        <v>0.9566273887852893</v>
      </c>
      <c r="Q81" s="20">
        <f>MAX($P$5:P81)</f>
        <v>1.7685341812544308</v>
      </c>
      <c r="R81" s="15">
        <f t="shared" si="10"/>
        <v>-0.45908459167764104</v>
      </c>
      <c r="S81" s="15">
        <f>O81-Benchmark_RF!D81</f>
        <v>-2.588163973433677E-2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IF(Rankings!C86&lt;=2,1,0)</f>
        <v>1</v>
      </c>
      <c r="D82" s="16">
        <f>IF(Rankings!D86&lt;=2,1,0)</f>
        <v>0</v>
      </c>
      <c r="E82" s="16">
        <f>IF(Rankings!E86&lt;=2,1,0)</f>
        <v>0</v>
      </c>
      <c r="F82" s="16">
        <f>IF(Rankings!F86&lt;=2,1,0)</f>
        <v>0</v>
      </c>
      <c r="G82" s="16">
        <f>IF(Rankings!G86&lt;=2,1,0)</f>
        <v>0</v>
      </c>
      <c r="H82" s="16">
        <f>IF(Rankings!H86&lt;=2,1,0)</f>
        <v>0</v>
      </c>
      <c r="I82" s="16">
        <f>IF(Rankings!I86&lt;=2,1,0)</f>
        <v>1</v>
      </c>
      <c r="J82" s="16">
        <f>IF(Rankings!J86&lt;=2,1,0)</f>
        <v>0</v>
      </c>
      <c r="K82" s="19">
        <f t="shared" si="8"/>
        <v>2</v>
      </c>
      <c r="L82" s="15">
        <f>SUMPRODUCT(C82:J82,Returns!B86:I86)/K82</f>
        <v>-1.9352641511772961E-2</v>
      </c>
      <c r="M82" s="15">
        <v>0</v>
      </c>
      <c r="N82" s="15">
        <v>0</v>
      </c>
      <c r="O82" s="15">
        <f t="shared" si="9"/>
        <v>-1.9352641511772961E-2</v>
      </c>
      <c r="P82" s="20">
        <f t="shared" si="11"/>
        <v>0.93811412186978416</v>
      </c>
      <c r="Q82" s="20">
        <f>MAX($P$5:P82)</f>
        <v>1.7685341812544308</v>
      </c>
      <c r="R82" s="15">
        <f t="shared" si="10"/>
        <v>-0.46955273366309791</v>
      </c>
      <c r="S82" s="15">
        <f>O82-Benchmark_RF!D82</f>
        <v>-2.7481665183808235E-2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IF(Rankings!C89&lt;=2,1,0)</f>
        <v>1</v>
      </c>
      <c r="D83" s="16">
        <f>IF(Rankings!D89&lt;=2,1,0)</f>
        <v>0</v>
      </c>
      <c r="E83" s="16">
        <f>IF(Rankings!E89&lt;=2,1,0)</f>
        <v>0</v>
      </c>
      <c r="F83" s="16">
        <f>IF(Rankings!F89&lt;=2,1,0)</f>
        <v>0</v>
      </c>
      <c r="G83" s="16">
        <f>IF(Rankings!G89&lt;=2,1,0)</f>
        <v>0</v>
      </c>
      <c r="H83" s="16">
        <f>IF(Rankings!H89&lt;=2,1,0)</f>
        <v>0</v>
      </c>
      <c r="I83" s="16">
        <f>IF(Rankings!I89&lt;=2,1,0)</f>
        <v>1</v>
      </c>
      <c r="J83" s="16">
        <f>IF(Rankings!J89&lt;=2,1,0)</f>
        <v>0</v>
      </c>
      <c r="K83" s="19">
        <f t="shared" si="8"/>
        <v>2</v>
      </c>
      <c r="L83" s="15">
        <f>SUMPRODUCT(C83:J83,Returns!B87:I87)/K83</f>
        <v>-3.527234493924114E-2</v>
      </c>
      <c r="M83" s="15">
        <f>-2*Assumptions!$B$13</f>
        <v>-7.0000000000000001E-3</v>
      </c>
      <c r="N83" s="15">
        <f>-Assumptions!$B$16*MAX(0,(1+O80)*(1+O81)*(1+O82)-1)</f>
        <v>0</v>
      </c>
      <c r="O83" s="15">
        <f t="shared" si="9"/>
        <v>-4.227234493924114E-2</v>
      </c>
      <c r="P83" s="20">
        <f t="shared" si="11"/>
        <v>0.89845783811773139</v>
      </c>
      <c r="Q83" s="20">
        <f>MAX($P$5:P83)</f>
        <v>1.7685341812544308</v>
      </c>
      <c r="R83" s="15">
        <f t="shared" si="10"/>
        <v>-0.49197598347776894</v>
      </c>
      <c r="S83" s="15">
        <f>O83-Benchmark_RF!D83</f>
        <v>-5.0538941613533665E-2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IF(Rankings!C89&lt;=2,1,0)</f>
        <v>1</v>
      </c>
      <c r="D84" s="16">
        <f>IF(Rankings!D89&lt;=2,1,0)</f>
        <v>0</v>
      </c>
      <c r="E84" s="16">
        <f>IF(Rankings!E89&lt;=2,1,0)</f>
        <v>0</v>
      </c>
      <c r="F84" s="16">
        <f>IF(Rankings!F89&lt;=2,1,0)</f>
        <v>0</v>
      </c>
      <c r="G84" s="16">
        <f>IF(Rankings!G89&lt;=2,1,0)</f>
        <v>0</v>
      </c>
      <c r="H84" s="16">
        <f>IF(Rankings!H89&lt;=2,1,0)</f>
        <v>0</v>
      </c>
      <c r="I84" s="16">
        <f>IF(Rankings!I89&lt;=2,1,0)</f>
        <v>1</v>
      </c>
      <c r="J84" s="16">
        <f>IF(Rankings!J89&lt;=2,1,0)</f>
        <v>0</v>
      </c>
      <c r="K84" s="19">
        <f t="shared" si="8"/>
        <v>2</v>
      </c>
      <c r="L84" s="15">
        <f>SUMPRODUCT(C84:J84,Returns!B88:I88)/K84</f>
        <v>-8.0835299768036939E-2</v>
      </c>
      <c r="M84" s="15">
        <v>0</v>
      </c>
      <c r="N84" s="15">
        <v>0</v>
      </c>
      <c r="O84" s="15">
        <f t="shared" si="9"/>
        <v>-8.0835299768036939E-2</v>
      </c>
      <c r="P84" s="20">
        <f t="shared" si="11"/>
        <v>0.82583072944454217</v>
      </c>
      <c r="Q84" s="20">
        <f>MAX($P$5:P84)</f>
        <v>1.7685341812544308</v>
      </c>
      <c r="R84" s="15">
        <f t="shared" si="10"/>
        <v>-0.53304225714270559</v>
      </c>
      <c r="S84" s="15">
        <f>O84-Benchmark_RF!D84</f>
        <v>-9.013657497452654E-2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IF(Rankings!C89&lt;=2,1,0)</f>
        <v>1</v>
      </c>
      <c r="D85" s="16">
        <f>IF(Rankings!D89&lt;=2,1,0)</f>
        <v>0</v>
      </c>
      <c r="E85" s="16">
        <f>IF(Rankings!E89&lt;=2,1,0)</f>
        <v>0</v>
      </c>
      <c r="F85" s="16">
        <f>IF(Rankings!F89&lt;=2,1,0)</f>
        <v>0</v>
      </c>
      <c r="G85" s="16">
        <f>IF(Rankings!G89&lt;=2,1,0)</f>
        <v>0</v>
      </c>
      <c r="H85" s="16">
        <f>IF(Rankings!H89&lt;=2,1,0)</f>
        <v>0</v>
      </c>
      <c r="I85" s="16">
        <f>IF(Rankings!I89&lt;=2,1,0)</f>
        <v>1</v>
      </c>
      <c r="J85" s="16">
        <f>IF(Rankings!J89&lt;=2,1,0)</f>
        <v>0</v>
      </c>
      <c r="K85" s="19">
        <f t="shared" si="8"/>
        <v>2</v>
      </c>
      <c r="L85" s="15">
        <f>SUMPRODUCT(C85:J85,Returns!B89:I89)/K85</f>
        <v>1.0946836597086396E-2</v>
      </c>
      <c r="M85" s="15">
        <v>0</v>
      </c>
      <c r="N85" s="15">
        <v>0</v>
      </c>
      <c r="O85" s="15">
        <f t="shared" si="9"/>
        <v>1.0946836597086396E-2</v>
      </c>
      <c r="P85" s="20">
        <f t="shared" si="11"/>
        <v>0.83487096349662426</v>
      </c>
      <c r="Q85" s="20">
        <f>MAX($P$5:P85)</f>
        <v>1.7685341812544308</v>
      </c>
      <c r="R85" s="15">
        <f t="shared" si="10"/>
        <v>-0.52793054703390252</v>
      </c>
      <c r="S85" s="15">
        <f>O85-Benchmark_RF!D85</f>
        <v>-1.7497831026425104E-4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IF(Rankings!C92&lt;=2,1,0)</f>
        <v>0</v>
      </c>
      <c r="D86" s="16">
        <f>IF(Rankings!D92&lt;=2,1,0)</f>
        <v>1</v>
      </c>
      <c r="E86" s="16">
        <f>IF(Rankings!E92&lt;=2,1,0)</f>
        <v>0</v>
      </c>
      <c r="F86" s="16">
        <f>IF(Rankings!F92&lt;=2,1,0)</f>
        <v>0</v>
      </c>
      <c r="G86" s="16">
        <f>IF(Rankings!G92&lt;=2,1,0)</f>
        <v>1</v>
      </c>
      <c r="H86" s="16">
        <f>IF(Rankings!H92&lt;=2,1,0)</f>
        <v>0</v>
      </c>
      <c r="I86" s="16">
        <f>IF(Rankings!I92&lt;=2,1,0)</f>
        <v>0</v>
      </c>
      <c r="J86" s="16">
        <f>IF(Rankings!J92&lt;=2,1,0)</f>
        <v>0</v>
      </c>
      <c r="K86" s="19">
        <f t="shared" si="8"/>
        <v>2</v>
      </c>
      <c r="L86" s="15">
        <f>SUMPRODUCT(C86:J86,Returns!B90:I90)/K86</f>
        <v>-0.11301884219358066</v>
      </c>
      <c r="M86" s="15">
        <f>-2*Assumptions!$B$13</f>
        <v>-7.0000000000000001E-3</v>
      </c>
      <c r="N86" s="15">
        <f>-Assumptions!$B$16*MAX(0,(1+O83)*(1+O84)*(1+O85)-1)</f>
        <v>0</v>
      </c>
      <c r="O86" s="15">
        <f t="shared" si="9"/>
        <v>-0.12001884219358067</v>
      </c>
      <c r="P86" s="20">
        <f t="shared" si="11"/>
        <v>0.73467071707672027</v>
      </c>
      <c r="Q86" s="20">
        <f>MAX($P$5:P86)</f>
        <v>1.7685341812544308</v>
      </c>
      <c r="R86" s="15">
        <f t="shared" si="10"/>
        <v>-0.5845877762138505</v>
      </c>
      <c r="S86" s="15">
        <f>O86-Benchmark_RF!D86</f>
        <v>-0.13130940081069881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IF(Rankings!C92&lt;=2,1,0)</f>
        <v>0</v>
      </c>
      <c r="D87" s="16">
        <f>IF(Rankings!D92&lt;=2,1,0)</f>
        <v>1</v>
      </c>
      <c r="E87" s="16">
        <f>IF(Rankings!E92&lt;=2,1,0)</f>
        <v>0</v>
      </c>
      <c r="F87" s="16">
        <f>IF(Rankings!F92&lt;=2,1,0)</f>
        <v>0</v>
      </c>
      <c r="G87" s="16">
        <f>IF(Rankings!G92&lt;=2,1,0)</f>
        <v>1</v>
      </c>
      <c r="H87" s="16">
        <f>IF(Rankings!H92&lt;=2,1,0)</f>
        <v>0</v>
      </c>
      <c r="I87" s="16">
        <f>IF(Rankings!I92&lt;=2,1,0)</f>
        <v>0</v>
      </c>
      <c r="J87" s="16">
        <f>IF(Rankings!J92&lt;=2,1,0)</f>
        <v>0</v>
      </c>
      <c r="K87" s="19">
        <f t="shared" si="8"/>
        <v>2</v>
      </c>
      <c r="L87" s="15">
        <f>SUMPRODUCT(C87:J87,Returns!B91:I91)/K87</f>
        <v>-8.941693202991724E-2</v>
      </c>
      <c r="M87" s="15">
        <v>0</v>
      </c>
      <c r="N87" s="15">
        <v>0</v>
      </c>
      <c r="O87" s="15">
        <f t="shared" si="9"/>
        <v>-8.941693202991724E-2</v>
      </c>
      <c r="P87" s="20">
        <f t="shared" si="11"/>
        <v>0.66897871550350063</v>
      </c>
      <c r="Q87" s="20">
        <f>MAX($P$5:P87)</f>
        <v>1.7685341812544308</v>
      </c>
      <c r="R87" s="15">
        <f t="shared" si="10"/>
        <v>-0.62173266279253347</v>
      </c>
      <c r="S87" s="15">
        <f>O87-Benchmark_RF!D87</f>
        <v>-0.1011904803981441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IF(Rankings!C92&lt;=2,1,0)</f>
        <v>0</v>
      </c>
      <c r="D88" s="16">
        <f>IF(Rankings!D92&lt;=2,1,0)</f>
        <v>1</v>
      </c>
      <c r="E88" s="16">
        <f>IF(Rankings!E92&lt;=2,1,0)</f>
        <v>0</v>
      </c>
      <c r="F88" s="16">
        <f>IF(Rankings!F92&lt;=2,1,0)</f>
        <v>0</v>
      </c>
      <c r="G88" s="16">
        <f>IF(Rankings!G92&lt;=2,1,0)</f>
        <v>1</v>
      </c>
      <c r="H88" s="16">
        <f>IF(Rankings!H92&lt;=2,1,0)</f>
        <v>0</v>
      </c>
      <c r="I88" s="16">
        <f>IF(Rankings!I92&lt;=2,1,0)</f>
        <v>0</v>
      </c>
      <c r="J88" s="16">
        <f>IF(Rankings!J92&lt;=2,1,0)</f>
        <v>0</v>
      </c>
      <c r="K88" s="19">
        <f t="shared" si="8"/>
        <v>2</v>
      </c>
      <c r="L88" s="15">
        <f>SUMPRODUCT(C88:J88,Returns!B92:I92)/K88</f>
        <v>-2.1872774209651391E-2</v>
      </c>
      <c r="M88" s="15">
        <v>0</v>
      </c>
      <c r="N88" s="15">
        <v>0</v>
      </c>
      <c r="O88" s="15">
        <f t="shared" si="9"/>
        <v>-2.1872774209651391E-2</v>
      </c>
      <c r="P88" s="20">
        <f t="shared" si="11"/>
        <v>0.65434629510822995</v>
      </c>
      <c r="Q88" s="20">
        <f>MAX($P$5:P88)</f>
        <v>1.7685341812544308</v>
      </c>
      <c r="R88" s="15">
        <f t="shared" si="10"/>
        <v>-0.6300064188501584</v>
      </c>
      <c r="S88" s="15">
        <f>O88-Benchmark_RF!D88</f>
        <v>-3.4048405330711073E-2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IF(Rankings!C95&lt;=2,1,0)</f>
        <v>0</v>
      </c>
      <c r="D89" s="16">
        <f>IF(Rankings!D95&lt;=2,1,0)</f>
        <v>0</v>
      </c>
      <c r="E89" s="16">
        <f>IF(Rankings!E95&lt;=2,1,0)</f>
        <v>0</v>
      </c>
      <c r="F89" s="16">
        <f>IF(Rankings!F95&lt;=2,1,0)</f>
        <v>0</v>
      </c>
      <c r="G89" s="16">
        <f>IF(Rankings!G95&lt;=2,1,0)</f>
        <v>1</v>
      </c>
      <c r="H89" s="16">
        <f>IF(Rankings!H95&lt;=2,1,0)</f>
        <v>0</v>
      </c>
      <c r="I89" s="16">
        <f>IF(Rankings!I95&lt;=2,1,0)</f>
        <v>1</v>
      </c>
      <c r="J89" s="16">
        <f>IF(Rankings!J95&lt;=2,1,0)</f>
        <v>0</v>
      </c>
      <c r="K89" s="19">
        <f t="shared" si="8"/>
        <v>2</v>
      </c>
      <c r="L89" s="15">
        <f>SUMPRODUCT(C89:J89,Returns!B93:I93)/K89</f>
        <v>0.16547020445783045</v>
      </c>
      <c r="M89" s="15">
        <f>-2*Assumptions!$B$13</f>
        <v>-7.0000000000000001E-3</v>
      </c>
      <c r="N89" s="15">
        <f>-Assumptions!$B$16*MAX(0,(1+O86)*(1+O87)*(1+O88)-1)</f>
        <v>0</v>
      </c>
      <c r="O89" s="15">
        <f t="shared" si="9"/>
        <v>0.15847020445783044</v>
      </c>
      <c r="P89" s="20">
        <f t="shared" si="11"/>
        <v>0.75804068628025512</v>
      </c>
      <c r="Q89" s="20">
        <f>MAX($P$5:P89)</f>
        <v>1.7685341812544308</v>
      </c>
      <c r="R89" s="15">
        <f t="shared" si="10"/>
        <v>-0.571373460397258</v>
      </c>
      <c r="S89" s="15">
        <f>O89-Benchmark_RF!D89</f>
        <v>0.14622165579466551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IF(Rankings!C95&lt;=2,1,0)</f>
        <v>0</v>
      </c>
      <c r="D90" s="16">
        <f>IF(Rankings!D95&lt;=2,1,0)</f>
        <v>0</v>
      </c>
      <c r="E90" s="16">
        <f>IF(Rankings!E95&lt;=2,1,0)</f>
        <v>0</v>
      </c>
      <c r="F90" s="16">
        <f>IF(Rankings!F95&lt;=2,1,0)</f>
        <v>0</v>
      </c>
      <c r="G90" s="16">
        <f>IF(Rankings!G95&lt;=2,1,0)</f>
        <v>1</v>
      </c>
      <c r="H90" s="16">
        <f>IF(Rankings!H95&lt;=2,1,0)</f>
        <v>0</v>
      </c>
      <c r="I90" s="16">
        <f>IF(Rankings!I95&lt;=2,1,0)</f>
        <v>1</v>
      </c>
      <c r="J90" s="16">
        <f>IF(Rankings!J95&lt;=2,1,0)</f>
        <v>0</v>
      </c>
      <c r="K90" s="19">
        <f t="shared" si="8"/>
        <v>2</v>
      </c>
      <c r="L90" s="15">
        <f>SUMPRODUCT(C90:J90,Returns!B94:I94)/K90</f>
        <v>-6.2547657439350202E-2</v>
      </c>
      <c r="M90" s="15">
        <v>0</v>
      </c>
      <c r="N90" s="15">
        <v>0</v>
      </c>
      <c r="O90" s="15">
        <f t="shared" si="9"/>
        <v>-6.2547657439350202E-2</v>
      </c>
      <c r="P90" s="20">
        <f t="shared" si="11"/>
        <v>0.71062701710970777</v>
      </c>
      <c r="Q90" s="20">
        <f>MAX($P$5:P90)</f>
        <v>1.7685341812544308</v>
      </c>
      <c r="R90" s="15">
        <f t="shared" si="10"/>
        <v>-0.59818304636574449</v>
      </c>
      <c r="S90" s="15">
        <f>O90-Benchmark_RF!D90</f>
        <v>-7.4970972833903859E-2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IF(Rankings!C95&lt;=2,1,0)</f>
        <v>0</v>
      </c>
      <c r="D91" s="16">
        <f>IF(Rankings!D95&lt;=2,1,0)</f>
        <v>0</v>
      </c>
      <c r="E91" s="16">
        <f>IF(Rankings!E95&lt;=2,1,0)</f>
        <v>0</v>
      </c>
      <c r="F91" s="16">
        <f>IF(Rankings!F95&lt;=2,1,0)</f>
        <v>0</v>
      </c>
      <c r="G91" s="16">
        <f>IF(Rankings!G95&lt;=2,1,0)</f>
        <v>1</v>
      </c>
      <c r="H91" s="16">
        <f>IF(Rankings!H95&lt;=2,1,0)</f>
        <v>0</v>
      </c>
      <c r="I91" s="16">
        <f>IF(Rankings!I95&lt;=2,1,0)</f>
        <v>1</v>
      </c>
      <c r="J91" s="16">
        <f>IF(Rankings!J95&lt;=2,1,0)</f>
        <v>0</v>
      </c>
      <c r="K91" s="19">
        <f t="shared" si="8"/>
        <v>2</v>
      </c>
      <c r="L91" s="15">
        <f>SUMPRODUCT(C91:J91,Returns!B95:I95)/K91</f>
        <v>-7.7449948079763575E-2</v>
      </c>
      <c r="M91" s="15">
        <v>0</v>
      </c>
      <c r="N91" s="15">
        <v>0</v>
      </c>
      <c r="O91" s="15">
        <f t="shared" si="9"/>
        <v>-7.7449948079763575E-2</v>
      </c>
      <c r="P91" s="20">
        <f t="shared" si="11"/>
        <v>0.65558899153048367</v>
      </c>
      <c r="Q91" s="20">
        <f>MAX($P$5:P91)</f>
        <v>1.7685341812544308</v>
      </c>
      <c r="R91" s="15">
        <f t="shared" si="10"/>
        <v>-0.62930374856228632</v>
      </c>
      <c r="S91" s="15">
        <f>O91-Benchmark_RF!D91</f>
        <v>-8.9654753151770739E-2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IF(Rankings!C98&lt;=2,1,0)</f>
        <v>0</v>
      </c>
      <c r="D92" s="16">
        <f>IF(Rankings!D98&lt;=2,1,0)</f>
        <v>0</v>
      </c>
      <c r="E92" s="16">
        <f>IF(Rankings!E98&lt;=2,1,0)</f>
        <v>0</v>
      </c>
      <c r="F92" s="16">
        <f>IF(Rankings!F98&lt;=2,1,0)</f>
        <v>0</v>
      </c>
      <c r="G92" s="16">
        <f>IF(Rankings!G98&lt;=2,1,0)</f>
        <v>0</v>
      </c>
      <c r="H92" s="16">
        <f>IF(Rankings!H98&lt;=2,1,0)</f>
        <v>0</v>
      </c>
      <c r="I92" s="16">
        <f>IF(Rankings!I98&lt;=2,1,0)</f>
        <v>1</v>
      </c>
      <c r="J92" s="16">
        <f>IF(Rankings!J98&lt;=2,1,0)</f>
        <v>1</v>
      </c>
      <c r="K92" s="19">
        <f t="shared" si="8"/>
        <v>2</v>
      </c>
      <c r="L92" s="15">
        <f>SUMPRODUCT(C92:J92,Returns!B96:I96)/K92</f>
        <v>6.460066330740144E-2</v>
      </c>
      <c r="M92" s="15">
        <f>-2*Assumptions!$B$13</f>
        <v>-7.0000000000000001E-3</v>
      </c>
      <c r="N92" s="15">
        <f>-Assumptions!$B$16*MAX(0,(1+O89)*(1+O90)*(1+O91)-1)</f>
        <v>-2.8487127493742603E-4</v>
      </c>
      <c r="O92" s="15">
        <f t="shared" si="9"/>
        <v>5.7315792032464015E-2</v>
      </c>
      <c r="P92" s="20">
        <f t="shared" si="11"/>
        <v>0.6931645938278177</v>
      </c>
      <c r="Q92" s="20">
        <f>MAX($P$5:P92)</f>
        <v>1.7685341812544308</v>
      </c>
      <c r="R92" s="15">
        <f t="shared" si="10"/>
        <v>-0.60805699930766832</v>
      </c>
      <c r="S92" s="15">
        <f>O92-Benchmark_RF!D92</f>
        <v>4.4232817328332126E-2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IF(Rankings!C98&lt;=2,1,0)</f>
        <v>0</v>
      </c>
      <c r="D93" s="16">
        <f>IF(Rankings!D98&lt;=2,1,0)</f>
        <v>0</v>
      </c>
      <c r="E93" s="16">
        <f>IF(Rankings!E98&lt;=2,1,0)</f>
        <v>0</v>
      </c>
      <c r="F93" s="16">
        <f>IF(Rankings!F98&lt;=2,1,0)</f>
        <v>0</v>
      </c>
      <c r="G93" s="16">
        <f>IF(Rankings!G98&lt;=2,1,0)</f>
        <v>0</v>
      </c>
      <c r="H93" s="16">
        <f>IF(Rankings!H98&lt;=2,1,0)</f>
        <v>0</v>
      </c>
      <c r="I93" s="16">
        <f>IF(Rankings!I98&lt;=2,1,0)</f>
        <v>1</v>
      </c>
      <c r="J93" s="16">
        <f>IF(Rankings!J98&lt;=2,1,0)</f>
        <v>1</v>
      </c>
      <c r="K93" s="19">
        <f t="shared" si="8"/>
        <v>2</v>
      </c>
      <c r="L93" s="15">
        <f>SUMPRODUCT(C93:J93,Returns!B97:I97)/K93</f>
        <v>-0.11525430503783918</v>
      </c>
      <c r="M93" s="15">
        <v>0</v>
      </c>
      <c r="N93" s="15">
        <v>0</v>
      </c>
      <c r="O93" s="15">
        <f t="shared" si="9"/>
        <v>-0.11525430503783918</v>
      </c>
      <c r="P93" s="20">
        <f t="shared" si="11"/>
        <v>0.61327439028935649</v>
      </c>
      <c r="Q93" s="20">
        <f>MAX($P$5:P93)</f>
        <v>1.7685341812544308</v>
      </c>
      <c r="R93" s="15">
        <f t="shared" si="10"/>
        <v>-0.65323011746690829</v>
      </c>
      <c r="S93" s="15">
        <f>O93-Benchmark_RF!D93</f>
        <v>-0.1283950464141852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IF(Rankings!C98&lt;=2,1,0)</f>
        <v>0</v>
      </c>
      <c r="D94" s="16">
        <f>IF(Rankings!D98&lt;=2,1,0)</f>
        <v>0</v>
      </c>
      <c r="E94" s="16">
        <f>IF(Rankings!E98&lt;=2,1,0)</f>
        <v>0</v>
      </c>
      <c r="F94" s="16">
        <f>IF(Rankings!F98&lt;=2,1,0)</f>
        <v>0</v>
      </c>
      <c r="G94" s="16">
        <f>IF(Rankings!G98&lt;=2,1,0)</f>
        <v>0</v>
      </c>
      <c r="H94" s="16">
        <f>IF(Rankings!H98&lt;=2,1,0)</f>
        <v>0</v>
      </c>
      <c r="I94" s="16">
        <f>IF(Rankings!I98&lt;=2,1,0)</f>
        <v>1</v>
      </c>
      <c r="J94" s="16">
        <f>IF(Rankings!J98&lt;=2,1,0)</f>
        <v>1</v>
      </c>
      <c r="K94" s="19">
        <f t="shared" si="8"/>
        <v>2</v>
      </c>
      <c r="L94" s="15">
        <f>SUMPRODUCT(C94:J94,Returns!B98:I98)/K94</f>
        <v>-2.1188092775890177E-2</v>
      </c>
      <c r="M94" s="15">
        <v>0</v>
      </c>
      <c r="N94" s="15">
        <v>0</v>
      </c>
      <c r="O94" s="15">
        <f t="shared" si="9"/>
        <v>-2.1188092775890177E-2</v>
      </c>
      <c r="P94" s="20">
        <f t="shared" si="11"/>
        <v>0.60028027561082808</v>
      </c>
      <c r="Q94" s="20">
        <f>MAX($P$5:P94)</f>
        <v>1.7685341812544308</v>
      </c>
      <c r="R94" s="15">
        <f t="shared" si="10"/>
        <v>-0.66057750990990405</v>
      </c>
      <c r="S94" s="15">
        <f>O94-Benchmark_RF!D94</f>
        <v>-3.4947548804219797E-2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IF(Rankings!C101&lt;=2,1,0)</f>
        <v>0</v>
      </c>
      <c r="D95" s="16">
        <f>IF(Rankings!D101&lt;=2,1,0)</f>
        <v>1</v>
      </c>
      <c r="E95" s="16">
        <f>IF(Rankings!E101&lt;=2,1,0)</f>
        <v>0</v>
      </c>
      <c r="F95" s="16">
        <f>IF(Rankings!F101&lt;=2,1,0)</f>
        <v>0</v>
      </c>
      <c r="G95" s="16">
        <f>IF(Rankings!G101&lt;=2,1,0)</f>
        <v>0</v>
      </c>
      <c r="H95" s="16">
        <f>IF(Rankings!H101&lt;=2,1,0)</f>
        <v>0</v>
      </c>
      <c r="I95" s="16">
        <f>IF(Rankings!I101&lt;=2,1,0)</f>
        <v>0</v>
      </c>
      <c r="J95" s="16">
        <f>IF(Rankings!J101&lt;=2,1,0)</f>
        <v>1</v>
      </c>
      <c r="K95" s="19">
        <f t="shared" si="8"/>
        <v>2</v>
      </c>
      <c r="L95" s="15">
        <f>SUMPRODUCT(C95:J95,Returns!B99:I99)/K95</f>
        <v>-1.3613933492394314E-2</v>
      </c>
      <c r="M95" s="15">
        <f>-2*Assumptions!$B$13</f>
        <v>-7.0000000000000001E-3</v>
      </c>
      <c r="N95" s="15">
        <f>-Assumptions!$B$16*MAX(0,(1+O92)*(1+O93)*(1+O94)-1)</f>
        <v>0</v>
      </c>
      <c r="O95" s="15">
        <f t="shared" si="9"/>
        <v>-2.0613933492394314E-2</v>
      </c>
      <c r="P95" s="20">
        <f t="shared" si="11"/>
        <v>0.58790613793259039</v>
      </c>
      <c r="Q95" s="20">
        <f>MAX($P$5:P95)</f>
        <v>1.7685341812544308</v>
      </c>
      <c r="R95" s="15">
        <f t="shared" si="10"/>
        <v>-0.6675743425464441</v>
      </c>
      <c r="S95" s="15">
        <f>O95-Benchmark_RF!D95</f>
        <v>-3.5407257795182771E-2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IF(Rankings!C101&lt;=2,1,0)</f>
        <v>0</v>
      </c>
      <c r="D96" s="16">
        <f>IF(Rankings!D101&lt;=2,1,0)</f>
        <v>1</v>
      </c>
      <c r="E96" s="16">
        <f>IF(Rankings!E101&lt;=2,1,0)</f>
        <v>0</v>
      </c>
      <c r="F96" s="16">
        <f>IF(Rankings!F101&lt;=2,1,0)</f>
        <v>0</v>
      </c>
      <c r="G96" s="16">
        <f>IF(Rankings!G101&lt;=2,1,0)</f>
        <v>0</v>
      </c>
      <c r="H96" s="16">
        <f>IF(Rankings!H101&lt;=2,1,0)</f>
        <v>0</v>
      </c>
      <c r="I96" s="16">
        <f>IF(Rankings!I101&lt;=2,1,0)</f>
        <v>0</v>
      </c>
      <c r="J96" s="16">
        <f>IF(Rankings!J101&lt;=2,1,0)</f>
        <v>1</v>
      </c>
      <c r="K96" s="19">
        <f t="shared" si="8"/>
        <v>2</v>
      </c>
      <c r="L96" s="15">
        <f>SUMPRODUCT(C96:J96,Returns!B100:I100)/K96</f>
        <v>2.8462973811989534E-2</v>
      </c>
      <c r="M96" s="15">
        <v>0</v>
      </c>
      <c r="N96" s="15">
        <v>0</v>
      </c>
      <c r="O96" s="15">
        <f t="shared" si="9"/>
        <v>2.8462973811989534E-2</v>
      </c>
      <c r="P96" s="20">
        <f t="shared" si="11"/>
        <v>0.60463969494047354</v>
      </c>
      <c r="Q96" s="20">
        <f>MAX($P$5:P96)</f>
        <v>1.7685341812544308</v>
      </c>
      <c r="R96" s="15">
        <f t="shared" si="10"/>
        <v>-0.65811251976391016</v>
      </c>
      <c r="S96" s="15">
        <f>O96-Benchmark_RF!D96</f>
        <v>1.2409131615911673E-2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IF(Rankings!C101&lt;=2,1,0)</f>
        <v>0</v>
      </c>
      <c r="D97" s="16">
        <f>IF(Rankings!D101&lt;=2,1,0)</f>
        <v>1</v>
      </c>
      <c r="E97" s="16">
        <f>IF(Rankings!E101&lt;=2,1,0)</f>
        <v>0</v>
      </c>
      <c r="F97" s="16">
        <f>IF(Rankings!F101&lt;=2,1,0)</f>
        <v>0</v>
      </c>
      <c r="G97" s="16">
        <f>IF(Rankings!G101&lt;=2,1,0)</f>
        <v>0</v>
      </c>
      <c r="H97" s="16">
        <f>IF(Rankings!H101&lt;=2,1,0)</f>
        <v>0</v>
      </c>
      <c r="I97" s="16">
        <f>IF(Rankings!I101&lt;=2,1,0)</f>
        <v>0</v>
      </c>
      <c r="J97" s="16">
        <f>IF(Rankings!J101&lt;=2,1,0)</f>
        <v>1</v>
      </c>
      <c r="K97" s="19">
        <f t="shared" si="8"/>
        <v>2</v>
      </c>
      <c r="L97" s="15">
        <f>SUMPRODUCT(C97:J97,Returns!B101:I101)/K97</f>
        <v>4.654935793485282E-2</v>
      </c>
      <c r="M97" s="15">
        <v>0</v>
      </c>
      <c r="N97" s="15">
        <v>0</v>
      </c>
      <c r="O97" s="15">
        <f t="shared" si="9"/>
        <v>4.654935793485282E-2</v>
      </c>
      <c r="P97" s="20">
        <f t="shared" si="11"/>
        <v>0.63278528452187788</v>
      </c>
      <c r="Q97" s="20">
        <f>MAX($P$5:P97)</f>
        <v>1.7685341812544308</v>
      </c>
      <c r="R97" s="15">
        <f t="shared" si="10"/>
        <v>-0.6421978770729555</v>
      </c>
      <c r="S97" s="15">
        <f>O97-Benchmark_RF!D97</f>
        <v>2.9854284572160994E-2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IF(Rankings!C104&lt;=2,1,0)</f>
        <v>0</v>
      </c>
      <c r="D98" s="16">
        <f>IF(Rankings!D104&lt;=2,1,0)</f>
        <v>1</v>
      </c>
      <c r="E98" s="16">
        <f>IF(Rankings!E104&lt;=2,1,0)</f>
        <v>0</v>
      </c>
      <c r="F98" s="16">
        <f>IF(Rankings!F104&lt;=2,1,0)</f>
        <v>0</v>
      </c>
      <c r="G98" s="16">
        <f>IF(Rankings!G104&lt;=2,1,0)</f>
        <v>0</v>
      </c>
      <c r="H98" s="16">
        <f>IF(Rankings!H104&lt;=2,1,0)</f>
        <v>1</v>
      </c>
      <c r="I98" s="16">
        <f>IF(Rankings!I104&lt;=2,1,0)</f>
        <v>0</v>
      </c>
      <c r="J98" s="16">
        <f>IF(Rankings!J104&lt;=2,1,0)</f>
        <v>0</v>
      </c>
      <c r="K98" s="19">
        <f t="shared" si="8"/>
        <v>2</v>
      </c>
      <c r="L98" s="15">
        <f>SUMPRODUCT(C98:J98,Returns!B102:I102)/K98</f>
        <v>-6.189569681286311E-2</v>
      </c>
      <c r="M98" s="15">
        <f>-2*Assumptions!$B$13</f>
        <v>-7.0000000000000001E-3</v>
      </c>
      <c r="N98" s="15">
        <f>-Assumptions!$B$16*MAX(0,(1+O95)*(1+O96)*(1+O97)-1)</f>
        <v>-8.1224580162925445E-3</v>
      </c>
      <c r="O98" s="15">
        <f t="shared" si="9"/>
        <v>-7.7018154829155666E-2</v>
      </c>
      <c r="P98" s="20">
        <f t="shared" si="11"/>
        <v>0.58404932950496058</v>
      </c>
      <c r="Q98" s="20">
        <f>MAX($P$5:P98)</f>
        <v>1.7685341812544308</v>
      </c>
      <c r="R98" s="15">
        <f t="shared" si="10"/>
        <v>-0.66975513637475115</v>
      </c>
      <c r="S98" s="15">
        <f>O98-Benchmark_RF!D98</f>
        <v>-9.3713228191847492E-2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IF(Rankings!C104&lt;=2,1,0)</f>
        <v>0</v>
      </c>
      <c r="D99" s="16">
        <f>IF(Rankings!D104&lt;=2,1,0)</f>
        <v>1</v>
      </c>
      <c r="E99" s="16">
        <f>IF(Rankings!E104&lt;=2,1,0)</f>
        <v>0</v>
      </c>
      <c r="F99" s="16">
        <f>IF(Rankings!F104&lt;=2,1,0)</f>
        <v>0</v>
      </c>
      <c r="G99" s="16">
        <f>IF(Rankings!G104&lt;=2,1,0)</f>
        <v>0</v>
      </c>
      <c r="H99" s="16">
        <f>IF(Rankings!H104&lt;=2,1,0)</f>
        <v>1</v>
      </c>
      <c r="I99" s="16">
        <f>IF(Rankings!I104&lt;=2,1,0)</f>
        <v>0</v>
      </c>
      <c r="J99" s="16">
        <f>IF(Rankings!J104&lt;=2,1,0)</f>
        <v>0</v>
      </c>
      <c r="K99" s="19">
        <f t="shared" si="8"/>
        <v>2</v>
      </c>
      <c r="L99" s="15">
        <f>SUMPRODUCT(C99:J99,Returns!B103:I103)/K99</f>
        <v>-2.9359438528988702E-2</v>
      </c>
      <c r="M99" s="15">
        <v>0</v>
      </c>
      <c r="N99" s="15">
        <v>0</v>
      </c>
      <c r="O99" s="15">
        <f t="shared" si="9"/>
        <v>-2.9359438528988702E-2</v>
      </c>
      <c r="P99" s="20">
        <f t="shared" si="11"/>
        <v>0.5669019691174626</v>
      </c>
      <c r="Q99" s="20">
        <f>MAX($P$5:P99)</f>
        <v>1.7685341812544308</v>
      </c>
      <c r="R99" s="15">
        <f t="shared" si="10"/>
        <v>-0.679450940147871</v>
      </c>
      <c r="S99" s="15">
        <f>O99-Benchmark_RF!D99</f>
        <v>-4.6061457407841622E-2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IF(Rankings!C104&lt;=2,1,0)</f>
        <v>0</v>
      </c>
      <c r="D100" s="16">
        <f>IF(Rankings!D104&lt;=2,1,0)</f>
        <v>1</v>
      </c>
      <c r="E100" s="16">
        <f>IF(Rankings!E104&lt;=2,1,0)</f>
        <v>0</v>
      </c>
      <c r="F100" s="16">
        <f>IF(Rankings!F104&lt;=2,1,0)</f>
        <v>0</v>
      </c>
      <c r="G100" s="16">
        <f>IF(Rankings!G104&lt;=2,1,0)</f>
        <v>0</v>
      </c>
      <c r="H100" s="16">
        <f>IF(Rankings!H104&lt;=2,1,0)</f>
        <v>1</v>
      </c>
      <c r="I100" s="16">
        <f>IF(Rankings!I104&lt;=2,1,0)</f>
        <v>0</v>
      </c>
      <c r="J100" s="16">
        <f>IF(Rankings!J104&lt;=2,1,0)</f>
        <v>0</v>
      </c>
      <c r="K100" s="19">
        <f t="shared" si="8"/>
        <v>2</v>
      </c>
      <c r="L100" s="15">
        <f>SUMPRODUCT(C100:J100,Returns!B104:I104)/K100</f>
        <v>0.28006593874078267</v>
      </c>
      <c r="M100" s="15">
        <v>0</v>
      </c>
      <c r="N100" s="15">
        <v>0</v>
      </c>
      <c r="O100" s="15">
        <f t="shared" si="9"/>
        <v>0.28006593874078267</v>
      </c>
      <c r="P100" s="20">
        <f t="shared" si="11"/>
        <v>0.72567190127234293</v>
      </c>
      <c r="Q100" s="20">
        <f>MAX($P$5:P100)</f>
        <v>1.7685341812544308</v>
      </c>
      <c r="R100" s="15">
        <f t="shared" si="10"/>
        <v>-0.58967606678790907</v>
      </c>
      <c r="S100" s="15">
        <f>O100-Benchmark_RF!D100</f>
        <v>0.26273584578698839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IF(Rankings!C107&lt;=2,1,0)</f>
        <v>0</v>
      </c>
      <c r="D101" s="16">
        <f>IF(Rankings!D107&lt;=2,1,0)</f>
        <v>0</v>
      </c>
      <c r="E101" s="16">
        <f>IF(Rankings!E107&lt;=2,1,0)</f>
        <v>0</v>
      </c>
      <c r="F101" s="16">
        <f>IF(Rankings!F107&lt;=2,1,0)</f>
        <v>1</v>
      </c>
      <c r="G101" s="16">
        <f>IF(Rankings!G107&lt;=2,1,0)</f>
        <v>0</v>
      </c>
      <c r="H101" s="16">
        <f>IF(Rankings!H107&lt;=2,1,0)</f>
        <v>1</v>
      </c>
      <c r="I101" s="16">
        <f>IF(Rankings!I107&lt;=2,1,0)</f>
        <v>0</v>
      </c>
      <c r="J101" s="16">
        <f>IF(Rankings!J107&lt;=2,1,0)</f>
        <v>0</v>
      </c>
      <c r="K101" s="19">
        <f t="shared" ref="K101:K132" si="12">SUM(C101:J101)</f>
        <v>2</v>
      </c>
      <c r="L101" s="15">
        <f>SUMPRODUCT(C101:J101,Returns!B105:I105)/K101</f>
        <v>-9.1581651609475401E-2</v>
      </c>
      <c r="M101" s="15">
        <f>-2*Assumptions!$B$13</f>
        <v>-7.0000000000000001E-3</v>
      </c>
      <c r="N101" s="15">
        <f>-Assumptions!$B$16*MAX(0,(1+O98)*(1+O99)*(1+O100)-1)</f>
        <v>-2.2018515369075474E-2</v>
      </c>
      <c r="O101" s="15">
        <f t="shared" ref="O101:O132" si="13">L101+M101+N101</f>
        <v>-0.12060016697855089</v>
      </c>
      <c r="P101" s="20">
        <f t="shared" si="11"/>
        <v>0.6381557488072559</v>
      </c>
      <c r="Q101" s="20">
        <f>MAX($P$5:P101)</f>
        <v>1.7685341812544308</v>
      </c>
      <c r="R101" s="15">
        <f t="shared" ref="R101:R132" si="14">P101/Q101-1</f>
        <v>-0.63916120164858303</v>
      </c>
      <c r="S101" s="15">
        <f>O101-Benchmark_RF!D101</f>
        <v>-0.13791135683827535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IF(Rankings!C107&lt;=2,1,0)</f>
        <v>0</v>
      </c>
      <c r="D102" s="16">
        <f>IF(Rankings!D107&lt;=2,1,0)</f>
        <v>0</v>
      </c>
      <c r="E102" s="16">
        <f>IF(Rankings!E107&lt;=2,1,0)</f>
        <v>0</v>
      </c>
      <c r="F102" s="16">
        <f>IF(Rankings!F107&lt;=2,1,0)</f>
        <v>1</v>
      </c>
      <c r="G102" s="16">
        <f>IF(Rankings!G107&lt;=2,1,0)</f>
        <v>0</v>
      </c>
      <c r="H102" s="16">
        <f>IF(Rankings!H107&lt;=2,1,0)</f>
        <v>1</v>
      </c>
      <c r="I102" s="16">
        <f>IF(Rankings!I107&lt;=2,1,0)</f>
        <v>0</v>
      </c>
      <c r="J102" s="16">
        <f>IF(Rankings!J107&lt;=2,1,0)</f>
        <v>0</v>
      </c>
      <c r="K102" s="19">
        <f t="shared" si="12"/>
        <v>2</v>
      </c>
      <c r="L102" s="15">
        <f>SUMPRODUCT(C102:J102,Returns!B106:I106)/K102</f>
        <v>-9.6257282677077449E-3</v>
      </c>
      <c r="M102" s="15">
        <v>0</v>
      </c>
      <c r="N102" s="15">
        <v>0</v>
      </c>
      <c r="O102" s="15">
        <f t="shared" si="13"/>
        <v>-9.6257282677077449E-3</v>
      </c>
      <c r="P102" s="20">
        <f t="shared" ref="P102:P133" si="15">P101*(1+O102)</f>
        <v>0.63201303497676176</v>
      </c>
      <c r="Q102" s="20">
        <f>MAX($P$5:P102)</f>
        <v>1.7685341812544308</v>
      </c>
      <c r="R102" s="15">
        <f t="shared" si="14"/>
        <v>-0.64263453786995983</v>
      </c>
      <c r="S102" s="15">
        <f>O102-Benchmark_RF!D102</f>
        <v>-2.685850493197145E-2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IF(Rankings!C107&lt;=2,1,0)</f>
        <v>0</v>
      </c>
      <c r="D103" s="16">
        <f>IF(Rankings!D107&lt;=2,1,0)</f>
        <v>0</v>
      </c>
      <c r="E103" s="16">
        <f>IF(Rankings!E107&lt;=2,1,0)</f>
        <v>0</v>
      </c>
      <c r="F103" s="16">
        <f>IF(Rankings!F107&lt;=2,1,0)</f>
        <v>1</v>
      </c>
      <c r="G103" s="16">
        <f>IF(Rankings!G107&lt;=2,1,0)</f>
        <v>0</v>
      </c>
      <c r="H103" s="16">
        <f>IF(Rankings!H107&lt;=2,1,0)</f>
        <v>1</v>
      </c>
      <c r="I103" s="16">
        <f>IF(Rankings!I107&lt;=2,1,0)</f>
        <v>0</v>
      </c>
      <c r="J103" s="16">
        <f>IF(Rankings!J107&lt;=2,1,0)</f>
        <v>0</v>
      </c>
      <c r="K103" s="19">
        <f t="shared" si="12"/>
        <v>2</v>
      </c>
      <c r="L103" s="15">
        <f>SUMPRODUCT(C103:J103,Returns!B107:I107)/K103</f>
        <v>0.14536825234938444</v>
      </c>
      <c r="M103" s="15">
        <v>0</v>
      </c>
      <c r="N103" s="15">
        <v>0</v>
      </c>
      <c r="O103" s="15">
        <f t="shared" si="13"/>
        <v>0.14536825234938444</v>
      </c>
      <c r="P103" s="20">
        <f t="shared" si="15"/>
        <v>0.72388766533336402</v>
      </c>
      <c r="Q103" s="20">
        <f>MAX($P$5:P103)</f>
        <v>1.7685341812544308</v>
      </c>
      <c r="R103" s="15">
        <f t="shared" si="14"/>
        <v>-0.59068494519008585</v>
      </c>
      <c r="S103" s="15">
        <f>O103-Benchmark_RF!D103</f>
        <v>0.12856211330852552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IF(Rankings!C110&lt;=2,1,0)</f>
        <v>0</v>
      </c>
      <c r="D104" s="16">
        <f>IF(Rankings!D110&lt;=2,1,0)</f>
        <v>0</v>
      </c>
      <c r="E104" s="16">
        <f>IF(Rankings!E110&lt;=2,1,0)</f>
        <v>0</v>
      </c>
      <c r="F104" s="16">
        <f>IF(Rankings!F110&lt;=2,1,0)</f>
        <v>1</v>
      </c>
      <c r="G104" s="16">
        <f>IF(Rankings!G110&lt;=2,1,0)</f>
        <v>0</v>
      </c>
      <c r="H104" s="16">
        <f>IF(Rankings!H110&lt;=2,1,0)</f>
        <v>1</v>
      </c>
      <c r="I104" s="16">
        <f>IF(Rankings!I110&lt;=2,1,0)</f>
        <v>0</v>
      </c>
      <c r="J104" s="16">
        <f>IF(Rankings!J110&lt;=2,1,0)</f>
        <v>0</v>
      </c>
      <c r="K104" s="19">
        <f t="shared" si="12"/>
        <v>2</v>
      </c>
      <c r="L104" s="15">
        <f>SUMPRODUCT(C104:J104,Returns!B108:I108)/K104</f>
        <v>9.1831354161754253E-2</v>
      </c>
      <c r="M104" s="15">
        <f>-2*Assumptions!$B$13</f>
        <v>-7.0000000000000001E-3</v>
      </c>
      <c r="N104" s="15">
        <f>-Assumptions!$B$16*MAX(0,(1+O101)*(1+O102)*(1+O103)-1)</f>
        <v>0</v>
      </c>
      <c r="O104" s="15">
        <f t="shared" si="13"/>
        <v>8.4831354161754247E-2</v>
      </c>
      <c r="P104" s="20">
        <f t="shared" si="15"/>
        <v>0.78529603624458411</v>
      </c>
      <c r="Q104" s="20">
        <f>MAX($P$5:P104)</f>
        <v>1.7685341812544308</v>
      </c>
      <c r="R104" s="15">
        <f t="shared" si="14"/>
        <v>-0.55596219481176812</v>
      </c>
      <c r="S104" s="15">
        <f>O104-Benchmark_RF!D104</f>
        <v>6.8581883122497134E-2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IF(Rankings!C110&lt;=2,1,0)</f>
        <v>0</v>
      </c>
      <c r="D105" s="16">
        <f>IF(Rankings!D110&lt;=2,1,0)</f>
        <v>0</v>
      </c>
      <c r="E105" s="16">
        <f>IF(Rankings!E110&lt;=2,1,0)</f>
        <v>0</v>
      </c>
      <c r="F105" s="16">
        <f>IF(Rankings!F110&lt;=2,1,0)</f>
        <v>1</v>
      </c>
      <c r="G105" s="16">
        <f>IF(Rankings!G110&lt;=2,1,0)</f>
        <v>0</v>
      </c>
      <c r="H105" s="16">
        <f>IF(Rankings!H110&lt;=2,1,0)</f>
        <v>1</v>
      </c>
      <c r="I105" s="16">
        <f>IF(Rankings!I110&lt;=2,1,0)</f>
        <v>0</v>
      </c>
      <c r="J105" s="16">
        <f>IF(Rankings!J110&lt;=2,1,0)</f>
        <v>0</v>
      </c>
      <c r="K105" s="19">
        <f t="shared" si="12"/>
        <v>2</v>
      </c>
      <c r="L105" s="15">
        <f>SUMPRODUCT(C105:J105,Returns!B109:I109)/K105</f>
        <v>1.9010702844545646E-2</v>
      </c>
      <c r="M105" s="15">
        <v>0</v>
      </c>
      <c r="N105" s="15">
        <v>0</v>
      </c>
      <c r="O105" s="15">
        <f t="shared" si="13"/>
        <v>1.9010702844545646E-2</v>
      </c>
      <c r="P105" s="20">
        <f t="shared" si="15"/>
        <v>0.80022506583462949</v>
      </c>
      <c r="Q105" s="20">
        <f>MAX($P$5:P105)</f>
        <v>1.7685341812544308</v>
      </c>
      <c r="R105" s="15">
        <f t="shared" si="14"/>
        <v>-0.54752072404559038</v>
      </c>
      <c r="S105" s="15">
        <f>O105-Benchmark_RF!D105</f>
        <v>2.7751915637084235E-3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IF(Rankings!C110&lt;=2,1,0)</f>
        <v>0</v>
      </c>
      <c r="D106" s="16">
        <f>IF(Rankings!D110&lt;=2,1,0)</f>
        <v>0</v>
      </c>
      <c r="E106" s="16">
        <f>IF(Rankings!E110&lt;=2,1,0)</f>
        <v>0</v>
      </c>
      <c r="F106" s="16">
        <f>IF(Rankings!F110&lt;=2,1,0)</f>
        <v>1</v>
      </c>
      <c r="G106" s="16">
        <f>IF(Rankings!G110&lt;=2,1,0)</f>
        <v>0</v>
      </c>
      <c r="H106" s="16">
        <f>IF(Rankings!H110&lt;=2,1,0)</f>
        <v>1</v>
      </c>
      <c r="I106" s="16">
        <f>IF(Rankings!I110&lt;=2,1,0)</f>
        <v>0</v>
      </c>
      <c r="J106" s="16">
        <f>IF(Rankings!J110&lt;=2,1,0)</f>
        <v>0</v>
      </c>
      <c r="K106" s="19">
        <f t="shared" si="12"/>
        <v>2</v>
      </c>
      <c r="L106" s="15">
        <f>SUMPRODUCT(C106:J106,Returns!B110:I110)/K106</f>
        <v>2.0769104456167031E-2</v>
      </c>
      <c r="M106" s="15">
        <v>0</v>
      </c>
      <c r="N106" s="15">
        <v>0</v>
      </c>
      <c r="O106" s="15">
        <f t="shared" si="13"/>
        <v>2.0769104456167031E-2</v>
      </c>
      <c r="P106" s="20">
        <f t="shared" si="15"/>
        <v>0.81684502381539215</v>
      </c>
      <c r="Q106" s="20">
        <f>MAX($P$5:P106)</f>
        <v>1.7685341812544308</v>
      </c>
      <c r="R106" s="15">
        <f t="shared" si="14"/>
        <v>-0.53812313469904238</v>
      </c>
      <c r="S106" s="15">
        <f>O106-Benchmark_RF!D106</f>
        <v>4.7801907670652066E-3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IF(Rankings!C113&lt;=2,1,0)</f>
        <v>0</v>
      </c>
      <c r="D107" s="16">
        <f>IF(Rankings!D113&lt;=2,1,0)</f>
        <v>1</v>
      </c>
      <c r="E107" s="16">
        <f>IF(Rankings!E113&lt;=2,1,0)</f>
        <v>0</v>
      </c>
      <c r="F107" s="16">
        <f>IF(Rankings!F113&lt;=2,1,0)</f>
        <v>0</v>
      </c>
      <c r="G107" s="16">
        <f>IF(Rankings!G113&lt;=2,1,0)</f>
        <v>0</v>
      </c>
      <c r="H107" s="16">
        <f>IF(Rankings!H113&lt;=2,1,0)</f>
        <v>1</v>
      </c>
      <c r="I107" s="16">
        <f>IF(Rankings!I113&lt;=2,1,0)</f>
        <v>0</v>
      </c>
      <c r="J107" s="16">
        <f>IF(Rankings!J113&lt;=2,1,0)</f>
        <v>0</v>
      </c>
      <c r="K107" s="19">
        <f t="shared" si="12"/>
        <v>2</v>
      </c>
      <c r="L107" s="15">
        <f>SUMPRODUCT(C107:J107,Returns!B111:I111)/K107</f>
        <v>0.10702228777450018</v>
      </c>
      <c r="M107" s="15">
        <f>-2*Assumptions!$B$13</f>
        <v>-7.0000000000000001E-3</v>
      </c>
      <c r="N107" s="15">
        <f>-Assumptions!$B$16*MAX(0,(1+O104)*(1+O105)*(1+O106)-1)</f>
        <v>-1.9262109910220548E-2</v>
      </c>
      <c r="O107" s="15">
        <f t="shared" si="13"/>
        <v>8.0760177864279623E-2</v>
      </c>
      <c r="P107" s="20">
        <f t="shared" si="15"/>
        <v>0.88281357322627496</v>
      </c>
      <c r="Q107" s="20">
        <f>MAX($P$5:P107)</f>
        <v>1.7685341812544308</v>
      </c>
      <c r="R107" s="15">
        <f t="shared" si="14"/>
        <v>-0.50082187690594115</v>
      </c>
      <c r="S107" s="15">
        <f>O107-Benchmark_RF!D107</f>
        <v>6.4531647253746424E-2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IF(Rankings!C113&lt;=2,1,0)</f>
        <v>0</v>
      </c>
      <c r="D108" s="16">
        <f>IF(Rankings!D113&lt;=2,1,0)</f>
        <v>1</v>
      </c>
      <c r="E108" s="16">
        <f>IF(Rankings!E113&lt;=2,1,0)</f>
        <v>0</v>
      </c>
      <c r="F108" s="16">
        <f>IF(Rankings!F113&lt;=2,1,0)</f>
        <v>0</v>
      </c>
      <c r="G108" s="16">
        <f>IF(Rankings!G113&lt;=2,1,0)</f>
        <v>0</v>
      </c>
      <c r="H108" s="16">
        <f>IF(Rankings!H113&lt;=2,1,0)</f>
        <v>1</v>
      </c>
      <c r="I108" s="16">
        <f>IF(Rankings!I113&lt;=2,1,0)</f>
        <v>0</v>
      </c>
      <c r="J108" s="16">
        <f>IF(Rankings!J113&lt;=2,1,0)</f>
        <v>0</v>
      </c>
      <c r="K108" s="19">
        <f t="shared" si="12"/>
        <v>2</v>
      </c>
      <c r="L108" s="15">
        <f>SUMPRODUCT(C108:J108,Returns!B112:I112)/K108</f>
        <v>0.10167865996649905</v>
      </c>
      <c r="M108" s="15">
        <v>0</v>
      </c>
      <c r="N108" s="15">
        <v>0</v>
      </c>
      <c r="O108" s="15">
        <f t="shared" si="13"/>
        <v>0.10167865996649905</v>
      </c>
      <c r="P108" s="20">
        <f t="shared" si="15"/>
        <v>0.97257687435215934</v>
      </c>
      <c r="Q108" s="20">
        <f>MAX($P$5:P108)</f>
        <v>1.7685341812544308</v>
      </c>
      <c r="R108" s="15">
        <f t="shared" si="14"/>
        <v>-0.45006611426514509</v>
      </c>
      <c r="S108" s="15">
        <f>O108-Benchmark_RF!D108</f>
        <v>8.5366396103972009E-2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IF(Rankings!C113&lt;=2,1,0)</f>
        <v>0</v>
      </c>
      <c r="D109" s="16">
        <f>IF(Rankings!D113&lt;=2,1,0)</f>
        <v>1</v>
      </c>
      <c r="E109" s="16">
        <f>IF(Rankings!E113&lt;=2,1,0)</f>
        <v>0</v>
      </c>
      <c r="F109" s="16">
        <f>IF(Rankings!F113&lt;=2,1,0)</f>
        <v>0</v>
      </c>
      <c r="G109" s="16">
        <f>IF(Rankings!G113&lt;=2,1,0)</f>
        <v>0</v>
      </c>
      <c r="H109" s="16">
        <f>IF(Rankings!H113&lt;=2,1,0)</f>
        <v>1</v>
      </c>
      <c r="I109" s="16">
        <f>IF(Rankings!I113&lt;=2,1,0)</f>
        <v>0</v>
      </c>
      <c r="J109" s="16">
        <f>IF(Rankings!J113&lt;=2,1,0)</f>
        <v>0</v>
      </c>
      <c r="K109" s="19">
        <f t="shared" si="12"/>
        <v>2</v>
      </c>
      <c r="L109" s="15">
        <f>SUMPRODUCT(C109:J109,Returns!B113:I113)/K109</f>
        <v>7.2790906732046523E-2</v>
      </c>
      <c r="M109" s="15">
        <v>0</v>
      </c>
      <c r="N109" s="15">
        <v>0</v>
      </c>
      <c r="O109" s="15">
        <f t="shared" si="13"/>
        <v>7.2790906732046523E-2</v>
      </c>
      <c r="P109" s="20">
        <f t="shared" si="15"/>
        <v>1.0433716269028726</v>
      </c>
      <c r="Q109" s="20">
        <f>MAX($P$5:P109)</f>
        <v>1.7685341812544308</v>
      </c>
      <c r="R109" s="15">
        <f t="shared" si="14"/>
        <v>-0.41003592807982747</v>
      </c>
      <c r="S109" s="15">
        <f>O109-Benchmark_RF!D109</f>
        <v>5.636711644668374E-2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IF(Rankings!C116&lt;=2,1,0)</f>
        <v>0</v>
      </c>
      <c r="D110" s="16">
        <f>IF(Rankings!D116&lt;=2,1,0)</f>
        <v>1</v>
      </c>
      <c r="E110" s="16">
        <f>IF(Rankings!E116&lt;=2,1,0)</f>
        <v>0</v>
      </c>
      <c r="F110" s="16">
        <f>IF(Rankings!F116&lt;=2,1,0)</f>
        <v>0</v>
      </c>
      <c r="G110" s="16">
        <f>IF(Rankings!G116&lt;=2,1,0)</f>
        <v>0</v>
      </c>
      <c r="H110" s="16">
        <f>IF(Rankings!H116&lt;=2,1,0)</f>
        <v>1</v>
      </c>
      <c r="I110" s="16">
        <f>IF(Rankings!I116&lt;=2,1,0)</f>
        <v>0</v>
      </c>
      <c r="J110" s="16">
        <f>IF(Rankings!J116&lt;=2,1,0)</f>
        <v>0</v>
      </c>
      <c r="K110" s="19">
        <f t="shared" si="12"/>
        <v>2</v>
      </c>
      <c r="L110" s="15">
        <f>SUMPRODUCT(C110:J110,Returns!B114:I114)/K110</f>
        <v>6.572790697038039E-2</v>
      </c>
      <c r="M110" s="15">
        <f>-2*Assumptions!$B$13</f>
        <v>-7.0000000000000001E-3</v>
      </c>
      <c r="N110" s="15">
        <f>-Assumptions!$B$16*MAX(0,(1+O107)*(1+O108)*(1+O109)-1)</f>
        <v>-4.159784227418073E-2</v>
      </c>
      <c r="O110" s="15">
        <f t="shared" si="13"/>
        <v>1.7130064696199661E-2</v>
      </c>
      <c r="P110" s="20">
        <f t="shared" si="15"/>
        <v>1.0612446503738977</v>
      </c>
      <c r="Q110" s="20">
        <f>MAX($P$5:P110)</f>
        <v>1.7685341812544308</v>
      </c>
      <c r="R110" s="15">
        <f t="shared" si="14"/>
        <v>-0.39992980535940159</v>
      </c>
      <c r="S110" s="15">
        <f>O110-Benchmark_RF!D110</f>
        <v>1.1601904291239154E-3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IF(Rankings!C116&lt;=2,1,0)</f>
        <v>0</v>
      </c>
      <c r="D111" s="16">
        <f>IF(Rankings!D116&lt;=2,1,0)</f>
        <v>1</v>
      </c>
      <c r="E111" s="16">
        <f>IF(Rankings!E116&lt;=2,1,0)</f>
        <v>0</v>
      </c>
      <c r="F111" s="16">
        <f>IF(Rankings!F116&lt;=2,1,0)</f>
        <v>0</v>
      </c>
      <c r="G111" s="16">
        <f>IF(Rankings!G116&lt;=2,1,0)</f>
        <v>0</v>
      </c>
      <c r="H111" s="16">
        <f>IF(Rankings!H116&lt;=2,1,0)</f>
        <v>1</v>
      </c>
      <c r="I111" s="16">
        <f>IF(Rankings!I116&lt;=2,1,0)</f>
        <v>0</v>
      </c>
      <c r="J111" s="16">
        <f>IF(Rankings!J116&lt;=2,1,0)</f>
        <v>0</v>
      </c>
      <c r="K111" s="19">
        <f t="shared" si="12"/>
        <v>2</v>
      </c>
      <c r="L111" s="15">
        <f>SUMPRODUCT(C111:J111,Returns!B115:I115)/K111</f>
        <v>5.9061523871837773E-2</v>
      </c>
      <c r="M111" s="15">
        <v>0</v>
      </c>
      <c r="N111" s="15">
        <v>0</v>
      </c>
      <c r="O111" s="15">
        <f t="shared" si="13"/>
        <v>5.9061523871837773E-2</v>
      </c>
      <c r="P111" s="20">
        <f t="shared" si="15"/>
        <v>1.1239233766258157</v>
      </c>
      <c r="Q111" s="20">
        <f>MAX($P$5:P111)</f>
        <v>1.7685341812544308</v>
      </c>
      <c r="R111" s="15">
        <f t="shared" si="14"/>
        <v>-0.36448874523385766</v>
      </c>
      <c r="S111" s="15">
        <f>O111-Benchmark_RF!D111</f>
        <v>4.3741830335958742E-2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IF(Rankings!C116&lt;=2,1,0)</f>
        <v>0</v>
      </c>
      <c r="D112" s="16">
        <f>IF(Rankings!D116&lt;=2,1,0)</f>
        <v>1</v>
      </c>
      <c r="E112" s="16">
        <f>IF(Rankings!E116&lt;=2,1,0)</f>
        <v>0</v>
      </c>
      <c r="F112" s="16">
        <f>IF(Rankings!F116&lt;=2,1,0)</f>
        <v>0</v>
      </c>
      <c r="G112" s="16">
        <f>IF(Rankings!G116&lt;=2,1,0)</f>
        <v>0</v>
      </c>
      <c r="H112" s="16">
        <f>IF(Rankings!H116&lt;=2,1,0)</f>
        <v>1</v>
      </c>
      <c r="I112" s="16">
        <f>IF(Rankings!I116&lt;=2,1,0)</f>
        <v>0</v>
      </c>
      <c r="J112" s="16">
        <f>IF(Rankings!J116&lt;=2,1,0)</f>
        <v>0</v>
      </c>
      <c r="K112" s="19">
        <f t="shared" si="12"/>
        <v>2</v>
      </c>
      <c r="L112" s="15">
        <f>SUMPRODUCT(C112:J112,Returns!B116:I116)/K112</f>
        <v>5.3417399909754693E-2</v>
      </c>
      <c r="M112" s="15">
        <v>0</v>
      </c>
      <c r="N112" s="15">
        <v>0</v>
      </c>
      <c r="O112" s="15">
        <f t="shared" si="13"/>
        <v>5.3417399909754693E-2</v>
      </c>
      <c r="P112" s="20">
        <f t="shared" si="15"/>
        <v>1.1839604411029587</v>
      </c>
      <c r="Q112" s="20">
        <f>MAX($P$5:P112)</f>
        <v>1.7685341812544308</v>
      </c>
      <c r="R112" s="15">
        <f t="shared" si="14"/>
        <v>-0.33054138639086461</v>
      </c>
      <c r="S112" s="15">
        <f>O112-Benchmark_RF!D112</f>
        <v>3.8468220537612341E-2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IF(Rankings!C119&lt;=2,1,0)</f>
        <v>0</v>
      </c>
      <c r="D113" s="16">
        <f>IF(Rankings!D119&lt;=2,1,0)</f>
        <v>0</v>
      </c>
      <c r="E113" s="16">
        <f>IF(Rankings!E119&lt;=2,1,0)</f>
        <v>0</v>
      </c>
      <c r="F113" s="16">
        <f>IF(Rankings!F119&lt;=2,1,0)</f>
        <v>0</v>
      </c>
      <c r="G113" s="16">
        <f>IF(Rankings!G119&lt;=2,1,0)</f>
        <v>1</v>
      </c>
      <c r="H113" s="16">
        <f>IF(Rankings!H119&lt;=2,1,0)</f>
        <v>1</v>
      </c>
      <c r="I113" s="16">
        <f>IF(Rankings!I119&lt;=2,1,0)</f>
        <v>0</v>
      </c>
      <c r="J113" s="16">
        <f>IF(Rankings!J119&lt;=2,1,0)</f>
        <v>0</v>
      </c>
      <c r="K113" s="19">
        <f t="shared" si="12"/>
        <v>2</v>
      </c>
      <c r="L113" s="15">
        <f>SUMPRODUCT(C113:J113,Returns!B117:I117)/K113</f>
        <v>-2.4226415691236958E-2</v>
      </c>
      <c r="M113" s="15">
        <f>-2*Assumptions!$B$13</f>
        <v>-7.0000000000000001E-3</v>
      </c>
      <c r="N113" s="15">
        <f>-Assumptions!$B$16*MAX(0,(1+O110)*(1+O111)*(1+O112)-1)</f>
        <v>-2.0211707493533435E-2</v>
      </c>
      <c r="O113" s="15">
        <f t="shared" si="13"/>
        <v>-5.1438123184770396E-2</v>
      </c>
      <c r="P113" s="20">
        <f t="shared" si="15"/>
        <v>1.1230597380876097</v>
      </c>
      <c r="Q113" s="20">
        <f>MAX($P$5:P113)</f>
        <v>1.7685341812544308</v>
      </c>
      <c r="R113" s="15">
        <f t="shared" si="14"/>
        <v>-0.36497708102479687</v>
      </c>
      <c r="S113" s="15">
        <f>O113-Benchmark_RF!D113</f>
        <v>-6.4946277917012823E-2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IF(Rankings!C119&lt;=2,1,0)</f>
        <v>0</v>
      </c>
      <c r="D114" s="16">
        <f>IF(Rankings!D119&lt;=2,1,0)</f>
        <v>0</v>
      </c>
      <c r="E114" s="16">
        <f>IF(Rankings!E119&lt;=2,1,0)</f>
        <v>0</v>
      </c>
      <c r="F114" s="16">
        <f>IF(Rankings!F119&lt;=2,1,0)</f>
        <v>0</v>
      </c>
      <c r="G114" s="16">
        <f>IF(Rankings!G119&lt;=2,1,0)</f>
        <v>1</v>
      </c>
      <c r="H114" s="16">
        <f>IF(Rankings!H119&lt;=2,1,0)</f>
        <v>1</v>
      </c>
      <c r="I114" s="16">
        <f>IF(Rankings!I119&lt;=2,1,0)</f>
        <v>0</v>
      </c>
      <c r="J114" s="16">
        <f>IF(Rankings!J119&lt;=2,1,0)</f>
        <v>0</v>
      </c>
      <c r="K114" s="19">
        <f t="shared" si="12"/>
        <v>2</v>
      </c>
      <c r="L114" s="15">
        <f>SUMPRODUCT(C114:J114,Returns!B118:I118)/K114</f>
        <v>0.14645007213634265</v>
      </c>
      <c r="M114" s="15">
        <v>0</v>
      </c>
      <c r="N114" s="15">
        <v>0</v>
      </c>
      <c r="O114" s="15">
        <f t="shared" si="13"/>
        <v>0.14645007213634265</v>
      </c>
      <c r="P114" s="20">
        <f t="shared" si="15"/>
        <v>1.2875319177439621</v>
      </c>
      <c r="Q114" s="20">
        <f>MAX($P$5:P114)</f>
        <v>1.7685341812544308</v>
      </c>
      <c r="R114" s="15">
        <f t="shared" si="14"/>
        <v>-0.27197792873264748</v>
      </c>
      <c r="S114" s="15">
        <f>O114-Benchmark_RF!D114</f>
        <v>0.13298506652714437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IF(Rankings!C119&lt;=2,1,0)</f>
        <v>0</v>
      </c>
      <c r="D115" s="16">
        <f>IF(Rankings!D119&lt;=2,1,0)</f>
        <v>0</v>
      </c>
      <c r="E115" s="16">
        <f>IF(Rankings!E119&lt;=2,1,0)</f>
        <v>0</v>
      </c>
      <c r="F115" s="16">
        <f>IF(Rankings!F119&lt;=2,1,0)</f>
        <v>0</v>
      </c>
      <c r="G115" s="16">
        <f>IF(Rankings!G119&lt;=2,1,0)</f>
        <v>1</v>
      </c>
      <c r="H115" s="16">
        <f>IF(Rankings!H119&lt;=2,1,0)</f>
        <v>1</v>
      </c>
      <c r="I115" s="16">
        <f>IF(Rankings!I119&lt;=2,1,0)</f>
        <v>0</v>
      </c>
      <c r="J115" s="16">
        <f>IF(Rankings!J119&lt;=2,1,0)</f>
        <v>0</v>
      </c>
      <c r="K115" s="19">
        <f t="shared" si="12"/>
        <v>2</v>
      </c>
      <c r="L115" s="15">
        <f>SUMPRODUCT(C115:J115,Returns!B119:I119)/K115</f>
        <v>0.13204907110838526</v>
      </c>
      <c r="M115" s="15">
        <v>0</v>
      </c>
      <c r="N115" s="15">
        <v>0</v>
      </c>
      <c r="O115" s="15">
        <f t="shared" si="13"/>
        <v>0.13204907110838526</v>
      </c>
      <c r="P115" s="20">
        <f t="shared" si="15"/>
        <v>1.4575493115044502</v>
      </c>
      <c r="Q115" s="20">
        <f>MAX($P$5:P115)</f>
        <v>1.7685341812544308</v>
      </c>
      <c r="R115" s="15">
        <f t="shared" si="14"/>
        <v>-0.17584329047539093</v>
      </c>
      <c r="S115" s="15">
        <f>O115-Benchmark_RF!D115</f>
        <v>0.1211663419599045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IF(Rankings!C122&lt;=2,1,0)</f>
        <v>0</v>
      </c>
      <c r="D116" s="16">
        <f>IF(Rankings!D122&lt;=2,1,0)</f>
        <v>0</v>
      </c>
      <c r="E116" s="16">
        <f>IF(Rankings!E122&lt;=2,1,0)</f>
        <v>0</v>
      </c>
      <c r="F116" s="16">
        <f>IF(Rankings!F122&lt;=2,1,0)</f>
        <v>0</v>
      </c>
      <c r="G116" s="16">
        <f>IF(Rankings!G122&lt;=2,1,0)</f>
        <v>1</v>
      </c>
      <c r="H116" s="16">
        <f>IF(Rankings!H122&lt;=2,1,0)</f>
        <v>1</v>
      </c>
      <c r="I116" s="16">
        <f>IF(Rankings!I122&lt;=2,1,0)</f>
        <v>0</v>
      </c>
      <c r="J116" s="16">
        <f>IF(Rankings!J122&lt;=2,1,0)</f>
        <v>0</v>
      </c>
      <c r="K116" s="19">
        <f t="shared" si="12"/>
        <v>2</v>
      </c>
      <c r="L116" s="15">
        <f>SUMPRODUCT(C116:J116,Returns!B120:I120)/K116</f>
        <v>0.15444472567200407</v>
      </c>
      <c r="M116" s="15">
        <f>-2*Assumptions!$B$13</f>
        <v>-7.0000000000000001E-3</v>
      </c>
      <c r="N116" s="15">
        <f>-Assumptions!$B$16*MAX(0,(1+O113)*(1+O114)*(1+O115)-1)</f>
        <v>-3.466191025942815E-2</v>
      </c>
      <c r="O116" s="15">
        <f t="shared" si="13"/>
        <v>0.11278281541257591</v>
      </c>
      <c r="P116" s="20">
        <f t="shared" si="15"/>
        <v>1.6219358264585837</v>
      </c>
      <c r="Q116" s="20">
        <f>MAX($P$5:P116)</f>
        <v>1.7685341812544308</v>
      </c>
      <c r="R116" s="15">
        <f t="shared" si="14"/>
        <v>-8.2892576434041021E-2</v>
      </c>
      <c r="S116" s="15">
        <f>O116-Benchmark_RF!D116</f>
        <v>0.10190008626409515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IF(Rankings!C122&lt;=2,1,0)</f>
        <v>0</v>
      </c>
      <c r="D117" s="16">
        <f>IF(Rankings!D122&lt;=2,1,0)</f>
        <v>0</v>
      </c>
      <c r="E117" s="16">
        <f>IF(Rankings!E122&lt;=2,1,0)</f>
        <v>0</v>
      </c>
      <c r="F117" s="16">
        <f>IF(Rankings!F122&lt;=2,1,0)</f>
        <v>0</v>
      </c>
      <c r="G117" s="16">
        <f>IF(Rankings!G122&lt;=2,1,0)</f>
        <v>1</v>
      </c>
      <c r="H117" s="16">
        <f>IF(Rankings!H122&lt;=2,1,0)</f>
        <v>1</v>
      </c>
      <c r="I117" s="16">
        <f>IF(Rankings!I122&lt;=2,1,0)</f>
        <v>0</v>
      </c>
      <c r="J117" s="16">
        <f>IF(Rankings!J122&lt;=2,1,0)</f>
        <v>0</v>
      </c>
      <c r="K117" s="19">
        <f t="shared" si="12"/>
        <v>2</v>
      </c>
      <c r="L117" s="15">
        <f>SUMPRODUCT(C117:J117,Returns!B121:I121)/K117</f>
        <v>0.10345402449972163</v>
      </c>
      <c r="M117" s="15">
        <v>0</v>
      </c>
      <c r="N117" s="15">
        <v>0</v>
      </c>
      <c r="O117" s="15">
        <f t="shared" si="13"/>
        <v>0.10345402449972163</v>
      </c>
      <c r="P117" s="20">
        <f t="shared" si="15"/>
        <v>1.7897316151860061</v>
      </c>
      <c r="Q117" s="20">
        <f>MAX($P$5:P117)</f>
        <v>1.7897316151860061</v>
      </c>
      <c r="R117" s="15">
        <f t="shared" si="14"/>
        <v>0</v>
      </c>
      <c r="S117" s="15">
        <f>O117-Benchmark_RF!D117</f>
        <v>9.4077966943213576E-2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82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IF(Rankings!C11&lt;=3,1,0)</f>
        <v>0</v>
      </c>
      <c r="D5" s="16">
        <f>IF(Rankings!D11&lt;=3,1,0)</f>
        <v>1</v>
      </c>
      <c r="E5" s="16">
        <f>IF(Rankings!E11&lt;=3,1,0)</f>
        <v>0</v>
      </c>
      <c r="F5" s="16">
        <f>IF(Rankings!F11&lt;=3,1,0)</f>
        <v>0</v>
      </c>
      <c r="G5" s="16">
        <f>IF(Rankings!G11&lt;=3,1,0)</f>
        <v>1</v>
      </c>
      <c r="H5" s="16">
        <f>IF(Rankings!H11&lt;=3,1,0)</f>
        <v>1</v>
      </c>
      <c r="I5" s="16">
        <f>IF(Rankings!I11&lt;=3,1,0)</f>
        <v>0</v>
      </c>
      <c r="J5" s="16">
        <f>IF(Rankings!J11&lt;=3,1,0)</f>
        <v>0</v>
      </c>
      <c r="K5" s="19">
        <f t="shared" ref="K5:K36" si="0">SUM(C5:J5)</f>
        <v>3</v>
      </c>
      <c r="L5" s="15">
        <f>SUMPRODUCT(C5:J5,Returns!B9:I9)/K5</f>
        <v>-1.4022102071828782E-2</v>
      </c>
      <c r="M5" s="15">
        <f>-2*Assumptions!$B$13</f>
        <v>-7.0000000000000001E-3</v>
      </c>
      <c r="N5" s="15">
        <v>0</v>
      </c>
      <c r="O5" s="15">
        <f t="shared" ref="O5:O36" si="1">L5+M5+N5</f>
        <v>-2.1022102071828783E-2</v>
      </c>
      <c r="P5" s="20">
        <f>1*(1+O5)</f>
        <v>0.97897789792817125</v>
      </c>
      <c r="Q5" s="20">
        <f>MAX($P$5:P5)</f>
        <v>0.97897789792817125</v>
      </c>
      <c r="R5" s="15">
        <f t="shared" ref="R5:R36" si="2">P5/Q5-1</f>
        <v>0</v>
      </c>
      <c r="S5" s="15">
        <f>O5-Benchmark_RF!D5</f>
        <v>-2.6622032581154951E-2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IF(Rankings!C11&lt;=3,1,0)</f>
        <v>0</v>
      </c>
      <c r="D6" s="16">
        <f>IF(Rankings!D11&lt;=3,1,0)</f>
        <v>1</v>
      </c>
      <c r="E6" s="16">
        <f>IF(Rankings!E11&lt;=3,1,0)</f>
        <v>0</v>
      </c>
      <c r="F6" s="16">
        <f>IF(Rankings!F11&lt;=3,1,0)</f>
        <v>0</v>
      </c>
      <c r="G6" s="16">
        <f>IF(Rankings!G11&lt;=3,1,0)</f>
        <v>1</v>
      </c>
      <c r="H6" s="16">
        <f>IF(Rankings!H11&lt;=3,1,0)</f>
        <v>1</v>
      </c>
      <c r="I6" s="16">
        <f>IF(Rankings!I11&lt;=3,1,0)</f>
        <v>0</v>
      </c>
      <c r="J6" s="16">
        <f>IF(Rankings!J11&lt;=3,1,0)</f>
        <v>0</v>
      </c>
      <c r="K6" s="19">
        <f t="shared" si="0"/>
        <v>3</v>
      </c>
      <c r="L6" s="15">
        <f>SUMPRODUCT(C6:J6,Returns!B10:I10)/K6</f>
        <v>-3.1142889346888619E-2</v>
      </c>
      <c r="M6" s="15">
        <v>0</v>
      </c>
      <c r="N6" s="15">
        <v>0</v>
      </c>
      <c r="O6" s="15">
        <f t="shared" si="1"/>
        <v>-3.1142889346888619E-2</v>
      </c>
      <c r="P6" s="20">
        <f t="shared" ref="P6:P37" si="3">P5*(1+O6)</f>
        <v>0.94848969757994461</v>
      </c>
      <c r="Q6" s="20">
        <f>MAX($P$5:P6)</f>
        <v>0.97897789792817125</v>
      </c>
      <c r="R6" s="15">
        <f t="shared" si="2"/>
        <v>-3.114288934688858E-2</v>
      </c>
      <c r="S6" s="15">
        <f>O6-Benchmark_RF!D6</f>
        <v>-3.6378071704047651E-2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IF(Rankings!C11&lt;=3,1,0)</f>
        <v>0</v>
      </c>
      <c r="D7" s="16">
        <f>IF(Rankings!D11&lt;=3,1,0)</f>
        <v>1</v>
      </c>
      <c r="E7" s="16">
        <f>IF(Rankings!E11&lt;=3,1,0)</f>
        <v>0</v>
      </c>
      <c r="F7" s="16">
        <f>IF(Rankings!F11&lt;=3,1,0)</f>
        <v>0</v>
      </c>
      <c r="G7" s="16">
        <f>IF(Rankings!G11&lt;=3,1,0)</f>
        <v>1</v>
      </c>
      <c r="H7" s="16">
        <f>IF(Rankings!H11&lt;=3,1,0)</f>
        <v>1</v>
      </c>
      <c r="I7" s="16">
        <f>IF(Rankings!I11&lt;=3,1,0)</f>
        <v>0</v>
      </c>
      <c r="J7" s="16">
        <f>IF(Rankings!J11&lt;=3,1,0)</f>
        <v>0</v>
      </c>
      <c r="K7" s="19">
        <f t="shared" si="0"/>
        <v>3</v>
      </c>
      <c r="L7" s="15">
        <f>SUMPRODUCT(C7:J7,Returns!B11:I11)/K7</f>
        <v>-6.1886085365929766E-3</v>
      </c>
      <c r="M7" s="15">
        <v>0</v>
      </c>
      <c r="N7" s="15">
        <v>0</v>
      </c>
      <c r="O7" s="15">
        <f t="shared" si="1"/>
        <v>-6.1886085365929766E-3</v>
      </c>
      <c r="P7" s="20">
        <f t="shared" si="3"/>
        <v>0.94261986614063087</v>
      </c>
      <c r="Q7" s="20">
        <f>MAX($P$5:P7)</f>
        <v>0.97897789792817125</v>
      </c>
      <c r="R7" s="15">
        <f t="shared" si="2"/>
        <v>-3.7138766732615291E-2</v>
      </c>
      <c r="S7" s="15">
        <f>O7-Benchmark_RF!D7</f>
        <v>-1.1295843441752274E-2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IF(Rankings!C11&lt;=3,1,0)</f>
        <v>0</v>
      </c>
      <c r="D8" s="16">
        <f>IF(Rankings!D11&lt;=3,1,0)</f>
        <v>1</v>
      </c>
      <c r="E8" s="16">
        <f>IF(Rankings!E11&lt;=3,1,0)</f>
        <v>0</v>
      </c>
      <c r="F8" s="16">
        <f>IF(Rankings!F11&lt;=3,1,0)</f>
        <v>0</v>
      </c>
      <c r="G8" s="16">
        <f>IF(Rankings!G11&lt;=3,1,0)</f>
        <v>1</v>
      </c>
      <c r="H8" s="16">
        <f>IF(Rankings!H11&lt;=3,1,0)</f>
        <v>1</v>
      </c>
      <c r="I8" s="16">
        <f>IF(Rankings!I11&lt;=3,1,0)</f>
        <v>0</v>
      </c>
      <c r="J8" s="16">
        <f>IF(Rankings!J11&lt;=3,1,0)</f>
        <v>0</v>
      </c>
      <c r="K8" s="19">
        <f t="shared" si="0"/>
        <v>3</v>
      </c>
      <c r="L8" s="15">
        <f>SUMPRODUCT(C8:J8,Returns!B12:I12)/K8</f>
        <v>-5.8878774041732883E-2</v>
      </c>
      <c r="M8" s="15">
        <v>0</v>
      </c>
      <c r="N8" s="15">
        <v>0</v>
      </c>
      <c r="O8" s="15">
        <f t="shared" si="1"/>
        <v>-5.8878774041732883E-2</v>
      </c>
      <c r="P8" s="20">
        <f t="shared" si="3"/>
        <v>0.88711956403488812</v>
      </c>
      <c r="Q8" s="20">
        <f>MAX($P$5:P8)</f>
        <v>0.97897789792817125</v>
      </c>
      <c r="R8" s="15">
        <f t="shared" si="2"/>
        <v>-9.3830855719709949E-2</v>
      </c>
      <c r="S8" s="15">
        <f>O8-Benchmark_RF!D8</f>
        <v>-6.4037445671158072E-2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IF(Rankings!C11&lt;=3,1,0)</f>
        <v>0</v>
      </c>
      <c r="D9" s="16">
        <f>IF(Rankings!D11&lt;=3,1,0)</f>
        <v>1</v>
      </c>
      <c r="E9" s="16">
        <f>IF(Rankings!E11&lt;=3,1,0)</f>
        <v>0</v>
      </c>
      <c r="F9" s="16">
        <f>IF(Rankings!F11&lt;=3,1,0)</f>
        <v>0</v>
      </c>
      <c r="G9" s="16">
        <f>IF(Rankings!G11&lt;=3,1,0)</f>
        <v>1</v>
      </c>
      <c r="H9" s="16">
        <f>IF(Rankings!H11&lt;=3,1,0)</f>
        <v>1</v>
      </c>
      <c r="I9" s="16">
        <f>IF(Rankings!I11&lt;=3,1,0)</f>
        <v>0</v>
      </c>
      <c r="J9" s="16">
        <f>IF(Rankings!J11&lt;=3,1,0)</f>
        <v>0</v>
      </c>
      <c r="K9" s="19">
        <f t="shared" si="0"/>
        <v>3</v>
      </c>
      <c r="L9" s="15">
        <f>SUMPRODUCT(C9:J9,Returns!B13:I13)/K9</f>
        <v>5.6605609374349442E-4</v>
      </c>
      <c r="M9" s="15">
        <v>0</v>
      </c>
      <c r="N9" s="15">
        <v>0</v>
      </c>
      <c r="O9" s="15">
        <f t="shared" si="1"/>
        <v>5.6605609374349442E-4</v>
      </c>
      <c r="P9" s="20">
        <f t="shared" si="3"/>
        <v>0.88762172346998913</v>
      </c>
      <c r="Q9" s="20">
        <f>MAX($P$5:P9)</f>
        <v>0.97897789792817125</v>
      </c>
      <c r="R9" s="15">
        <f t="shared" si="2"/>
        <v>-9.3317913153627696E-2</v>
      </c>
      <c r="S9" s="15">
        <f>O9-Benchmark_RF!D9</f>
        <v>-4.5676491035266942E-3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IF(Rankings!C11&lt;=3,1,0)</f>
        <v>0</v>
      </c>
      <c r="D10" s="16">
        <f>IF(Rankings!D11&lt;=3,1,0)</f>
        <v>1</v>
      </c>
      <c r="E10" s="16">
        <f>IF(Rankings!E11&lt;=3,1,0)</f>
        <v>0</v>
      </c>
      <c r="F10" s="16">
        <f>IF(Rankings!F11&lt;=3,1,0)</f>
        <v>0</v>
      </c>
      <c r="G10" s="16">
        <f>IF(Rankings!G11&lt;=3,1,0)</f>
        <v>1</v>
      </c>
      <c r="H10" s="16">
        <f>IF(Rankings!H11&lt;=3,1,0)</f>
        <v>1</v>
      </c>
      <c r="I10" s="16">
        <f>IF(Rankings!I11&lt;=3,1,0)</f>
        <v>0</v>
      </c>
      <c r="J10" s="16">
        <f>IF(Rankings!J11&lt;=3,1,0)</f>
        <v>0</v>
      </c>
      <c r="K10" s="19">
        <f t="shared" si="0"/>
        <v>3</v>
      </c>
      <c r="L10" s="15">
        <f>SUMPRODUCT(C10:J10,Returns!B14:I14)/K10</f>
        <v>-4.2627711706505145E-2</v>
      </c>
      <c r="M10" s="15">
        <v>0</v>
      </c>
      <c r="N10" s="15">
        <v>0</v>
      </c>
      <c r="O10" s="15">
        <f t="shared" si="1"/>
        <v>-4.2627711706505145E-2</v>
      </c>
      <c r="P10" s="20">
        <f t="shared" si="3"/>
        <v>0.84978444053747926</v>
      </c>
      <c r="Q10" s="20">
        <f>MAX($P$5:P10)</f>
        <v>0.97897789792817125</v>
      </c>
      <c r="R10" s="15">
        <f t="shared" si="2"/>
        <v>-0.13196769576116729</v>
      </c>
      <c r="S10" s="15">
        <f>O10-Benchmark_RF!D10</f>
        <v>-4.7622914462646881E-2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IF(Rankings!C11&lt;=3,1,0)</f>
        <v>0</v>
      </c>
      <c r="D11" s="16">
        <f>IF(Rankings!D11&lt;=3,1,0)</f>
        <v>1</v>
      </c>
      <c r="E11" s="16">
        <f>IF(Rankings!E11&lt;=3,1,0)</f>
        <v>0</v>
      </c>
      <c r="F11" s="16">
        <f>IF(Rankings!F11&lt;=3,1,0)</f>
        <v>0</v>
      </c>
      <c r="G11" s="16">
        <f>IF(Rankings!G11&lt;=3,1,0)</f>
        <v>1</v>
      </c>
      <c r="H11" s="16">
        <f>IF(Rankings!H11&lt;=3,1,0)</f>
        <v>1</v>
      </c>
      <c r="I11" s="16">
        <f>IF(Rankings!I11&lt;=3,1,0)</f>
        <v>0</v>
      </c>
      <c r="J11" s="16">
        <f>IF(Rankings!J11&lt;=3,1,0)</f>
        <v>0</v>
      </c>
      <c r="K11" s="19">
        <f t="shared" si="0"/>
        <v>3</v>
      </c>
      <c r="L11" s="15">
        <f>SUMPRODUCT(C11:J11,Returns!B15:I15)/K11</f>
        <v>-1.4940309853462804E-2</v>
      </c>
      <c r="M11" s="15">
        <v>0</v>
      </c>
      <c r="N11" s="15">
        <v>0</v>
      </c>
      <c r="O11" s="15">
        <f t="shared" si="1"/>
        <v>-1.4940309853462804E-2</v>
      </c>
      <c r="P11" s="20">
        <f t="shared" si="3"/>
        <v>0.83708839768719778</v>
      </c>
      <c r="Q11" s="20">
        <f>MAX($P$5:P11)</f>
        <v>0.97897789792817125</v>
      </c>
      <c r="R11" s="15">
        <f t="shared" si="2"/>
        <v>-0.1449363673493107</v>
      </c>
      <c r="S11" s="15">
        <f>O11-Benchmark_RF!D11</f>
        <v>-1.9976840947145878E-2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IF(Rankings!C11&lt;=3,1,0)</f>
        <v>0</v>
      </c>
      <c r="D12" s="16">
        <f>IF(Rankings!D11&lt;=3,1,0)</f>
        <v>1</v>
      </c>
      <c r="E12" s="16">
        <f>IF(Rankings!E11&lt;=3,1,0)</f>
        <v>0</v>
      </c>
      <c r="F12" s="16">
        <f>IF(Rankings!F11&lt;=3,1,0)</f>
        <v>0</v>
      </c>
      <c r="G12" s="16">
        <f>IF(Rankings!G11&lt;=3,1,0)</f>
        <v>1</v>
      </c>
      <c r="H12" s="16">
        <f>IF(Rankings!H11&lt;=3,1,0)</f>
        <v>1</v>
      </c>
      <c r="I12" s="16">
        <f>IF(Rankings!I11&lt;=3,1,0)</f>
        <v>0</v>
      </c>
      <c r="J12" s="16">
        <f>IF(Rankings!J11&lt;=3,1,0)</f>
        <v>0</v>
      </c>
      <c r="K12" s="19">
        <f t="shared" si="0"/>
        <v>3</v>
      </c>
      <c r="L12" s="15">
        <f>SUMPRODUCT(C12:J12,Returns!B16:I16)/K12</f>
        <v>2.5883177916851574E-2</v>
      </c>
      <c r="M12" s="15">
        <v>0</v>
      </c>
      <c r="N12" s="15">
        <v>0</v>
      </c>
      <c r="O12" s="15">
        <f t="shared" si="1"/>
        <v>2.5883177916851574E-2</v>
      </c>
      <c r="P12" s="20">
        <f t="shared" si="3"/>
        <v>0.85875490561666767</v>
      </c>
      <c r="Q12" s="20">
        <f>MAX($P$5:P12)</f>
        <v>0.97897789792817125</v>
      </c>
      <c r="R12" s="15">
        <f t="shared" si="2"/>
        <v>-0.12280460321518361</v>
      </c>
      <c r="S12" s="15">
        <f>O12-Benchmark_RF!D12</f>
        <v>2.088166428152971E-2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IF(Rankings!C11&lt;=3,1,0)</f>
        <v>0</v>
      </c>
      <c r="D13" s="16">
        <f>IF(Rankings!D11&lt;=3,1,0)</f>
        <v>1</v>
      </c>
      <c r="E13" s="16">
        <f>IF(Rankings!E11&lt;=3,1,0)</f>
        <v>0</v>
      </c>
      <c r="F13" s="16">
        <f>IF(Rankings!F11&lt;=3,1,0)</f>
        <v>0</v>
      </c>
      <c r="G13" s="16">
        <f>IF(Rankings!G11&lt;=3,1,0)</f>
        <v>1</v>
      </c>
      <c r="H13" s="16">
        <f>IF(Rankings!H11&lt;=3,1,0)</f>
        <v>1</v>
      </c>
      <c r="I13" s="16">
        <f>IF(Rankings!I11&lt;=3,1,0)</f>
        <v>0</v>
      </c>
      <c r="J13" s="16">
        <f>IF(Rankings!J11&lt;=3,1,0)</f>
        <v>0</v>
      </c>
      <c r="K13" s="19">
        <f t="shared" si="0"/>
        <v>3</v>
      </c>
      <c r="L13" s="15">
        <f>SUMPRODUCT(C13:J13,Returns!B17:I17)/K13</f>
        <v>1.1249127090925848E-2</v>
      </c>
      <c r="M13" s="15">
        <v>0</v>
      </c>
      <c r="N13" s="15">
        <v>0</v>
      </c>
      <c r="O13" s="15">
        <f t="shared" si="1"/>
        <v>1.1249127090925848E-2</v>
      </c>
      <c r="P13" s="20">
        <f t="shared" si="3"/>
        <v>0.86841514868990555</v>
      </c>
      <c r="Q13" s="20">
        <f>MAX($P$5:P13)</f>
        <v>0.97897789792817125</v>
      </c>
      <c r="R13" s="15">
        <f t="shared" si="2"/>
        <v>-0.11293692071317607</v>
      </c>
      <c r="S13" s="15">
        <f>O13-Benchmark_RF!D13</f>
        <v>6.2476134556039842E-3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IF(Rankings!C11&lt;=3,1,0)</f>
        <v>0</v>
      </c>
      <c r="D14" s="16">
        <f>IF(Rankings!D11&lt;=3,1,0)</f>
        <v>1</v>
      </c>
      <c r="E14" s="16">
        <f>IF(Rankings!E11&lt;=3,1,0)</f>
        <v>0</v>
      </c>
      <c r="F14" s="16">
        <f>IF(Rankings!F11&lt;=3,1,0)</f>
        <v>0</v>
      </c>
      <c r="G14" s="16">
        <f>IF(Rankings!G11&lt;=3,1,0)</f>
        <v>1</v>
      </c>
      <c r="H14" s="16">
        <f>IF(Rankings!H11&lt;=3,1,0)</f>
        <v>1</v>
      </c>
      <c r="I14" s="16">
        <f>IF(Rankings!I11&lt;=3,1,0)</f>
        <v>0</v>
      </c>
      <c r="J14" s="16">
        <f>IF(Rankings!J11&lt;=3,1,0)</f>
        <v>0</v>
      </c>
      <c r="K14" s="19">
        <f t="shared" si="0"/>
        <v>3</v>
      </c>
      <c r="L14" s="15">
        <f>SUMPRODUCT(C14:J14,Returns!B18:I18)/K14</f>
        <v>4.2480717415246692E-2</v>
      </c>
      <c r="M14" s="15">
        <v>0</v>
      </c>
      <c r="N14" s="15">
        <v>0</v>
      </c>
      <c r="O14" s="15">
        <f t="shared" si="1"/>
        <v>4.2480717415246692E-2</v>
      </c>
      <c r="P14" s="20">
        <f t="shared" si="3"/>
        <v>0.90530604722052077</v>
      </c>
      <c r="Q14" s="20">
        <f>MAX($P$5:P14)</f>
        <v>0.97897789792817125</v>
      </c>
      <c r="R14" s="15">
        <f t="shared" si="2"/>
        <v>-7.5253844712494078E-2</v>
      </c>
      <c r="S14" s="15">
        <f>O14-Benchmark_RF!D14</f>
        <v>3.7623042261327365E-2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IF(Rankings!C11&lt;=3,1,0)</f>
        <v>0</v>
      </c>
      <c r="D15" s="16">
        <f>IF(Rankings!D11&lt;=3,1,0)</f>
        <v>1</v>
      </c>
      <c r="E15" s="16">
        <f>IF(Rankings!E11&lt;=3,1,0)</f>
        <v>0</v>
      </c>
      <c r="F15" s="16">
        <f>IF(Rankings!F11&lt;=3,1,0)</f>
        <v>0</v>
      </c>
      <c r="G15" s="16">
        <f>IF(Rankings!G11&lt;=3,1,0)</f>
        <v>1</v>
      </c>
      <c r="H15" s="16">
        <f>IF(Rankings!H11&lt;=3,1,0)</f>
        <v>1</v>
      </c>
      <c r="I15" s="16">
        <f>IF(Rankings!I11&lt;=3,1,0)</f>
        <v>0</v>
      </c>
      <c r="J15" s="16">
        <f>IF(Rankings!J11&lt;=3,1,0)</f>
        <v>0</v>
      </c>
      <c r="K15" s="19">
        <f t="shared" si="0"/>
        <v>3</v>
      </c>
      <c r="L15" s="15">
        <f>SUMPRODUCT(C15:J15,Returns!B19:I19)/K15</f>
        <v>4.1413704075952053E-2</v>
      </c>
      <c r="M15" s="15">
        <v>0</v>
      </c>
      <c r="N15" s="15">
        <v>0</v>
      </c>
      <c r="O15" s="15">
        <f t="shared" si="1"/>
        <v>4.1413704075952053E-2</v>
      </c>
      <c r="P15" s="20">
        <f t="shared" si="3"/>
        <v>0.94279812395828133</v>
      </c>
      <c r="Q15" s="20">
        <f>MAX($P$5:P15)</f>
        <v>0.97897789792817125</v>
      </c>
      <c r="R15" s="15">
        <f t="shared" si="2"/>
        <v>-3.6956681092042865E-2</v>
      </c>
      <c r="S15" s="15">
        <f>O15-Benchmark_RF!D15</f>
        <v>3.6625344845800635E-2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IF(Rankings!C11&lt;=3,1,0)</f>
        <v>0</v>
      </c>
      <c r="D16" s="16">
        <f>IF(Rankings!D11&lt;=3,1,0)</f>
        <v>1</v>
      </c>
      <c r="E16" s="16">
        <f>IF(Rankings!E11&lt;=3,1,0)</f>
        <v>0</v>
      </c>
      <c r="F16" s="16">
        <f>IF(Rankings!F11&lt;=3,1,0)</f>
        <v>0</v>
      </c>
      <c r="G16" s="16">
        <f>IF(Rankings!G11&lt;=3,1,0)</f>
        <v>1</v>
      </c>
      <c r="H16" s="16">
        <f>IF(Rankings!H11&lt;=3,1,0)</f>
        <v>1</v>
      </c>
      <c r="I16" s="16">
        <f>IF(Rankings!I11&lt;=3,1,0)</f>
        <v>0</v>
      </c>
      <c r="J16" s="16">
        <f>IF(Rankings!J11&lt;=3,1,0)</f>
        <v>0</v>
      </c>
      <c r="K16" s="19">
        <f t="shared" si="0"/>
        <v>3</v>
      </c>
      <c r="L16" s="15">
        <f>SUMPRODUCT(C16:J16,Returns!B20:I20)/K16</f>
        <v>8.0537001673180411E-2</v>
      </c>
      <c r="M16" s="15">
        <v>0</v>
      </c>
      <c r="N16" s="15">
        <v>0</v>
      </c>
      <c r="O16" s="15">
        <f t="shared" si="1"/>
        <v>8.0537001673180411E-2</v>
      </c>
      <c r="P16" s="20">
        <f t="shared" si="3"/>
        <v>1.0187282580449808</v>
      </c>
      <c r="Q16" s="20">
        <f>MAX($P$5:P16)</f>
        <v>1.0187282580449808</v>
      </c>
      <c r="R16" s="15">
        <f t="shared" si="2"/>
        <v>0</v>
      </c>
      <c r="S16" s="15">
        <f>O16-Benchmark_RF!D16</f>
        <v>7.5837636761412489E-2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IF(Rankings!C23&lt;=3,1,0)</f>
        <v>0</v>
      </c>
      <c r="D17" s="16">
        <f>IF(Rankings!D23&lt;=3,1,0)</f>
        <v>0</v>
      </c>
      <c r="E17" s="16">
        <f>IF(Rankings!E23&lt;=3,1,0)</f>
        <v>0</v>
      </c>
      <c r="F17" s="16">
        <f>IF(Rankings!F23&lt;=3,1,0)</f>
        <v>1</v>
      </c>
      <c r="G17" s="16">
        <f>IF(Rankings!G23&lt;=3,1,0)</f>
        <v>0</v>
      </c>
      <c r="H17" s="16">
        <f>IF(Rankings!H23&lt;=3,1,0)</f>
        <v>0</v>
      </c>
      <c r="I17" s="16">
        <f>IF(Rankings!I23&lt;=3,1,0)</f>
        <v>1</v>
      </c>
      <c r="J17" s="16">
        <f>IF(Rankings!J23&lt;=3,1,0)</f>
        <v>1</v>
      </c>
      <c r="K17" s="19">
        <f t="shared" si="0"/>
        <v>3</v>
      </c>
      <c r="L17" s="15">
        <f>SUMPRODUCT(C17:J17,Returns!B21:I21)/K17</f>
        <v>2.6015089706861876E-2</v>
      </c>
      <c r="M17" s="15">
        <f>-2*Assumptions!$B$13</f>
        <v>-7.0000000000000001E-3</v>
      </c>
      <c r="N17" s="15">
        <f>-Assumptions!$B$16*MAX(0,(1+O5)*(1+O6)*(1+O7)*(1+O8)*(1+O9)*(1+O10)*(1+O11)*(1+O12)*(1+O13)*(1+O14)*(1+O15)*(1+O16)-1)</f>
        <v>-2.8092387067471191E-3</v>
      </c>
      <c r="O17" s="15">
        <f t="shared" si="1"/>
        <v>1.6205851000114759E-2</v>
      </c>
      <c r="P17" s="20">
        <f t="shared" si="3"/>
        <v>1.0352376164044643</v>
      </c>
      <c r="Q17" s="20">
        <f>MAX($P$5:P17)</f>
        <v>1.0352376164044643</v>
      </c>
      <c r="R17" s="15">
        <f t="shared" si="2"/>
        <v>0</v>
      </c>
      <c r="S17" s="15">
        <f>O17-Benchmark_RF!D17</f>
        <v>1.1448966071527702E-2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IF(Rankings!C23&lt;=3,1,0)</f>
        <v>0</v>
      </c>
      <c r="D18" s="16">
        <f>IF(Rankings!D23&lt;=3,1,0)</f>
        <v>0</v>
      </c>
      <c r="E18" s="16">
        <f>IF(Rankings!E23&lt;=3,1,0)</f>
        <v>0</v>
      </c>
      <c r="F18" s="16">
        <f>IF(Rankings!F23&lt;=3,1,0)</f>
        <v>1</v>
      </c>
      <c r="G18" s="16">
        <f>IF(Rankings!G23&lt;=3,1,0)</f>
        <v>0</v>
      </c>
      <c r="H18" s="16">
        <f>IF(Rankings!H23&lt;=3,1,0)</f>
        <v>0</v>
      </c>
      <c r="I18" s="16">
        <f>IF(Rankings!I23&lt;=3,1,0)</f>
        <v>1</v>
      </c>
      <c r="J18" s="16">
        <f>IF(Rankings!J23&lt;=3,1,0)</f>
        <v>1</v>
      </c>
      <c r="K18" s="19">
        <f t="shared" si="0"/>
        <v>3</v>
      </c>
      <c r="L18" s="15">
        <f>SUMPRODUCT(C18:J18,Returns!B22:I22)/K18</f>
        <v>0.19673546320902077</v>
      </c>
      <c r="M18" s="15">
        <v>0</v>
      </c>
      <c r="N18" s="15">
        <v>0</v>
      </c>
      <c r="O18" s="15">
        <f t="shared" si="1"/>
        <v>0.19673546320902077</v>
      </c>
      <c r="P18" s="20">
        <f t="shared" si="3"/>
        <v>1.2389055683991992</v>
      </c>
      <c r="Q18" s="20">
        <f>MAX($P$5:P18)</f>
        <v>1.2389055683991992</v>
      </c>
      <c r="R18" s="15">
        <f t="shared" si="2"/>
        <v>0</v>
      </c>
      <c r="S18" s="15">
        <f>O18-Benchmark_RF!D18</f>
        <v>0.19197857828043371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IF(Rankings!C23&lt;=3,1,0)</f>
        <v>0</v>
      </c>
      <c r="D19" s="16">
        <f>IF(Rankings!D23&lt;=3,1,0)</f>
        <v>0</v>
      </c>
      <c r="E19" s="16">
        <f>IF(Rankings!E23&lt;=3,1,0)</f>
        <v>0</v>
      </c>
      <c r="F19" s="16">
        <f>IF(Rankings!F23&lt;=3,1,0)</f>
        <v>1</v>
      </c>
      <c r="G19" s="16">
        <f>IF(Rankings!G23&lt;=3,1,0)</f>
        <v>0</v>
      </c>
      <c r="H19" s="16">
        <f>IF(Rankings!H23&lt;=3,1,0)</f>
        <v>0</v>
      </c>
      <c r="I19" s="16">
        <f>IF(Rankings!I23&lt;=3,1,0)</f>
        <v>1</v>
      </c>
      <c r="J19" s="16">
        <f>IF(Rankings!J23&lt;=3,1,0)</f>
        <v>1</v>
      </c>
      <c r="K19" s="19">
        <f t="shared" si="0"/>
        <v>3</v>
      </c>
      <c r="L19" s="15">
        <f>SUMPRODUCT(C19:J19,Returns!B23:I23)/K19</f>
        <v>7.9820788360964068E-2</v>
      </c>
      <c r="M19" s="15">
        <v>0</v>
      </c>
      <c r="N19" s="15">
        <v>0</v>
      </c>
      <c r="O19" s="15">
        <f t="shared" si="1"/>
        <v>7.9820788360964068E-2</v>
      </c>
      <c r="P19" s="20">
        <f t="shared" si="3"/>
        <v>1.3377959875736116</v>
      </c>
      <c r="Q19" s="20">
        <f>MAX($P$5:P19)</f>
        <v>1.3377959875736116</v>
      </c>
      <c r="R19" s="15">
        <f t="shared" si="2"/>
        <v>0</v>
      </c>
      <c r="S19" s="15">
        <f>O19-Benchmark_RF!D19</f>
        <v>7.5048085844821477E-2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IF(Rankings!C23&lt;=3,1,0)</f>
        <v>0</v>
      </c>
      <c r="D20" s="16">
        <f>IF(Rankings!D23&lt;=3,1,0)</f>
        <v>0</v>
      </c>
      <c r="E20" s="16">
        <f>IF(Rankings!E23&lt;=3,1,0)</f>
        <v>0</v>
      </c>
      <c r="F20" s="16">
        <f>IF(Rankings!F23&lt;=3,1,0)</f>
        <v>1</v>
      </c>
      <c r="G20" s="16">
        <f>IF(Rankings!G23&lt;=3,1,0)</f>
        <v>0</v>
      </c>
      <c r="H20" s="16">
        <f>IF(Rankings!H23&lt;=3,1,0)</f>
        <v>0</v>
      </c>
      <c r="I20" s="16">
        <f>IF(Rankings!I23&lt;=3,1,0)</f>
        <v>1</v>
      </c>
      <c r="J20" s="16">
        <f>IF(Rankings!J23&lt;=3,1,0)</f>
        <v>1</v>
      </c>
      <c r="K20" s="19">
        <f t="shared" si="0"/>
        <v>3</v>
      </c>
      <c r="L20" s="15">
        <f>SUMPRODUCT(C20:J20,Returns!B24:I24)/K20</f>
        <v>0.16976258868043281</v>
      </c>
      <c r="M20" s="15">
        <v>0</v>
      </c>
      <c r="N20" s="15">
        <v>0</v>
      </c>
      <c r="O20" s="15">
        <f t="shared" si="1"/>
        <v>0.16976258868043281</v>
      </c>
      <c r="P20" s="20">
        <f t="shared" si="3"/>
        <v>1.564903697550404</v>
      </c>
      <c r="Q20" s="20">
        <f>MAX($P$5:P20)</f>
        <v>1.564903697550404</v>
      </c>
      <c r="R20" s="15">
        <f t="shared" si="2"/>
        <v>0</v>
      </c>
      <c r="S20" s="15">
        <f>O20-Benchmark_RF!D20</f>
        <v>0.16493454616789505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IF(Rankings!C23&lt;=3,1,0)</f>
        <v>0</v>
      </c>
      <c r="D21" s="16">
        <f>IF(Rankings!D23&lt;=3,1,0)</f>
        <v>0</v>
      </c>
      <c r="E21" s="16">
        <f>IF(Rankings!E23&lt;=3,1,0)</f>
        <v>0</v>
      </c>
      <c r="F21" s="16">
        <f>IF(Rankings!F23&lt;=3,1,0)</f>
        <v>1</v>
      </c>
      <c r="G21" s="16">
        <f>IF(Rankings!G23&lt;=3,1,0)</f>
        <v>0</v>
      </c>
      <c r="H21" s="16">
        <f>IF(Rankings!H23&lt;=3,1,0)</f>
        <v>0</v>
      </c>
      <c r="I21" s="16">
        <f>IF(Rankings!I23&lt;=3,1,0)</f>
        <v>1</v>
      </c>
      <c r="J21" s="16">
        <f>IF(Rankings!J23&lt;=3,1,0)</f>
        <v>1</v>
      </c>
      <c r="K21" s="19">
        <f t="shared" si="0"/>
        <v>3</v>
      </c>
      <c r="L21" s="15">
        <f>SUMPRODUCT(C21:J21,Returns!B25:I25)/K21</f>
        <v>0.11512289374423135</v>
      </c>
      <c r="M21" s="15">
        <v>0</v>
      </c>
      <c r="N21" s="15">
        <v>0</v>
      </c>
      <c r="O21" s="15">
        <f t="shared" si="1"/>
        <v>0.11512289374423135</v>
      </c>
      <c r="P21" s="20">
        <f t="shared" si="3"/>
        <v>1.7450599396434541</v>
      </c>
      <c r="Q21" s="20">
        <f>MAX($P$5:P21)</f>
        <v>1.7450599396434541</v>
      </c>
      <c r="R21" s="15">
        <f t="shared" si="2"/>
        <v>0</v>
      </c>
      <c r="S21" s="15">
        <f>O21-Benchmark_RF!D21</f>
        <v>0.11028307604459175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IF(Rankings!C23&lt;=3,1,0)</f>
        <v>0</v>
      </c>
      <c r="D22" s="16">
        <f>IF(Rankings!D23&lt;=3,1,0)</f>
        <v>0</v>
      </c>
      <c r="E22" s="16">
        <f>IF(Rankings!E23&lt;=3,1,0)</f>
        <v>0</v>
      </c>
      <c r="F22" s="16">
        <f>IF(Rankings!F23&lt;=3,1,0)</f>
        <v>1</v>
      </c>
      <c r="G22" s="16">
        <f>IF(Rankings!G23&lt;=3,1,0)</f>
        <v>0</v>
      </c>
      <c r="H22" s="16">
        <f>IF(Rankings!H23&lt;=3,1,0)</f>
        <v>0</v>
      </c>
      <c r="I22" s="16">
        <f>IF(Rankings!I23&lt;=3,1,0)</f>
        <v>1</v>
      </c>
      <c r="J22" s="16">
        <f>IF(Rankings!J23&lt;=3,1,0)</f>
        <v>1</v>
      </c>
      <c r="K22" s="19">
        <f t="shared" si="0"/>
        <v>3</v>
      </c>
      <c r="L22" s="15">
        <f>SUMPRODUCT(C22:J22,Returns!B26:I26)/K22</f>
        <v>-2.6662157552455528E-2</v>
      </c>
      <c r="M22" s="15">
        <v>0</v>
      </c>
      <c r="N22" s="15">
        <v>0</v>
      </c>
      <c r="O22" s="15">
        <f t="shared" si="1"/>
        <v>-2.6662157552455528E-2</v>
      </c>
      <c r="P22" s="20">
        <f t="shared" si="3"/>
        <v>1.6985328765942018</v>
      </c>
      <c r="Q22" s="20">
        <f>MAX($P$5:P22)</f>
        <v>1.7450599396434541</v>
      </c>
      <c r="R22" s="15">
        <f t="shared" si="2"/>
        <v>-2.666215755245549E-2</v>
      </c>
      <c r="S22" s="15">
        <f>O22-Benchmark_RF!D22</f>
        <v>-3.1436520756400507E-2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IF(Rankings!C23&lt;=3,1,0)</f>
        <v>0</v>
      </c>
      <c r="D23" s="16">
        <f>IF(Rankings!D23&lt;=3,1,0)</f>
        <v>0</v>
      </c>
      <c r="E23" s="16">
        <f>IF(Rankings!E23&lt;=3,1,0)</f>
        <v>0</v>
      </c>
      <c r="F23" s="16">
        <f>IF(Rankings!F23&lt;=3,1,0)</f>
        <v>1</v>
      </c>
      <c r="G23" s="16">
        <f>IF(Rankings!G23&lt;=3,1,0)</f>
        <v>0</v>
      </c>
      <c r="H23" s="16">
        <f>IF(Rankings!H23&lt;=3,1,0)</f>
        <v>0</v>
      </c>
      <c r="I23" s="16">
        <f>IF(Rankings!I23&lt;=3,1,0)</f>
        <v>1</v>
      </c>
      <c r="J23" s="16">
        <f>IF(Rankings!J23&lt;=3,1,0)</f>
        <v>1</v>
      </c>
      <c r="K23" s="19">
        <f t="shared" si="0"/>
        <v>3</v>
      </c>
      <c r="L23" s="15">
        <f>SUMPRODUCT(C23:J23,Returns!B27:I27)/K23</f>
        <v>-1.8412588442935213E-2</v>
      </c>
      <c r="M23" s="15">
        <v>0</v>
      </c>
      <c r="N23" s="15">
        <v>0</v>
      </c>
      <c r="O23" s="15">
        <f t="shared" si="1"/>
        <v>-1.8412588442935213E-2</v>
      </c>
      <c r="P23" s="20">
        <f t="shared" si="3"/>
        <v>1.6672584897806779</v>
      </c>
      <c r="Q23" s="20">
        <f>MAX($P$5:P23)</f>
        <v>1.7450599396434541</v>
      </c>
      <c r="R23" s="15">
        <f t="shared" si="2"/>
        <v>-4.4583826661376613E-2</v>
      </c>
      <c r="S23" s="15">
        <f>O23-Benchmark_RF!D23</f>
        <v>-2.3234070964737914E-2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IF(Rankings!C23&lt;=3,1,0)</f>
        <v>0</v>
      </c>
      <c r="D24" s="16">
        <f>IF(Rankings!D23&lt;=3,1,0)</f>
        <v>0</v>
      </c>
      <c r="E24" s="16">
        <f>IF(Rankings!E23&lt;=3,1,0)</f>
        <v>0</v>
      </c>
      <c r="F24" s="16">
        <f>IF(Rankings!F23&lt;=3,1,0)</f>
        <v>1</v>
      </c>
      <c r="G24" s="16">
        <f>IF(Rankings!G23&lt;=3,1,0)</f>
        <v>0</v>
      </c>
      <c r="H24" s="16">
        <f>IF(Rankings!H23&lt;=3,1,0)</f>
        <v>0</v>
      </c>
      <c r="I24" s="16">
        <f>IF(Rankings!I23&lt;=3,1,0)</f>
        <v>1</v>
      </c>
      <c r="J24" s="16">
        <f>IF(Rankings!J23&lt;=3,1,0)</f>
        <v>1</v>
      </c>
      <c r="K24" s="19">
        <f t="shared" si="0"/>
        <v>3</v>
      </c>
      <c r="L24" s="15">
        <f>SUMPRODUCT(C24:J24,Returns!B28:I28)/K24</f>
        <v>5.5519341192443727E-2</v>
      </c>
      <c r="M24" s="15">
        <v>0</v>
      </c>
      <c r="N24" s="15">
        <v>0</v>
      </c>
      <c r="O24" s="15">
        <f t="shared" si="1"/>
        <v>5.5519341192443727E-2</v>
      </c>
      <c r="P24" s="20">
        <f t="shared" si="3"/>
        <v>1.7598235827308097</v>
      </c>
      <c r="Q24" s="20">
        <f>MAX($P$5:P24)</f>
        <v>1.7598235827308097</v>
      </c>
      <c r="R24" s="15">
        <f t="shared" si="2"/>
        <v>0</v>
      </c>
      <c r="S24" s="15">
        <f>O24-Benchmark_RF!D24</f>
        <v>5.067407106797206E-2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IF(Rankings!C23&lt;=3,1,0)</f>
        <v>0</v>
      </c>
      <c r="D25" s="16">
        <f>IF(Rankings!D23&lt;=3,1,0)</f>
        <v>0</v>
      </c>
      <c r="E25" s="16">
        <f>IF(Rankings!E23&lt;=3,1,0)</f>
        <v>0</v>
      </c>
      <c r="F25" s="16">
        <f>IF(Rankings!F23&lt;=3,1,0)</f>
        <v>1</v>
      </c>
      <c r="G25" s="16">
        <f>IF(Rankings!G23&lt;=3,1,0)</f>
        <v>0</v>
      </c>
      <c r="H25" s="16">
        <f>IF(Rankings!H23&lt;=3,1,0)</f>
        <v>0</v>
      </c>
      <c r="I25" s="16">
        <f>IF(Rankings!I23&lt;=3,1,0)</f>
        <v>1</v>
      </c>
      <c r="J25" s="16">
        <f>IF(Rankings!J23&lt;=3,1,0)</f>
        <v>1</v>
      </c>
      <c r="K25" s="19">
        <f t="shared" si="0"/>
        <v>3</v>
      </c>
      <c r="L25" s="15">
        <f>SUMPRODUCT(C25:J25,Returns!B29:I29)/K25</f>
        <v>8.9881291885333447E-2</v>
      </c>
      <c r="M25" s="15">
        <v>0</v>
      </c>
      <c r="N25" s="15">
        <v>0</v>
      </c>
      <c r="O25" s="15">
        <f t="shared" si="1"/>
        <v>8.9881291885333447E-2</v>
      </c>
      <c r="P25" s="20">
        <f t="shared" si="3"/>
        <v>1.9179987998369308</v>
      </c>
      <c r="Q25" s="20">
        <f>MAX($P$5:P25)</f>
        <v>1.9179987998369308</v>
      </c>
      <c r="R25" s="15">
        <f t="shared" si="2"/>
        <v>0</v>
      </c>
      <c r="S25" s="15">
        <f>O25-Benchmark_RF!D25</f>
        <v>8.5025512932578207E-2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IF(Rankings!C23&lt;=3,1,0)</f>
        <v>0</v>
      </c>
      <c r="D26" s="16">
        <f>IF(Rankings!D23&lt;=3,1,0)</f>
        <v>0</v>
      </c>
      <c r="E26" s="16">
        <f>IF(Rankings!E23&lt;=3,1,0)</f>
        <v>0</v>
      </c>
      <c r="F26" s="16">
        <f>IF(Rankings!F23&lt;=3,1,0)</f>
        <v>1</v>
      </c>
      <c r="G26" s="16">
        <f>IF(Rankings!G23&lt;=3,1,0)</f>
        <v>0</v>
      </c>
      <c r="H26" s="16">
        <f>IF(Rankings!H23&lt;=3,1,0)</f>
        <v>0</v>
      </c>
      <c r="I26" s="16">
        <f>IF(Rankings!I23&lt;=3,1,0)</f>
        <v>1</v>
      </c>
      <c r="J26" s="16">
        <f>IF(Rankings!J23&lt;=3,1,0)</f>
        <v>1</v>
      </c>
      <c r="K26" s="19">
        <f t="shared" si="0"/>
        <v>3</v>
      </c>
      <c r="L26" s="15">
        <f>SUMPRODUCT(C26:J26,Returns!B30:I30)/K26</f>
        <v>0.27064039326775413</v>
      </c>
      <c r="M26" s="15">
        <v>0</v>
      </c>
      <c r="N26" s="15">
        <v>0</v>
      </c>
      <c r="O26" s="15">
        <f t="shared" si="1"/>
        <v>0.27064039326775413</v>
      </c>
      <c r="P26" s="20">
        <f t="shared" si="3"/>
        <v>2.4370867493118782</v>
      </c>
      <c r="Q26" s="20">
        <f>MAX($P$5:P26)</f>
        <v>2.4370867493118782</v>
      </c>
      <c r="R26" s="15">
        <f t="shared" si="2"/>
        <v>0</v>
      </c>
      <c r="S26" s="15">
        <f>O26-Benchmark_RF!D26</f>
        <v>0.26578461431499889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IF(Rankings!C23&lt;=3,1,0)</f>
        <v>0</v>
      </c>
      <c r="D27" s="16">
        <f>IF(Rankings!D23&lt;=3,1,0)</f>
        <v>0</v>
      </c>
      <c r="E27" s="16">
        <f>IF(Rankings!E23&lt;=3,1,0)</f>
        <v>0</v>
      </c>
      <c r="F27" s="16">
        <f>IF(Rankings!F23&lt;=3,1,0)</f>
        <v>1</v>
      </c>
      <c r="G27" s="16">
        <f>IF(Rankings!G23&lt;=3,1,0)</f>
        <v>0</v>
      </c>
      <c r="H27" s="16">
        <f>IF(Rankings!H23&lt;=3,1,0)</f>
        <v>0</v>
      </c>
      <c r="I27" s="16">
        <f>IF(Rankings!I23&lt;=3,1,0)</f>
        <v>1</v>
      </c>
      <c r="J27" s="16">
        <f>IF(Rankings!J23&lt;=3,1,0)</f>
        <v>1</v>
      </c>
      <c r="K27" s="19">
        <f t="shared" si="0"/>
        <v>3</v>
      </c>
      <c r="L27" s="15">
        <f>SUMPRODUCT(C27:J27,Returns!B31:I31)/K27</f>
        <v>7.6201183254644977E-2</v>
      </c>
      <c r="M27" s="15">
        <v>0</v>
      </c>
      <c r="N27" s="15">
        <v>0</v>
      </c>
      <c r="O27" s="15">
        <f t="shared" si="1"/>
        <v>7.6201183254644977E-2</v>
      </c>
      <c r="P27" s="20">
        <f t="shared" si="3"/>
        <v>2.6227956433036597</v>
      </c>
      <c r="Q27" s="20">
        <f>MAX($P$5:P27)</f>
        <v>2.6227956433036597</v>
      </c>
      <c r="R27" s="15">
        <f t="shared" si="2"/>
        <v>0</v>
      </c>
      <c r="S27" s="15">
        <f>O27-Benchmark_RF!D27</f>
        <v>7.1340742877914254E-2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IF(Rankings!C23&lt;=3,1,0)</f>
        <v>0</v>
      </c>
      <c r="D28" s="16">
        <f>IF(Rankings!D23&lt;=3,1,0)</f>
        <v>0</v>
      </c>
      <c r="E28" s="16">
        <f>IF(Rankings!E23&lt;=3,1,0)</f>
        <v>0</v>
      </c>
      <c r="F28" s="16">
        <f>IF(Rankings!F23&lt;=3,1,0)</f>
        <v>1</v>
      </c>
      <c r="G28" s="16">
        <f>IF(Rankings!G23&lt;=3,1,0)</f>
        <v>0</v>
      </c>
      <c r="H28" s="16">
        <f>IF(Rankings!H23&lt;=3,1,0)</f>
        <v>0</v>
      </c>
      <c r="I28" s="16">
        <f>IF(Rankings!I23&lt;=3,1,0)</f>
        <v>1</v>
      </c>
      <c r="J28" s="16">
        <f>IF(Rankings!J23&lt;=3,1,0)</f>
        <v>1</v>
      </c>
      <c r="K28" s="19">
        <f t="shared" si="0"/>
        <v>3</v>
      </c>
      <c r="L28" s="15">
        <f>SUMPRODUCT(C28:J28,Returns!B32:I32)/K28</f>
        <v>-2.8079867289442412E-2</v>
      </c>
      <c r="M28" s="15">
        <v>0</v>
      </c>
      <c r="N28" s="15">
        <v>0</v>
      </c>
      <c r="O28" s="15">
        <f t="shared" si="1"/>
        <v>-2.8079867289442412E-2</v>
      </c>
      <c r="P28" s="20">
        <f t="shared" si="3"/>
        <v>2.5491478897123652</v>
      </c>
      <c r="Q28" s="20">
        <f>MAX($P$5:P28)</f>
        <v>2.6227956433036597</v>
      </c>
      <c r="R28" s="15">
        <f t="shared" si="2"/>
        <v>-2.8079867289442451E-2</v>
      </c>
      <c r="S28" s="15">
        <f>O28-Benchmark_RF!D28</f>
        <v>-3.2940228660968754E-2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IF(Rankings!C35&lt;=3,1,0)</f>
        <v>1</v>
      </c>
      <c r="D29" s="16">
        <f>IF(Rankings!D35&lt;=3,1,0)</f>
        <v>0</v>
      </c>
      <c r="E29" s="16">
        <f>IF(Rankings!E35&lt;=3,1,0)</f>
        <v>0</v>
      </c>
      <c r="F29" s="16">
        <f>IF(Rankings!F35&lt;=3,1,0)</f>
        <v>0</v>
      </c>
      <c r="G29" s="16">
        <f>IF(Rankings!G35&lt;=3,1,0)</f>
        <v>0</v>
      </c>
      <c r="H29" s="16">
        <f>IF(Rankings!H35&lt;=3,1,0)</f>
        <v>1</v>
      </c>
      <c r="I29" s="16">
        <f>IF(Rankings!I35&lt;=3,1,0)</f>
        <v>1</v>
      </c>
      <c r="J29" s="16">
        <f>IF(Rankings!J35&lt;=3,1,0)</f>
        <v>0</v>
      </c>
      <c r="K29" s="19">
        <f t="shared" si="0"/>
        <v>3</v>
      </c>
      <c r="L29" s="15">
        <f>SUMPRODUCT(C29:J29,Returns!B33:I33)/K29</f>
        <v>-0.17446914904849062</v>
      </c>
      <c r="M29" s="15">
        <f>-2*Assumptions!$B$13</f>
        <v>-7.0000000000000001E-3</v>
      </c>
      <c r="N29" s="15">
        <f>-Assumptions!$B$16*MAX(0,(1+O17)*(1+O18)*(1+O19)*(1+O20)*(1+O21)*(1+O22)*(1+O23)*(1+O24)*(1+O25)*(1+O26)*(1+O27)*(1+O28)-1)</f>
        <v>-0.22534266909475636</v>
      </c>
      <c r="O29" s="15">
        <f t="shared" si="1"/>
        <v>-0.40681181814324696</v>
      </c>
      <c r="P29" s="20">
        <f t="shared" si="3"/>
        <v>1.5121244019824567</v>
      </c>
      <c r="Q29" s="20">
        <f>MAX($P$5:P29)</f>
        <v>2.6227956433036597</v>
      </c>
      <c r="R29" s="15">
        <f t="shared" si="2"/>
        <v>-0.42346846356745027</v>
      </c>
      <c r="S29" s="15">
        <f>O29-Benchmark_RF!D29</f>
        <v>-0.41167162647642908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IF(Rankings!C35&lt;=3,1,0)</f>
        <v>1</v>
      </c>
      <c r="D30" s="16">
        <f>IF(Rankings!D35&lt;=3,1,0)</f>
        <v>0</v>
      </c>
      <c r="E30" s="16">
        <f>IF(Rankings!E35&lt;=3,1,0)</f>
        <v>0</v>
      </c>
      <c r="F30" s="16">
        <f>IF(Rankings!F35&lt;=3,1,0)</f>
        <v>0</v>
      </c>
      <c r="G30" s="16">
        <f>IF(Rankings!G35&lt;=3,1,0)</f>
        <v>0</v>
      </c>
      <c r="H30" s="16">
        <f>IF(Rankings!H35&lt;=3,1,0)</f>
        <v>1</v>
      </c>
      <c r="I30" s="16">
        <f>IF(Rankings!I35&lt;=3,1,0)</f>
        <v>1</v>
      </c>
      <c r="J30" s="16">
        <f>IF(Rankings!J35&lt;=3,1,0)</f>
        <v>0</v>
      </c>
      <c r="K30" s="19">
        <f t="shared" si="0"/>
        <v>3</v>
      </c>
      <c r="L30" s="15">
        <f>SUMPRODUCT(C30:J30,Returns!B34:I34)/K30</f>
        <v>8.5444400034088888E-2</v>
      </c>
      <c r="M30" s="15">
        <v>0</v>
      </c>
      <c r="N30" s="15">
        <v>0</v>
      </c>
      <c r="O30" s="15">
        <f t="shared" si="1"/>
        <v>8.5444400034088888E-2</v>
      </c>
      <c r="P30" s="20">
        <f t="shared" si="3"/>
        <v>1.641326964286753</v>
      </c>
      <c r="Q30" s="20">
        <f>MAX($P$5:P30)</f>
        <v>2.6227956433036597</v>
      </c>
      <c r="R30" s="15">
        <f t="shared" si="2"/>
        <v>-0.37420707233623962</v>
      </c>
      <c r="S30" s="15">
        <f>O30-Benchmark_RF!D30</f>
        <v>8.0583959657358165E-2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IF(Rankings!C35&lt;=3,1,0)</f>
        <v>1</v>
      </c>
      <c r="D31" s="16">
        <f>IF(Rankings!D35&lt;=3,1,0)</f>
        <v>0</v>
      </c>
      <c r="E31" s="16">
        <f>IF(Rankings!E35&lt;=3,1,0)</f>
        <v>0</v>
      </c>
      <c r="F31" s="16">
        <f>IF(Rankings!F35&lt;=3,1,0)</f>
        <v>0</v>
      </c>
      <c r="G31" s="16">
        <f>IF(Rankings!G35&lt;=3,1,0)</f>
        <v>0</v>
      </c>
      <c r="H31" s="16">
        <f>IF(Rankings!H35&lt;=3,1,0)</f>
        <v>1</v>
      </c>
      <c r="I31" s="16">
        <f>IF(Rankings!I35&lt;=3,1,0)</f>
        <v>1</v>
      </c>
      <c r="J31" s="16">
        <f>IF(Rankings!J35&lt;=3,1,0)</f>
        <v>0</v>
      </c>
      <c r="K31" s="19">
        <f t="shared" si="0"/>
        <v>3</v>
      </c>
      <c r="L31" s="15">
        <f>SUMPRODUCT(C31:J31,Returns!B35:I35)/K31</f>
        <v>-4.1785128012031159E-2</v>
      </c>
      <c r="M31" s="15">
        <v>0</v>
      </c>
      <c r="N31" s="15">
        <v>0</v>
      </c>
      <c r="O31" s="15">
        <f t="shared" si="1"/>
        <v>-4.1785128012031159E-2</v>
      </c>
      <c r="P31" s="20">
        <f t="shared" si="3"/>
        <v>1.5727439069744324</v>
      </c>
      <c r="Q31" s="20">
        <f>MAX($P$5:P31)</f>
        <v>2.6227956433036597</v>
      </c>
      <c r="R31" s="15">
        <f t="shared" si="2"/>
        <v>-0.40035590992769365</v>
      </c>
      <c r="S31" s="15">
        <f>O31-Benchmark_RF!D31</f>
        <v>-4.6645568388761882E-2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IF(Rankings!C35&lt;=3,1,0)</f>
        <v>1</v>
      </c>
      <c r="D32" s="16">
        <f>IF(Rankings!D35&lt;=3,1,0)</f>
        <v>0</v>
      </c>
      <c r="E32" s="16">
        <f>IF(Rankings!E35&lt;=3,1,0)</f>
        <v>0</v>
      </c>
      <c r="F32" s="16">
        <f>IF(Rankings!F35&lt;=3,1,0)</f>
        <v>0</v>
      </c>
      <c r="G32" s="16">
        <f>IF(Rankings!G35&lt;=3,1,0)</f>
        <v>0</v>
      </c>
      <c r="H32" s="16">
        <f>IF(Rankings!H35&lt;=3,1,0)</f>
        <v>1</v>
      </c>
      <c r="I32" s="16">
        <f>IF(Rankings!I35&lt;=3,1,0)</f>
        <v>1</v>
      </c>
      <c r="J32" s="16">
        <f>IF(Rankings!J35&lt;=3,1,0)</f>
        <v>0</v>
      </c>
      <c r="K32" s="19">
        <f t="shared" si="0"/>
        <v>3</v>
      </c>
      <c r="L32" s="15">
        <f>SUMPRODUCT(C32:J32,Returns!B36:I36)/K32</f>
        <v>0.19866395385310839</v>
      </c>
      <c r="M32" s="15">
        <v>0</v>
      </c>
      <c r="N32" s="15">
        <v>0</v>
      </c>
      <c r="O32" s="15">
        <f t="shared" si="1"/>
        <v>0.19866395385310839</v>
      </c>
      <c r="P32" s="20">
        <f t="shared" si="3"/>
        <v>1.8851914299323584</v>
      </c>
      <c r="Q32" s="20">
        <f>MAX($P$5:P32)</f>
        <v>2.6227956433036597</v>
      </c>
      <c r="R32" s="15">
        <f t="shared" si="2"/>
        <v>-0.28122824408927982</v>
      </c>
      <c r="S32" s="15">
        <f>O32-Benchmark_RF!D32</f>
        <v>0.19380359248158205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IF(Rankings!C35&lt;=3,1,0)</f>
        <v>1</v>
      </c>
      <c r="D33" s="16">
        <f>IF(Rankings!D35&lt;=3,1,0)</f>
        <v>0</v>
      </c>
      <c r="E33" s="16">
        <f>IF(Rankings!E35&lt;=3,1,0)</f>
        <v>0</v>
      </c>
      <c r="F33" s="16">
        <f>IF(Rankings!F35&lt;=3,1,0)</f>
        <v>0</v>
      </c>
      <c r="G33" s="16">
        <f>IF(Rankings!G35&lt;=3,1,0)</f>
        <v>0</v>
      </c>
      <c r="H33" s="16">
        <f>IF(Rankings!H35&lt;=3,1,0)</f>
        <v>1</v>
      </c>
      <c r="I33" s="16">
        <f>IF(Rankings!I35&lt;=3,1,0)</f>
        <v>1</v>
      </c>
      <c r="J33" s="16">
        <f>IF(Rankings!J35&lt;=3,1,0)</f>
        <v>0</v>
      </c>
      <c r="K33" s="19">
        <f t="shared" si="0"/>
        <v>3</v>
      </c>
      <c r="L33" s="15">
        <f>SUMPRODUCT(C33:J33,Returns!B37:I37)/K33</f>
        <v>-5.4116305779124589E-3</v>
      </c>
      <c r="M33" s="15">
        <v>0</v>
      </c>
      <c r="N33" s="15">
        <v>0</v>
      </c>
      <c r="O33" s="15">
        <f t="shared" si="1"/>
        <v>-5.4116305779124589E-3</v>
      </c>
      <c r="P33" s="20">
        <f t="shared" si="3"/>
        <v>1.8749894703449179</v>
      </c>
      <c r="Q33" s="20">
        <f>MAX($P$5:P33)</f>
        <v>2.6227956433036597</v>
      </c>
      <c r="R33" s="15">
        <f t="shared" si="2"/>
        <v>-0.28511797130210614</v>
      </c>
      <c r="S33" s="15">
        <f>O33-Benchmark_RF!D33</f>
        <v>-1.0272070954643182E-2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IF(Rankings!C35&lt;=3,1,0)</f>
        <v>1</v>
      </c>
      <c r="D34" s="16">
        <f>IF(Rankings!D35&lt;=3,1,0)</f>
        <v>0</v>
      </c>
      <c r="E34" s="16">
        <f>IF(Rankings!E35&lt;=3,1,0)</f>
        <v>0</v>
      </c>
      <c r="F34" s="16">
        <f>IF(Rankings!F35&lt;=3,1,0)</f>
        <v>0</v>
      </c>
      <c r="G34" s="16">
        <f>IF(Rankings!G35&lt;=3,1,0)</f>
        <v>0</v>
      </c>
      <c r="H34" s="16">
        <f>IF(Rankings!H35&lt;=3,1,0)</f>
        <v>1</v>
      </c>
      <c r="I34" s="16">
        <f>IF(Rankings!I35&lt;=3,1,0)</f>
        <v>1</v>
      </c>
      <c r="J34" s="16">
        <f>IF(Rankings!J35&lt;=3,1,0)</f>
        <v>0</v>
      </c>
      <c r="K34" s="19">
        <f t="shared" si="0"/>
        <v>3</v>
      </c>
      <c r="L34" s="15">
        <f>SUMPRODUCT(C34:J34,Returns!B38:I38)/K34</f>
        <v>4.3890712090430682E-2</v>
      </c>
      <c r="M34" s="15">
        <v>0</v>
      </c>
      <c r="N34" s="15">
        <v>0</v>
      </c>
      <c r="O34" s="15">
        <f t="shared" si="1"/>
        <v>4.3890712090430682E-2</v>
      </c>
      <c r="P34" s="20">
        <f t="shared" si="3"/>
        <v>1.9572840933604156</v>
      </c>
      <c r="Q34" s="20">
        <f>MAX($P$5:P34)</f>
        <v>2.6227956433036597</v>
      </c>
      <c r="R34" s="15">
        <f t="shared" si="2"/>
        <v>-0.25374129000190393</v>
      </c>
      <c r="S34" s="15">
        <f>O34-Benchmark_RF!D34</f>
        <v>3.8865299951594455E-2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IF(Rankings!C35&lt;=3,1,0)</f>
        <v>1</v>
      </c>
      <c r="D35" s="16">
        <f>IF(Rankings!D35&lt;=3,1,0)</f>
        <v>0</v>
      </c>
      <c r="E35" s="16">
        <f>IF(Rankings!E35&lt;=3,1,0)</f>
        <v>0</v>
      </c>
      <c r="F35" s="16">
        <f>IF(Rankings!F35&lt;=3,1,0)</f>
        <v>0</v>
      </c>
      <c r="G35" s="16">
        <f>IF(Rankings!G35&lt;=3,1,0)</f>
        <v>0</v>
      </c>
      <c r="H35" s="16">
        <f>IF(Rankings!H35&lt;=3,1,0)</f>
        <v>1</v>
      </c>
      <c r="I35" s="16">
        <f>IF(Rankings!I35&lt;=3,1,0)</f>
        <v>1</v>
      </c>
      <c r="J35" s="16">
        <f>IF(Rankings!J35&lt;=3,1,0)</f>
        <v>0</v>
      </c>
      <c r="K35" s="19">
        <f t="shared" si="0"/>
        <v>3</v>
      </c>
      <c r="L35" s="15">
        <f>SUMPRODUCT(C35:J35,Returns!B39:I39)/K35</f>
        <v>6.4001701377321236E-3</v>
      </c>
      <c r="M35" s="15">
        <v>0</v>
      </c>
      <c r="N35" s="15">
        <v>0</v>
      </c>
      <c r="O35" s="15">
        <f t="shared" si="1"/>
        <v>6.4001701377321236E-3</v>
      </c>
      <c r="P35" s="20">
        <f t="shared" si="3"/>
        <v>1.969811044565799</v>
      </c>
      <c r="Q35" s="20">
        <f>MAX($P$5:P35)</f>
        <v>2.6227956433036597</v>
      </c>
      <c r="R35" s="15">
        <f t="shared" si="2"/>
        <v>-0.24896510729115162</v>
      </c>
      <c r="S35" s="15">
        <f>O35-Benchmark_RF!D35</f>
        <v>1.3493677588572268E-3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IF(Rankings!C35&lt;=3,1,0)</f>
        <v>1</v>
      </c>
      <c r="D36" s="16">
        <f>IF(Rankings!D35&lt;=3,1,0)</f>
        <v>0</v>
      </c>
      <c r="E36" s="16">
        <f>IF(Rankings!E35&lt;=3,1,0)</f>
        <v>0</v>
      </c>
      <c r="F36" s="16">
        <f>IF(Rankings!F35&lt;=3,1,0)</f>
        <v>0</v>
      </c>
      <c r="G36" s="16">
        <f>IF(Rankings!G35&lt;=3,1,0)</f>
        <v>0</v>
      </c>
      <c r="H36" s="16">
        <f>IF(Rankings!H35&lt;=3,1,0)</f>
        <v>1</v>
      </c>
      <c r="I36" s="16">
        <f>IF(Rankings!I35&lt;=3,1,0)</f>
        <v>1</v>
      </c>
      <c r="J36" s="16">
        <f>IF(Rankings!J35&lt;=3,1,0)</f>
        <v>0</v>
      </c>
      <c r="K36" s="19">
        <f t="shared" si="0"/>
        <v>3</v>
      </c>
      <c r="L36" s="15">
        <f>SUMPRODUCT(C36:J36,Returns!B40:I40)/K36</f>
        <v>0.16258681096175956</v>
      </c>
      <c r="M36" s="15">
        <v>0</v>
      </c>
      <c r="N36" s="15">
        <v>0</v>
      </c>
      <c r="O36" s="15">
        <f t="shared" si="1"/>
        <v>0.16258681096175956</v>
      </c>
      <c r="P36" s="20">
        <f t="shared" si="3"/>
        <v>2.290076340499005</v>
      </c>
      <c r="Q36" s="20">
        <f>MAX($P$5:P36)</f>
        <v>2.6227956433036597</v>
      </c>
      <c r="R36" s="15">
        <f t="shared" si="2"/>
        <v>-0.1268567391646126</v>
      </c>
      <c r="S36" s="15">
        <f>O36-Benchmark_RF!D36</f>
        <v>0.1575148028896444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IF(Rankings!C35&lt;=3,1,0)</f>
        <v>1</v>
      </c>
      <c r="D37" s="16">
        <f>IF(Rankings!D35&lt;=3,1,0)</f>
        <v>0</v>
      </c>
      <c r="E37" s="16">
        <f>IF(Rankings!E35&lt;=3,1,0)</f>
        <v>0</v>
      </c>
      <c r="F37" s="16">
        <f>IF(Rankings!F35&lt;=3,1,0)</f>
        <v>0</v>
      </c>
      <c r="G37" s="16">
        <f>IF(Rankings!G35&lt;=3,1,0)</f>
        <v>0</v>
      </c>
      <c r="H37" s="16">
        <f>IF(Rankings!H35&lt;=3,1,0)</f>
        <v>1</v>
      </c>
      <c r="I37" s="16">
        <f>IF(Rankings!I35&lt;=3,1,0)</f>
        <v>1</v>
      </c>
      <c r="J37" s="16">
        <f>IF(Rankings!J35&lt;=3,1,0)</f>
        <v>0</v>
      </c>
      <c r="K37" s="19">
        <f t="shared" ref="K37:K68" si="4">SUM(C37:J37)</f>
        <v>3</v>
      </c>
      <c r="L37" s="15">
        <f>SUMPRODUCT(C37:J37,Returns!B41:I41)/K37</f>
        <v>1.7464493992475072E-3</v>
      </c>
      <c r="M37" s="15">
        <v>0</v>
      </c>
      <c r="N37" s="15">
        <v>0</v>
      </c>
      <c r="O37" s="15">
        <f t="shared" ref="O37:O68" si="5">L37+M37+N37</f>
        <v>1.7464493992475072E-3</v>
      </c>
      <c r="P37" s="20">
        <f t="shared" si="3"/>
        <v>2.2940758429481001</v>
      </c>
      <c r="Q37" s="20">
        <f>MAX($P$5:P37)</f>
        <v>2.6227956433036597</v>
      </c>
      <c r="R37" s="15">
        <f t="shared" ref="R37:R68" si="6">P37/Q37-1</f>
        <v>-0.12533183864126973</v>
      </c>
      <c r="S37" s="15">
        <f>O37-Benchmark_RF!D37</f>
        <v>-3.3080584184258521E-3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IF(Rankings!C35&lt;=3,1,0)</f>
        <v>1</v>
      </c>
      <c r="D38" s="16">
        <f>IF(Rankings!D35&lt;=3,1,0)</f>
        <v>0</v>
      </c>
      <c r="E38" s="16">
        <f>IF(Rankings!E35&lt;=3,1,0)</f>
        <v>0</v>
      </c>
      <c r="F38" s="16">
        <f>IF(Rankings!F35&lt;=3,1,0)</f>
        <v>0</v>
      </c>
      <c r="G38" s="16">
        <f>IF(Rankings!G35&lt;=3,1,0)</f>
        <v>0</v>
      </c>
      <c r="H38" s="16">
        <f>IF(Rankings!H35&lt;=3,1,0)</f>
        <v>1</v>
      </c>
      <c r="I38" s="16">
        <f>IF(Rankings!I35&lt;=3,1,0)</f>
        <v>1</v>
      </c>
      <c r="J38" s="16">
        <f>IF(Rankings!J35&lt;=3,1,0)</f>
        <v>0</v>
      </c>
      <c r="K38" s="19">
        <f t="shared" si="4"/>
        <v>3</v>
      </c>
      <c r="L38" s="15">
        <f>SUMPRODUCT(C38:J38,Returns!B42:I42)/K38</f>
        <v>5.5268665657132914E-3</v>
      </c>
      <c r="M38" s="15">
        <v>0</v>
      </c>
      <c r="N38" s="15">
        <v>0</v>
      </c>
      <c r="O38" s="15">
        <f t="shared" si="5"/>
        <v>5.5268665657132914E-3</v>
      </c>
      <c r="P38" s="20">
        <f t="shared" ref="P38:P69" si="7">P37*(1+O38)</f>
        <v>2.3067548940237006</v>
      </c>
      <c r="Q38" s="20">
        <f>MAX($P$5:P38)</f>
        <v>2.6227956433036597</v>
      </c>
      <c r="R38" s="15">
        <f t="shared" si="6"/>
        <v>-0.12049766442416221</v>
      </c>
      <c r="S38" s="15">
        <f>O38-Benchmark_RF!D38</f>
        <v>4.5533142937933136E-4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IF(Rankings!C35&lt;=3,1,0)</f>
        <v>1</v>
      </c>
      <c r="D39" s="16">
        <f>IF(Rankings!D35&lt;=3,1,0)</f>
        <v>0</v>
      </c>
      <c r="E39" s="16">
        <f>IF(Rankings!E35&lt;=3,1,0)</f>
        <v>0</v>
      </c>
      <c r="F39" s="16">
        <f>IF(Rankings!F35&lt;=3,1,0)</f>
        <v>0</v>
      </c>
      <c r="G39" s="16">
        <f>IF(Rankings!G35&lt;=3,1,0)</f>
        <v>0</v>
      </c>
      <c r="H39" s="16">
        <f>IF(Rankings!H35&lt;=3,1,0)</f>
        <v>1</v>
      </c>
      <c r="I39" s="16">
        <f>IF(Rankings!I35&lt;=3,1,0)</f>
        <v>1</v>
      </c>
      <c r="J39" s="16">
        <f>IF(Rankings!J35&lt;=3,1,0)</f>
        <v>0</v>
      </c>
      <c r="K39" s="19">
        <f t="shared" si="4"/>
        <v>3</v>
      </c>
      <c r="L39" s="15">
        <f>SUMPRODUCT(C39:J39,Returns!B43:I43)/K39</f>
        <v>1.3153273399914936E-2</v>
      </c>
      <c r="M39" s="15">
        <v>0</v>
      </c>
      <c r="N39" s="15">
        <v>0</v>
      </c>
      <c r="O39" s="15">
        <f t="shared" si="5"/>
        <v>1.3153273399914936E-2</v>
      </c>
      <c r="P39" s="20">
        <f t="shared" si="7"/>
        <v>2.3370962718113861</v>
      </c>
      <c r="Q39" s="20">
        <f>MAX($P$5:P39)</f>
        <v>2.6227956433036597</v>
      </c>
      <c r="R39" s="15">
        <f t="shared" si="6"/>
        <v>-0.10892932974846947</v>
      </c>
      <c r="S39" s="15">
        <f>O39-Benchmark_RF!D39</f>
        <v>7.687686687967191E-3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IF(Rankings!C35&lt;=3,1,0)</f>
        <v>1</v>
      </c>
      <c r="D40" s="16">
        <f>IF(Rankings!D35&lt;=3,1,0)</f>
        <v>0</v>
      </c>
      <c r="E40" s="16">
        <f>IF(Rankings!E35&lt;=3,1,0)</f>
        <v>0</v>
      </c>
      <c r="F40" s="16">
        <f>IF(Rankings!F35&lt;=3,1,0)</f>
        <v>0</v>
      </c>
      <c r="G40" s="16">
        <f>IF(Rankings!G35&lt;=3,1,0)</f>
        <v>0</v>
      </c>
      <c r="H40" s="16">
        <f>IF(Rankings!H35&lt;=3,1,0)</f>
        <v>1</v>
      </c>
      <c r="I40" s="16">
        <f>IF(Rankings!I35&lt;=3,1,0)</f>
        <v>1</v>
      </c>
      <c r="J40" s="16">
        <f>IF(Rankings!J35&lt;=3,1,0)</f>
        <v>0</v>
      </c>
      <c r="K40" s="19">
        <f t="shared" si="4"/>
        <v>3</v>
      </c>
      <c r="L40" s="15">
        <f>SUMPRODUCT(C40:J40,Returns!B44:I44)/K40</f>
        <v>3.5344320196179869E-2</v>
      </c>
      <c r="M40" s="15">
        <v>0</v>
      </c>
      <c r="N40" s="15">
        <v>0</v>
      </c>
      <c r="O40" s="15">
        <f t="shared" si="5"/>
        <v>3.5344320196179869E-2</v>
      </c>
      <c r="P40" s="20">
        <f t="shared" si="7"/>
        <v>2.419699350771586</v>
      </c>
      <c r="Q40" s="20">
        <f>MAX($P$5:P40)</f>
        <v>2.6227956433036597</v>
      </c>
      <c r="R40" s="15">
        <f t="shared" si="6"/>
        <v>-7.743504266167478E-2</v>
      </c>
      <c r="S40" s="15">
        <f>O40-Benchmark_RF!D40</f>
        <v>2.9126976403129702E-2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IF(Rankings!C47&lt;=3,1,0)</f>
        <v>1</v>
      </c>
      <c r="D41" s="16">
        <f>IF(Rankings!D47&lt;=3,1,0)</f>
        <v>1</v>
      </c>
      <c r="E41" s="16">
        <f>IF(Rankings!E47&lt;=3,1,0)</f>
        <v>0</v>
      </c>
      <c r="F41" s="16">
        <f>IF(Rankings!F47&lt;=3,1,0)</f>
        <v>0</v>
      </c>
      <c r="G41" s="16">
        <f>IF(Rankings!G47&lt;=3,1,0)</f>
        <v>0</v>
      </c>
      <c r="H41" s="16">
        <f>IF(Rankings!H47&lt;=3,1,0)</f>
        <v>1</v>
      </c>
      <c r="I41" s="16">
        <f>IF(Rankings!I47&lt;=3,1,0)</f>
        <v>0</v>
      </c>
      <c r="J41" s="16">
        <f>IF(Rankings!J47&lt;=3,1,0)</f>
        <v>0</v>
      </c>
      <c r="K41" s="19">
        <f t="shared" si="4"/>
        <v>3</v>
      </c>
      <c r="L41" s="15">
        <f>SUMPRODUCT(C41:J41,Returns!B45:I45)/K41</f>
        <v>1.1689149467403662E-2</v>
      </c>
      <c r="M41" s="15">
        <f>-2*Assumptions!$B$13</f>
        <v>-7.0000000000000001E-3</v>
      </c>
      <c r="N41" s="15">
        <f>-Assumptions!$B$16*MAX(0,(1+O29)*(1+O30)*(1+O31)*(1+O32)*(1+O33)*(1+O34)*(1+O35)*(1+O36)*(1+O37)*(1+O38)*(1+O39)*(1+O40)-1)</f>
        <v>0</v>
      </c>
      <c r="O41" s="15">
        <f t="shared" si="5"/>
        <v>4.6891494674036619E-3</v>
      </c>
      <c r="P41" s="20">
        <f t="shared" si="7"/>
        <v>2.4310456826935338</v>
      </c>
      <c r="Q41" s="20">
        <f>MAX($P$5:P41)</f>
        <v>2.6227956433036597</v>
      </c>
      <c r="R41" s="15">
        <f t="shared" si="6"/>
        <v>-7.3108997683326349E-2</v>
      </c>
      <c r="S41" s="15">
        <f>O41-Benchmark_RF!D41</f>
        <v>-1.5505319938820669E-3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IF(Rankings!C47&lt;=3,1,0)</f>
        <v>1</v>
      </c>
      <c r="D42" s="16">
        <f>IF(Rankings!D47&lt;=3,1,0)</f>
        <v>1</v>
      </c>
      <c r="E42" s="16">
        <f>IF(Rankings!E47&lt;=3,1,0)</f>
        <v>0</v>
      </c>
      <c r="F42" s="16">
        <f>IF(Rankings!F47&lt;=3,1,0)</f>
        <v>0</v>
      </c>
      <c r="G42" s="16">
        <f>IF(Rankings!G47&lt;=3,1,0)</f>
        <v>0</v>
      </c>
      <c r="H42" s="16">
        <f>IF(Rankings!H47&lt;=3,1,0)</f>
        <v>1</v>
      </c>
      <c r="I42" s="16">
        <f>IF(Rankings!I47&lt;=3,1,0)</f>
        <v>0</v>
      </c>
      <c r="J42" s="16">
        <f>IF(Rankings!J47&lt;=3,1,0)</f>
        <v>0</v>
      </c>
      <c r="K42" s="19">
        <f t="shared" si="4"/>
        <v>3</v>
      </c>
      <c r="L42" s="15">
        <f>SUMPRODUCT(C42:J42,Returns!B46:I46)/K42</f>
        <v>1.700462860939082E-2</v>
      </c>
      <c r="M42" s="15">
        <v>0</v>
      </c>
      <c r="N42" s="15">
        <v>0</v>
      </c>
      <c r="O42" s="15">
        <f t="shared" si="5"/>
        <v>1.700462860939082E-2</v>
      </c>
      <c r="P42" s="20">
        <f t="shared" si="7"/>
        <v>2.4723847116602</v>
      </c>
      <c r="Q42" s="20">
        <f>MAX($P$5:P42)</f>
        <v>2.6227956433036597</v>
      </c>
      <c r="R42" s="15">
        <f t="shared" si="6"/>
        <v>-5.7347560427545519E-2</v>
      </c>
      <c r="S42" s="15">
        <f>O42-Benchmark_RF!D42</f>
        <v>1.0764947148105091E-2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IF(Rankings!C47&lt;=3,1,0)</f>
        <v>1</v>
      </c>
      <c r="D43" s="16">
        <f>IF(Rankings!D47&lt;=3,1,0)</f>
        <v>1</v>
      </c>
      <c r="E43" s="16">
        <f>IF(Rankings!E47&lt;=3,1,0)</f>
        <v>0</v>
      </c>
      <c r="F43" s="16">
        <f>IF(Rankings!F47&lt;=3,1,0)</f>
        <v>0</v>
      </c>
      <c r="G43" s="16">
        <f>IF(Rankings!G47&lt;=3,1,0)</f>
        <v>0</v>
      </c>
      <c r="H43" s="16">
        <f>IF(Rankings!H47&lt;=3,1,0)</f>
        <v>1</v>
      </c>
      <c r="I43" s="16">
        <f>IF(Rankings!I47&lt;=3,1,0)</f>
        <v>0</v>
      </c>
      <c r="J43" s="16">
        <f>IF(Rankings!J47&lt;=3,1,0)</f>
        <v>0</v>
      </c>
      <c r="K43" s="19">
        <f t="shared" si="4"/>
        <v>3</v>
      </c>
      <c r="L43" s="15">
        <f>SUMPRODUCT(C43:J43,Returns!B47:I47)/K43</f>
        <v>5.4286564252478277E-2</v>
      </c>
      <c r="M43" s="15">
        <v>0</v>
      </c>
      <c r="N43" s="15">
        <v>0</v>
      </c>
      <c r="O43" s="15">
        <f t="shared" si="5"/>
        <v>5.4286564252478277E-2</v>
      </c>
      <c r="P43" s="20">
        <f t="shared" si="7"/>
        <v>2.6066019831665868</v>
      </c>
      <c r="Q43" s="20">
        <f>MAX($P$5:P43)</f>
        <v>2.6227956433036597</v>
      </c>
      <c r="R43" s="15">
        <f t="shared" si="6"/>
        <v>-6.1741981989399397E-3</v>
      </c>
      <c r="S43" s="15">
        <f>O43-Benchmark_RF!D43</f>
        <v>4.7239625856740387E-2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IF(Rankings!C47&lt;=3,1,0)</f>
        <v>1</v>
      </c>
      <c r="D44" s="16">
        <f>IF(Rankings!D47&lt;=3,1,0)</f>
        <v>1</v>
      </c>
      <c r="E44" s="16">
        <f>IF(Rankings!E47&lt;=3,1,0)</f>
        <v>0</v>
      </c>
      <c r="F44" s="16">
        <f>IF(Rankings!F47&lt;=3,1,0)</f>
        <v>0</v>
      </c>
      <c r="G44" s="16">
        <f>IF(Rankings!G47&lt;=3,1,0)</f>
        <v>0</v>
      </c>
      <c r="H44" s="16">
        <f>IF(Rankings!H47&lt;=3,1,0)</f>
        <v>1</v>
      </c>
      <c r="I44" s="16">
        <f>IF(Rankings!I47&lt;=3,1,0)</f>
        <v>0</v>
      </c>
      <c r="J44" s="16">
        <f>IF(Rankings!J47&lt;=3,1,0)</f>
        <v>0</v>
      </c>
      <c r="K44" s="19">
        <f t="shared" si="4"/>
        <v>3</v>
      </c>
      <c r="L44" s="15">
        <f>SUMPRODUCT(C44:J44,Returns!B48:I48)/K44</f>
        <v>-2.6297107538221714E-2</v>
      </c>
      <c r="M44" s="15">
        <v>0</v>
      </c>
      <c r="N44" s="15">
        <v>0</v>
      </c>
      <c r="O44" s="15">
        <f t="shared" si="5"/>
        <v>-2.6297107538221714E-2</v>
      </c>
      <c r="P44" s="20">
        <f t="shared" si="7"/>
        <v>2.538055890505913</v>
      </c>
      <c r="Q44" s="20">
        <f>MAX($P$5:P44)</f>
        <v>2.6227956433036597</v>
      </c>
      <c r="R44" s="15">
        <f t="shared" si="6"/>
        <v>-3.2308942183161826E-2</v>
      </c>
      <c r="S44" s="15">
        <f>O44-Benchmark_RF!D44</f>
        <v>-3.3348828403930317E-2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IF(Rankings!C47&lt;=3,1,0)</f>
        <v>1</v>
      </c>
      <c r="D45" s="16">
        <f>IF(Rankings!D47&lt;=3,1,0)</f>
        <v>1</v>
      </c>
      <c r="E45" s="16">
        <f>IF(Rankings!E47&lt;=3,1,0)</f>
        <v>0</v>
      </c>
      <c r="F45" s="16">
        <f>IF(Rankings!F47&lt;=3,1,0)</f>
        <v>0</v>
      </c>
      <c r="G45" s="16">
        <f>IF(Rankings!G47&lt;=3,1,0)</f>
        <v>0</v>
      </c>
      <c r="H45" s="16">
        <f>IF(Rankings!H47&lt;=3,1,0)</f>
        <v>1</v>
      </c>
      <c r="I45" s="16">
        <f>IF(Rankings!I47&lt;=3,1,0)</f>
        <v>0</v>
      </c>
      <c r="J45" s="16">
        <f>IF(Rankings!J47&lt;=3,1,0)</f>
        <v>0</v>
      </c>
      <c r="K45" s="19">
        <f t="shared" si="4"/>
        <v>3</v>
      </c>
      <c r="L45" s="15">
        <f>SUMPRODUCT(C45:J45,Returns!B49:I49)/K45</f>
        <v>-8.9993047411749225E-2</v>
      </c>
      <c r="M45" s="15">
        <v>0</v>
      </c>
      <c r="N45" s="15">
        <v>0</v>
      </c>
      <c r="O45" s="15">
        <f t="shared" si="5"/>
        <v>-8.9993047411749225E-2</v>
      </c>
      <c r="P45" s="20">
        <f t="shared" si="7"/>
        <v>2.3096485064179451</v>
      </c>
      <c r="Q45" s="20">
        <f>MAX($P$5:P45)</f>
        <v>2.6227956433036597</v>
      </c>
      <c r="R45" s="15">
        <f t="shared" si="6"/>
        <v>-0.11939440942919832</v>
      </c>
      <c r="S45" s="15">
        <f>O45-Benchmark_RF!D45</f>
        <v>-9.8193397154447346E-2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IF(Rankings!C47&lt;=3,1,0)</f>
        <v>1</v>
      </c>
      <c r="D46" s="16">
        <f>IF(Rankings!D47&lt;=3,1,0)</f>
        <v>1</v>
      </c>
      <c r="E46" s="16">
        <f>IF(Rankings!E47&lt;=3,1,0)</f>
        <v>0</v>
      </c>
      <c r="F46" s="16">
        <f>IF(Rankings!F47&lt;=3,1,0)</f>
        <v>0</v>
      </c>
      <c r="G46" s="16">
        <f>IF(Rankings!G47&lt;=3,1,0)</f>
        <v>0</v>
      </c>
      <c r="H46" s="16">
        <f>IF(Rankings!H47&lt;=3,1,0)</f>
        <v>1</v>
      </c>
      <c r="I46" s="16">
        <f>IF(Rankings!I47&lt;=3,1,0)</f>
        <v>0</v>
      </c>
      <c r="J46" s="16">
        <f>IF(Rankings!J47&lt;=3,1,0)</f>
        <v>0</v>
      </c>
      <c r="K46" s="19">
        <f t="shared" si="4"/>
        <v>3</v>
      </c>
      <c r="L46" s="15">
        <f>SUMPRODUCT(C46:J46,Returns!B50:I50)/K46</f>
        <v>0.10796754171568297</v>
      </c>
      <c r="M46" s="15">
        <v>0</v>
      </c>
      <c r="N46" s="15">
        <v>0</v>
      </c>
      <c r="O46" s="15">
        <f t="shared" si="5"/>
        <v>0.10796754171568297</v>
      </c>
      <c r="P46" s="20">
        <f t="shared" si="7"/>
        <v>2.5590155778831893</v>
      </c>
      <c r="Q46" s="20">
        <f>MAX($P$5:P46)</f>
        <v>2.6227956433036597</v>
      </c>
      <c r="R46" s="15">
        <f t="shared" si="6"/>
        <v>-2.4317588594181649E-2</v>
      </c>
      <c r="S46" s="15">
        <f>O46-Benchmark_RF!D46</f>
        <v>9.9763840403647233E-2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IF(Rankings!C47&lt;=3,1,0)</f>
        <v>1</v>
      </c>
      <c r="D47" s="16">
        <f>IF(Rankings!D47&lt;=3,1,0)</f>
        <v>1</v>
      </c>
      <c r="E47" s="16">
        <f>IF(Rankings!E47&lt;=3,1,0)</f>
        <v>0</v>
      </c>
      <c r="F47" s="16">
        <f>IF(Rankings!F47&lt;=3,1,0)</f>
        <v>0</v>
      </c>
      <c r="G47" s="16">
        <f>IF(Rankings!G47&lt;=3,1,0)</f>
        <v>0</v>
      </c>
      <c r="H47" s="16">
        <f>IF(Rankings!H47&lt;=3,1,0)</f>
        <v>1</v>
      </c>
      <c r="I47" s="16">
        <f>IF(Rankings!I47&lt;=3,1,0)</f>
        <v>0</v>
      </c>
      <c r="J47" s="16">
        <f>IF(Rankings!J47&lt;=3,1,0)</f>
        <v>0</v>
      </c>
      <c r="K47" s="19">
        <f t="shared" si="4"/>
        <v>3</v>
      </c>
      <c r="L47" s="15">
        <f>SUMPRODUCT(C47:J47,Returns!B51:I51)/K47</f>
        <v>2.2236409570390525E-2</v>
      </c>
      <c r="M47" s="15">
        <v>0</v>
      </c>
      <c r="N47" s="15">
        <v>0</v>
      </c>
      <c r="O47" s="15">
        <f t="shared" si="5"/>
        <v>2.2236409570390525E-2</v>
      </c>
      <c r="P47" s="20">
        <f t="shared" si="7"/>
        <v>2.6159188963700091</v>
      </c>
      <c r="Q47" s="20">
        <f>MAX($P$5:P47)</f>
        <v>2.6227956433036597</v>
      </c>
      <c r="R47" s="15">
        <f t="shared" si="6"/>
        <v>-2.621914883535803E-3</v>
      </c>
      <c r="S47" s="15">
        <f>O47-Benchmark_RF!D47</f>
        <v>1.3843391355044088E-2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IF(Rankings!C47&lt;=3,1,0)</f>
        <v>1</v>
      </c>
      <c r="D48" s="16">
        <f>IF(Rankings!D47&lt;=3,1,0)</f>
        <v>1</v>
      </c>
      <c r="E48" s="16">
        <f>IF(Rankings!E47&lt;=3,1,0)</f>
        <v>0</v>
      </c>
      <c r="F48" s="16">
        <f>IF(Rankings!F47&lt;=3,1,0)</f>
        <v>0</v>
      </c>
      <c r="G48" s="16">
        <f>IF(Rankings!G47&lt;=3,1,0)</f>
        <v>0</v>
      </c>
      <c r="H48" s="16">
        <f>IF(Rankings!H47&lt;=3,1,0)</f>
        <v>1</v>
      </c>
      <c r="I48" s="16">
        <f>IF(Rankings!I47&lt;=3,1,0)</f>
        <v>0</v>
      </c>
      <c r="J48" s="16">
        <f>IF(Rankings!J47&lt;=3,1,0)</f>
        <v>0</v>
      </c>
      <c r="K48" s="19">
        <f t="shared" si="4"/>
        <v>3</v>
      </c>
      <c r="L48" s="15">
        <f>SUMPRODUCT(C48:J48,Returns!B52:I52)/K48</f>
        <v>-8.8447166074910877E-3</v>
      </c>
      <c r="M48" s="15">
        <v>0</v>
      </c>
      <c r="N48" s="15">
        <v>0</v>
      </c>
      <c r="O48" s="15">
        <f t="shared" si="5"/>
        <v>-8.8447166074910877E-3</v>
      </c>
      <c r="P48" s="20">
        <f t="shared" si="7"/>
        <v>2.5927818350634353</v>
      </c>
      <c r="Q48" s="20">
        <f>MAX($P$5:P48)</f>
        <v>2.6227956433036597</v>
      </c>
      <c r="R48" s="15">
        <f t="shared" si="6"/>
        <v>-1.1443441396913112E-2</v>
      </c>
      <c r="S48" s="15">
        <f>O48-Benchmark_RF!D48</f>
        <v>-1.7232413724720064E-2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IF(Rankings!C47&lt;=3,1,0)</f>
        <v>1</v>
      </c>
      <c r="D49" s="16">
        <f>IF(Rankings!D47&lt;=3,1,0)</f>
        <v>1</v>
      </c>
      <c r="E49" s="16">
        <f>IF(Rankings!E47&lt;=3,1,0)</f>
        <v>0</v>
      </c>
      <c r="F49" s="16">
        <f>IF(Rankings!F47&lt;=3,1,0)</f>
        <v>0</v>
      </c>
      <c r="G49" s="16">
        <f>IF(Rankings!G47&lt;=3,1,0)</f>
        <v>0</v>
      </c>
      <c r="H49" s="16">
        <f>IF(Rankings!H47&lt;=3,1,0)</f>
        <v>1</v>
      </c>
      <c r="I49" s="16">
        <f>IF(Rankings!I47&lt;=3,1,0)</f>
        <v>0</v>
      </c>
      <c r="J49" s="16">
        <f>IF(Rankings!J47&lt;=3,1,0)</f>
        <v>0</v>
      </c>
      <c r="K49" s="19">
        <f t="shared" si="4"/>
        <v>3</v>
      </c>
      <c r="L49" s="15">
        <f>SUMPRODUCT(C49:J49,Returns!B53:I53)/K49</f>
        <v>-2.7940223475048098E-2</v>
      </c>
      <c r="M49" s="15">
        <v>0</v>
      </c>
      <c r="N49" s="15">
        <v>0</v>
      </c>
      <c r="O49" s="15">
        <f t="shared" si="5"/>
        <v>-2.7940223475048098E-2</v>
      </c>
      <c r="P49" s="20">
        <f t="shared" si="7"/>
        <v>2.5203389311697175</v>
      </c>
      <c r="Q49" s="20">
        <f>MAX($P$5:P49)</f>
        <v>2.6227956433036597</v>
      </c>
      <c r="R49" s="15">
        <f t="shared" si="6"/>
        <v>-3.9063932562007797E-2</v>
      </c>
      <c r="S49" s="15">
        <f>O49-Benchmark_RF!D49</f>
        <v>-3.6637171352155162E-2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IF(Rankings!C47&lt;=3,1,0)</f>
        <v>1</v>
      </c>
      <c r="D50" s="16">
        <f>IF(Rankings!D47&lt;=3,1,0)</f>
        <v>1</v>
      </c>
      <c r="E50" s="16">
        <f>IF(Rankings!E47&lt;=3,1,0)</f>
        <v>0</v>
      </c>
      <c r="F50" s="16">
        <f>IF(Rankings!F47&lt;=3,1,0)</f>
        <v>0</v>
      </c>
      <c r="G50" s="16">
        <f>IF(Rankings!G47&lt;=3,1,0)</f>
        <v>0</v>
      </c>
      <c r="H50" s="16">
        <f>IF(Rankings!H47&lt;=3,1,0)</f>
        <v>1</v>
      </c>
      <c r="I50" s="16">
        <f>IF(Rankings!I47&lt;=3,1,0)</f>
        <v>0</v>
      </c>
      <c r="J50" s="16">
        <f>IF(Rankings!J47&lt;=3,1,0)</f>
        <v>0</v>
      </c>
      <c r="K50" s="19">
        <f t="shared" si="4"/>
        <v>3</v>
      </c>
      <c r="L50" s="15">
        <f>SUMPRODUCT(C50:J50,Returns!B54:I54)/K50</f>
        <v>-1.626011383907559E-2</v>
      </c>
      <c r="M50" s="15">
        <v>0</v>
      </c>
      <c r="N50" s="15">
        <v>0</v>
      </c>
      <c r="O50" s="15">
        <f t="shared" si="5"/>
        <v>-1.626011383907559E-2</v>
      </c>
      <c r="P50" s="20">
        <f t="shared" si="7"/>
        <v>2.479357933235844</v>
      </c>
      <c r="Q50" s="20">
        <f>MAX($P$5:P50)</f>
        <v>2.6227956433036597</v>
      </c>
      <c r="R50" s="15">
        <f t="shared" si="6"/>
        <v>-5.4688862410623207E-2</v>
      </c>
      <c r="S50" s="15">
        <f>O50-Benchmark_RF!D50</f>
        <v>-2.6179556511743678E-2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IF(Rankings!C47&lt;=3,1,0)</f>
        <v>1</v>
      </c>
      <c r="D51" s="16">
        <f>IF(Rankings!D47&lt;=3,1,0)</f>
        <v>1</v>
      </c>
      <c r="E51" s="16">
        <f>IF(Rankings!E47&lt;=3,1,0)</f>
        <v>0</v>
      </c>
      <c r="F51" s="16">
        <f>IF(Rankings!F47&lt;=3,1,0)</f>
        <v>0</v>
      </c>
      <c r="G51" s="16">
        <f>IF(Rankings!G47&lt;=3,1,0)</f>
        <v>0</v>
      </c>
      <c r="H51" s="16">
        <f>IF(Rankings!H47&lt;=3,1,0)</f>
        <v>1</v>
      </c>
      <c r="I51" s="16">
        <f>IF(Rankings!I47&lt;=3,1,0)</f>
        <v>0</v>
      </c>
      <c r="J51" s="16">
        <f>IF(Rankings!J47&lt;=3,1,0)</f>
        <v>0</v>
      </c>
      <c r="K51" s="19">
        <f t="shared" si="4"/>
        <v>3</v>
      </c>
      <c r="L51" s="15">
        <f>SUMPRODUCT(C51:J51,Returns!B55:I55)/K51</f>
        <v>-5.8886858015079278E-2</v>
      </c>
      <c r="M51" s="15">
        <v>0</v>
      </c>
      <c r="N51" s="15">
        <v>0</v>
      </c>
      <c r="O51" s="15">
        <f t="shared" si="5"/>
        <v>-5.8886858015079278E-2</v>
      </c>
      <c r="P51" s="20">
        <f t="shared" si="7"/>
        <v>2.3333563346528243</v>
      </c>
      <c r="Q51" s="20">
        <f>MAX($P$5:P51)</f>
        <v>2.6227956433036597</v>
      </c>
      <c r="R51" s="15">
        <f t="shared" si="6"/>
        <v>-0.11035526514992189</v>
      </c>
      <c r="S51" s="15">
        <f>O51-Benchmark_RF!D51</f>
        <v>-6.8928376041965972E-2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IF(Rankings!C47&lt;=3,1,0)</f>
        <v>1</v>
      </c>
      <c r="D52" s="16">
        <f>IF(Rankings!D47&lt;=3,1,0)</f>
        <v>1</v>
      </c>
      <c r="E52" s="16">
        <f>IF(Rankings!E47&lt;=3,1,0)</f>
        <v>0</v>
      </c>
      <c r="F52" s="16">
        <f>IF(Rankings!F47&lt;=3,1,0)</f>
        <v>0</v>
      </c>
      <c r="G52" s="16">
        <f>IF(Rankings!G47&lt;=3,1,0)</f>
        <v>0</v>
      </c>
      <c r="H52" s="16">
        <f>IF(Rankings!H47&lt;=3,1,0)</f>
        <v>1</v>
      </c>
      <c r="I52" s="16">
        <f>IF(Rankings!I47&lt;=3,1,0)</f>
        <v>0</v>
      </c>
      <c r="J52" s="16">
        <f>IF(Rankings!J47&lt;=3,1,0)</f>
        <v>0</v>
      </c>
      <c r="K52" s="19">
        <f t="shared" si="4"/>
        <v>3</v>
      </c>
      <c r="L52" s="15">
        <f>SUMPRODUCT(C52:J52,Returns!B56:I56)/K52</f>
        <v>1.0515265093797854E-3</v>
      </c>
      <c r="M52" s="15">
        <v>0</v>
      </c>
      <c r="N52" s="15">
        <v>0</v>
      </c>
      <c r="O52" s="15">
        <f t="shared" si="5"/>
        <v>1.0515265093797854E-3</v>
      </c>
      <c r="P52" s="20">
        <f t="shared" si="7"/>
        <v>2.3358099206945409</v>
      </c>
      <c r="Q52" s="20">
        <f>MAX($P$5:P52)</f>
        <v>2.6227956433036597</v>
      </c>
      <c r="R52" s="15">
        <f t="shared" si="6"/>
        <v>-0.10941978012729692</v>
      </c>
      <c r="S52" s="15">
        <f>O52-Benchmark_RF!D52</f>
        <v>-9.7392003316347786E-3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IF(Rankings!C59&lt;=3,1,0)</f>
        <v>1</v>
      </c>
      <c r="D53" s="16">
        <f>IF(Rankings!D59&lt;=3,1,0)</f>
        <v>1</v>
      </c>
      <c r="E53" s="16">
        <f>IF(Rankings!E59&lt;=3,1,0)</f>
        <v>0</v>
      </c>
      <c r="F53" s="16">
        <f>IF(Rankings!F59&lt;=3,1,0)</f>
        <v>0</v>
      </c>
      <c r="G53" s="16">
        <f>IF(Rankings!G59&lt;=3,1,0)</f>
        <v>1</v>
      </c>
      <c r="H53" s="16">
        <f>IF(Rankings!H59&lt;=3,1,0)</f>
        <v>0</v>
      </c>
      <c r="I53" s="16">
        <f>IF(Rankings!I59&lt;=3,1,0)</f>
        <v>0</v>
      </c>
      <c r="J53" s="16">
        <f>IF(Rankings!J59&lt;=3,1,0)</f>
        <v>0</v>
      </c>
      <c r="K53" s="19">
        <f t="shared" si="4"/>
        <v>3</v>
      </c>
      <c r="L53" s="15">
        <f>SUMPRODUCT(C53:J53,Returns!B57:I57)/K53</f>
        <v>-0.11065169780888111</v>
      </c>
      <c r="M53" s="15">
        <f>-2*Assumptions!$B$13</f>
        <v>-7.0000000000000001E-3</v>
      </c>
      <c r="N53" s="15">
        <f>-Assumptions!$B$16*MAX(0,(1+O41)*(1+O42)*(1+O43)*(1+O44)*(1+O45)*(1+O46)*(1+O47)*(1+O48)*(1+O49)*(1+O50)*(1+O51)*(1+O52)-1)</f>
        <v>0</v>
      </c>
      <c r="O53" s="15">
        <f t="shared" si="5"/>
        <v>-0.11765169780888111</v>
      </c>
      <c r="P53" s="20">
        <f t="shared" si="7"/>
        <v>2.0609979177660001</v>
      </c>
      <c r="Q53" s="20">
        <f>MAX($P$5:P53)</f>
        <v>2.6227956433036597</v>
      </c>
      <c r="R53" s="15">
        <f t="shared" si="6"/>
        <v>-0.21419805503032718</v>
      </c>
      <c r="S53" s="15">
        <f>O53-Benchmark_RF!D53</f>
        <v>-0.12844486837966979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IF(Rankings!C59&lt;=3,1,0)</f>
        <v>1</v>
      </c>
      <c r="D54" s="16">
        <f>IF(Rankings!D59&lt;=3,1,0)</f>
        <v>1</v>
      </c>
      <c r="E54" s="16">
        <f>IF(Rankings!E59&lt;=3,1,0)</f>
        <v>0</v>
      </c>
      <c r="F54" s="16">
        <f>IF(Rankings!F59&lt;=3,1,0)</f>
        <v>0</v>
      </c>
      <c r="G54" s="16">
        <f>IF(Rankings!G59&lt;=3,1,0)</f>
        <v>1</v>
      </c>
      <c r="H54" s="16">
        <f>IF(Rankings!H59&lt;=3,1,0)</f>
        <v>0</v>
      </c>
      <c r="I54" s="16">
        <f>IF(Rankings!I59&lt;=3,1,0)</f>
        <v>0</v>
      </c>
      <c r="J54" s="16">
        <f>IF(Rankings!J59&lt;=3,1,0)</f>
        <v>0</v>
      </c>
      <c r="K54" s="19">
        <f t="shared" si="4"/>
        <v>3</v>
      </c>
      <c r="L54" s="15">
        <f>SUMPRODUCT(C54:J54,Returns!B58:I58)/K54</f>
        <v>4.0532213637047211E-2</v>
      </c>
      <c r="M54" s="15">
        <v>0</v>
      </c>
      <c r="N54" s="15">
        <v>0</v>
      </c>
      <c r="O54" s="15">
        <f t="shared" si="5"/>
        <v>4.0532213637047211E-2</v>
      </c>
      <c r="P54" s="20">
        <f t="shared" si="7"/>
        <v>2.1445347256744012</v>
      </c>
      <c r="Q54" s="20">
        <f>MAX($P$5:P54)</f>
        <v>2.6227956433036597</v>
      </c>
      <c r="R54" s="15">
        <f t="shared" si="6"/>
        <v>-0.18234776272040909</v>
      </c>
      <c r="S54" s="15">
        <f>O54-Benchmark_RF!D54</f>
        <v>2.976207594828665E-2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IF(Rankings!C59&lt;=3,1,0)</f>
        <v>1</v>
      </c>
      <c r="D55" s="16">
        <f>IF(Rankings!D59&lt;=3,1,0)</f>
        <v>1</v>
      </c>
      <c r="E55" s="16">
        <f>IF(Rankings!E59&lt;=3,1,0)</f>
        <v>0</v>
      </c>
      <c r="F55" s="16">
        <f>IF(Rankings!F59&lt;=3,1,0)</f>
        <v>0</v>
      </c>
      <c r="G55" s="16">
        <f>IF(Rankings!G59&lt;=3,1,0)</f>
        <v>1</v>
      </c>
      <c r="H55" s="16">
        <f>IF(Rankings!H59&lt;=3,1,0)</f>
        <v>0</v>
      </c>
      <c r="I55" s="16">
        <f>IF(Rankings!I59&lt;=3,1,0)</f>
        <v>0</v>
      </c>
      <c r="J55" s="16">
        <f>IF(Rankings!J59&lt;=3,1,0)</f>
        <v>0</v>
      </c>
      <c r="K55" s="19">
        <f t="shared" si="4"/>
        <v>3</v>
      </c>
      <c r="L55" s="15">
        <f>SUMPRODUCT(C55:J55,Returns!B59:I59)/K55</f>
        <v>4.6468363584002859E-2</v>
      </c>
      <c r="M55" s="15">
        <v>0</v>
      </c>
      <c r="N55" s="15">
        <v>0</v>
      </c>
      <c r="O55" s="15">
        <f t="shared" si="5"/>
        <v>4.6468363584002859E-2</v>
      </c>
      <c r="P55" s="20">
        <f t="shared" si="7"/>
        <v>2.2441877450255592</v>
      </c>
      <c r="Q55" s="20">
        <f>MAX($P$5:P55)</f>
        <v>2.6227956433036597</v>
      </c>
      <c r="R55" s="15">
        <f t="shared" si="6"/>
        <v>-0.14435280127322769</v>
      </c>
      <c r="S55" s="15">
        <f>O55-Benchmark_RF!D55</f>
        <v>3.6045157315222731E-2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IF(Rankings!C59&lt;=3,1,0)</f>
        <v>1</v>
      </c>
      <c r="D56" s="16">
        <f>IF(Rankings!D59&lt;=3,1,0)</f>
        <v>1</v>
      </c>
      <c r="E56" s="16">
        <f>IF(Rankings!E59&lt;=3,1,0)</f>
        <v>0</v>
      </c>
      <c r="F56" s="16">
        <f>IF(Rankings!F59&lt;=3,1,0)</f>
        <v>0</v>
      </c>
      <c r="G56" s="16">
        <f>IF(Rankings!G59&lt;=3,1,0)</f>
        <v>1</v>
      </c>
      <c r="H56" s="16">
        <f>IF(Rankings!H59&lt;=3,1,0)</f>
        <v>0</v>
      </c>
      <c r="I56" s="16">
        <f>IF(Rankings!I59&lt;=3,1,0)</f>
        <v>0</v>
      </c>
      <c r="J56" s="16">
        <f>IF(Rankings!J59&lt;=3,1,0)</f>
        <v>0</v>
      </c>
      <c r="K56" s="19">
        <f t="shared" si="4"/>
        <v>3</v>
      </c>
      <c r="L56" s="15">
        <f>SUMPRODUCT(C56:J56,Returns!B60:I60)/K56</f>
        <v>0.11377068265754546</v>
      </c>
      <c r="M56" s="15">
        <v>0</v>
      </c>
      <c r="N56" s="15">
        <v>0</v>
      </c>
      <c r="O56" s="15">
        <f t="shared" si="5"/>
        <v>0.11377068265754546</v>
      </c>
      <c r="P56" s="20">
        <f t="shared" si="7"/>
        <v>2.4995105167888148</v>
      </c>
      <c r="Q56" s="20">
        <f>MAX($P$5:P56)</f>
        <v>2.6227956433036597</v>
      </c>
      <c r="R56" s="15">
        <f t="shared" si="6"/>
        <v>-4.7005235360066289E-2</v>
      </c>
      <c r="S56" s="15">
        <f>O56-Benchmark_RF!D56</f>
        <v>0.10319117654858904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IF(Rankings!C59&lt;=3,1,0)</f>
        <v>1</v>
      </c>
      <c r="D57" s="16">
        <f>IF(Rankings!D59&lt;=3,1,0)</f>
        <v>1</v>
      </c>
      <c r="E57" s="16">
        <f>IF(Rankings!E59&lt;=3,1,0)</f>
        <v>0</v>
      </c>
      <c r="F57" s="16">
        <f>IF(Rankings!F59&lt;=3,1,0)</f>
        <v>0</v>
      </c>
      <c r="G57" s="16">
        <f>IF(Rankings!G59&lt;=3,1,0)</f>
        <v>1</v>
      </c>
      <c r="H57" s="16">
        <f>IF(Rankings!H59&lt;=3,1,0)</f>
        <v>0</v>
      </c>
      <c r="I57" s="16">
        <f>IF(Rankings!I59&lt;=3,1,0)</f>
        <v>0</v>
      </c>
      <c r="J57" s="16">
        <f>IF(Rankings!J59&lt;=3,1,0)</f>
        <v>0</v>
      </c>
      <c r="K57" s="19">
        <f t="shared" si="4"/>
        <v>3</v>
      </c>
      <c r="L57" s="15">
        <f>SUMPRODUCT(C57:J57,Returns!B61:I61)/K57</f>
        <v>6.1767541966556504E-2</v>
      </c>
      <c r="M57" s="15">
        <v>0</v>
      </c>
      <c r="N57" s="15">
        <v>0</v>
      </c>
      <c r="O57" s="15">
        <f t="shared" si="5"/>
        <v>6.1767541966556504E-2</v>
      </c>
      <c r="P57" s="20">
        <f t="shared" si="7"/>
        <v>2.6538991375304168</v>
      </c>
      <c r="Q57" s="20">
        <f>MAX($P$5:P57)</f>
        <v>2.6538991375304168</v>
      </c>
      <c r="R57" s="15">
        <f t="shared" si="6"/>
        <v>0</v>
      </c>
      <c r="S57" s="15">
        <f>O57-Benchmark_RF!D57</f>
        <v>5.1198873176925362E-2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IF(Rankings!C59&lt;=3,1,0)</f>
        <v>1</v>
      </c>
      <c r="D58" s="16">
        <f>IF(Rankings!D59&lt;=3,1,0)</f>
        <v>1</v>
      </c>
      <c r="E58" s="16">
        <f>IF(Rankings!E59&lt;=3,1,0)</f>
        <v>0</v>
      </c>
      <c r="F58" s="16">
        <f>IF(Rankings!F59&lt;=3,1,0)</f>
        <v>0</v>
      </c>
      <c r="G58" s="16">
        <f>IF(Rankings!G59&lt;=3,1,0)</f>
        <v>1</v>
      </c>
      <c r="H58" s="16">
        <f>IF(Rankings!H59&lt;=3,1,0)</f>
        <v>0</v>
      </c>
      <c r="I58" s="16">
        <f>IF(Rankings!I59&lt;=3,1,0)</f>
        <v>0</v>
      </c>
      <c r="J58" s="16">
        <f>IF(Rankings!J59&lt;=3,1,0)</f>
        <v>0</v>
      </c>
      <c r="K58" s="19">
        <f t="shared" si="4"/>
        <v>3</v>
      </c>
      <c r="L58" s="15">
        <f>SUMPRODUCT(C58:J58,Returns!B62:I62)/K58</f>
        <v>5.7026148253877897E-2</v>
      </c>
      <c r="M58" s="15">
        <v>0</v>
      </c>
      <c r="N58" s="15">
        <v>0</v>
      </c>
      <c r="O58" s="15">
        <f t="shared" si="5"/>
        <v>5.7026148253877897E-2</v>
      </c>
      <c r="P58" s="20">
        <f t="shared" si="7"/>
        <v>2.805240783198065</v>
      </c>
      <c r="Q58" s="20">
        <f>MAX($P$5:P58)</f>
        <v>2.805240783198065</v>
      </c>
      <c r="R58" s="15">
        <f t="shared" si="6"/>
        <v>0</v>
      </c>
      <c r="S58" s="15">
        <f>O58-Benchmark_RF!D58</f>
        <v>4.6500321658320666E-2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IF(Rankings!C59&lt;=3,1,0)</f>
        <v>1</v>
      </c>
      <c r="D59" s="16">
        <f>IF(Rankings!D59&lt;=3,1,0)</f>
        <v>1</v>
      </c>
      <c r="E59" s="16">
        <f>IF(Rankings!E59&lt;=3,1,0)</f>
        <v>0</v>
      </c>
      <c r="F59" s="16">
        <f>IF(Rankings!F59&lt;=3,1,0)</f>
        <v>0</v>
      </c>
      <c r="G59" s="16">
        <f>IF(Rankings!G59&lt;=3,1,0)</f>
        <v>1</v>
      </c>
      <c r="H59" s="16">
        <f>IF(Rankings!H59&lt;=3,1,0)</f>
        <v>0</v>
      </c>
      <c r="I59" s="16">
        <f>IF(Rankings!I59&lt;=3,1,0)</f>
        <v>0</v>
      </c>
      <c r="J59" s="16">
        <f>IF(Rankings!J59&lt;=3,1,0)</f>
        <v>0</v>
      </c>
      <c r="K59" s="19">
        <f t="shared" si="4"/>
        <v>3</v>
      </c>
      <c r="L59" s="15">
        <f>SUMPRODUCT(C59:J59,Returns!B63:I63)/K59</f>
        <v>-5.006153658354099E-2</v>
      </c>
      <c r="M59" s="15">
        <v>0</v>
      </c>
      <c r="N59" s="15">
        <v>0</v>
      </c>
      <c r="O59" s="15">
        <f t="shared" si="5"/>
        <v>-5.006153658354099E-2</v>
      </c>
      <c r="P59" s="20">
        <f t="shared" si="7"/>
        <v>2.6648061191043539</v>
      </c>
      <c r="Q59" s="20">
        <f>MAX($P$5:P59)</f>
        <v>2.805240783198065</v>
      </c>
      <c r="R59" s="15">
        <f t="shared" si="6"/>
        <v>-5.0061536583540955E-2</v>
      </c>
      <c r="S59" s="15">
        <f>O59-Benchmark_RF!D59</f>
        <v>-6.0581867240500444E-2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IF(Rankings!C59&lt;=3,1,0)</f>
        <v>1</v>
      </c>
      <c r="D60" s="16">
        <f>IF(Rankings!D59&lt;=3,1,0)</f>
        <v>1</v>
      </c>
      <c r="E60" s="16">
        <f>IF(Rankings!E59&lt;=3,1,0)</f>
        <v>0</v>
      </c>
      <c r="F60" s="16">
        <f>IF(Rankings!F59&lt;=3,1,0)</f>
        <v>0</v>
      </c>
      <c r="G60" s="16">
        <f>IF(Rankings!G59&lt;=3,1,0)</f>
        <v>1</v>
      </c>
      <c r="H60" s="16">
        <f>IF(Rankings!H59&lt;=3,1,0)</f>
        <v>0</v>
      </c>
      <c r="I60" s="16">
        <f>IF(Rankings!I59&lt;=3,1,0)</f>
        <v>0</v>
      </c>
      <c r="J60" s="16">
        <f>IF(Rankings!J59&lt;=3,1,0)</f>
        <v>0</v>
      </c>
      <c r="K60" s="19">
        <f t="shared" si="4"/>
        <v>3</v>
      </c>
      <c r="L60" s="15">
        <f>SUMPRODUCT(C60:J60,Returns!B64:I64)/K60</f>
        <v>-0.31315805432177241</v>
      </c>
      <c r="M60" s="15">
        <v>0</v>
      </c>
      <c r="N60" s="15">
        <v>0</v>
      </c>
      <c r="O60" s="15">
        <f t="shared" si="5"/>
        <v>-0.31315805432177241</v>
      </c>
      <c r="P60" s="20">
        <f t="shared" si="7"/>
        <v>1.8303006197008811</v>
      </c>
      <c r="Q60" s="20">
        <f>MAX($P$5:P60)</f>
        <v>2.805240783198065</v>
      </c>
      <c r="R60" s="15">
        <f t="shared" si="6"/>
        <v>-0.34754241751245352</v>
      </c>
      <c r="S60" s="15">
        <f>O60-Benchmark_RF!D60</f>
        <v>-0.32205713935256547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IF(Rankings!C59&lt;=3,1,0)</f>
        <v>1</v>
      </c>
      <c r="D61" s="16">
        <f>IF(Rankings!D59&lt;=3,1,0)</f>
        <v>1</v>
      </c>
      <c r="E61" s="16">
        <f>IF(Rankings!E59&lt;=3,1,0)</f>
        <v>0</v>
      </c>
      <c r="F61" s="16">
        <f>IF(Rankings!F59&lt;=3,1,0)</f>
        <v>0</v>
      </c>
      <c r="G61" s="16">
        <f>IF(Rankings!G59&lt;=3,1,0)</f>
        <v>1</v>
      </c>
      <c r="H61" s="16">
        <f>IF(Rankings!H59&lt;=3,1,0)</f>
        <v>0</v>
      </c>
      <c r="I61" s="16">
        <f>IF(Rankings!I59&lt;=3,1,0)</f>
        <v>0</v>
      </c>
      <c r="J61" s="16">
        <f>IF(Rankings!J59&lt;=3,1,0)</f>
        <v>0</v>
      </c>
      <c r="K61" s="19">
        <f t="shared" si="4"/>
        <v>3</v>
      </c>
      <c r="L61" s="15">
        <f>SUMPRODUCT(C61:J61,Returns!B65:I65)/K61</f>
        <v>0.21522175214414752</v>
      </c>
      <c r="M61" s="15">
        <v>0</v>
      </c>
      <c r="N61" s="15">
        <v>0</v>
      </c>
      <c r="O61" s="15">
        <f t="shared" si="5"/>
        <v>0.21522175214414752</v>
      </c>
      <c r="P61" s="20">
        <f t="shared" si="7"/>
        <v>2.2242211260234237</v>
      </c>
      <c r="Q61" s="20">
        <f>MAX($P$5:P61)</f>
        <v>2.805240783198065</v>
      </c>
      <c r="R61" s="15">
        <f t="shared" si="6"/>
        <v>-0.20711935340974907</v>
      </c>
      <c r="S61" s="15">
        <f>O61-Benchmark_RF!D61</f>
        <v>0.20862168690378757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IF(Rankings!C59&lt;=3,1,0)</f>
        <v>1</v>
      </c>
      <c r="D62" s="16">
        <f>IF(Rankings!D59&lt;=3,1,0)</f>
        <v>1</v>
      </c>
      <c r="E62" s="16">
        <f>IF(Rankings!E59&lt;=3,1,0)</f>
        <v>0</v>
      </c>
      <c r="F62" s="16">
        <f>IF(Rankings!F59&lt;=3,1,0)</f>
        <v>0</v>
      </c>
      <c r="G62" s="16">
        <f>IF(Rankings!G59&lt;=3,1,0)</f>
        <v>1</v>
      </c>
      <c r="H62" s="16">
        <f>IF(Rankings!H59&lt;=3,1,0)</f>
        <v>0</v>
      </c>
      <c r="I62" s="16">
        <f>IF(Rankings!I59&lt;=3,1,0)</f>
        <v>0</v>
      </c>
      <c r="J62" s="16">
        <f>IF(Rankings!J59&lt;=3,1,0)</f>
        <v>0</v>
      </c>
      <c r="K62" s="19">
        <f t="shared" si="4"/>
        <v>3</v>
      </c>
      <c r="L62" s="15">
        <f>SUMPRODUCT(C62:J62,Returns!B66:I66)/K62</f>
        <v>4.1919985537223203E-3</v>
      </c>
      <c r="M62" s="15">
        <v>0</v>
      </c>
      <c r="N62" s="15">
        <v>0</v>
      </c>
      <c r="O62" s="15">
        <f t="shared" si="5"/>
        <v>4.1919985537223203E-3</v>
      </c>
      <c r="P62" s="20">
        <f t="shared" si="7"/>
        <v>2.233545057766873</v>
      </c>
      <c r="Q62" s="20">
        <f>MAX($P$5:P62)</f>
        <v>2.805240783198065</v>
      </c>
      <c r="R62" s="15">
        <f t="shared" si="6"/>
        <v>-0.20379559888596821</v>
      </c>
      <c r="S62" s="15">
        <f>O62-Benchmark_RF!D62</f>
        <v>-2.3357155129802853E-3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IF(Rankings!C59&lt;=3,1,0)</f>
        <v>1</v>
      </c>
      <c r="D63" s="16">
        <f>IF(Rankings!D59&lt;=3,1,0)</f>
        <v>1</v>
      </c>
      <c r="E63" s="16">
        <f>IF(Rankings!E59&lt;=3,1,0)</f>
        <v>0</v>
      </c>
      <c r="F63" s="16">
        <f>IF(Rankings!F59&lt;=3,1,0)</f>
        <v>0</v>
      </c>
      <c r="G63" s="16">
        <f>IF(Rankings!G59&lt;=3,1,0)</f>
        <v>1</v>
      </c>
      <c r="H63" s="16">
        <f>IF(Rankings!H59&lt;=3,1,0)</f>
        <v>0</v>
      </c>
      <c r="I63" s="16">
        <f>IF(Rankings!I59&lt;=3,1,0)</f>
        <v>0</v>
      </c>
      <c r="J63" s="16">
        <f>IF(Rankings!J59&lt;=3,1,0)</f>
        <v>0</v>
      </c>
      <c r="K63" s="19">
        <f t="shared" si="4"/>
        <v>3</v>
      </c>
      <c r="L63" s="15">
        <f>SUMPRODUCT(C63:J63,Returns!B67:I67)/K63</f>
        <v>3.0838369315711489E-2</v>
      </c>
      <c r="M63" s="15">
        <v>0</v>
      </c>
      <c r="N63" s="15">
        <v>0</v>
      </c>
      <c r="O63" s="15">
        <f t="shared" si="5"/>
        <v>3.0838369315711489E-2</v>
      </c>
      <c r="P63" s="20">
        <f t="shared" si="7"/>
        <v>2.30242394514157</v>
      </c>
      <c r="Q63" s="20">
        <f>MAX($P$5:P63)</f>
        <v>2.805240783198065</v>
      </c>
      <c r="R63" s="15">
        <f t="shared" si="6"/>
        <v>-0.17924195351361871</v>
      </c>
      <c r="S63" s="15">
        <f>O63-Benchmark_RF!D63</f>
        <v>2.5302723520365111E-2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IF(Rankings!C59&lt;=3,1,0)</f>
        <v>1</v>
      </c>
      <c r="D64" s="16">
        <f>IF(Rankings!D59&lt;=3,1,0)</f>
        <v>1</v>
      </c>
      <c r="E64" s="16">
        <f>IF(Rankings!E59&lt;=3,1,0)</f>
        <v>0</v>
      </c>
      <c r="F64" s="16">
        <f>IF(Rankings!F59&lt;=3,1,0)</f>
        <v>0</v>
      </c>
      <c r="G64" s="16">
        <f>IF(Rankings!G59&lt;=3,1,0)</f>
        <v>1</v>
      </c>
      <c r="H64" s="16">
        <f>IF(Rankings!H59&lt;=3,1,0)</f>
        <v>0</v>
      </c>
      <c r="I64" s="16">
        <f>IF(Rankings!I59&lt;=3,1,0)</f>
        <v>0</v>
      </c>
      <c r="J64" s="16">
        <f>IF(Rankings!J59&lt;=3,1,0)</f>
        <v>0</v>
      </c>
      <c r="K64" s="19">
        <f t="shared" si="4"/>
        <v>3</v>
      </c>
      <c r="L64" s="15">
        <f>SUMPRODUCT(C64:J64,Returns!B68:I68)/K64</f>
        <v>0.17161623327344544</v>
      </c>
      <c r="M64" s="15">
        <v>0</v>
      </c>
      <c r="N64" s="15">
        <v>0</v>
      </c>
      <c r="O64" s="15">
        <f t="shared" si="5"/>
        <v>0.17161623327344544</v>
      </c>
      <c r="P64" s="20">
        <f t="shared" si="7"/>
        <v>2.6975572700053521</v>
      </c>
      <c r="Q64" s="20">
        <f>MAX($P$5:P64)</f>
        <v>2.805240783198065</v>
      </c>
      <c r="R64" s="15">
        <f t="shared" si="6"/>
        <v>-3.8386549146754656E-2</v>
      </c>
      <c r="S64" s="15">
        <f>O64-Benchmark_RF!D64</f>
        <v>0.16606129731680253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IF(Rankings!C71&lt;=3,1,0)</f>
        <v>0</v>
      </c>
      <c r="D65" s="16">
        <f>IF(Rankings!D71&lt;=3,1,0)</f>
        <v>0</v>
      </c>
      <c r="E65" s="16">
        <f>IF(Rankings!E71&lt;=3,1,0)</f>
        <v>0</v>
      </c>
      <c r="F65" s="16">
        <f>IF(Rankings!F71&lt;=3,1,0)</f>
        <v>1</v>
      </c>
      <c r="G65" s="16">
        <f>IF(Rankings!G71&lt;=3,1,0)</f>
        <v>1</v>
      </c>
      <c r="H65" s="16">
        <f>IF(Rankings!H71&lt;=3,1,0)</f>
        <v>0</v>
      </c>
      <c r="I65" s="16">
        <f>IF(Rankings!I71&lt;=3,1,0)</f>
        <v>1</v>
      </c>
      <c r="J65" s="16">
        <f>IF(Rankings!J71&lt;=3,1,0)</f>
        <v>0</v>
      </c>
      <c r="K65" s="19">
        <f t="shared" si="4"/>
        <v>3</v>
      </c>
      <c r="L65" s="15">
        <f>SUMPRODUCT(C65:J65,Returns!B69:I69)/K65</f>
        <v>7.702795514734366E-2</v>
      </c>
      <c r="M65" s="15">
        <f>-2*Assumptions!$B$13</f>
        <v>-7.0000000000000001E-3</v>
      </c>
      <c r="N65" s="15">
        <f>-Assumptions!$B$16*MAX(0,(1+O53)*(1+O54)*(1+O55)*(1+O56)*(1+O57)*(1+O58)*(1+O59)*(1+O60)*(1+O61)*(1+O62)*(1+O63)*(1+O64)-1)</f>
        <v>-2.3230529982716686E-2</v>
      </c>
      <c r="O65" s="15">
        <f t="shared" si="5"/>
        <v>4.6797425164626968E-2</v>
      </c>
      <c r="P65" s="20">
        <f t="shared" si="7"/>
        <v>2.8237960044757231</v>
      </c>
      <c r="Q65" s="20">
        <f>MAX($P$5:P65)</f>
        <v>2.8237960044757231</v>
      </c>
      <c r="R65" s="15">
        <f t="shared" si="6"/>
        <v>0</v>
      </c>
      <c r="S65" s="15">
        <f>O65-Benchmark_RF!D65</f>
        <v>4.1071564983307038E-2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IF(Rankings!C71&lt;=3,1,0)</f>
        <v>0</v>
      </c>
      <c r="D66" s="16">
        <f>IF(Rankings!D71&lt;=3,1,0)</f>
        <v>0</v>
      </c>
      <c r="E66" s="16">
        <f>IF(Rankings!E71&lt;=3,1,0)</f>
        <v>0</v>
      </c>
      <c r="F66" s="16">
        <f>IF(Rankings!F71&lt;=3,1,0)</f>
        <v>1</v>
      </c>
      <c r="G66" s="16">
        <f>IF(Rankings!G71&lt;=3,1,0)</f>
        <v>1</v>
      </c>
      <c r="H66" s="16">
        <f>IF(Rankings!H71&lt;=3,1,0)</f>
        <v>0</v>
      </c>
      <c r="I66" s="16">
        <f>IF(Rankings!I71&lt;=3,1,0)</f>
        <v>1</v>
      </c>
      <c r="J66" s="16">
        <f>IF(Rankings!J71&lt;=3,1,0)</f>
        <v>0</v>
      </c>
      <c r="K66" s="19">
        <f t="shared" si="4"/>
        <v>3</v>
      </c>
      <c r="L66" s="15">
        <f>SUMPRODUCT(C66:J66,Returns!B70:I70)/K66</f>
        <v>9.8499876759005813E-3</v>
      </c>
      <c r="M66" s="15">
        <v>0</v>
      </c>
      <c r="N66" s="15">
        <v>0</v>
      </c>
      <c r="O66" s="15">
        <f t="shared" si="5"/>
        <v>9.8499876759005813E-3</v>
      </c>
      <c r="P66" s="20">
        <f t="shared" si="7"/>
        <v>2.8516103603190666</v>
      </c>
      <c r="Q66" s="20">
        <f>MAX($P$5:P66)</f>
        <v>2.8516103603190666</v>
      </c>
      <c r="R66" s="15">
        <f t="shared" si="6"/>
        <v>0</v>
      </c>
      <c r="S66" s="15">
        <f>O66-Benchmark_RF!D66</f>
        <v>4.1188841872549977E-3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IF(Rankings!C71&lt;=3,1,0)</f>
        <v>0</v>
      </c>
      <c r="D67" s="16">
        <f>IF(Rankings!D71&lt;=3,1,0)</f>
        <v>0</v>
      </c>
      <c r="E67" s="16">
        <f>IF(Rankings!E71&lt;=3,1,0)</f>
        <v>0</v>
      </c>
      <c r="F67" s="16">
        <f>IF(Rankings!F71&lt;=3,1,0)</f>
        <v>1</v>
      </c>
      <c r="G67" s="16">
        <f>IF(Rankings!G71&lt;=3,1,0)</f>
        <v>1</v>
      </c>
      <c r="H67" s="16">
        <f>IF(Rankings!H71&lt;=3,1,0)</f>
        <v>0</v>
      </c>
      <c r="I67" s="16">
        <f>IF(Rankings!I71&lt;=3,1,0)</f>
        <v>1</v>
      </c>
      <c r="J67" s="16">
        <f>IF(Rankings!J71&lt;=3,1,0)</f>
        <v>0</v>
      </c>
      <c r="K67" s="19">
        <f t="shared" si="4"/>
        <v>3</v>
      </c>
      <c r="L67" s="15">
        <f>SUMPRODUCT(C67:J67,Returns!B71:I71)/K67</f>
        <v>6.6189405944029334E-2</v>
      </c>
      <c r="M67" s="15">
        <v>0</v>
      </c>
      <c r="N67" s="15">
        <v>0</v>
      </c>
      <c r="O67" s="15">
        <f t="shared" si="5"/>
        <v>6.6189405944029334E-2</v>
      </c>
      <c r="P67" s="20">
        <f t="shared" si="7"/>
        <v>3.0403567560524252</v>
      </c>
      <c r="Q67" s="20">
        <f>MAX($P$5:P67)</f>
        <v>3.0403567560524252</v>
      </c>
      <c r="R67" s="15">
        <f t="shared" si="6"/>
        <v>0</v>
      </c>
      <c r="S67" s="15">
        <f>O67-Benchmark_RF!D67</f>
        <v>6.0411595510925453E-2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IF(Rankings!C71&lt;=3,1,0)</f>
        <v>0</v>
      </c>
      <c r="D68" s="16">
        <f>IF(Rankings!D71&lt;=3,1,0)</f>
        <v>0</v>
      </c>
      <c r="E68" s="16">
        <f>IF(Rankings!E71&lt;=3,1,0)</f>
        <v>0</v>
      </c>
      <c r="F68" s="16">
        <f>IF(Rankings!F71&lt;=3,1,0)</f>
        <v>1</v>
      </c>
      <c r="G68" s="16">
        <f>IF(Rankings!G71&lt;=3,1,0)</f>
        <v>1</v>
      </c>
      <c r="H68" s="16">
        <f>IF(Rankings!H71&lt;=3,1,0)</f>
        <v>0</v>
      </c>
      <c r="I68" s="16">
        <f>IF(Rankings!I71&lt;=3,1,0)</f>
        <v>1</v>
      </c>
      <c r="J68" s="16">
        <f>IF(Rankings!J71&lt;=3,1,0)</f>
        <v>0</v>
      </c>
      <c r="K68" s="19">
        <f t="shared" si="4"/>
        <v>3</v>
      </c>
      <c r="L68" s="15">
        <f>SUMPRODUCT(C68:J68,Returns!B72:I72)/K68</f>
        <v>4.6791126179109481E-3</v>
      </c>
      <c r="M68" s="15">
        <v>0</v>
      </c>
      <c r="N68" s="15">
        <v>0</v>
      </c>
      <c r="O68" s="15">
        <f t="shared" si="5"/>
        <v>4.6791126179109481E-3</v>
      </c>
      <c r="P68" s="20">
        <f t="shared" si="7"/>
        <v>3.0545829277126209</v>
      </c>
      <c r="Q68" s="20">
        <f>MAX($P$5:P68)</f>
        <v>3.0545829277126209</v>
      </c>
      <c r="R68" s="15">
        <f t="shared" si="6"/>
        <v>0</v>
      </c>
      <c r="S68" s="15">
        <f>O68-Benchmark_RF!D68</f>
        <v>-1.0847742878005535E-3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IF(Rankings!C71&lt;=3,1,0)</f>
        <v>0</v>
      </c>
      <c r="D69" s="16">
        <f>IF(Rankings!D71&lt;=3,1,0)</f>
        <v>0</v>
      </c>
      <c r="E69" s="16">
        <f>IF(Rankings!E71&lt;=3,1,0)</f>
        <v>0</v>
      </c>
      <c r="F69" s="16">
        <f>IF(Rankings!F71&lt;=3,1,0)</f>
        <v>1</v>
      </c>
      <c r="G69" s="16">
        <f>IF(Rankings!G71&lt;=3,1,0)</f>
        <v>1</v>
      </c>
      <c r="H69" s="16">
        <f>IF(Rankings!H71&lt;=3,1,0)</f>
        <v>0</v>
      </c>
      <c r="I69" s="16">
        <f>IF(Rankings!I71&lt;=3,1,0)</f>
        <v>1</v>
      </c>
      <c r="J69" s="16">
        <f>IF(Rankings!J71&lt;=3,1,0)</f>
        <v>0</v>
      </c>
      <c r="K69" s="19">
        <f t="shared" ref="K69:K100" si="8">SUM(C69:J69)</f>
        <v>3</v>
      </c>
      <c r="L69" s="15">
        <f>SUMPRODUCT(C69:J69,Returns!B73:I73)/K69</f>
        <v>9.8959099715884388E-2</v>
      </c>
      <c r="M69" s="15">
        <v>0</v>
      </c>
      <c r="N69" s="15">
        <v>0</v>
      </c>
      <c r="O69" s="15">
        <f t="shared" ref="O69:O100" si="9">L69+M69+N69</f>
        <v>9.8959099715884388E-2</v>
      </c>
      <c r="P69" s="20">
        <f t="shared" si="7"/>
        <v>3.3568617042465725</v>
      </c>
      <c r="Q69" s="20">
        <f>MAX($P$5:P69)</f>
        <v>3.3568617042465725</v>
      </c>
      <c r="R69" s="15">
        <f t="shared" ref="R69:R100" si="10">P69/Q69-1</f>
        <v>0</v>
      </c>
      <c r="S69" s="15">
        <f>O69-Benchmark_RF!D69</f>
        <v>9.3219623210685817E-2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IF(Rankings!C71&lt;=3,1,0)</f>
        <v>0</v>
      </c>
      <c r="D70" s="16">
        <f>IF(Rankings!D71&lt;=3,1,0)</f>
        <v>0</v>
      </c>
      <c r="E70" s="16">
        <f>IF(Rankings!E71&lt;=3,1,0)</f>
        <v>0</v>
      </c>
      <c r="F70" s="16">
        <f>IF(Rankings!F71&lt;=3,1,0)</f>
        <v>1</v>
      </c>
      <c r="G70" s="16">
        <f>IF(Rankings!G71&lt;=3,1,0)</f>
        <v>1</v>
      </c>
      <c r="H70" s="16">
        <f>IF(Rankings!H71&lt;=3,1,0)</f>
        <v>0</v>
      </c>
      <c r="I70" s="16">
        <f>IF(Rankings!I71&lt;=3,1,0)</f>
        <v>1</v>
      </c>
      <c r="J70" s="16">
        <f>IF(Rankings!J71&lt;=3,1,0)</f>
        <v>0</v>
      </c>
      <c r="K70" s="19">
        <f t="shared" si="8"/>
        <v>3</v>
      </c>
      <c r="L70" s="15">
        <f>SUMPRODUCT(C70:J70,Returns!B74:I74)/K70</f>
        <v>3.5428946436638263E-2</v>
      </c>
      <c r="M70" s="15">
        <v>0</v>
      </c>
      <c r="N70" s="15">
        <v>0</v>
      </c>
      <c r="O70" s="15">
        <f t="shared" si="9"/>
        <v>3.5428946436638263E-2</v>
      </c>
      <c r="P70" s="20">
        <f t="shared" ref="P70:P101" si="11">P69*(1+O70)</f>
        <v>3.4757917777615264</v>
      </c>
      <c r="Q70" s="20">
        <f>MAX($P$5:P70)</f>
        <v>3.4757917777615264</v>
      </c>
      <c r="R70" s="15">
        <f t="shared" si="10"/>
        <v>0</v>
      </c>
      <c r="S70" s="15">
        <f>O70-Benchmark_RF!D70</f>
        <v>2.9656063751154559E-2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IF(Rankings!C71&lt;=3,1,0)</f>
        <v>0</v>
      </c>
      <c r="D71" s="16">
        <f>IF(Rankings!D71&lt;=3,1,0)</f>
        <v>0</v>
      </c>
      <c r="E71" s="16">
        <f>IF(Rankings!E71&lt;=3,1,0)</f>
        <v>0</v>
      </c>
      <c r="F71" s="16">
        <f>IF(Rankings!F71&lt;=3,1,0)</f>
        <v>1</v>
      </c>
      <c r="G71" s="16">
        <f>IF(Rankings!G71&lt;=3,1,0)</f>
        <v>1</v>
      </c>
      <c r="H71" s="16">
        <f>IF(Rankings!H71&lt;=3,1,0)</f>
        <v>0</v>
      </c>
      <c r="I71" s="16">
        <f>IF(Rankings!I71&lt;=3,1,0)</f>
        <v>1</v>
      </c>
      <c r="J71" s="16">
        <f>IF(Rankings!J71&lt;=3,1,0)</f>
        <v>0</v>
      </c>
      <c r="K71" s="19">
        <f t="shared" si="8"/>
        <v>3</v>
      </c>
      <c r="L71" s="15">
        <f>SUMPRODUCT(C71:J71,Returns!B75:I75)/K71</f>
        <v>5.3782812533730739E-2</v>
      </c>
      <c r="M71" s="15">
        <v>0</v>
      </c>
      <c r="N71" s="15">
        <v>0</v>
      </c>
      <c r="O71" s="15">
        <f t="shared" si="9"/>
        <v>5.3782812533730739E-2</v>
      </c>
      <c r="P71" s="20">
        <f t="shared" si="11"/>
        <v>3.6627296353511571</v>
      </c>
      <c r="Q71" s="20">
        <f>MAX($P$5:P71)</f>
        <v>3.6627296353511571</v>
      </c>
      <c r="R71" s="15">
        <f t="shared" si="10"/>
        <v>0</v>
      </c>
      <c r="S71" s="15">
        <f>O71-Benchmark_RF!D71</f>
        <v>4.7979507203966154E-2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IF(Rankings!C71&lt;=3,1,0)</f>
        <v>0</v>
      </c>
      <c r="D72" s="16">
        <f>IF(Rankings!D71&lt;=3,1,0)</f>
        <v>0</v>
      </c>
      <c r="E72" s="16">
        <f>IF(Rankings!E71&lt;=3,1,0)</f>
        <v>0</v>
      </c>
      <c r="F72" s="16">
        <f>IF(Rankings!F71&lt;=3,1,0)</f>
        <v>1</v>
      </c>
      <c r="G72" s="16">
        <f>IF(Rankings!G71&lt;=3,1,0)</f>
        <v>1</v>
      </c>
      <c r="H72" s="16">
        <f>IF(Rankings!H71&lt;=3,1,0)</f>
        <v>0</v>
      </c>
      <c r="I72" s="16">
        <f>IF(Rankings!I71&lt;=3,1,0)</f>
        <v>1</v>
      </c>
      <c r="J72" s="16">
        <f>IF(Rankings!J71&lt;=3,1,0)</f>
        <v>0</v>
      </c>
      <c r="K72" s="19">
        <f t="shared" si="8"/>
        <v>3</v>
      </c>
      <c r="L72" s="15">
        <f>SUMPRODUCT(C72:J72,Returns!B76:I76)/K72</f>
        <v>-5.9584153378238781E-2</v>
      </c>
      <c r="M72" s="15">
        <v>0</v>
      </c>
      <c r="N72" s="15">
        <v>0</v>
      </c>
      <c r="O72" s="15">
        <f t="shared" si="9"/>
        <v>-5.9584153378238781E-2</v>
      </c>
      <c r="P72" s="20">
        <f t="shared" si="11"/>
        <v>3.4444889909753735</v>
      </c>
      <c r="Q72" s="20">
        <f>MAX($P$5:P72)</f>
        <v>3.6627296353511571</v>
      </c>
      <c r="R72" s="15">
        <f t="shared" si="10"/>
        <v>-5.9584153378238636E-2</v>
      </c>
      <c r="S72" s="15">
        <f>O72-Benchmark_RF!D72</f>
        <v>-6.5574308448908797E-2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IF(Rankings!C71&lt;=3,1,0)</f>
        <v>0</v>
      </c>
      <c r="D73" s="16">
        <f>IF(Rankings!D71&lt;=3,1,0)</f>
        <v>0</v>
      </c>
      <c r="E73" s="16">
        <f>IF(Rankings!E71&lt;=3,1,0)</f>
        <v>0</v>
      </c>
      <c r="F73" s="16">
        <f>IF(Rankings!F71&lt;=3,1,0)</f>
        <v>1</v>
      </c>
      <c r="G73" s="16">
        <f>IF(Rankings!G71&lt;=3,1,0)</f>
        <v>1</v>
      </c>
      <c r="H73" s="16">
        <f>IF(Rankings!H71&lt;=3,1,0)</f>
        <v>0</v>
      </c>
      <c r="I73" s="16">
        <f>IF(Rankings!I71&lt;=3,1,0)</f>
        <v>1</v>
      </c>
      <c r="J73" s="16">
        <f>IF(Rankings!J71&lt;=3,1,0)</f>
        <v>0</v>
      </c>
      <c r="K73" s="19">
        <f t="shared" si="8"/>
        <v>3</v>
      </c>
      <c r="L73" s="15">
        <f>SUMPRODUCT(C73:J73,Returns!B77:I77)/K73</f>
        <v>-4.662460262972138E-2</v>
      </c>
      <c r="M73" s="15">
        <v>0</v>
      </c>
      <c r="N73" s="15">
        <v>0</v>
      </c>
      <c r="O73" s="15">
        <f t="shared" si="9"/>
        <v>-4.662460262972138E-2</v>
      </c>
      <c r="P73" s="20">
        <f t="shared" si="11"/>
        <v>3.2838910605086968</v>
      </c>
      <c r="Q73" s="20">
        <f>MAX($P$5:P73)</f>
        <v>3.6627296353511571</v>
      </c>
      <c r="R73" s="15">
        <f t="shared" si="10"/>
        <v>-0.10343066853367133</v>
      </c>
      <c r="S73" s="15">
        <f>O73-Benchmark_RF!D73</f>
        <v>-5.2572999608347416E-2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IF(Rankings!C71&lt;=3,1,0)</f>
        <v>0</v>
      </c>
      <c r="D74" s="16">
        <f>IF(Rankings!D71&lt;=3,1,0)</f>
        <v>0</v>
      </c>
      <c r="E74" s="16">
        <f>IF(Rankings!E71&lt;=3,1,0)</f>
        <v>0</v>
      </c>
      <c r="F74" s="16">
        <f>IF(Rankings!F71&lt;=3,1,0)</f>
        <v>1</v>
      </c>
      <c r="G74" s="16">
        <f>IF(Rankings!G71&lt;=3,1,0)</f>
        <v>1</v>
      </c>
      <c r="H74" s="16">
        <f>IF(Rankings!H71&lt;=3,1,0)</f>
        <v>0</v>
      </c>
      <c r="I74" s="16">
        <f>IF(Rankings!I71&lt;=3,1,0)</f>
        <v>1</v>
      </c>
      <c r="J74" s="16">
        <f>IF(Rankings!J71&lt;=3,1,0)</f>
        <v>0</v>
      </c>
      <c r="K74" s="19">
        <f t="shared" si="8"/>
        <v>3</v>
      </c>
      <c r="L74" s="15">
        <f>SUMPRODUCT(C74:J74,Returns!B78:I78)/K74</f>
        <v>6.9929820214432947E-2</v>
      </c>
      <c r="M74" s="15">
        <v>0</v>
      </c>
      <c r="N74" s="15">
        <v>0</v>
      </c>
      <c r="O74" s="15">
        <f t="shared" si="9"/>
        <v>6.9929820214432947E-2</v>
      </c>
      <c r="P74" s="20">
        <f t="shared" si="11"/>
        <v>3.5135329719738535</v>
      </c>
      <c r="Q74" s="20">
        <f>MAX($P$5:P74)</f>
        <v>3.6627296353511571</v>
      </c>
      <c r="R74" s="15">
        <f t="shared" si="10"/>
        <v>-4.0733736374456653E-2</v>
      </c>
      <c r="S74" s="15">
        <f>O74-Benchmark_RF!D74</f>
        <v>6.4008205280774444E-2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IF(Rankings!C71&lt;=3,1,0)</f>
        <v>0</v>
      </c>
      <c r="D75" s="16">
        <f>IF(Rankings!D71&lt;=3,1,0)</f>
        <v>0</v>
      </c>
      <c r="E75" s="16">
        <f>IF(Rankings!E71&lt;=3,1,0)</f>
        <v>0</v>
      </c>
      <c r="F75" s="16">
        <f>IF(Rankings!F71&lt;=3,1,0)</f>
        <v>1</v>
      </c>
      <c r="G75" s="16">
        <f>IF(Rankings!G71&lt;=3,1,0)</f>
        <v>1</v>
      </c>
      <c r="H75" s="16">
        <f>IF(Rankings!H71&lt;=3,1,0)</f>
        <v>0</v>
      </c>
      <c r="I75" s="16">
        <f>IF(Rankings!I71&lt;=3,1,0)</f>
        <v>1</v>
      </c>
      <c r="J75" s="16">
        <f>IF(Rankings!J71&lt;=3,1,0)</f>
        <v>0</v>
      </c>
      <c r="K75" s="19">
        <f t="shared" si="8"/>
        <v>3</v>
      </c>
      <c r="L75" s="15">
        <f>SUMPRODUCT(C75:J75,Returns!B79:I79)/K75</f>
        <v>-3.9236983878744969E-2</v>
      </c>
      <c r="M75" s="15">
        <v>0</v>
      </c>
      <c r="N75" s="15">
        <v>0</v>
      </c>
      <c r="O75" s="15">
        <f t="shared" si="9"/>
        <v>-3.9236983878744969E-2</v>
      </c>
      <c r="P75" s="20">
        <f t="shared" si="11"/>
        <v>3.3756725353950765</v>
      </c>
      <c r="Q75" s="20">
        <f>MAX($P$5:P75)</f>
        <v>3.6627296353511571</v>
      </c>
      <c r="R75" s="15">
        <f t="shared" si="10"/>
        <v>-7.8372451295755985E-2</v>
      </c>
      <c r="S75" s="15">
        <f>O75-Benchmark_RF!D75</f>
        <v>-4.5122122014552568E-2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IF(Rankings!C71&lt;=3,1,0)</f>
        <v>0</v>
      </c>
      <c r="D76" s="16">
        <f>IF(Rankings!D71&lt;=3,1,0)</f>
        <v>0</v>
      </c>
      <c r="E76" s="16">
        <f>IF(Rankings!E71&lt;=3,1,0)</f>
        <v>0</v>
      </c>
      <c r="F76" s="16">
        <f>IF(Rankings!F71&lt;=3,1,0)</f>
        <v>1</v>
      </c>
      <c r="G76" s="16">
        <f>IF(Rankings!G71&lt;=3,1,0)</f>
        <v>1</v>
      </c>
      <c r="H76" s="16">
        <f>IF(Rankings!H71&lt;=3,1,0)</f>
        <v>0</v>
      </c>
      <c r="I76" s="16">
        <f>IF(Rankings!I71&lt;=3,1,0)</f>
        <v>1</v>
      </c>
      <c r="J76" s="16">
        <f>IF(Rankings!J71&lt;=3,1,0)</f>
        <v>0</v>
      </c>
      <c r="K76" s="19">
        <f t="shared" si="8"/>
        <v>3</v>
      </c>
      <c r="L76" s="15">
        <f>SUMPRODUCT(C76:J76,Returns!B80:I80)/K76</f>
        <v>-7.5791292010497129E-3</v>
      </c>
      <c r="M76" s="15">
        <v>0</v>
      </c>
      <c r="N76" s="15">
        <v>0</v>
      </c>
      <c r="O76" s="15">
        <f t="shared" si="9"/>
        <v>-7.5791292010497129E-3</v>
      </c>
      <c r="P76" s="20">
        <f t="shared" si="11"/>
        <v>3.3500878771088822</v>
      </c>
      <c r="Q76" s="20">
        <f>MAX($P$5:P76)</f>
        <v>3.6627296353511571</v>
      </c>
      <c r="R76" s="15">
        <f t="shared" si="10"/>
        <v>-8.5357585562632177E-2</v>
      </c>
      <c r="S76" s="15">
        <f>O76-Benchmark_RF!D76</f>
        <v>-1.3415192075202437E-2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IF(Rankings!C83&lt;=3,1,0)</f>
        <v>1</v>
      </c>
      <c r="D77" s="16">
        <f>IF(Rankings!D83&lt;=3,1,0)</f>
        <v>1</v>
      </c>
      <c r="E77" s="16">
        <f>IF(Rankings!E83&lt;=3,1,0)</f>
        <v>0</v>
      </c>
      <c r="F77" s="16">
        <f>IF(Rankings!F83&lt;=3,1,0)</f>
        <v>1</v>
      </c>
      <c r="G77" s="16">
        <f>IF(Rankings!G83&lt;=3,1,0)</f>
        <v>0</v>
      </c>
      <c r="H77" s="16">
        <f>IF(Rankings!H83&lt;=3,1,0)</f>
        <v>0</v>
      </c>
      <c r="I77" s="16">
        <f>IF(Rankings!I83&lt;=3,1,0)</f>
        <v>0</v>
      </c>
      <c r="J77" s="16">
        <f>IF(Rankings!J83&lt;=3,1,0)</f>
        <v>0</v>
      </c>
      <c r="K77" s="19">
        <f t="shared" si="8"/>
        <v>3</v>
      </c>
      <c r="L77" s="15">
        <f>SUMPRODUCT(C77:J77,Returns!B81:I81)/K77</f>
        <v>8.2293350223880693E-2</v>
      </c>
      <c r="M77" s="15">
        <f>-2*Assumptions!$B$13</f>
        <v>-7.0000000000000001E-3</v>
      </c>
      <c r="N77" s="15">
        <f>-Assumptions!$B$16*MAX(0,(1+O65)*(1+O66)*(1+O67)*(1+O68)*(1+O69)*(1+O70)*(1+O71)*(1+O72)*(1+O73)*(1+O74)*(1+O75)*(1+O76)-1)</f>
        <v>-3.6284527544186394E-2</v>
      </c>
      <c r="O77" s="15">
        <f t="shared" si="9"/>
        <v>3.9008822679694292E-2</v>
      </c>
      <c r="P77" s="20">
        <f t="shared" si="11"/>
        <v>3.4807708610684163</v>
      </c>
      <c r="Q77" s="20">
        <f>MAX($P$5:P77)</f>
        <v>3.6627296353511571</v>
      </c>
      <c r="R77" s="15">
        <f t="shared" si="10"/>
        <v>-4.9678461802517337E-2</v>
      </c>
      <c r="S77" s="15">
        <f>O77-Benchmark_RF!D77</f>
        <v>3.3175261161182627E-2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IF(Rankings!C83&lt;=3,1,0)</f>
        <v>1</v>
      </c>
      <c r="D78" s="16">
        <f>IF(Rankings!D83&lt;=3,1,0)</f>
        <v>1</v>
      </c>
      <c r="E78" s="16">
        <f>IF(Rankings!E83&lt;=3,1,0)</f>
        <v>0</v>
      </c>
      <c r="F78" s="16">
        <f>IF(Rankings!F83&lt;=3,1,0)</f>
        <v>1</v>
      </c>
      <c r="G78" s="16">
        <f>IF(Rankings!G83&lt;=3,1,0)</f>
        <v>0</v>
      </c>
      <c r="H78" s="16">
        <f>IF(Rankings!H83&lt;=3,1,0)</f>
        <v>0</v>
      </c>
      <c r="I78" s="16">
        <f>IF(Rankings!I83&lt;=3,1,0)</f>
        <v>0</v>
      </c>
      <c r="J78" s="16">
        <f>IF(Rankings!J83&lt;=3,1,0)</f>
        <v>0</v>
      </c>
      <c r="K78" s="19">
        <f t="shared" si="8"/>
        <v>3</v>
      </c>
      <c r="L78" s="15">
        <f>SUMPRODUCT(C78:J78,Returns!B82:I82)/K78</f>
        <v>-4.2541615662015309E-2</v>
      </c>
      <c r="M78" s="15">
        <v>0</v>
      </c>
      <c r="N78" s="15">
        <v>0</v>
      </c>
      <c r="O78" s="15">
        <f t="shared" si="9"/>
        <v>-4.2541615662015309E-2</v>
      </c>
      <c r="P78" s="20">
        <f t="shared" si="11"/>
        <v>3.3326932448893016</v>
      </c>
      <c r="Q78" s="20">
        <f>MAX($P$5:P78)</f>
        <v>3.6627296353511571</v>
      </c>
      <c r="R78" s="15">
        <f t="shared" si="10"/>
        <v>-9.0106675435849937E-2</v>
      </c>
      <c r="S78" s="15">
        <f>O78-Benchmark_RF!D78</f>
        <v>-4.8641967336998659E-2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IF(Rankings!C83&lt;=3,1,0)</f>
        <v>1</v>
      </c>
      <c r="D79" s="16">
        <f>IF(Rankings!D83&lt;=3,1,0)</f>
        <v>1</v>
      </c>
      <c r="E79" s="16">
        <f>IF(Rankings!E83&lt;=3,1,0)</f>
        <v>0</v>
      </c>
      <c r="F79" s="16">
        <f>IF(Rankings!F83&lt;=3,1,0)</f>
        <v>1</v>
      </c>
      <c r="G79" s="16">
        <f>IF(Rankings!G83&lt;=3,1,0)</f>
        <v>0</v>
      </c>
      <c r="H79" s="16">
        <f>IF(Rankings!H83&lt;=3,1,0)</f>
        <v>0</v>
      </c>
      <c r="I79" s="16">
        <f>IF(Rankings!I83&lt;=3,1,0)</f>
        <v>0</v>
      </c>
      <c r="J79" s="16">
        <f>IF(Rankings!J83&lt;=3,1,0)</f>
        <v>0</v>
      </c>
      <c r="K79" s="19">
        <f t="shared" si="8"/>
        <v>3</v>
      </c>
      <c r="L79" s="15">
        <f>SUMPRODUCT(C79:J79,Returns!B83:I83)/K79</f>
        <v>1.5316442573631442E-2</v>
      </c>
      <c r="M79" s="15">
        <v>0</v>
      </c>
      <c r="N79" s="15">
        <v>0</v>
      </c>
      <c r="O79" s="15">
        <f t="shared" si="9"/>
        <v>1.5316442573631442E-2</v>
      </c>
      <c r="P79" s="20">
        <f t="shared" si="11"/>
        <v>3.383738249590178</v>
      </c>
      <c r="Q79" s="20">
        <f>MAX($P$5:P79)</f>
        <v>3.6627296353511571</v>
      </c>
      <c r="R79" s="15">
        <f t="shared" si="10"/>
        <v>-7.6170346582032478E-2</v>
      </c>
      <c r="S79" s="15">
        <f>O79-Benchmark_RF!D79</f>
        <v>8.7467687146760929E-3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IF(Rankings!C83&lt;=3,1,0)</f>
        <v>1</v>
      </c>
      <c r="D80" s="16">
        <f>IF(Rankings!D83&lt;=3,1,0)</f>
        <v>1</v>
      </c>
      <c r="E80" s="16">
        <f>IF(Rankings!E83&lt;=3,1,0)</f>
        <v>0</v>
      </c>
      <c r="F80" s="16">
        <f>IF(Rankings!F83&lt;=3,1,0)</f>
        <v>1</v>
      </c>
      <c r="G80" s="16">
        <f>IF(Rankings!G83&lt;=3,1,0)</f>
        <v>0</v>
      </c>
      <c r="H80" s="16">
        <f>IF(Rankings!H83&lt;=3,1,0)</f>
        <v>0</v>
      </c>
      <c r="I80" s="16">
        <f>IF(Rankings!I83&lt;=3,1,0)</f>
        <v>0</v>
      </c>
      <c r="J80" s="16">
        <f>IF(Rankings!J83&lt;=3,1,0)</f>
        <v>0</v>
      </c>
      <c r="K80" s="19">
        <f t="shared" si="8"/>
        <v>3</v>
      </c>
      <c r="L80" s="15">
        <f>SUMPRODUCT(C80:J80,Returns!B84:I84)/K80</f>
        <v>2.3324637376755424E-2</v>
      </c>
      <c r="M80" s="15">
        <v>0</v>
      </c>
      <c r="N80" s="15">
        <v>0</v>
      </c>
      <c r="O80" s="15">
        <f t="shared" si="9"/>
        <v>2.3324637376755424E-2</v>
      </c>
      <c r="P80" s="20">
        <f t="shared" si="11"/>
        <v>3.4626627172397262</v>
      </c>
      <c r="Q80" s="20">
        <f>MAX($P$5:P80)</f>
        <v>3.6627296353511571</v>
      </c>
      <c r="R80" s="15">
        <f t="shared" si="10"/>
        <v>-5.4622354918164695E-2</v>
      </c>
      <c r="S80" s="15">
        <f>O80-Benchmark_RF!D80</f>
        <v>1.6502912024568033E-2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IF(Rankings!C83&lt;=3,1,0)</f>
        <v>1</v>
      </c>
      <c r="D81" s="16">
        <f>IF(Rankings!D83&lt;=3,1,0)</f>
        <v>1</v>
      </c>
      <c r="E81" s="16">
        <f>IF(Rankings!E83&lt;=3,1,0)</f>
        <v>0</v>
      </c>
      <c r="F81" s="16">
        <f>IF(Rankings!F83&lt;=3,1,0)</f>
        <v>1</v>
      </c>
      <c r="G81" s="16">
        <f>IF(Rankings!G83&lt;=3,1,0)</f>
        <v>0</v>
      </c>
      <c r="H81" s="16">
        <f>IF(Rankings!H83&lt;=3,1,0)</f>
        <v>0</v>
      </c>
      <c r="I81" s="16">
        <f>IF(Rankings!I83&lt;=3,1,0)</f>
        <v>0</v>
      </c>
      <c r="J81" s="16">
        <f>IF(Rankings!J83&lt;=3,1,0)</f>
        <v>0</v>
      </c>
      <c r="K81" s="19">
        <f t="shared" si="8"/>
        <v>3</v>
      </c>
      <c r="L81" s="15">
        <f>SUMPRODUCT(C81:J81,Returns!B85:I85)/K81</f>
        <v>-3.5941844584066428E-2</v>
      </c>
      <c r="M81" s="15">
        <v>0</v>
      </c>
      <c r="N81" s="15">
        <v>0</v>
      </c>
      <c r="O81" s="15">
        <f t="shared" si="9"/>
        <v>-3.5941844584066428E-2</v>
      </c>
      <c r="P81" s="20">
        <f t="shared" si="11"/>
        <v>3.3382082320096549</v>
      </c>
      <c r="Q81" s="20">
        <f>MAX($P$5:P81)</f>
        <v>3.6627296353511571</v>
      </c>
      <c r="R81" s="15">
        <f t="shared" si="10"/>
        <v>-8.8600971310946686E-2</v>
      </c>
      <c r="S81" s="15">
        <f>O81-Benchmark_RF!D81</f>
        <v>-4.4211257595429175E-2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IF(Rankings!C83&lt;=3,1,0)</f>
        <v>1</v>
      </c>
      <c r="D82" s="16">
        <f>IF(Rankings!D83&lt;=3,1,0)</f>
        <v>1</v>
      </c>
      <c r="E82" s="16">
        <f>IF(Rankings!E83&lt;=3,1,0)</f>
        <v>0</v>
      </c>
      <c r="F82" s="16">
        <f>IF(Rankings!F83&lt;=3,1,0)</f>
        <v>1</v>
      </c>
      <c r="G82" s="16">
        <f>IF(Rankings!G83&lt;=3,1,0)</f>
        <v>0</v>
      </c>
      <c r="H82" s="16">
        <f>IF(Rankings!H83&lt;=3,1,0)</f>
        <v>0</v>
      </c>
      <c r="I82" s="16">
        <f>IF(Rankings!I83&lt;=3,1,0)</f>
        <v>0</v>
      </c>
      <c r="J82" s="16">
        <f>IF(Rankings!J83&lt;=3,1,0)</f>
        <v>0</v>
      </c>
      <c r="K82" s="19">
        <f t="shared" si="8"/>
        <v>3</v>
      </c>
      <c r="L82" s="15">
        <f>SUMPRODUCT(C82:J82,Returns!B86:I86)/K82</f>
        <v>2.7320110601880703E-2</v>
      </c>
      <c r="M82" s="15">
        <v>0</v>
      </c>
      <c r="N82" s="15">
        <v>0</v>
      </c>
      <c r="O82" s="15">
        <f t="shared" si="9"/>
        <v>2.7320110601880703E-2</v>
      </c>
      <c r="P82" s="20">
        <f t="shared" si="11"/>
        <v>3.4294084501202677</v>
      </c>
      <c r="Q82" s="20">
        <f>MAX($P$5:P82)</f>
        <v>3.6627296353511571</v>
      </c>
      <c r="R82" s="15">
        <f t="shared" si="10"/>
        <v>-6.3701449044715086E-2</v>
      </c>
      <c r="S82" s="15">
        <f>O82-Benchmark_RF!D82</f>
        <v>1.9191086929845429E-2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IF(Rankings!C83&lt;=3,1,0)</f>
        <v>1</v>
      </c>
      <c r="D83" s="16">
        <f>IF(Rankings!D83&lt;=3,1,0)</f>
        <v>1</v>
      </c>
      <c r="E83" s="16">
        <f>IF(Rankings!E83&lt;=3,1,0)</f>
        <v>0</v>
      </c>
      <c r="F83" s="16">
        <f>IF(Rankings!F83&lt;=3,1,0)</f>
        <v>1</v>
      </c>
      <c r="G83" s="16">
        <f>IF(Rankings!G83&lt;=3,1,0)</f>
        <v>0</v>
      </c>
      <c r="H83" s="16">
        <f>IF(Rankings!H83&lt;=3,1,0)</f>
        <v>0</v>
      </c>
      <c r="I83" s="16">
        <f>IF(Rankings!I83&lt;=3,1,0)</f>
        <v>0</v>
      </c>
      <c r="J83" s="16">
        <f>IF(Rankings!J83&lt;=3,1,0)</f>
        <v>0</v>
      </c>
      <c r="K83" s="19">
        <f t="shared" si="8"/>
        <v>3</v>
      </c>
      <c r="L83" s="15">
        <f>SUMPRODUCT(C83:J83,Returns!B87:I87)/K83</f>
        <v>2.6818267047726829E-3</v>
      </c>
      <c r="M83" s="15">
        <v>0</v>
      </c>
      <c r="N83" s="15">
        <v>0</v>
      </c>
      <c r="O83" s="15">
        <f t="shared" si="9"/>
        <v>2.6818267047726829E-3</v>
      </c>
      <c r="P83" s="20">
        <f t="shared" si="11"/>
        <v>3.438605529283373</v>
      </c>
      <c r="Q83" s="20">
        <f>MAX($P$5:P83)</f>
        <v>3.6627296353511571</v>
      </c>
      <c r="R83" s="15">
        <f t="shared" si="10"/>
        <v>-6.1190458587123242E-2</v>
      </c>
      <c r="S83" s="15">
        <f>O83-Benchmark_RF!D83</f>
        <v>-5.5847699695198427E-3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IF(Rankings!C83&lt;=3,1,0)</f>
        <v>1</v>
      </c>
      <c r="D84" s="16">
        <f>IF(Rankings!D83&lt;=3,1,0)</f>
        <v>1</v>
      </c>
      <c r="E84" s="16">
        <f>IF(Rankings!E83&lt;=3,1,0)</f>
        <v>0</v>
      </c>
      <c r="F84" s="16">
        <f>IF(Rankings!F83&lt;=3,1,0)</f>
        <v>1</v>
      </c>
      <c r="G84" s="16">
        <f>IF(Rankings!G83&lt;=3,1,0)</f>
        <v>0</v>
      </c>
      <c r="H84" s="16">
        <f>IF(Rankings!H83&lt;=3,1,0)</f>
        <v>0</v>
      </c>
      <c r="I84" s="16">
        <f>IF(Rankings!I83&lt;=3,1,0)</f>
        <v>0</v>
      </c>
      <c r="J84" s="16">
        <f>IF(Rankings!J83&lt;=3,1,0)</f>
        <v>0</v>
      </c>
      <c r="K84" s="19">
        <f t="shared" si="8"/>
        <v>3</v>
      </c>
      <c r="L84" s="15">
        <f>SUMPRODUCT(C84:J84,Returns!B88:I88)/K84</f>
        <v>-6.4303590790462328E-2</v>
      </c>
      <c r="M84" s="15">
        <v>0</v>
      </c>
      <c r="N84" s="15">
        <v>0</v>
      </c>
      <c r="O84" s="15">
        <f t="shared" si="9"/>
        <v>-6.4303590790462328E-2</v>
      </c>
      <c r="P84" s="20">
        <f t="shared" si="11"/>
        <v>3.2174908464385137</v>
      </c>
      <c r="Q84" s="20">
        <f>MAX($P$5:P84)</f>
        <v>3.6627296353511571</v>
      </c>
      <c r="R84" s="15">
        <f t="shared" si="10"/>
        <v>-0.12155928316831854</v>
      </c>
      <c r="S84" s="15">
        <f>O84-Benchmark_RF!D84</f>
        <v>-7.3604865996951929E-2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IF(Rankings!C83&lt;=3,1,0)</f>
        <v>1</v>
      </c>
      <c r="D85" s="16">
        <f>IF(Rankings!D83&lt;=3,1,0)</f>
        <v>1</v>
      </c>
      <c r="E85" s="16">
        <f>IF(Rankings!E83&lt;=3,1,0)</f>
        <v>0</v>
      </c>
      <c r="F85" s="16">
        <f>IF(Rankings!F83&lt;=3,1,0)</f>
        <v>1</v>
      </c>
      <c r="G85" s="16">
        <f>IF(Rankings!G83&lt;=3,1,0)</f>
        <v>0</v>
      </c>
      <c r="H85" s="16">
        <f>IF(Rankings!H83&lt;=3,1,0)</f>
        <v>0</v>
      </c>
      <c r="I85" s="16">
        <f>IF(Rankings!I83&lt;=3,1,0)</f>
        <v>0</v>
      </c>
      <c r="J85" s="16">
        <f>IF(Rankings!J83&lt;=3,1,0)</f>
        <v>0</v>
      </c>
      <c r="K85" s="19">
        <f t="shared" si="8"/>
        <v>3</v>
      </c>
      <c r="L85" s="15">
        <f>SUMPRODUCT(C85:J85,Returns!B89:I89)/K85</f>
        <v>4.2022650253317417E-2</v>
      </c>
      <c r="M85" s="15">
        <v>0</v>
      </c>
      <c r="N85" s="15">
        <v>0</v>
      </c>
      <c r="O85" s="15">
        <f t="shared" si="9"/>
        <v>4.2022650253317417E-2</v>
      </c>
      <c r="P85" s="20">
        <f t="shared" si="11"/>
        <v>3.3526983389716496</v>
      </c>
      <c r="Q85" s="20">
        <f>MAX($P$5:P85)</f>
        <v>3.6627296353511571</v>
      </c>
      <c r="R85" s="15">
        <f t="shared" si="10"/>
        <v>-8.4644876156627302E-2</v>
      </c>
      <c r="S85" s="15">
        <f>O85-Benchmark_RF!D85</f>
        <v>3.0900835345966771E-2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IF(Rankings!C83&lt;=3,1,0)</f>
        <v>1</v>
      </c>
      <c r="D86" s="16">
        <f>IF(Rankings!D83&lt;=3,1,0)</f>
        <v>1</v>
      </c>
      <c r="E86" s="16">
        <f>IF(Rankings!E83&lt;=3,1,0)</f>
        <v>0</v>
      </c>
      <c r="F86" s="16">
        <f>IF(Rankings!F83&lt;=3,1,0)</f>
        <v>1</v>
      </c>
      <c r="G86" s="16">
        <f>IF(Rankings!G83&lt;=3,1,0)</f>
        <v>0</v>
      </c>
      <c r="H86" s="16">
        <f>IF(Rankings!H83&lt;=3,1,0)</f>
        <v>0</v>
      </c>
      <c r="I86" s="16">
        <f>IF(Rankings!I83&lt;=3,1,0)</f>
        <v>0</v>
      </c>
      <c r="J86" s="16">
        <f>IF(Rankings!J83&lt;=3,1,0)</f>
        <v>0</v>
      </c>
      <c r="K86" s="19">
        <f t="shared" si="8"/>
        <v>3</v>
      </c>
      <c r="L86" s="15">
        <f>SUMPRODUCT(C86:J86,Returns!B90:I90)/K86</f>
        <v>-7.5719063094439099E-2</v>
      </c>
      <c r="M86" s="15">
        <v>0</v>
      </c>
      <c r="N86" s="15">
        <v>0</v>
      </c>
      <c r="O86" s="15">
        <f t="shared" si="9"/>
        <v>-7.5719063094439099E-2</v>
      </c>
      <c r="P86" s="20">
        <f t="shared" si="11"/>
        <v>3.0988351619064343</v>
      </c>
      <c r="Q86" s="20">
        <f>MAX($P$5:P86)</f>
        <v>3.6627296353511571</v>
      </c>
      <c r="R86" s="15">
        <f t="shared" si="10"/>
        <v>-0.15395470853274174</v>
      </c>
      <c r="S86" s="15">
        <f>O86-Benchmark_RF!D86</f>
        <v>-8.7009621711557239E-2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IF(Rankings!C83&lt;=3,1,0)</f>
        <v>1</v>
      </c>
      <c r="D87" s="16">
        <f>IF(Rankings!D83&lt;=3,1,0)</f>
        <v>1</v>
      </c>
      <c r="E87" s="16">
        <f>IF(Rankings!E83&lt;=3,1,0)</f>
        <v>0</v>
      </c>
      <c r="F87" s="16">
        <f>IF(Rankings!F83&lt;=3,1,0)</f>
        <v>1</v>
      </c>
      <c r="G87" s="16">
        <f>IF(Rankings!G83&lt;=3,1,0)</f>
        <v>0</v>
      </c>
      <c r="H87" s="16">
        <f>IF(Rankings!H83&lt;=3,1,0)</f>
        <v>0</v>
      </c>
      <c r="I87" s="16">
        <f>IF(Rankings!I83&lt;=3,1,0)</f>
        <v>0</v>
      </c>
      <c r="J87" s="16">
        <f>IF(Rankings!J83&lt;=3,1,0)</f>
        <v>0</v>
      </c>
      <c r="K87" s="19">
        <f t="shared" si="8"/>
        <v>3</v>
      </c>
      <c r="L87" s="15">
        <f>SUMPRODUCT(C87:J87,Returns!B91:I91)/K87</f>
        <v>-7.9890456407176513E-2</v>
      </c>
      <c r="M87" s="15">
        <v>0</v>
      </c>
      <c r="N87" s="15">
        <v>0</v>
      </c>
      <c r="O87" s="15">
        <f t="shared" si="9"/>
        <v>-7.9890456407176513E-2</v>
      </c>
      <c r="P87" s="20">
        <f t="shared" si="11"/>
        <v>2.8512678064911223</v>
      </c>
      <c r="Q87" s="20">
        <f>MAX($P$5:P87)</f>
        <v>3.6627296353511571</v>
      </c>
      <c r="R87" s="15">
        <f t="shared" si="10"/>
        <v>-0.2215456530092037</v>
      </c>
      <c r="S87" s="15">
        <f>O87-Benchmark_RF!D87</f>
        <v>-9.1664004775403374E-2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IF(Rankings!C83&lt;=3,1,0)</f>
        <v>1</v>
      </c>
      <c r="D88" s="16">
        <f>IF(Rankings!D83&lt;=3,1,0)</f>
        <v>1</v>
      </c>
      <c r="E88" s="16">
        <f>IF(Rankings!E83&lt;=3,1,0)</f>
        <v>0</v>
      </c>
      <c r="F88" s="16">
        <f>IF(Rankings!F83&lt;=3,1,0)</f>
        <v>1</v>
      </c>
      <c r="G88" s="16">
        <f>IF(Rankings!G83&lt;=3,1,0)</f>
        <v>0</v>
      </c>
      <c r="H88" s="16">
        <f>IF(Rankings!H83&lt;=3,1,0)</f>
        <v>0</v>
      </c>
      <c r="I88" s="16">
        <f>IF(Rankings!I83&lt;=3,1,0)</f>
        <v>0</v>
      </c>
      <c r="J88" s="16">
        <f>IF(Rankings!J83&lt;=3,1,0)</f>
        <v>0</v>
      </c>
      <c r="K88" s="19">
        <f t="shared" si="8"/>
        <v>3</v>
      </c>
      <c r="L88" s="15">
        <f>SUMPRODUCT(C88:J88,Returns!B92:I92)/K88</f>
        <v>2.1355638233198044E-2</v>
      </c>
      <c r="M88" s="15">
        <v>0</v>
      </c>
      <c r="N88" s="15">
        <v>0</v>
      </c>
      <c r="O88" s="15">
        <f t="shared" si="9"/>
        <v>2.1355638233198044E-2</v>
      </c>
      <c r="P88" s="20">
        <f t="shared" si="11"/>
        <v>2.9121584502725111</v>
      </c>
      <c r="Q88" s="20">
        <f>MAX($P$5:P88)</f>
        <v>3.6627296353511571</v>
      </c>
      <c r="R88" s="15">
        <f t="shared" si="10"/>
        <v>-0.2049212635938078</v>
      </c>
      <c r="S88" s="15">
        <f>O88-Benchmark_RF!D88</f>
        <v>9.1800071121383615E-3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IF(Rankings!C95&lt;=3,1,0)</f>
        <v>0</v>
      </c>
      <c r="D89" s="16">
        <f>IF(Rankings!D95&lt;=3,1,0)</f>
        <v>1</v>
      </c>
      <c r="E89" s="16">
        <f>IF(Rankings!E95&lt;=3,1,0)</f>
        <v>0</v>
      </c>
      <c r="F89" s="16">
        <f>IF(Rankings!F95&lt;=3,1,0)</f>
        <v>0</v>
      </c>
      <c r="G89" s="16">
        <f>IF(Rankings!G95&lt;=3,1,0)</f>
        <v>1</v>
      </c>
      <c r="H89" s="16">
        <f>IF(Rankings!H95&lt;=3,1,0)</f>
        <v>0</v>
      </c>
      <c r="I89" s="16">
        <f>IF(Rankings!I95&lt;=3,1,0)</f>
        <v>1</v>
      </c>
      <c r="J89" s="16">
        <f>IF(Rankings!J95&lt;=3,1,0)</f>
        <v>0</v>
      </c>
      <c r="K89" s="19">
        <f t="shared" si="8"/>
        <v>3</v>
      </c>
      <c r="L89" s="15">
        <f>SUMPRODUCT(C89:J89,Returns!B93:I93)/K89</f>
        <v>0.15216587181785032</v>
      </c>
      <c r="M89" s="15">
        <f>-2*Assumptions!$B$13</f>
        <v>-7.0000000000000001E-3</v>
      </c>
      <c r="N89" s="15">
        <f>-Assumptions!$B$16*MAX(0,(1+O77)*(1+O78)*(1+O79)*(1+O80)*(1+O81)*(1+O82)*(1+O83)*(1+O84)*(1+O85)*(1+O86)*(1+O87)*(1+O88)-1)</f>
        <v>0</v>
      </c>
      <c r="O89" s="15">
        <f t="shared" si="9"/>
        <v>0.14516587181785032</v>
      </c>
      <c r="P89" s="20">
        <f t="shared" si="11"/>
        <v>3.33490447057804</v>
      </c>
      <c r="Q89" s="20">
        <f>MAX($P$5:P89)</f>
        <v>3.6627296353511571</v>
      </c>
      <c r="R89" s="15">
        <f t="shared" si="10"/>
        <v>-8.9502965659568168E-2</v>
      </c>
      <c r="S89" s="15">
        <f>O89-Benchmark_RF!D89</f>
        <v>0.13291732315468538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IF(Rankings!C95&lt;=3,1,0)</f>
        <v>0</v>
      </c>
      <c r="D90" s="16">
        <f>IF(Rankings!D95&lt;=3,1,0)</f>
        <v>1</v>
      </c>
      <c r="E90" s="16">
        <f>IF(Rankings!E95&lt;=3,1,0)</f>
        <v>0</v>
      </c>
      <c r="F90" s="16">
        <f>IF(Rankings!F95&lt;=3,1,0)</f>
        <v>0</v>
      </c>
      <c r="G90" s="16">
        <f>IF(Rankings!G95&lt;=3,1,0)</f>
        <v>1</v>
      </c>
      <c r="H90" s="16">
        <f>IF(Rankings!H95&lt;=3,1,0)</f>
        <v>0</v>
      </c>
      <c r="I90" s="16">
        <f>IF(Rankings!I95&lt;=3,1,0)</f>
        <v>1</v>
      </c>
      <c r="J90" s="16">
        <f>IF(Rankings!J95&lt;=3,1,0)</f>
        <v>0</v>
      </c>
      <c r="K90" s="19">
        <f t="shared" si="8"/>
        <v>3</v>
      </c>
      <c r="L90" s="15">
        <f>SUMPRODUCT(C90:J90,Returns!B94:I94)/K90</f>
        <v>-7.3189087357806645E-2</v>
      </c>
      <c r="M90" s="15">
        <v>0</v>
      </c>
      <c r="N90" s="15">
        <v>0</v>
      </c>
      <c r="O90" s="15">
        <f t="shared" si="9"/>
        <v>-7.3189087357806645E-2</v>
      </c>
      <c r="P90" s="20">
        <f t="shared" si="11"/>
        <v>3.090825855950964</v>
      </c>
      <c r="Q90" s="20">
        <f>MAX($P$5:P90)</f>
        <v>3.6627296353511571</v>
      </c>
      <c r="R90" s="15">
        <f t="shared" si="10"/>
        <v>-0.15614141264493386</v>
      </c>
      <c r="S90" s="15">
        <f>O90-Benchmark_RF!D90</f>
        <v>-8.5612402752360303E-2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IF(Rankings!C95&lt;=3,1,0)</f>
        <v>0</v>
      </c>
      <c r="D91" s="16">
        <f>IF(Rankings!D95&lt;=3,1,0)</f>
        <v>1</v>
      </c>
      <c r="E91" s="16">
        <f>IF(Rankings!E95&lt;=3,1,0)</f>
        <v>0</v>
      </c>
      <c r="F91" s="16">
        <f>IF(Rankings!F95&lt;=3,1,0)</f>
        <v>0</v>
      </c>
      <c r="G91" s="16">
        <f>IF(Rankings!G95&lt;=3,1,0)</f>
        <v>1</v>
      </c>
      <c r="H91" s="16">
        <f>IF(Rankings!H95&lt;=3,1,0)</f>
        <v>0</v>
      </c>
      <c r="I91" s="16">
        <f>IF(Rankings!I95&lt;=3,1,0)</f>
        <v>1</v>
      </c>
      <c r="J91" s="16">
        <f>IF(Rankings!J95&lt;=3,1,0)</f>
        <v>0</v>
      </c>
      <c r="K91" s="19">
        <f t="shared" si="8"/>
        <v>3</v>
      </c>
      <c r="L91" s="15">
        <f>SUMPRODUCT(C91:J91,Returns!B95:I95)/K91</f>
        <v>-6.3022820359933493E-2</v>
      </c>
      <c r="M91" s="15">
        <v>0</v>
      </c>
      <c r="N91" s="15">
        <v>0</v>
      </c>
      <c r="O91" s="15">
        <f t="shared" si="9"/>
        <v>-6.3022820359933493E-2</v>
      </c>
      <c r="P91" s="20">
        <f t="shared" si="11"/>
        <v>2.896033293267529</v>
      </c>
      <c r="Q91" s="20">
        <f>MAX($P$5:P91)</f>
        <v>3.6627296353511571</v>
      </c>
      <c r="R91" s="15">
        <f t="shared" si="10"/>
        <v>-0.20932376080499937</v>
      </c>
      <c r="S91" s="15">
        <f>O91-Benchmark_RF!D91</f>
        <v>-7.5227625431940656E-2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IF(Rankings!C95&lt;=3,1,0)</f>
        <v>0</v>
      </c>
      <c r="D92" s="16">
        <f>IF(Rankings!D95&lt;=3,1,0)</f>
        <v>1</v>
      </c>
      <c r="E92" s="16">
        <f>IF(Rankings!E95&lt;=3,1,0)</f>
        <v>0</v>
      </c>
      <c r="F92" s="16">
        <f>IF(Rankings!F95&lt;=3,1,0)</f>
        <v>0</v>
      </c>
      <c r="G92" s="16">
        <f>IF(Rankings!G95&lt;=3,1,0)</f>
        <v>1</v>
      </c>
      <c r="H92" s="16">
        <f>IF(Rankings!H95&lt;=3,1,0)</f>
        <v>0</v>
      </c>
      <c r="I92" s="16">
        <f>IF(Rankings!I95&lt;=3,1,0)</f>
        <v>1</v>
      </c>
      <c r="J92" s="16">
        <f>IF(Rankings!J95&lt;=3,1,0)</f>
        <v>0</v>
      </c>
      <c r="K92" s="19">
        <f t="shared" si="8"/>
        <v>3</v>
      </c>
      <c r="L92" s="15">
        <f>SUMPRODUCT(C92:J92,Returns!B96:I96)/K92</f>
        <v>4.8146302705306031E-2</v>
      </c>
      <c r="M92" s="15">
        <v>0</v>
      </c>
      <c r="N92" s="15">
        <v>0</v>
      </c>
      <c r="O92" s="15">
        <f t="shared" si="9"/>
        <v>4.8146302705306031E-2</v>
      </c>
      <c r="P92" s="20">
        <f t="shared" si="11"/>
        <v>3.0354665888498316</v>
      </c>
      <c r="Q92" s="20">
        <f>MAX($P$5:P92)</f>
        <v>3.6627296353511571</v>
      </c>
      <c r="R92" s="15">
        <f t="shared" si="10"/>
        <v>-0.171255623250824</v>
      </c>
      <c r="S92" s="15">
        <f>O92-Benchmark_RF!D92</f>
        <v>3.5063328001174142E-2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IF(Rankings!C95&lt;=3,1,0)</f>
        <v>0</v>
      </c>
      <c r="D93" s="16">
        <f>IF(Rankings!D95&lt;=3,1,0)</f>
        <v>1</v>
      </c>
      <c r="E93" s="16">
        <f>IF(Rankings!E95&lt;=3,1,0)</f>
        <v>0</v>
      </c>
      <c r="F93" s="16">
        <f>IF(Rankings!F95&lt;=3,1,0)</f>
        <v>0</v>
      </c>
      <c r="G93" s="16">
        <f>IF(Rankings!G95&lt;=3,1,0)</f>
        <v>1</v>
      </c>
      <c r="H93" s="16">
        <f>IF(Rankings!H95&lt;=3,1,0)</f>
        <v>0</v>
      </c>
      <c r="I93" s="16">
        <f>IF(Rankings!I95&lt;=3,1,0)</f>
        <v>1</v>
      </c>
      <c r="J93" s="16">
        <f>IF(Rankings!J95&lt;=3,1,0)</f>
        <v>0</v>
      </c>
      <c r="K93" s="19">
        <f t="shared" si="8"/>
        <v>3</v>
      </c>
      <c r="L93" s="15">
        <f>SUMPRODUCT(C93:J93,Returns!B97:I97)/K93</f>
        <v>-0.10810738068164687</v>
      </c>
      <c r="M93" s="15">
        <v>0</v>
      </c>
      <c r="N93" s="15">
        <v>0</v>
      </c>
      <c r="O93" s="15">
        <f t="shared" si="9"/>
        <v>-0.10810738068164687</v>
      </c>
      <c r="P93" s="20">
        <f t="shared" si="11"/>
        <v>2.7073102467826229</v>
      </c>
      <c r="Q93" s="20">
        <f>MAX($P$5:P93)</f>
        <v>3.6627296353511571</v>
      </c>
      <c r="R93" s="15">
        <f t="shared" si="10"/>
        <v>-0.26084900707582126</v>
      </c>
      <c r="S93" s="15">
        <f>O93-Benchmark_RF!D93</f>
        <v>-0.12124812205799289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IF(Rankings!C95&lt;=3,1,0)</f>
        <v>0</v>
      </c>
      <c r="D94" s="16">
        <f>IF(Rankings!D95&lt;=3,1,0)</f>
        <v>1</v>
      </c>
      <c r="E94" s="16">
        <f>IF(Rankings!E95&lt;=3,1,0)</f>
        <v>0</v>
      </c>
      <c r="F94" s="16">
        <f>IF(Rankings!F95&lt;=3,1,0)</f>
        <v>0</v>
      </c>
      <c r="G94" s="16">
        <f>IF(Rankings!G95&lt;=3,1,0)</f>
        <v>1</v>
      </c>
      <c r="H94" s="16">
        <f>IF(Rankings!H95&lt;=3,1,0)</f>
        <v>0</v>
      </c>
      <c r="I94" s="16">
        <f>IF(Rankings!I95&lt;=3,1,0)</f>
        <v>1</v>
      </c>
      <c r="J94" s="16">
        <f>IF(Rankings!J95&lt;=3,1,0)</f>
        <v>0</v>
      </c>
      <c r="K94" s="19">
        <f t="shared" si="8"/>
        <v>3</v>
      </c>
      <c r="L94" s="15">
        <f>SUMPRODUCT(C94:J94,Returns!B98:I98)/K94</f>
        <v>-5.3296578261359508E-2</v>
      </c>
      <c r="M94" s="15">
        <v>0</v>
      </c>
      <c r="N94" s="15">
        <v>0</v>
      </c>
      <c r="O94" s="15">
        <f t="shared" si="9"/>
        <v>-5.3296578261359508E-2</v>
      </c>
      <c r="P94" s="20">
        <f t="shared" si="11"/>
        <v>2.5630198743371926</v>
      </c>
      <c r="Q94" s="20">
        <f>MAX($P$5:P94)</f>
        <v>3.6627296353511571</v>
      </c>
      <c r="R94" s="15">
        <f t="shared" si="10"/>
        <v>-0.30024322581716623</v>
      </c>
      <c r="S94" s="15">
        <f>O94-Benchmark_RF!D94</f>
        <v>-6.705603428968912E-2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IF(Rankings!C95&lt;=3,1,0)</f>
        <v>0</v>
      </c>
      <c r="D95" s="16">
        <f>IF(Rankings!D95&lt;=3,1,0)</f>
        <v>1</v>
      </c>
      <c r="E95" s="16">
        <f>IF(Rankings!E95&lt;=3,1,0)</f>
        <v>0</v>
      </c>
      <c r="F95" s="16">
        <f>IF(Rankings!F95&lt;=3,1,0)</f>
        <v>0</v>
      </c>
      <c r="G95" s="16">
        <f>IF(Rankings!G95&lt;=3,1,0)</f>
        <v>1</v>
      </c>
      <c r="H95" s="16">
        <f>IF(Rankings!H95&lt;=3,1,0)</f>
        <v>0</v>
      </c>
      <c r="I95" s="16">
        <f>IF(Rankings!I95&lt;=3,1,0)</f>
        <v>1</v>
      </c>
      <c r="J95" s="16">
        <f>IF(Rankings!J95&lt;=3,1,0)</f>
        <v>0</v>
      </c>
      <c r="K95" s="19">
        <f t="shared" si="8"/>
        <v>3</v>
      </c>
      <c r="L95" s="15">
        <f>SUMPRODUCT(C95:J95,Returns!B99:I99)/K95</f>
        <v>4.1632626828569309E-2</v>
      </c>
      <c r="M95" s="15">
        <v>0</v>
      </c>
      <c r="N95" s="15">
        <v>0</v>
      </c>
      <c r="O95" s="15">
        <f t="shared" si="9"/>
        <v>4.1632626828569309E-2</v>
      </c>
      <c r="P95" s="20">
        <f t="shared" si="11"/>
        <v>2.6697251243196796</v>
      </c>
      <c r="Q95" s="20">
        <f>MAX($P$5:P95)</f>
        <v>3.6627296353511571</v>
      </c>
      <c r="R95" s="15">
        <f t="shared" si="10"/>
        <v>-0.27111051316684887</v>
      </c>
      <c r="S95" s="15">
        <f>O95-Benchmark_RF!D95</f>
        <v>2.6839302525780852E-2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IF(Rankings!C95&lt;=3,1,0)</f>
        <v>0</v>
      </c>
      <c r="D96" s="16">
        <f>IF(Rankings!D95&lt;=3,1,0)</f>
        <v>1</v>
      </c>
      <c r="E96" s="16">
        <f>IF(Rankings!E95&lt;=3,1,0)</f>
        <v>0</v>
      </c>
      <c r="F96" s="16">
        <f>IF(Rankings!F95&lt;=3,1,0)</f>
        <v>0</v>
      </c>
      <c r="G96" s="16">
        <f>IF(Rankings!G95&lt;=3,1,0)</f>
        <v>1</v>
      </c>
      <c r="H96" s="16">
        <f>IF(Rankings!H95&lt;=3,1,0)</f>
        <v>0</v>
      </c>
      <c r="I96" s="16">
        <f>IF(Rankings!I95&lt;=3,1,0)</f>
        <v>1</v>
      </c>
      <c r="J96" s="16">
        <f>IF(Rankings!J95&lt;=3,1,0)</f>
        <v>0</v>
      </c>
      <c r="K96" s="19">
        <f t="shared" si="8"/>
        <v>3</v>
      </c>
      <c r="L96" s="15">
        <f>SUMPRODUCT(C96:J96,Returns!B100:I100)/K96</f>
        <v>-5.0089807714052803E-2</v>
      </c>
      <c r="M96" s="15">
        <v>0</v>
      </c>
      <c r="N96" s="15">
        <v>0</v>
      </c>
      <c r="O96" s="15">
        <f t="shared" si="9"/>
        <v>-5.0089807714052803E-2</v>
      </c>
      <c r="P96" s="20">
        <f t="shared" si="11"/>
        <v>2.5359991061931311</v>
      </c>
      <c r="Q96" s="20">
        <f>MAX($P$5:P96)</f>
        <v>3.6627296353511571</v>
      </c>
      <c r="R96" s="15">
        <f t="shared" si="10"/>
        <v>-0.30762044740711603</v>
      </c>
      <c r="S96" s="15">
        <f>O96-Benchmark_RF!D96</f>
        <v>-6.6143649910130664E-2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IF(Rankings!C95&lt;=3,1,0)</f>
        <v>0</v>
      </c>
      <c r="D97" s="16">
        <f>IF(Rankings!D95&lt;=3,1,0)</f>
        <v>1</v>
      </c>
      <c r="E97" s="16">
        <f>IF(Rankings!E95&lt;=3,1,0)</f>
        <v>0</v>
      </c>
      <c r="F97" s="16">
        <f>IF(Rankings!F95&lt;=3,1,0)</f>
        <v>0</v>
      </c>
      <c r="G97" s="16">
        <f>IF(Rankings!G95&lt;=3,1,0)</f>
        <v>1</v>
      </c>
      <c r="H97" s="16">
        <f>IF(Rankings!H95&lt;=3,1,0)</f>
        <v>0</v>
      </c>
      <c r="I97" s="16">
        <f>IF(Rankings!I95&lt;=3,1,0)</f>
        <v>1</v>
      </c>
      <c r="J97" s="16">
        <f>IF(Rankings!J95&lt;=3,1,0)</f>
        <v>0</v>
      </c>
      <c r="K97" s="19">
        <f t="shared" si="8"/>
        <v>3</v>
      </c>
      <c r="L97" s="15">
        <f>SUMPRODUCT(C97:J97,Returns!B101:I101)/K97</f>
        <v>7.1620681815506779E-2</v>
      </c>
      <c r="M97" s="15">
        <v>0</v>
      </c>
      <c r="N97" s="15">
        <v>0</v>
      </c>
      <c r="O97" s="15">
        <f t="shared" si="9"/>
        <v>7.1620681815506779E-2</v>
      </c>
      <c r="P97" s="20">
        <f t="shared" si="11"/>
        <v>2.7176290912621988</v>
      </c>
      <c r="Q97" s="20">
        <f>MAX($P$5:P97)</f>
        <v>3.6627296353511571</v>
      </c>
      <c r="R97" s="15">
        <f t="shared" si="10"/>
        <v>-0.25803175177529825</v>
      </c>
      <c r="S97" s="15">
        <f>O97-Benchmark_RF!D97</f>
        <v>5.4925608452814953E-2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IF(Rankings!C95&lt;=3,1,0)</f>
        <v>0</v>
      </c>
      <c r="D98" s="16">
        <f>IF(Rankings!D95&lt;=3,1,0)</f>
        <v>1</v>
      </c>
      <c r="E98" s="16">
        <f>IF(Rankings!E95&lt;=3,1,0)</f>
        <v>0</v>
      </c>
      <c r="F98" s="16">
        <f>IF(Rankings!F95&lt;=3,1,0)</f>
        <v>0</v>
      </c>
      <c r="G98" s="16">
        <f>IF(Rankings!G95&lt;=3,1,0)</f>
        <v>1</v>
      </c>
      <c r="H98" s="16">
        <f>IF(Rankings!H95&lt;=3,1,0)</f>
        <v>0</v>
      </c>
      <c r="I98" s="16">
        <f>IF(Rankings!I95&lt;=3,1,0)</f>
        <v>1</v>
      </c>
      <c r="J98" s="16">
        <f>IF(Rankings!J95&lt;=3,1,0)</f>
        <v>0</v>
      </c>
      <c r="K98" s="19">
        <f t="shared" si="8"/>
        <v>3</v>
      </c>
      <c r="L98" s="15">
        <f>SUMPRODUCT(C98:J98,Returns!B102:I102)/K98</f>
        <v>2.9105500650817E-2</v>
      </c>
      <c r="M98" s="15">
        <v>0</v>
      </c>
      <c r="N98" s="15">
        <v>0</v>
      </c>
      <c r="O98" s="15">
        <f t="shared" si="9"/>
        <v>2.9105500650817E-2</v>
      </c>
      <c r="P98" s="20">
        <f t="shared" si="11"/>
        <v>2.7967270465466099</v>
      </c>
      <c r="Q98" s="20">
        <f>MAX($P$5:P98)</f>
        <v>3.6627296353511571</v>
      </c>
      <c r="R98" s="15">
        <f t="shared" si="10"/>
        <v>-0.23643639444370868</v>
      </c>
      <c r="S98" s="15">
        <f>O98-Benchmark_RF!D98</f>
        <v>1.2410427288125175E-2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IF(Rankings!C95&lt;=3,1,0)</f>
        <v>0</v>
      </c>
      <c r="D99" s="16">
        <f>IF(Rankings!D95&lt;=3,1,0)</f>
        <v>1</v>
      </c>
      <c r="E99" s="16">
        <f>IF(Rankings!E95&lt;=3,1,0)</f>
        <v>0</v>
      </c>
      <c r="F99" s="16">
        <f>IF(Rankings!F95&lt;=3,1,0)</f>
        <v>0</v>
      </c>
      <c r="G99" s="16">
        <f>IF(Rankings!G95&lt;=3,1,0)</f>
        <v>1</v>
      </c>
      <c r="H99" s="16">
        <f>IF(Rankings!H95&lt;=3,1,0)</f>
        <v>0</v>
      </c>
      <c r="I99" s="16">
        <f>IF(Rankings!I95&lt;=3,1,0)</f>
        <v>1</v>
      </c>
      <c r="J99" s="16">
        <f>IF(Rankings!J95&lt;=3,1,0)</f>
        <v>0</v>
      </c>
      <c r="K99" s="19">
        <f t="shared" si="8"/>
        <v>3</v>
      </c>
      <c r="L99" s="15">
        <f>SUMPRODUCT(C99:J99,Returns!B103:I103)/K99</f>
        <v>7.7020034687858381E-3</v>
      </c>
      <c r="M99" s="15">
        <v>0</v>
      </c>
      <c r="N99" s="15">
        <v>0</v>
      </c>
      <c r="O99" s="15">
        <f t="shared" si="9"/>
        <v>7.7020034687858381E-3</v>
      </c>
      <c r="P99" s="20">
        <f t="shared" si="11"/>
        <v>2.8182674479603591</v>
      </c>
      <c r="Q99" s="20">
        <f>MAX($P$5:P99)</f>
        <v>3.6627296353511571</v>
      </c>
      <c r="R99" s="15">
        <f t="shared" si="10"/>
        <v>-0.23055542490507541</v>
      </c>
      <c r="S99" s="15">
        <f>O99-Benchmark_RF!D99</f>
        <v>-9.0000154100670811E-3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IF(Rankings!C95&lt;=3,1,0)</f>
        <v>0</v>
      </c>
      <c r="D100" s="16">
        <f>IF(Rankings!D95&lt;=3,1,0)</f>
        <v>1</v>
      </c>
      <c r="E100" s="16">
        <f>IF(Rankings!E95&lt;=3,1,0)</f>
        <v>0</v>
      </c>
      <c r="F100" s="16">
        <f>IF(Rankings!F95&lt;=3,1,0)</f>
        <v>0</v>
      </c>
      <c r="G100" s="16">
        <f>IF(Rankings!G95&lt;=3,1,0)</f>
        <v>1</v>
      </c>
      <c r="H100" s="16">
        <f>IF(Rankings!H95&lt;=3,1,0)</f>
        <v>0</v>
      </c>
      <c r="I100" s="16">
        <f>IF(Rankings!I95&lt;=3,1,0)</f>
        <v>1</v>
      </c>
      <c r="J100" s="16">
        <f>IF(Rankings!J95&lt;=3,1,0)</f>
        <v>0</v>
      </c>
      <c r="K100" s="19">
        <f t="shared" si="8"/>
        <v>3</v>
      </c>
      <c r="L100" s="15">
        <f>SUMPRODUCT(C100:J100,Returns!B104:I104)/K100</f>
        <v>0.35305204796567585</v>
      </c>
      <c r="M100" s="15">
        <v>0</v>
      </c>
      <c r="N100" s="15">
        <v>0</v>
      </c>
      <c r="O100" s="15">
        <f t="shared" si="9"/>
        <v>0.35305204796567585</v>
      </c>
      <c r="P100" s="20">
        <f t="shared" si="11"/>
        <v>3.8132625421777626</v>
      </c>
      <c r="Q100" s="20">
        <f>MAX($P$5:P100)</f>
        <v>3.8132625421777626</v>
      </c>
      <c r="R100" s="15">
        <f t="shared" si="10"/>
        <v>0</v>
      </c>
      <c r="S100" s="15">
        <f>O100-Benchmark_RF!D100</f>
        <v>0.33572195501188157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IF(Rankings!C107&lt;=3,1,0)</f>
        <v>1</v>
      </c>
      <c r="D101" s="16">
        <f>IF(Rankings!D107&lt;=3,1,0)</f>
        <v>0</v>
      </c>
      <c r="E101" s="16">
        <f>IF(Rankings!E107&lt;=3,1,0)</f>
        <v>0</v>
      </c>
      <c r="F101" s="16">
        <f>IF(Rankings!F107&lt;=3,1,0)</f>
        <v>1</v>
      </c>
      <c r="G101" s="16">
        <f>IF(Rankings!G107&lt;=3,1,0)</f>
        <v>0</v>
      </c>
      <c r="H101" s="16">
        <f>IF(Rankings!H107&lt;=3,1,0)</f>
        <v>1</v>
      </c>
      <c r="I101" s="16">
        <f>IF(Rankings!I107&lt;=3,1,0)</f>
        <v>0</v>
      </c>
      <c r="J101" s="16">
        <f>IF(Rankings!J107&lt;=3,1,0)</f>
        <v>0</v>
      </c>
      <c r="K101" s="19">
        <f t="shared" ref="K101:K132" si="12">SUM(C101:J101)</f>
        <v>3</v>
      </c>
      <c r="L101" s="15">
        <f>SUMPRODUCT(C101:J101,Returns!B105:I105)/K101</f>
        <v>-6.6123478279765571E-2</v>
      </c>
      <c r="M101" s="15">
        <f>-2*Assumptions!$B$13</f>
        <v>-7.0000000000000001E-3</v>
      </c>
      <c r="N101" s="15">
        <f>-Assumptions!$B$16*MAX(0,(1+O89)*(1+O90)*(1+O91)*(1+O92)*(1+O93)*(1+O94)*(1+O95)*(1+O96)*(1+O97)*(1+O98)*(1+O99)*(1+O100)-1)</f>
        <v>-4.6414237444098991E-2</v>
      </c>
      <c r="O101" s="15">
        <f t="shared" ref="O101:O132" si="13">L101+M101+N101</f>
        <v>-0.11953771572386457</v>
      </c>
      <c r="P101" s="20">
        <f t="shared" si="11"/>
        <v>3.357433848430456</v>
      </c>
      <c r="Q101" s="20">
        <f>MAX($P$5:P101)</f>
        <v>3.8132625421777626</v>
      </c>
      <c r="R101" s="15">
        <f t="shared" ref="R101:R132" si="14">P101/Q101-1</f>
        <v>-0.11953771572386462</v>
      </c>
      <c r="S101" s="15">
        <f>O101-Benchmark_RF!D101</f>
        <v>-0.13684890558358903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IF(Rankings!C107&lt;=3,1,0)</f>
        <v>1</v>
      </c>
      <c r="D102" s="16">
        <f>IF(Rankings!D107&lt;=3,1,0)</f>
        <v>0</v>
      </c>
      <c r="E102" s="16">
        <f>IF(Rankings!E107&lt;=3,1,0)</f>
        <v>0</v>
      </c>
      <c r="F102" s="16">
        <f>IF(Rankings!F107&lt;=3,1,0)</f>
        <v>1</v>
      </c>
      <c r="G102" s="16">
        <f>IF(Rankings!G107&lt;=3,1,0)</f>
        <v>0</v>
      </c>
      <c r="H102" s="16">
        <f>IF(Rankings!H107&lt;=3,1,0)</f>
        <v>1</v>
      </c>
      <c r="I102" s="16">
        <f>IF(Rankings!I107&lt;=3,1,0)</f>
        <v>0</v>
      </c>
      <c r="J102" s="16">
        <f>IF(Rankings!J107&lt;=3,1,0)</f>
        <v>0</v>
      </c>
      <c r="K102" s="19">
        <f t="shared" si="12"/>
        <v>3</v>
      </c>
      <c r="L102" s="15">
        <f>SUMPRODUCT(C102:J102,Returns!B106:I106)/K102</f>
        <v>2.812524782834521E-3</v>
      </c>
      <c r="M102" s="15">
        <v>0</v>
      </c>
      <c r="N102" s="15">
        <v>0</v>
      </c>
      <c r="O102" s="15">
        <f t="shared" si="13"/>
        <v>2.812524782834521E-3</v>
      </c>
      <c r="P102" s="20">
        <f t="shared" ref="P102:P133" si="15">P101*(1+O102)</f>
        <v>3.3668767143358944</v>
      </c>
      <c r="Q102" s="20">
        <f>MAX($P$5:P102)</f>
        <v>3.8132625421777626</v>
      </c>
      <c r="R102" s="15">
        <f t="shared" si="14"/>
        <v>-0.11706139372898683</v>
      </c>
      <c r="S102" s="15">
        <f>O102-Benchmark_RF!D102</f>
        <v>-1.4420251881429183E-2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IF(Rankings!C107&lt;=3,1,0)</f>
        <v>1</v>
      </c>
      <c r="D103" s="16">
        <f>IF(Rankings!D107&lt;=3,1,0)</f>
        <v>0</v>
      </c>
      <c r="E103" s="16">
        <f>IF(Rankings!E107&lt;=3,1,0)</f>
        <v>0</v>
      </c>
      <c r="F103" s="16">
        <f>IF(Rankings!F107&lt;=3,1,0)</f>
        <v>1</v>
      </c>
      <c r="G103" s="16">
        <f>IF(Rankings!G107&lt;=3,1,0)</f>
        <v>0</v>
      </c>
      <c r="H103" s="16">
        <f>IF(Rankings!H107&lt;=3,1,0)</f>
        <v>1</v>
      </c>
      <c r="I103" s="16">
        <f>IF(Rankings!I107&lt;=3,1,0)</f>
        <v>0</v>
      </c>
      <c r="J103" s="16">
        <f>IF(Rankings!J107&lt;=3,1,0)</f>
        <v>0</v>
      </c>
      <c r="K103" s="19">
        <f t="shared" si="12"/>
        <v>3</v>
      </c>
      <c r="L103" s="15">
        <f>SUMPRODUCT(C103:J103,Returns!B107:I107)/K103</f>
        <v>0.11072909396694712</v>
      </c>
      <c r="M103" s="15">
        <v>0</v>
      </c>
      <c r="N103" s="15">
        <v>0</v>
      </c>
      <c r="O103" s="15">
        <f t="shared" si="13"/>
        <v>0.11072909396694712</v>
      </c>
      <c r="P103" s="20">
        <f t="shared" si="15"/>
        <v>3.73968792241272</v>
      </c>
      <c r="Q103" s="20">
        <f>MAX($P$5:P103)</f>
        <v>3.8132625421777626</v>
      </c>
      <c r="R103" s="15">
        <f t="shared" si="14"/>
        <v>-1.9294401828158447E-2</v>
      </c>
      <c r="S103" s="15">
        <f>O103-Benchmark_RF!D103</f>
        <v>9.3922954926088195E-2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IF(Rankings!C107&lt;=3,1,0)</f>
        <v>1</v>
      </c>
      <c r="D104" s="16">
        <f>IF(Rankings!D107&lt;=3,1,0)</f>
        <v>0</v>
      </c>
      <c r="E104" s="16">
        <f>IF(Rankings!E107&lt;=3,1,0)</f>
        <v>0</v>
      </c>
      <c r="F104" s="16">
        <f>IF(Rankings!F107&lt;=3,1,0)</f>
        <v>1</v>
      </c>
      <c r="G104" s="16">
        <f>IF(Rankings!G107&lt;=3,1,0)</f>
        <v>0</v>
      </c>
      <c r="H104" s="16">
        <f>IF(Rankings!H107&lt;=3,1,0)</f>
        <v>1</v>
      </c>
      <c r="I104" s="16">
        <f>IF(Rankings!I107&lt;=3,1,0)</f>
        <v>0</v>
      </c>
      <c r="J104" s="16">
        <f>IF(Rankings!J107&lt;=3,1,0)</f>
        <v>0</v>
      </c>
      <c r="K104" s="19">
        <f t="shared" si="12"/>
        <v>3</v>
      </c>
      <c r="L104" s="15">
        <f>SUMPRODUCT(C104:J104,Returns!B108:I108)/K104</f>
        <v>8.9413274250456379E-2</v>
      </c>
      <c r="M104" s="15">
        <v>0</v>
      </c>
      <c r="N104" s="15">
        <v>0</v>
      </c>
      <c r="O104" s="15">
        <f t="shared" si="13"/>
        <v>8.9413274250456379E-2</v>
      </c>
      <c r="P104" s="20">
        <f t="shared" si="15"/>
        <v>4.0740656642305275</v>
      </c>
      <c r="Q104" s="20">
        <f>MAX($P$5:P104)</f>
        <v>4.0740656642305275</v>
      </c>
      <c r="R104" s="15">
        <f t="shared" si="14"/>
        <v>0</v>
      </c>
      <c r="S104" s="15">
        <f>O104-Benchmark_RF!D104</f>
        <v>7.3163803211199266E-2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IF(Rankings!C107&lt;=3,1,0)</f>
        <v>1</v>
      </c>
      <c r="D105" s="16">
        <f>IF(Rankings!D107&lt;=3,1,0)</f>
        <v>0</v>
      </c>
      <c r="E105" s="16">
        <f>IF(Rankings!E107&lt;=3,1,0)</f>
        <v>0</v>
      </c>
      <c r="F105" s="16">
        <f>IF(Rankings!F107&lt;=3,1,0)</f>
        <v>1</v>
      </c>
      <c r="G105" s="16">
        <f>IF(Rankings!G107&lt;=3,1,0)</f>
        <v>0</v>
      </c>
      <c r="H105" s="16">
        <f>IF(Rankings!H107&lt;=3,1,0)</f>
        <v>1</v>
      </c>
      <c r="I105" s="16">
        <f>IF(Rankings!I107&lt;=3,1,0)</f>
        <v>0</v>
      </c>
      <c r="J105" s="16">
        <f>IF(Rankings!J107&lt;=3,1,0)</f>
        <v>0</v>
      </c>
      <c r="K105" s="19">
        <f t="shared" si="12"/>
        <v>3</v>
      </c>
      <c r="L105" s="15">
        <f>SUMPRODUCT(C105:J105,Returns!B109:I109)/K105</f>
        <v>2.2153924220522796E-2</v>
      </c>
      <c r="M105" s="15">
        <v>0</v>
      </c>
      <c r="N105" s="15">
        <v>0</v>
      </c>
      <c r="O105" s="15">
        <f t="shared" si="13"/>
        <v>2.2153924220522796E-2</v>
      </c>
      <c r="P105" s="20">
        <f t="shared" si="15"/>
        <v>4.1643222062253251</v>
      </c>
      <c r="Q105" s="20">
        <f>MAX($P$5:P105)</f>
        <v>4.1643222062253251</v>
      </c>
      <c r="R105" s="15">
        <f t="shared" si="14"/>
        <v>0</v>
      </c>
      <c r="S105" s="15">
        <f>O105-Benchmark_RF!D105</f>
        <v>5.9184129396855738E-3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IF(Rankings!C107&lt;=3,1,0)</f>
        <v>1</v>
      </c>
      <c r="D106" s="16">
        <f>IF(Rankings!D107&lt;=3,1,0)</f>
        <v>0</v>
      </c>
      <c r="E106" s="16">
        <f>IF(Rankings!E107&lt;=3,1,0)</f>
        <v>0</v>
      </c>
      <c r="F106" s="16">
        <f>IF(Rankings!F107&lt;=3,1,0)</f>
        <v>1</v>
      </c>
      <c r="G106" s="16">
        <f>IF(Rankings!G107&lt;=3,1,0)</f>
        <v>0</v>
      </c>
      <c r="H106" s="16">
        <f>IF(Rankings!H107&lt;=3,1,0)</f>
        <v>1</v>
      </c>
      <c r="I106" s="16">
        <f>IF(Rankings!I107&lt;=3,1,0)</f>
        <v>0</v>
      </c>
      <c r="J106" s="16">
        <f>IF(Rankings!J107&lt;=3,1,0)</f>
        <v>0</v>
      </c>
      <c r="K106" s="19">
        <f t="shared" si="12"/>
        <v>3</v>
      </c>
      <c r="L106" s="15">
        <f>SUMPRODUCT(C106:J106,Returns!B110:I110)/K106</f>
        <v>8.1999504070986259E-2</v>
      </c>
      <c r="M106" s="15">
        <v>0</v>
      </c>
      <c r="N106" s="15">
        <v>0</v>
      </c>
      <c r="O106" s="15">
        <f t="shared" si="13"/>
        <v>8.1999504070986259E-2</v>
      </c>
      <c r="P106" s="20">
        <f t="shared" si="15"/>
        <v>4.5057945619275968</v>
      </c>
      <c r="Q106" s="20">
        <f>MAX($P$5:P106)</f>
        <v>4.5057945619275968</v>
      </c>
      <c r="R106" s="15">
        <f t="shared" si="14"/>
        <v>0</v>
      </c>
      <c r="S106" s="15">
        <f>O106-Benchmark_RF!D106</f>
        <v>6.6010590381884435E-2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IF(Rankings!C107&lt;=3,1,0)</f>
        <v>1</v>
      </c>
      <c r="D107" s="16">
        <f>IF(Rankings!D107&lt;=3,1,0)</f>
        <v>0</v>
      </c>
      <c r="E107" s="16">
        <f>IF(Rankings!E107&lt;=3,1,0)</f>
        <v>0</v>
      </c>
      <c r="F107" s="16">
        <f>IF(Rankings!F107&lt;=3,1,0)</f>
        <v>1</v>
      </c>
      <c r="G107" s="16">
        <f>IF(Rankings!G107&lt;=3,1,0)</f>
        <v>0</v>
      </c>
      <c r="H107" s="16">
        <f>IF(Rankings!H107&lt;=3,1,0)</f>
        <v>1</v>
      </c>
      <c r="I107" s="16">
        <f>IF(Rankings!I107&lt;=3,1,0)</f>
        <v>0</v>
      </c>
      <c r="J107" s="16">
        <f>IF(Rankings!J107&lt;=3,1,0)</f>
        <v>0</v>
      </c>
      <c r="K107" s="19">
        <f t="shared" si="12"/>
        <v>3</v>
      </c>
      <c r="L107" s="15">
        <f>SUMPRODUCT(C107:J107,Returns!B111:I111)/K107</f>
        <v>3.0888550200061465E-2</v>
      </c>
      <c r="M107" s="15">
        <v>0</v>
      </c>
      <c r="N107" s="15">
        <v>0</v>
      </c>
      <c r="O107" s="15">
        <f t="shared" si="13"/>
        <v>3.0888550200061465E-2</v>
      </c>
      <c r="P107" s="20">
        <f t="shared" si="15"/>
        <v>4.6449720234448613</v>
      </c>
      <c r="Q107" s="20">
        <f>MAX($P$5:P107)</f>
        <v>4.6449720234448613</v>
      </c>
      <c r="R107" s="15">
        <f t="shared" si="14"/>
        <v>0</v>
      </c>
      <c r="S107" s="15">
        <f>O107-Benchmark_RF!D107</f>
        <v>1.4660019589528266E-2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IF(Rankings!C107&lt;=3,1,0)</f>
        <v>1</v>
      </c>
      <c r="D108" s="16">
        <f>IF(Rankings!D107&lt;=3,1,0)</f>
        <v>0</v>
      </c>
      <c r="E108" s="16">
        <f>IF(Rankings!E107&lt;=3,1,0)</f>
        <v>0</v>
      </c>
      <c r="F108" s="16">
        <f>IF(Rankings!F107&lt;=3,1,0)</f>
        <v>1</v>
      </c>
      <c r="G108" s="16">
        <f>IF(Rankings!G107&lt;=3,1,0)</f>
        <v>0</v>
      </c>
      <c r="H108" s="16">
        <f>IF(Rankings!H107&lt;=3,1,0)</f>
        <v>1</v>
      </c>
      <c r="I108" s="16">
        <f>IF(Rankings!I107&lt;=3,1,0)</f>
        <v>0</v>
      </c>
      <c r="J108" s="16">
        <f>IF(Rankings!J107&lt;=3,1,0)</f>
        <v>0</v>
      </c>
      <c r="K108" s="19">
        <f t="shared" si="12"/>
        <v>3</v>
      </c>
      <c r="L108" s="15">
        <f>SUMPRODUCT(C108:J108,Returns!B112:I112)/K108</f>
        <v>1.6013382510673413E-2</v>
      </c>
      <c r="M108" s="15">
        <v>0</v>
      </c>
      <c r="N108" s="15">
        <v>0</v>
      </c>
      <c r="O108" s="15">
        <f t="shared" si="13"/>
        <v>1.6013382510673413E-2</v>
      </c>
      <c r="P108" s="20">
        <f t="shared" si="15"/>
        <v>4.7193537372076602</v>
      </c>
      <c r="Q108" s="20">
        <f>MAX($P$5:P108)</f>
        <v>4.7193537372076602</v>
      </c>
      <c r="R108" s="15">
        <f t="shared" si="14"/>
        <v>0</v>
      </c>
      <c r="S108" s="15">
        <f>O108-Benchmark_RF!D108</f>
        <v>-2.9888135185363041E-4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IF(Rankings!C107&lt;=3,1,0)</f>
        <v>1</v>
      </c>
      <c r="D109" s="16">
        <f>IF(Rankings!D107&lt;=3,1,0)</f>
        <v>0</v>
      </c>
      <c r="E109" s="16">
        <f>IF(Rankings!E107&lt;=3,1,0)</f>
        <v>0</v>
      </c>
      <c r="F109" s="16">
        <f>IF(Rankings!F107&lt;=3,1,0)</f>
        <v>1</v>
      </c>
      <c r="G109" s="16">
        <f>IF(Rankings!G107&lt;=3,1,0)</f>
        <v>0</v>
      </c>
      <c r="H109" s="16">
        <f>IF(Rankings!H107&lt;=3,1,0)</f>
        <v>1</v>
      </c>
      <c r="I109" s="16">
        <f>IF(Rankings!I107&lt;=3,1,0)</f>
        <v>0</v>
      </c>
      <c r="J109" s="16">
        <f>IF(Rankings!J107&lt;=3,1,0)</f>
        <v>0</v>
      </c>
      <c r="K109" s="19">
        <f t="shared" si="12"/>
        <v>3</v>
      </c>
      <c r="L109" s="15">
        <f>SUMPRODUCT(C109:J109,Returns!B113:I113)/K109</f>
        <v>9.4179328873761639E-2</v>
      </c>
      <c r="M109" s="15">
        <v>0</v>
      </c>
      <c r="N109" s="15">
        <v>0</v>
      </c>
      <c r="O109" s="15">
        <f t="shared" si="13"/>
        <v>9.4179328873761639E-2</v>
      </c>
      <c r="P109" s="20">
        <f t="shared" si="15"/>
        <v>5.1638193048957559</v>
      </c>
      <c r="Q109" s="20">
        <f>MAX($P$5:P109)</f>
        <v>5.1638193048957559</v>
      </c>
      <c r="R109" s="15">
        <f t="shared" si="14"/>
        <v>0</v>
      </c>
      <c r="S109" s="15">
        <f>O109-Benchmark_RF!D109</f>
        <v>7.7755538588398856E-2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IF(Rankings!C107&lt;=3,1,0)</f>
        <v>1</v>
      </c>
      <c r="D110" s="16">
        <f>IF(Rankings!D107&lt;=3,1,0)</f>
        <v>0</v>
      </c>
      <c r="E110" s="16">
        <f>IF(Rankings!E107&lt;=3,1,0)</f>
        <v>0</v>
      </c>
      <c r="F110" s="16">
        <f>IF(Rankings!F107&lt;=3,1,0)</f>
        <v>1</v>
      </c>
      <c r="G110" s="16">
        <f>IF(Rankings!G107&lt;=3,1,0)</f>
        <v>0</v>
      </c>
      <c r="H110" s="16">
        <f>IF(Rankings!H107&lt;=3,1,0)</f>
        <v>1</v>
      </c>
      <c r="I110" s="16">
        <f>IF(Rankings!I107&lt;=3,1,0)</f>
        <v>0</v>
      </c>
      <c r="J110" s="16">
        <f>IF(Rankings!J107&lt;=3,1,0)</f>
        <v>0</v>
      </c>
      <c r="K110" s="19">
        <f t="shared" si="12"/>
        <v>3</v>
      </c>
      <c r="L110" s="15">
        <f>SUMPRODUCT(C110:J110,Returns!B114:I114)/K110</f>
        <v>-1.1559548688651536E-2</v>
      </c>
      <c r="M110" s="15">
        <v>0</v>
      </c>
      <c r="N110" s="15">
        <v>0</v>
      </c>
      <c r="O110" s="15">
        <f t="shared" si="13"/>
        <v>-1.1559548688651536E-2</v>
      </c>
      <c r="P110" s="20">
        <f t="shared" si="15"/>
        <v>5.1041278842214153</v>
      </c>
      <c r="Q110" s="20">
        <f>MAX($P$5:P110)</f>
        <v>5.1638193048957559</v>
      </c>
      <c r="R110" s="15">
        <f t="shared" si="14"/>
        <v>-1.1559548688651389E-2</v>
      </c>
      <c r="S110" s="15">
        <f>O110-Benchmark_RF!D110</f>
        <v>-2.752942295572728E-2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IF(Rankings!C107&lt;=3,1,0)</f>
        <v>1</v>
      </c>
      <c r="D111" s="16">
        <f>IF(Rankings!D107&lt;=3,1,0)</f>
        <v>0</v>
      </c>
      <c r="E111" s="16">
        <f>IF(Rankings!E107&lt;=3,1,0)</f>
        <v>0</v>
      </c>
      <c r="F111" s="16">
        <f>IF(Rankings!F107&lt;=3,1,0)</f>
        <v>1</v>
      </c>
      <c r="G111" s="16">
        <f>IF(Rankings!G107&lt;=3,1,0)</f>
        <v>0</v>
      </c>
      <c r="H111" s="16">
        <f>IF(Rankings!H107&lt;=3,1,0)</f>
        <v>1</v>
      </c>
      <c r="I111" s="16">
        <f>IF(Rankings!I107&lt;=3,1,0)</f>
        <v>0</v>
      </c>
      <c r="J111" s="16">
        <f>IF(Rankings!J107&lt;=3,1,0)</f>
        <v>0</v>
      </c>
      <c r="K111" s="19">
        <f t="shared" si="12"/>
        <v>3</v>
      </c>
      <c r="L111" s="15">
        <f>SUMPRODUCT(C111:J111,Returns!B115:I115)/K111</f>
        <v>8.5586435967483984E-2</v>
      </c>
      <c r="M111" s="15">
        <v>0</v>
      </c>
      <c r="N111" s="15">
        <v>0</v>
      </c>
      <c r="O111" s="15">
        <f t="shared" si="13"/>
        <v>8.5586435967483984E-2</v>
      </c>
      <c r="P111" s="20">
        <f t="shared" si="15"/>
        <v>5.5409719985541814</v>
      </c>
      <c r="Q111" s="20">
        <f>MAX($P$5:P111)</f>
        <v>5.5409719985541814</v>
      </c>
      <c r="R111" s="15">
        <f t="shared" si="14"/>
        <v>0</v>
      </c>
      <c r="S111" s="15">
        <f>O111-Benchmark_RF!D111</f>
        <v>7.0266742431604953E-2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IF(Rankings!C107&lt;=3,1,0)</f>
        <v>1</v>
      </c>
      <c r="D112" s="16">
        <f>IF(Rankings!D107&lt;=3,1,0)</f>
        <v>0</v>
      </c>
      <c r="E112" s="16">
        <f>IF(Rankings!E107&lt;=3,1,0)</f>
        <v>0</v>
      </c>
      <c r="F112" s="16">
        <f>IF(Rankings!F107&lt;=3,1,0)</f>
        <v>1</v>
      </c>
      <c r="G112" s="16">
        <f>IF(Rankings!G107&lt;=3,1,0)</f>
        <v>0</v>
      </c>
      <c r="H112" s="16">
        <f>IF(Rankings!H107&lt;=3,1,0)</f>
        <v>1</v>
      </c>
      <c r="I112" s="16">
        <f>IF(Rankings!I107&lt;=3,1,0)</f>
        <v>0</v>
      </c>
      <c r="J112" s="16">
        <f>IF(Rankings!J107&lt;=3,1,0)</f>
        <v>0</v>
      </c>
      <c r="K112" s="19">
        <f t="shared" si="12"/>
        <v>3</v>
      </c>
      <c r="L112" s="15">
        <f>SUMPRODUCT(C112:J112,Returns!B116:I116)/K112</f>
        <v>2.2213589498914277E-2</v>
      </c>
      <c r="M112" s="15">
        <v>0</v>
      </c>
      <c r="N112" s="15">
        <v>0</v>
      </c>
      <c r="O112" s="15">
        <f t="shared" si="13"/>
        <v>2.2213589498914277E-2</v>
      </c>
      <c r="P112" s="20">
        <f t="shared" si="15"/>
        <v>5.6640568759550431</v>
      </c>
      <c r="Q112" s="20">
        <f>MAX($P$5:P112)</f>
        <v>5.6640568759550431</v>
      </c>
      <c r="R112" s="15">
        <f t="shared" si="14"/>
        <v>0</v>
      </c>
      <c r="S112" s="15">
        <f>O112-Benchmark_RF!D112</f>
        <v>7.2644101267719252E-3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IF(Rankings!C119&lt;=3,1,0)</f>
        <v>1</v>
      </c>
      <c r="D113" s="16">
        <f>IF(Rankings!D119&lt;=3,1,0)</f>
        <v>0</v>
      </c>
      <c r="E113" s="16">
        <f>IF(Rankings!E119&lt;=3,1,0)</f>
        <v>0</v>
      </c>
      <c r="F113" s="16">
        <f>IF(Rankings!F119&lt;=3,1,0)</f>
        <v>0</v>
      </c>
      <c r="G113" s="16">
        <f>IF(Rankings!G119&lt;=3,1,0)</f>
        <v>1</v>
      </c>
      <c r="H113" s="16">
        <f>IF(Rankings!H119&lt;=3,1,0)</f>
        <v>1</v>
      </c>
      <c r="I113" s="16">
        <f>IF(Rankings!I119&lt;=3,1,0)</f>
        <v>0</v>
      </c>
      <c r="J113" s="16">
        <f>IF(Rankings!J119&lt;=3,1,0)</f>
        <v>0</v>
      </c>
      <c r="K113" s="19">
        <f t="shared" si="12"/>
        <v>3</v>
      </c>
      <c r="L113" s="15">
        <f>SUMPRODUCT(C113:J113,Returns!B117:I117)/K113</f>
        <v>-6.7496317429157253E-3</v>
      </c>
      <c r="M113" s="15">
        <f>-2*Assumptions!$B$13</f>
        <v>-7.0000000000000001E-3</v>
      </c>
      <c r="N113" s="15">
        <f>-Assumptions!$B$16*MAX(0,(1+O101)*(1+O102)*(1+O103)*(1+O104)*(1+O105)*(1+O106)*(1+O107)*(1+O108)*(1+O109)*(1+O110)*(1+O111)*(1+O112)-1)</f>
        <v>-7.2803576201717068E-2</v>
      </c>
      <c r="O113" s="15">
        <f t="shared" si="13"/>
        <v>-8.6553207944632796E-2</v>
      </c>
      <c r="P113" s="20">
        <f t="shared" si="15"/>
        <v>5.1738145833602784</v>
      </c>
      <c r="Q113" s="20">
        <f>MAX($P$5:P113)</f>
        <v>5.6640568759550431</v>
      </c>
      <c r="R113" s="15">
        <f t="shared" si="14"/>
        <v>-8.6553207944632948E-2</v>
      </c>
      <c r="S113" s="15">
        <f>O113-Benchmark_RF!D113</f>
        <v>-0.10006136267687522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IF(Rankings!C119&lt;=3,1,0)</f>
        <v>1</v>
      </c>
      <c r="D114" s="16">
        <f>IF(Rankings!D119&lt;=3,1,0)</f>
        <v>0</v>
      </c>
      <c r="E114" s="16">
        <f>IF(Rankings!E119&lt;=3,1,0)</f>
        <v>0</v>
      </c>
      <c r="F114" s="16">
        <f>IF(Rankings!F119&lt;=3,1,0)</f>
        <v>0</v>
      </c>
      <c r="G114" s="16">
        <f>IF(Rankings!G119&lt;=3,1,0)</f>
        <v>1</v>
      </c>
      <c r="H114" s="16">
        <f>IF(Rankings!H119&lt;=3,1,0)</f>
        <v>1</v>
      </c>
      <c r="I114" s="16">
        <f>IF(Rankings!I119&lt;=3,1,0)</f>
        <v>0</v>
      </c>
      <c r="J114" s="16">
        <f>IF(Rankings!J119&lt;=3,1,0)</f>
        <v>0</v>
      </c>
      <c r="K114" s="19">
        <f t="shared" si="12"/>
        <v>3</v>
      </c>
      <c r="L114" s="15">
        <f>SUMPRODUCT(C114:J114,Returns!B118:I118)/K114</f>
        <v>0.12458640830189742</v>
      </c>
      <c r="M114" s="15">
        <v>0</v>
      </c>
      <c r="N114" s="15">
        <v>0</v>
      </c>
      <c r="O114" s="15">
        <f t="shared" si="13"/>
        <v>0.12458640830189742</v>
      </c>
      <c r="P114" s="20">
        <f t="shared" si="15"/>
        <v>5.8184015595211136</v>
      </c>
      <c r="Q114" s="20">
        <f>MAX($P$5:P114)</f>
        <v>5.8184015595211136</v>
      </c>
      <c r="R114" s="15">
        <f t="shared" si="14"/>
        <v>0</v>
      </c>
      <c r="S114" s="15">
        <f>O114-Benchmark_RF!D114</f>
        <v>0.11112140269269914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IF(Rankings!C119&lt;=3,1,0)</f>
        <v>1</v>
      </c>
      <c r="D115" s="16">
        <f>IF(Rankings!D119&lt;=3,1,0)</f>
        <v>0</v>
      </c>
      <c r="E115" s="16">
        <f>IF(Rankings!E119&lt;=3,1,0)</f>
        <v>0</v>
      </c>
      <c r="F115" s="16">
        <f>IF(Rankings!F119&lt;=3,1,0)</f>
        <v>0</v>
      </c>
      <c r="G115" s="16">
        <f>IF(Rankings!G119&lt;=3,1,0)</f>
        <v>1</v>
      </c>
      <c r="H115" s="16">
        <f>IF(Rankings!H119&lt;=3,1,0)</f>
        <v>1</v>
      </c>
      <c r="I115" s="16">
        <f>IF(Rankings!I119&lt;=3,1,0)</f>
        <v>0</v>
      </c>
      <c r="J115" s="16">
        <f>IF(Rankings!J119&lt;=3,1,0)</f>
        <v>0</v>
      </c>
      <c r="K115" s="19">
        <f t="shared" si="12"/>
        <v>3</v>
      </c>
      <c r="L115" s="15">
        <f>SUMPRODUCT(C115:J115,Returns!B119:I119)/K115</f>
        <v>0.15473191693544211</v>
      </c>
      <c r="M115" s="15">
        <v>0</v>
      </c>
      <c r="N115" s="15">
        <v>0</v>
      </c>
      <c r="O115" s="15">
        <f t="shared" si="13"/>
        <v>0.15473191693544211</v>
      </c>
      <c r="P115" s="20">
        <f t="shared" si="15"/>
        <v>6.7186939863259818</v>
      </c>
      <c r="Q115" s="20">
        <f>MAX($P$5:P115)</f>
        <v>6.7186939863259818</v>
      </c>
      <c r="R115" s="15">
        <f t="shared" si="14"/>
        <v>0</v>
      </c>
      <c r="S115" s="15">
        <f>O115-Benchmark_RF!D115</f>
        <v>0.14384918778696135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IF(Rankings!C119&lt;=3,1,0)</f>
        <v>1</v>
      </c>
      <c r="D116" s="16">
        <f>IF(Rankings!D119&lt;=3,1,0)</f>
        <v>0</v>
      </c>
      <c r="E116" s="16">
        <f>IF(Rankings!E119&lt;=3,1,0)</f>
        <v>0</v>
      </c>
      <c r="F116" s="16">
        <f>IF(Rankings!F119&lt;=3,1,0)</f>
        <v>0</v>
      </c>
      <c r="G116" s="16">
        <f>IF(Rankings!G119&lt;=3,1,0)</f>
        <v>1</v>
      </c>
      <c r="H116" s="16">
        <f>IF(Rankings!H119&lt;=3,1,0)</f>
        <v>1</v>
      </c>
      <c r="I116" s="16">
        <f>IF(Rankings!I119&lt;=3,1,0)</f>
        <v>0</v>
      </c>
      <c r="J116" s="16">
        <f>IF(Rankings!J119&lt;=3,1,0)</f>
        <v>0</v>
      </c>
      <c r="K116" s="19">
        <f t="shared" si="12"/>
        <v>3</v>
      </c>
      <c r="L116" s="15">
        <f>SUMPRODUCT(C116:J116,Returns!B120:I120)/K116</f>
        <v>0.14773551242247937</v>
      </c>
      <c r="M116" s="15">
        <v>0</v>
      </c>
      <c r="N116" s="15">
        <v>0</v>
      </c>
      <c r="O116" s="15">
        <f t="shared" si="13"/>
        <v>0.14773551242247937</v>
      </c>
      <c r="P116" s="20">
        <f t="shared" si="15"/>
        <v>7.7112836852056805</v>
      </c>
      <c r="Q116" s="20">
        <f>MAX($P$5:P116)</f>
        <v>7.7112836852056805</v>
      </c>
      <c r="R116" s="15">
        <f t="shared" si="14"/>
        <v>0</v>
      </c>
      <c r="S116" s="15">
        <f>O116-Benchmark_RF!D116</f>
        <v>0.13685278327399861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IF(Rankings!C119&lt;=3,1,0)</f>
        <v>1</v>
      </c>
      <c r="D117" s="16">
        <f>IF(Rankings!D119&lt;=3,1,0)</f>
        <v>0</v>
      </c>
      <c r="E117" s="16">
        <f>IF(Rankings!E119&lt;=3,1,0)</f>
        <v>0</v>
      </c>
      <c r="F117" s="16">
        <f>IF(Rankings!F119&lt;=3,1,0)</f>
        <v>0</v>
      </c>
      <c r="G117" s="16">
        <f>IF(Rankings!G119&lt;=3,1,0)</f>
        <v>1</v>
      </c>
      <c r="H117" s="16">
        <f>IF(Rankings!H119&lt;=3,1,0)</f>
        <v>1</v>
      </c>
      <c r="I117" s="16">
        <f>IF(Rankings!I119&lt;=3,1,0)</f>
        <v>0</v>
      </c>
      <c r="J117" s="16">
        <f>IF(Rankings!J119&lt;=3,1,0)</f>
        <v>0</v>
      </c>
      <c r="K117" s="19">
        <f t="shared" si="12"/>
        <v>3</v>
      </c>
      <c r="L117" s="15">
        <f>SUMPRODUCT(C117:J117,Returns!B121:I121)/K117</f>
        <v>0.12361723699042471</v>
      </c>
      <c r="M117" s="15">
        <v>0</v>
      </c>
      <c r="N117" s="15">
        <v>0</v>
      </c>
      <c r="O117" s="15">
        <f t="shared" si="13"/>
        <v>0.12361723699042471</v>
      </c>
      <c r="P117" s="20">
        <f t="shared" si="15"/>
        <v>8.6645312680201467</v>
      </c>
      <c r="Q117" s="20">
        <f>MAX($P$5:P117)</f>
        <v>8.6645312680201467</v>
      </c>
      <c r="R117" s="15">
        <f t="shared" si="14"/>
        <v>0</v>
      </c>
      <c r="S117" s="15">
        <f>O117-Benchmark_RF!D117</f>
        <v>0.11424117943391665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83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IF(Rankings!C11&lt;=3,1,0)</f>
        <v>0</v>
      </c>
      <c r="D5" s="16">
        <f>IF(Rankings!D11&lt;=3,1,0)</f>
        <v>1</v>
      </c>
      <c r="E5" s="16">
        <f>IF(Rankings!E11&lt;=3,1,0)</f>
        <v>0</v>
      </c>
      <c r="F5" s="16">
        <f>IF(Rankings!F11&lt;=3,1,0)</f>
        <v>0</v>
      </c>
      <c r="G5" s="16">
        <f>IF(Rankings!G11&lt;=3,1,0)</f>
        <v>1</v>
      </c>
      <c r="H5" s="16">
        <f>IF(Rankings!H11&lt;=3,1,0)</f>
        <v>1</v>
      </c>
      <c r="I5" s="16">
        <f>IF(Rankings!I11&lt;=3,1,0)</f>
        <v>0</v>
      </c>
      <c r="J5" s="16">
        <f>IF(Rankings!J11&lt;=3,1,0)</f>
        <v>0</v>
      </c>
      <c r="K5" s="19">
        <f t="shared" ref="K5:K36" si="0">SUM(C5:J5)</f>
        <v>3</v>
      </c>
      <c r="L5" s="15">
        <f>SUMPRODUCT(C5:J5,Returns!B9:I9)/K5</f>
        <v>-1.4022102071828782E-2</v>
      </c>
      <c r="M5" s="15">
        <f>-2*Assumptions!$B$13</f>
        <v>-7.0000000000000001E-3</v>
      </c>
      <c r="N5" s="15">
        <v>0</v>
      </c>
      <c r="O5" s="15">
        <f t="shared" ref="O5:O36" si="1">L5+M5+N5</f>
        <v>-2.1022102071828783E-2</v>
      </c>
      <c r="P5" s="20">
        <f>1*(1+O5)</f>
        <v>0.97897789792817125</v>
      </c>
      <c r="Q5" s="20">
        <f>MAX($P$5:P5)</f>
        <v>0.97897789792817125</v>
      </c>
      <c r="R5" s="15">
        <f t="shared" ref="R5:R36" si="2">P5/Q5-1</f>
        <v>0</v>
      </c>
      <c r="S5" s="15">
        <f>O5-Benchmark_RF!D5</f>
        <v>-2.6622032581154951E-2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IF(Rankings!C11&lt;=3,1,0)</f>
        <v>0</v>
      </c>
      <c r="D6" s="16">
        <f>IF(Rankings!D11&lt;=3,1,0)</f>
        <v>1</v>
      </c>
      <c r="E6" s="16">
        <f>IF(Rankings!E11&lt;=3,1,0)</f>
        <v>0</v>
      </c>
      <c r="F6" s="16">
        <f>IF(Rankings!F11&lt;=3,1,0)</f>
        <v>0</v>
      </c>
      <c r="G6" s="16">
        <f>IF(Rankings!G11&lt;=3,1,0)</f>
        <v>1</v>
      </c>
      <c r="H6" s="16">
        <f>IF(Rankings!H11&lt;=3,1,0)</f>
        <v>1</v>
      </c>
      <c r="I6" s="16">
        <f>IF(Rankings!I11&lt;=3,1,0)</f>
        <v>0</v>
      </c>
      <c r="J6" s="16">
        <f>IF(Rankings!J11&lt;=3,1,0)</f>
        <v>0</v>
      </c>
      <c r="K6" s="19">
        <f t="shared" si="0"/>
        <v>3</v>
      </c>
      <c r="L6" s="15">
        <f>SUMPRODUCT(C6:J6,Returns!B10:I10)/K6</f>
        <v>-3.1142889346888619E-2</v>
      </c>
      <c r="M6" s="15">
        <v>0</v>
      </c>
      <c r="N6" s="15">
        <v>0</v>
      </c>
      <c r="O6" s="15">
        <f t="shared" si="1"/>
        <v>-3.1142889346888619E-2</v>
      </c>
      <c r="P6" s="20">
        <f t="shared" ref="P6:P37" si="3">P5*(1+O6)</f>
        <v>0.94848969757994461</v>
      </c>
      <c r="Q6" s="20">
        <f>MAX($P$5:P6)</f>
        <v>0.97897789792817125</v>
      </c>
      <c r="R6" s="15">
        <f t="shared" si="2"/>
        <v>-3.114288934688858E-2</v>
      </c>
      <c r="S6" s="15">
        <f>O6-Benchmark_RF!D6</f>
        <v>-3.6378071704047651E-2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IF(Rankings!C11&lt;=3,1,0)</f>
        <v>0</v>
      </c>
      <c r="D7" s="16">
        <f>IF(Rankings!D11&lt;=3,1,0)</f>
        <v>1</v>
      </c>
      <c r="E7" s="16">
        <f>IF(Rankings!E11&lt;=3,1,0)</f>
        <v>0</v>
      </c>
      <c r="F7" s="16">
        <f>IF(Rankings!F11&lt;=3,1,0)</f>
        <v>0</v>
      </c>
      <c r="G7" s="16">
        <f>IF(Rankings!G11&lt;=3,1,0)</f>
        <v>1</v>
      </c>
      <c r="H7" s="16">
        <f>IF(Rankings!H11&lt;=3,1,0)</f>
        <v>1</v>
      </c>
      <c r="I7" s="16">
        <f>IF(Rankings!I11&lt;=3,1,0)</f>
        <v>0</v>
      </c>
      <c r="J7" s="16">
        <f>IF(Rankings!J11&lt;=3,1,0)</f>
        <v>0</v>
      </c>
      <c r="K7" s="19">
        <f t="shared" si="0"/>
        <v>3</v>
      </c>
      <c r="L7" s="15">
        <f>SUMPRODUCT(C7:J7,Returns!B11:I11)/K7</f>
        <v>-6.1886085365929766E-3</v>
      </c>
      <c r="M7" s="15">
        <v>0</v>
      </c>
      <c r="N7" s="15">
        <v>0</v>
      </c>
      <c r="O7" s="15">
        <f t="shared" si="1"/>
        <v>-6.1886085365929766E-3</v>
      </c>
      <c r="P7" s="20">
        <f t="shared" si="3"/>
        <v>0.94261986614063087</v>
      </c>
      <c r="Q7" s="20">
        <f>MAX($P$5:P7)</f>
        <v>0.97897789792817125</v>
      </c>
      <c r="R7" s="15">
        <f t="shared" si="2"/>
        <v>-3.7138766732615291E-2</v>
      </c>
      <c r="S7" s="15">
        <f>O7-Benchmark_RF!D7</f>
        <v>-1.1295843441752274E-2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IF(Rankings!C11&lt;=3,1,0)</f>
        <v>0</v>
      </c>
      <c r="D8" s="16">
        <f>IF(Rankings!D11&lt;=3,1,0)</f>
        <v>1</v>
      </c>
      <c r="E8" s="16">
        <f>IF(Rankings!E11&lt;=3,1,0)</f>
        <v>0</v>
      </c>
      <c r="F8" s="16">
        <f>IF(Rankings!F11&lt;=3,1,0)</f>
        <v>0</v>
      </c>
      <c r="G8" s="16">
        <f>IF(Rankings!G11&lt;=3,1,0)</f>
        <v>1</v>
      </c>
      <c r="H8" s="16">
        <f>IF(Rankings!H11&lt;=3,1,0)</f>
        <v>1</v>
      </c>
      <c r="I8" s="16">
        <f>IF(Rankings!I11&lt;=3,1,0)</f>
        <v>0</v>
      </c>
      <c r="J8" s="16">
        <f>IF(Rankings!J11&lt;=3,1,0)</f>
        <v>0</v>
      </c>
      <c r="K8" s="19">
        <f t="shared" si="0"/>
        <v>3</v>
      </c>
      <c r="L8" s="15">
        <f>SUMPRODUCT(C8:J8,Returns!B12:I12)/K8</f>
        <v>-5.8878774041732883E-2</v>
      </c>
      <c r="M8" s="15">
        <v>0</v>
      </c>
      <c r="N8" s="15">
        <v>0</v>
      </c>
      <c r="O8" s="15">
        <f t="shared" si="1"/>
        <v>-5.8878774041732883E-2</v>
      </c>
      <c r="P8" s="20">
        <f t="shared" si="3"/>
        <v>0.88711956403488812</v>
      </c>
      <c r="Q8" s="20">
        <f>MAX($P$5:P8)</f>
        <v>0.97897789792817125</v>
      </c>
      <c r="R8" s="15">
        <f t="shared" si="2"/>
        <v>-9.3830855719709949E-2</v>
      </c>
      <c r="S8" s="15">
        <f>O8-Benchmark_RF!D8</f>
        <v>-6.4037445671158072E-2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IF(Rankings!C11&lt;=3,1,0)</f>
        <v>0</v>
      </c>
      <c r="D9" s="16">
        <f>IF(Rankings!D11&lt;=3,1,0)</f>
        <v>1</v>
      </c>
      <c r="E9" s="16">
        <f>IF(Rankings!E11&lt;=3,1,0)</f>
        <v>0</v>
      </c>
      <c r="F9" s="16">
        <f>IF(Rankings!F11&lt;=3,1,0)</f>
        <v>0</v>
      </c>
      <c r="G9" s="16">
        <f>IF(Rankings!G11&lt;=3,1,0)</f>
        <v>1</v>
      </c>
      <c r="H9" s="16">
        <f>IF(Rankings!H11&lt;=3,1,0)</f>
        <v>1</v>
      </c>
      <c r="I9" s="16">
        <f>IF(Rankings!I11&lt;=3,1,0)</f>
        <v>0</v>
      </c>
      <c r="J9" s="16">
        <f>IF(Rankings!J11&lt;=3,1,0)</f>
        <v>0</v>
      </c>
      <c r="K9" s="19">
        <f t="shared" si="0"/>
        <v>3</v>
      </c>
      <c r="L9" s="15">
        <f>SUMPRODUCT(C9:J9,Returns!B13:I13)/K9</f>
        <v>5.6605609374349442E-4</v>
      </c>
      <c r="M9" s="15">
        <v>0</v>
      </c>
      <c r="N9" s="15">
        <v>0</v>
      </c>
      <c r="O9" s="15">
        <f t="shared" si="1"/>
        <v>5.6605609374349442E-4</v>
      </c>
      <c r="P9" s="20">
        <f t="shared" si="3"/>
        <v>0.88762172346998913</v>
      </c>
      <c r="Q9" s="20">
        <f>MAX($P$5:P9)</f>
        <v>0.97897789792817125</v>
      </c>
      <c r="R9" s="15">
        <f t="shared" si="2"/>
        <v>-9.3317913153627696E-2</v>
      </c>
      <c r="S9" s="15">
        <f>O9-Benchmark_RF!D9</f>
        <v>-4.5676491035266942E-3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IF(Rankings!C11&lt;=3,1,0)</f>
        <v>0</v>
      </c>
      <c r="D10" s="16">
        <f>IF(Rankings!D11&lt;=3,1,0)</f>
        <v>1</v>
      </c>
      <c r="E10" s="16">
        <f>IF(Rankings!E11&lt;=3,1,0)</f>
        <v>0</v>
      </c>
      <c r="F10" s="16">
        <f>IF(Rankings!F11&lt;=3,1,0)</f>
        <v>0</v>
      </c>
      <c r="G10" s="16">
        <f>IF(Rankings!G11&lt;=3,1,0)</f>
        <v>1</v>
      </c>
      <c r="H10" s="16">
        <f>IF(Rankings!H11&lt;=3,1,0)</f>
        <v>1</v>
      </c>
      <c r="I10" s="16">
        <f>IF(Rankings!I11&lt;=3,1,0)</f>
        <v>0</v>
      </c>
      <c r="J10" s="16">
        <f>IF(Rankings!J11&lt;=3,1,0)</f>
        <v>0</v>
      </c>
      <c r="K10" s="19">
        <f t="shared" si="0"/>
        <v>3</v>
      </c>
      <c r="L10" s="15">
        <f>SUMPRODUCT(C10:J10,Returns!B14:I14)/K10</f>
        <v>-4.2627711706505145E-2</v>
      </c>
      <c r="M10" s="15">
        <v>0</v>
      </c>
      <c r="N10" s="15">
        <v>0</v>
      </c>
      <c r="O10" s="15">
        <f t="shared" si="1"/>
        <v>-4.2627711706505145E-2</v>
      </c>
      <c r="P10" s="20">
        <f t="shared" si="3"/>
        <v>0.84978444053747926</v>
      </c>
      <c r="Q10" s="20">
        <f>MAX($P$5:P10)</f>
        <v>0.97897789792817125</v>
      </c>
      <c r="R10" s="15">
        <f t="shared" si="2"/>
        <v>-0.13196769576116729</v>
      </c>
      <c r="S10" s="15">
        <f>O10-Benchmark_RF!D10</f>
        <v>-4.7622914462646881E-2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IF(Rankings!C17&lt;=3,1,0)</f>
        <v>1</v>
      </c>
      <c r="D11" s="16">
        <f>IF(Rankings!D17&lt;=3,1,0)</f>
        <v>0</v>
      </c>
      <c r="E11" s="16">
        <f>IF(Rankings!E17&lt;=3,1,0)</f>
        <v>0</v>
      </c>
      <c r="F11" s="16">
        <f>IF(Rankings!F17&lt;=3,1,0)</f>
        <v>0</v>
      </c>
      <c r="G11" s="16">
        <f>IF(Rankings!G17&lt;=3,1,0)</f>
        <v>0</v>
      </c>
      <c r="H11" s="16">
        <f>IF(Rankings!H17&lt;=3,1,0)</f>
        <v>0</v>
      </c>
      <c r="I11" s="16">
        <f>IF(Rankings!I17&lt;=3,1,0)</f>
        <v>1</v>
      </c>
      <c r="J11" s="16">
        <f>IF(Rankings!J17&lt;=3,1,0)</f>
        <v>1</v>
      </c>
      <c r="K11" s="19">
        <f t="shared" si="0"/>
        <v>3</v>
      </c>
      <c r="L11" s="15">
        <f>SUMPRODUCT(C11:J11,Returns!B15:I15)/K11</f>
        <v>-3.5256960704331486E-2</v>
      </c>
      <c r="M11" s="15">
        <f>-2*Assumptions!$B$13</f>
        <v>-7.0000000000000001E-3</v>
      </c>
      <c r="N11" s="15">
        <f>-Assumptions!$B$16*MAX(0,(1+O5)*(1+O6)*(1+O7)*(1+O8)*(1+O9)*(1+O10)-1)</f>
        <v>0</v>
      </c>
      <c r="O11" s="15">
        <f t="shared" si="1"/>
        <v>-4.2256960704331485E-2</v>
      </c>
      <c r="P11" s="20">
        <f t="shared" si="3"/>
        <v>0.81387513282653468</v>
      </c>
      <c r="Q11" s="20">
        <f>MAX($P$5:P11)</f>
        <v>0.97897789792817125</v>
      </c>
      <c r="R11" s="15">
        <f t="shared" si="2"/>
        <v>-0.16864810273147801</v>
      </c>
      <c r="S11" s="15">
        <f>O11-Benchmark_RF!D11</f>
        <v>-4.7293491798014557E-2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IF(Rankings!C17&lt;=3,1,0)</f>
        <v>1</v>
      </c>
      <c r="D12" s="16">
        <f>IF(Rankings!D17&lt;=3,1,0)</f>
        <v>0</v>
      </c>
      <c r="E12" s="16">
        <f>IF(Rankings!E17&lt;=3,1,0)</f>
        <v>0</v>
      </c>
      <c r="F12" s="16">
        <f>IF(Rankings!F17&lt;=3,1,0)</f>
        <v>0</v>
      </c>
      <c r="G12" s="16">
        <f>IF(Rankings!G17&lt;=3,1,0)</f>
        <v>0</v>
      </c>
      <c r="H12" s="16">
        <f>IF(Rankings!H17&lt;=3,1,0)</f>
        <v>0</v>
      </c>
      <c r="I12" s="16">
        <f>IF(Rankings!I17&lt;=3,1,0)</f>
        <v>1</v>
      </c>
      <c r="J12" s="16">
        <f>IF(Rankings!J17&lt;=3,1,0)</f>
        <v>1</v>
      </c>
      <c r="K12" s="19">
        <f t="shared" si="0"/>
        <v>3</v>
      </c>
      <c r="L12" s="15">
        <f>SUMPRODUCT(C12:J12,Returns!B16:I16)/K12</f>
        <v>0.11977873374981818</v>
      </c>
      <c r="M12" s="15">
        <v>0</v>
      </c>
      <c r="N12" s="15">
        <v>0</v>
      </c>
      <c r="O12" s="15">
        <f t="shared" si="1"/>
        <v>0.11977873374981818</v>
      </c>
      <c r="P12" s="20">
        <f t="shared" si="3"/>
        <v>0.91136006566696204</v>
      </c>
      <c r="Q12" s="20">
        <f>MAX($P$5:P12)</f>
        <v>0.97897789792817125</v>
      </c>
      <c r="R12" s="15">
        <f t="shared" si="2"/>
        <v>-6.9069825176145461E-2</v>
      </c>
      <c r="S12" s="15">
        <f>O12-Benchmark_RF!D12</f>
        <v>0.11477722011449631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IF(Rankings!C17&lt;=3,1,0)</f>
        <v>1</v>
      </c>
      <c r="D13" s="16">
        <f>IF(Rankings!D17&lt;=3,1,0)</f>
        <v>0</v>
      </c>
      <c r="E13" s="16">
        <f>IF(Rankings!E17&lt;=3,1,0)</f>
        <v>0</v>
      </c>
      <c r="F13" s="16">
        <f>IF(Rankings!F17&lt;=3,1,0)</f>
        <v>0</v>
      </c>
      <c r="G13" s="16">
        <f>IF(Rankings!G17&lt;=3,1,0)</f>
        <v>0</v>
      </c>
      <c r="H13" s="16">
        <f>IF(Rankings!H17&lt;=3,1,0)</f>
        <v>0</v>
      </c>
      <c r="I13" s="16">
        <f>IF(Rankings!I17&lt;=3,1,0)</f>
        <v>1</v>
      </c>
      <c r="J13" s="16">
        <f>IF(Rankings!J17&lt;=3,1,0)</f>
        <v>1</v>
      </c>
      <c r="K13" s="19">
        <f t="shared" si="0"/>
        <v>3</v>
      </c>
      <c r="L13" s="15">
        <f>SUMPRODUCT(C13:J13,Returns!B17:I17)/K13</f>
        <v>0.11057307393428117</v>
      </c>
      <c r="M13" s="15">
        <v>0</v>
      </c>
      <c r="N13" s="15">
        <v>0</v>
      </c>
      <c r="O13" s="15">
        <f t="shared" si="1"/>
        <v>0.11057307393428117</v>
      </c>
      <c r="P13" s="20">
        <f t="shared" si="3"/>
        <v>1.0121319495887064</v>
      </c>
      <c r="Q13" s="20">
        <f>MAX($P$5:P13)</f>
        <v>1.0121319495887064</v>
      </c>
      <c r="R13" s="15">
        <f t="shared" si="2"/>
        <v>0</v>
      </c>
      <c r="S13" s="15">
        <f>O13-Benchmark_RF!D13</f>
        <v>0.10557156029895931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IF(Rankings!C17&lt;=3,1,0)</f>
        <v>1</v>
      </c>
      <c r="D14" s="16">
        <f>IF(Rankings!D17&lt;=3,1,0)</f>
        <v>0</v>
      </c>
      <c r="E14" s="16">
        <f>IF(Rankings!E17&lt;=3,1,0)</f>
        <v>0</v>
      </c>
      <c r="F14" s="16">
        <f>IF(Rankings!F17&lt;=3,1,0)</f>
        <v>0</v>
      </c>
      <c r="G14" s="16">
        <f>IF(Rankings!G17&lt;=3,1,0)</f>
        <v>0</v>
      </c>
      <c r="H14" s="16">
        <f>IF(Rankings!H17&lt;=3,1,0)</f>
        <v>0</v>
      </c>
      <c r="I14" s="16">
        <f>IF(Rankings!I17&lt;=3,1,0)</f>
        <v>1</v>
      </c>
      <c r="J14" s="16">
        <f>IF(Rankings!J17&lt;=3,1,0)</f>
        <v>1</v>
      </c>
      <c r="K14" s="19">
        <f t="shared" si="0"/>
        <v>3</v>
      </c>
      <c r="L14" s="15">
        <f>SUMPRODUCT(C14:J14,Returns!B18:I18)/K14</f>
        <v>4.8303283736680136E-2</v>
      </c>
      <c r="M14" s="15">
        <v>0</v>
      </c>
      <c r="N14" s="15">
        <v>0</v>
      </c>
      <c r="O14" s="15">
        <f t="shared" si="1"/>
        <v>4.8303283736680136E-2</v>
      </c>
      <c r="P14" s="20">
        <f t="shared" si="3"/>
        <v>1.061021246328649</v>
      </c>
      <c r="Q14" s="20">
        <f>MAX($P$5:P14)</f>
        <v>1.061021246328649</v>
      </c>
      <c r="R14" s="15">
        <f t="shared" si="2"/>
        <v>0</v>
      </c>
      <c r="S14" s="15">
        <f>O14-Benchmark_RF!D14</f>
        <v>4.3445608582760809E-2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IF(Rankings!C17&lt;=3,1,0)</f>
        <v>1</v>
      </c>
      <c r="D15" s="16">
        <f>IF(Rankings!D17&lt;=3,1,0)</f>
        <v>0</v>
      </c>
      <c r="E15" s="16">
        <f>IF(Rankings!E17&lt;=3,1,0)</f>
        <v>0</v>
      </c>
      <c r="F15" s="16">
        <f>IF(Rankings!F17&lt;=3,1,0)</f>
        <v>0</v>
      </c>
      <c r="G15" s="16">
        <f>IF(Rankings!G17&lt;=3,1,0)</f>
        <v>0</v>
      </c>
      <c r="H15" s="16">
        <f>IF(Rankings!H17&lt;=3,1,0)</f>
        <v>0</v>
      </c>
      <c r="I15" s="16">
        <f>IF(Rankings!I17&lt;=3,1,0)</f>
        <v>1</v>
      </c>
      <c r="J15" s="16">
        <f>IF(Rankings!J17&lt;=3,1,0)</f>
        <v>1</v>
      </c>
      <c r="K15" s="19">
        <f t="shared" si="0"/>
        <v>3</v>
      </c>
      <c r="L15" s="15">
        <f>SUMPRODUCT(C15:J15,Returns!B19:I19)/K15</f>
        <v>6.2052065350233594E-3</v>
      </c>
      <c r="M15" s="15">
        <v>0</v>
      </c>
      <c r="N15" s="15">
        <v>0</v>
      </c>
      <c r="O15" s="15">
        <f t="shared" si="1"/>
        <v>6.2052065350233594E-3</v>
      </c>
      <c r="P15" s="20">
        <f t="shared" si="3"/>
        <v>1.0676051023001663</v>
      </c>
      <c r="Q15" s="20">
        <f>MAX($P$5:P15)</f>
        <v>1.0676051023001663</v>
      </c>
      <c r="R15" s="15">
        <f t="shared" si="2"/>
        <v>0</v>
      </c>
      <c r="S15" s="15">
        <f>O15-Benchmark_RF!D15</f>
        <v>1.4168473048719417E-3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IF(Rankings!C17&lt;=3,1,0)</f>
        <v>1</v>
      </c>
      <c r="D16" s="16">
        <f>IF(Rankings!D17&lt;=3,1,0)</f>
        <v>0</v>
      </c>
      <c r="E16" s="16">
        <f>IF(Rankings!E17&lt;=3,1,0)</f>
        <v>0</v>
      </c>
      <c r="F16" s="16">
        <f>IF(Rankings!F17&lt;=3,1,0)</f>
        <v>0</v>
      </c>
      <c r="G16" s="16">
        <f>IF(Rankings!G17&lt;=3,1,0)</f>
        <v>0</v>
      </c>
      <c r="H16" s="16">
        <f>IF(Rankings!H17&lt;=3,1,0)</f>
        <v>0</v>
      </c>
      <c r="I16" s="16">
        <f>IF(Rankings!I17&lt;=3,1,0)</f>
        <v>1</v>
      </c>
      <c r="J16" s="16">
        <f>IF(Rankings!J17&lt;=3,1,0)</f>
        <v>1</v>
      </c>
      <c r="K16" s="19">
        <f t="shared" si="0"/>
        <v>3</v>
      </c>
      <c r="L16" s="15">
        <f>SUMPRODUCT(C16:J16,Returns!B20:I20)/K16</f>
        <v>3.9020064476662918E-2</v>
      </c>
      <c r="M16" s="15">
        <v>0</v>
      </c>
      <c r="N16" s="15">
        <v>0</v>
      </c>
      <c r="O16" s="15">
        <f t="shared" si="1"/>
        <v>3.9020064476662918E-2</v>
      </c>
      <c r="P16" s="20">
        <f t="shared" si="3"/>
        <v>1.1092631222275331</v>
      </c>
      <c r="Q16" s="20">
        <f>MAX($P$5:P16)</f>
        <v>1.1092631222275331</v>
      </c>
      <c r="R16" s="15">
        <f t="shared" si="2"/>
        <v>0</v>
      </c>
      <c r="S16" s="15">
        <f>O16-Benchmark_RF!D16</f>
        <v>3.4320699564894995E-2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IF(Rankings!C23&lt;=3,1,0)</f>
        <v>0</v>
      </c>
      <c r="D17" s="16">
        <f>IF(Rankings!D23&lt;=3,1,0)</f>
        <v>0</v>
      </c>
      <c r="E17" s="16">
        <f>IF(Rankings!E23&lt;=3,1,0)</f>
        <v>0</v>
      </c>
      <c r="F17" s="16">
        <f>IF(Rankings!F23&lt;=3,1,0)</f>
        <v>1</v>
      </c>
      <c r="G17" s="16">
        <f>IF(Rankings!G23&lt;=3,1,0)</f>
        <v>0</v>
      </c>
      <c r="H17" s="16">
        <f>IF(Rankings!H23&lt;=3,1,0)</f>
        <v>0</v>
      </c>
      <c r="I17" s="16">
        <f>IF(Rankings!I23&lt;=3,1,0)</f>
        <v>1</v>
      </c>
      <c r="J17" s="16">
        <f>IF(Rankings!J23&lt;=3,1,0)</f>
        <v>1</v>
      </c>
      <c r="K17" s="19">
        <f t="shared" si="0"/>
        <v>3</v>
      </c>
      <c r="L17" s="15">
        <f>SUMPRODUCT(C17:J17,Returns!B21:I21)/K17</f>
        <v>2.6015089706861876E-2</v>
      </c>
      <c r="M17" s="15">
        <f>-2*Assumptions!$B$13</f>
        <v>-7.0000000000000001E-3</v>
      </c>
      <c r="N17" s="15">
        <f>-Assumptions!$B$16*MAX(0,(1+O11)*(1+O12)*(1+O13)*(1+O14)*(1+O15)*(1+O16)-1)</f>
        <v>-4.5801970943231705E-2</v>
      </c>
      <c r="O17" s="15">
        <f t="shared" si="1"/>
        <v>-2.6786881236369828E-2</v>
      </c>
      <c r="P17" s="20">
        <f t="shared" si="3"/>
        <v>1.0795494227125393</v>
      </c>
      <c r="Q17" s="20">
        <f>MAX($P$5:P17)</f>
        <v>1.1092631222275331</v>
      </c>
      <c r="R17" s="15">
        <f t="shared" si="2"/>
        <v>-2.6786881236369964E-2</v>
      </c>
      <c r="S17" s="15">
        <f>O17-Benchmark_RF!D17</f>
        <v>-3.1543766164956882E-2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IF(Rankings!C23&lt;=3,1,0)</f>
        <v>0</v>
      </c>
      <c r="D18" s="16">
        <f>IF(Rankings!D23&lt;=3,1,0)</f>
        <v>0</v>
      </c>
      <c r="E18" s="16">
        <f>IF(Rankings!E23&lt;=3,1,0)</f>
        <v>0</v>
      </c>
      <c r="F18" s="16">
        <f>IF(Rankings!F23&lt;=3,1,0)</f>
        <v>1</v>
      </c>
      <c r="G18" s="16">
        <f>IF(Rankings!G23&lt;=3,1,0)</f>
        <v>0</v>
      </c>
      <c r="H18" s="16">
        <f>IF(Rankings!H23&lt;=3,1,0)</f>
        <v>0</v>
      </c>
      <c r="I18" s="16">
        <f>IF(Rankings!I23&lt;=3,1,0)</f>
        <v>1</v>
      </c>
      <c r="J18" s="16">
        <f>IF(Rankings!J23&lt;=3,1,0)</f>
        <v>1</v>
      </c>
      <c r="K18" s="19">
        <f t="shared" si="0"/>
        <v>3</v>
      </c>
      <c r="L18" s="15">
        <f>SUMPRODUCT(C18:J18,Returns!B22:I22)/K18</f>
        <v>0.19673546320902077</v>
      </c>
      <c r="M18" s="15">
        <v>0</v>
      </c>
      <c r="N18" s="15">
        <v>0</v>
      </c>
      <c r="O18" s="15">
        <f t="shared" si="1"/>
        <v>0.19673546320902077</v>
      </c>
      <c r="P18" s="20">
        <f t="shared" si="3"/>
        <v>1.2919350784469217</v>
      </c>
      <c r="Q18" s="20">
        <f>MAX($P$5:P18)</f>
        <v>1.2919350784469217</v>
      </c>
      <c r="R18" s="15">
        <f t="shared" si="2"/>
        <v>0</v>
      </c>
      <c r="S18" s="15">
        <f>O18-Benchmark_RF!D18</f>
        <v>0.19197857828043371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IF(Rankings!C23&lt;=3,1,0)</f>
        <v>0</v>
      </c>
      <c r="D19" s="16">
        <f>IF(Rankings!D23&lt;=3,1,0)</f>
        <v>0</v>
      </c>
      <c r="E19" s="16">
        <f>IF(Rankings!E23&lt;=3,1,0)</f>
        <v>0</v>
      </c>
      <c r="F19" s="16">
        <f>IF(Rankings!F23&lt;=3,1,0)</f>
        <v>1</v>
      </c>
      <c r="G19" s="16">
        <f>IF(Rankings!G23&lt;=3,1,0)</f>
        <v>0</v>
      </c>
      <c r="H19" s="16">
        <f>IF(Rankings!H23&lt;=3,1,0)</f>
        <v>0</v>
      </c>
      <c r="I19" s="16">
        <f>IF(Rankings!I23&lt;=3,1,0)</f>
        <v>1</v>
      </c>
      <c r="J19" s="16">
        <f>IF(Rankings!J23&lt;=3,1,0)</f>
        <v>1</v>
      </c>
      <c r="K19" s="19">
        <f t="shared" si="0"/>
        <v>3</v>
      </c>
      <c r="L19" s="15">
        <f>SUMPRODUCT(C19:J19,Returns!B23:I23)/K19</f>
        <v>7.9820788360964068E-2</v>
      </c>
      <c r="M19" s="15">
        <v>0</v>
      </c>
      <c r="N19" s="15">
        <v>0</v>
      </c>
      <c r="O19" s="15">
        <f t="shared" si="1"/>
        <v>7.9820788360964068E-2</v>
      </c>
      <c r="P19" s="20">
        <f t="shared" si="3"/>
        <v>1.3950583549197388</v>
      </c>
      <c r="Q19" s="20">
        <f>MAX($P$5:P19)</f>
        <v>1.3950583549197388</v>
      </c>
      <c r="R19" s="15">
        <f t="shared" si="2"/>
        <v>0</v>
      </c>
      <c r="S19" s="15">
        <f>O19-Benchmark_RF!D19</f>
        <v>7.5048085844821477E-2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IF(Rankings!C23&lt;=3,1,0)</f>
        <v>0</v>
      </c>
      <c r="D20" s="16">
        <f>IF(Rankings!D23&lt;=3,1,0)</f>
        <v>0</v>
      </c>
      <c r="E20" s="16">
        <f>IF(Rankings!E23&lt;=3,1,0)</f>
        <v>0</v>
      </c>
      <c r="F20" s="16">
        <f>IF(Rankings!F23&lt;=3,1,0)</f>
        <v>1</v>
      </c>
      <c r="G20" s="16">
        <f>IF(Rankings!G23&lt;=3,1,0)</f>
        <v>0</v>
      </c>
      <c r="H20" s="16">
        <f>IF(Rankings!H23&lt;=3,1,0)</f>
        <v>0</v>
      </c>
      <c r="I20" s="16">
        <f>IF(Rankings!I23&lt;=3,1,0)</f>
        <v>1</v>
      </c>
      <c r="J20" s="16">
        <f>IF(Rankings!J23&lt;=3,1,0)</f>
        <v>1</v>
      </c>
      <c r="K20" s="19">
        <f t="shared" si="0"/>
        <v>3</v>
      </c>
      <c r="L20" s="15">
        <f>SUMPRODUCT(C20:J20,Returns!B24:I24)/K20</f>
        <v>0.16976258868043281</v>
      </c>
      <c r="M20" s="15">
        <v>0</v>
      </c>
      <c r="N20" s="15">
        <v>0</v>
      </c>
      <c r="O20" s="15">
        <f t="shared" si="1"/>
        <v>0.16976258868043281</v>
      </c>
      <c r="P20" s="20">
        <f t="shared" si="3"/>
        <v>1.6318870726111798</v>
      </c>
      <c r="Q20" s="20">
        <f>MAX($P$5:P20)</f>
        <v>1.6318870726111798</v>
      </c>
      <c r="R20" s="15">
        <f t="shared" si="2"/>
        <v>0</v>
      </c>
      <c r="S20" s="15">
        <f>O20-Benchmark_RF!D20</f>
        <v>0.16493454616789505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IF(Rankings!C23&lt;=3,1,0)</f>
        <v>0</v>
      </c>
      <c r="D21" s="16">
        <f>IF(Rankings!D23&lt;=3,1,0)</f>
        <v>0</v>
      </c>
      <c r="E21" s="16">
        <f>IF(Rankings!E23&lt;=3,1,0)</f>
        <v>0</v>
      </c>
      <c r="F21" s="16">
        <f>IF(Rankings!F23&lt;=3,1,0)</f>
        <v>1</v>
      </c>
      <c r="G21" s="16">
        <f>IF(Rankings!G23&lt;=3,1,0)</f>
        <v>0</v>
      </c>
      <c r="H21" s="16">
        <f>IF(Rankings!H23&lt;=3,1,0)</f>
        <v>0</v>
      </c>
      <c r="I21" s="16">
        <f>IF(Rankings!I23&lt;=3,1,0)</f>
        <v>1</v>
      </c>
      <c r="J21" s="16">
        <f>IF(Rankings!J23&lt;=3,1,0)</f>
        <v>1</v>
      </c>
      <c r="K21" s="19">
        <f t="shared" si="0"/>
        <v>3</v>
      </c>
      <c r="L21" s="15">
        <f>SUMPRODUCT(C21:J21,Returns!B25:I25)/K21</f>
        <v>0.11512289374423135</v>
      </c>
      <c r="M21" s="15">
        <v>0</v>
      </c>
      <c r="N21" s="15">
        <v>0</v>
      </c>
      <c r="O21" s="15">
        <f t="shared" si="1"/>
        <v>0.11512289374423135</v>
      </c>
      <c r="P21" s="20">
        <f t="shared" si="3"/>
        <v>1.8197546346739817</v>
      </c>
      <c r="Q21" s="20">
        <f>MAX($P$5:P21)</f>
        <v>1.8197546346739817</v>
      </c>
      <c r="R21" s="15">
        <f t="shared" si="2"/>
        <v>0</v>
      </c>
      <c r="S21" s="15">
        <f>O21-Benchmark_RF!D21</f>
        <v>0.11028307604459175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IF(Rankings!C23&lt;=3,1,0)</f>
        <v>0</v>
      </c>
      <c r="D22" s="16">
        <f>IF(Rankings!D23&lt;=3,1,0)</f>
        <v>0</v>
      </c>
      <c r="E22" s="16">
        <f>IF(Rankings!E23&lt;=3,1,0)</f>
        <v>0</v>
      </c>
      <c r="F22" s="16">
        <f>IF(Rankings!F23&lt;=3,1,0)</f>
        <v>1</v>
      </c>
      <c r="G22" s="16">
        <f>IF(Rankings!G23&lt;=3,1,0)</f>
        <v>0</v>
      </c>
      <c r="H22" s="16">
        <f>IF(Rankings!H23&lt;=3,1,0)</f>
        <v>0</v>
      </c>
      <c r="I22" s="16">
        <f>IF(Rankings!I23&lt;=3,1,0)</f>
        <v>1</v>
      </c>
      <c r="J22" s="16">
        <f>IF(Rankings!J23&lt;=3,1,0)</f>
        <v>1</v>
      </c>
      <c r="K22" s="19">
        <f t="shared" si="0"/>
        <v>3</v>
      </c>
      <c r="L22" s="15">
        <f>SUMPRODUCT(C22:J22,Returns!B26:I26)/K22</f>
        <v>-2.6662157552455528E-2</v>
      </c>
      <c r="M22" s="15">
        <v>0</v>
      </c>
      <c r="N22" s="15">
        <v>0</v>
      </c>
      <c r="O22" s="15">
        <f t="shared" si="1"/>
        <v>-2.6662157552455528E-2</v>
      </c>
      <c r="P22" s="20">
        <f t="shared" si="3"/>
        <v>1.7712360498974928</v>
      </c>
      <c r="Q22" s="20">
        <f>MAX($P$5:P22)</f>
        <v>1.8197546346739817</v>
      </c>
      <c r="R22" s="15">
        <f t="shared" si="2"/>
        <v>-2.666215755245549E-2</v>
      </c>
      <c r="S22" s="15">
        <f>O22-Benchmark_RF!D22</f>
        <v>-3.1436520756400507E-2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IF(Rankings!C29&lt;=3,1,0)</f>
        <v>1</v>
      </c>
      <c r="D23" s="16">
        <f>IF(Rankings!D29&lt;=3,1,0)</f>
        <v>0</v>
      </c>
      <c r="E23" s="16">
        <f>IF(Rankings!E29&lt;=3,1,0)</f>
        <v>0</v>
      </c>
      <c r="F23" s="16">
        <f>IF(Rankings!F29&lt;=3,1,0)</f>
        <v>0</v>
      </c>
      <c r="G23" s="16">
        <f>IF(Rankings!G29&lt;=3,1,0)</f>
        <v>0</v>
      </c>
      <c r="H23" s="16">
        <f>IF(Rankings!H29&lt;=3,1,0)</f>
        <v>1</v>
      </c>
      <c r="I23" s="16">
        <f>IF(Rankings!I29&lt;=3,1,0)</f>
        <v>1</v>
      </c>
      <c r="J23" s="16">
        <f>IF(Rankings!J29&lt;=3,1,0)</f>
        <v>0</v>
      </c>
      <c r="K23" s="19">
        <f t="shared" si="0"/>
        <v>3</v>
      </c>
      <c r="L23" s="15">
        <f>SUMPRODUCT(C23:J23,Returns!B27:I27)/K23</f>
        <v>-3.864719523133834E-2</v>
      </c>
      <c r="M23" s="15">
        <f>-2*Assumptions!$B$13</f>
        <v>-7.0000000000000001E-3</v>
      </c>
      <c r="N23" s="15">
        <f>-Assumptions!$B$16*MAX(0,(1+O17)*(1+O18)*(1+O19)*(1+O20)*(1+O21)*(1+O22)-1)</f>
        <v>-8.9515226063853828E-2</v>
      </c>
      <c r="O23" s="15">
        <f t="shared" si="1"/>
        <v>-0.13516242129519218</v>
      </c>
      <c r="P23" s="20">
        <f t="shared" si="3"/>
        <v>1.5318314967080158</v>
      </c>
      <c r="Q23" s="20">
        <f>MAX($P$5:P23)</f>
        <v>1.8197546346739817</v>
      </c>
      <c r="R23" s="15">
        <f t="shared" si="2"/>
        <v>-0.15822085707590394</v>
      </c>
      <c r="S23" s="15">
        <f>O23-Benchmark_RF!D23</f>
        <v>-0.13998390381699488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IF(Rankings!C29&lt;=3,1,0)</f>
        <v>1</v>
      </c>
      <c r="D24" s="16">
        <f>IF(Rankings!D29&lt;=3,1,0)</f>
        <v>0</v>
      </c>
      <c r="E24" s="16">
        <f>IF(Rankings!E29&lt;=3,1,0)</f>
        <v>0</v>
      </c>
      <c r="F24" s="16">
        <f>IF(Rankings!F29&lt;=3,1,0)</f>
        <v>0</v>
      </c>
      <c r="G24" s="16">
        <f>IF(Rankings!G29&lt;=3,1,0)</f>
        <v>0</v>
      </c>
      <c r="H24" s="16">
        <f>IF(Rankings!H29&lt;=3,1,0)</f>
        <v>1</v>
      </c>
      <c r="I24" s="16">
        <f>IF(Rankings!I29&lt;=3,1,0)</f>
        <v>1</v>
      </c>
      <c r="J24" s="16">
        <f>IF(Rankings!J29&lt;=3,1,0)</f>
        <v>0</v>
      </c>
      <c r="K24" s="19">
        <f t="shared" si="0"/>
        <v>3</v>
      </c>
      <c r="L24" s="15">
        <f>SUMPRODUCT(C24:J24,Returns!B28:I28)/K24</f>
        <v>-2.0909106477317141E-2</v>
      </c>
      <c r="M24" s="15">
        <v>0</v>
      </c>
      <c r="N24" s="15">
        <v>0</v>
      </c>
      <c r="O24" s="15">
        <f t="shared" si="1"/>
        <v>-2.0909106477317141E-2</v>
      </c>
      <c r="P24" s="20">
        <f t="shared" si="3"/>
        <v>1.4998022688380397</v>
      </c>
      <c r="Q24" s="20">
        <f>MAX($P$5:P24)</f>
        <v>1.8197546346739817</v>
      </c>
      <c r="R24" s="15">
        <f t="shared" si="2"/>
        <v>-0.17582170680568876</v>
      </c>
      <c r="S24" s="15">
        <f>O24-Benchmark_RF!D24</f>
        <v>-2.5754376601788809E-2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IF(Rankings!C29&lt;=3,1,0)</f>
        <v>1</v>
      </c>
      <c r="D25" s="16">
        <f>IF(Rankings!D29&lt;=3,1,0)</f>
        <v>0</v>
      </c>
      <c r="E25" s="16">
        <f>IF(Rankings!E29&lt;=3,1,0)</f>
        <v>0</v>
      </c>
      <c r="F25" s="16">
        <f>IF(Rankings!F29&lt;=3,1,0)</f>
        <v>0</v>
      </c>
      <c r="G25" s="16">
        <f>IF(Rankings!G29&lt;=3,1,0)</f>
        <v>0</v>
      </c>
      <c r="H25" s="16">
        <f>IF(Rankings!H29&lt;=3,1,0)</f>
        <v>1</v>
      </c>
      <c r="I25" s="16">
        <f>IF(Rankings!I29&lt;=3,1,0)</f>
        <v>1</v>
      </c>
      <c r="J25" s="16">
        <f>IF(Rankings!J29&lt;=3,1,0)</f>
        <v>0</v>
      </c>
      <c r="K25" s="19">
        <f t="shared" si="0"/>
        <v>3</v>
      </c>
      <c r="L25" s="15">
        <f>SUMPRODUCT(C25:J25,Returns!B29:I29)/K25</f>
        <v>8.3260277049750739E-2</v>
      </c>
      <c r="M25" s="15">
        <v>0</v>
      </c>
      <c r="N25" s="15">
        <v>0</v>
      </c>
      <c r="O25" s="15">
        <f t="shared" si="1"/>
        <v>8.3260277049750739E-2</v>
      </c>
      <c r="P25" s="20">
        <f t="shared" si="3"/>
        <v>1.6246762212613397</v>
      </c>
      <c r="Q25" s="20">
        <f>MAX($P$5:P25)</f>
        <v>1.8197546346739817</v>
      </c>
      <c r="R25" s="15">
        <f t="shared" si="2"/>
        <v>-0.1072003937759396</v>
      </c>
      <c r="S25" s="15">
        <f>O25-Benchmark_RF!D25</f>
        <v>7.8404498096995498E-2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IF(Rankings!C29&lt;=3,1,0)</f>
        <v>1</v>
      </c>
      <c r="D26" s="16">
        <f>IF(Rankings!D29&lt;=3,1,0)</f>
        <v>0</v>
      </c>
      <c r="E26" s="16">
        <f>IF(Rankings!E29&lt;=3,1,0)</f>
        <v>0</v>
      </c>
      <c r="F26" s="16">
        <f>IF(Rankings!F29&lt;=3,1,0)</f>
        <v>0</v>
      </c>
      <c r="G26" s="16">
        <f>IF(Rankings!G29&lt;=3,1,0)</f>
        <v>0</v>
      </c>
      <c r="H26" s="16">
        <f>IF(Rankings!H29&lt;=3,1,0)</f>
        <v>1</v>
      </c>
      <c r="I26" s="16">
        <f>IF(Rankings!I29&lt;=3,1,0)</f>
        <v>1</v>
      </c>
      <c r="J26" s="16">
        <f>IF(Rankings!J29&lt;=3,1,0)</f>
        <v>0</v>
      </c>
      <c r="K26" s="19">
        <f t="shared" si="0"/>
        <v>3</v>
      </c>
      <c r="L26" s="15">
        <f>SUMPRODUCT(C26:J26,Returns!B30:I30)/K26</f>
        <v>0.28867311275915647</v>
      </c>
      <c r="M26" s="15">
        <v>0</v>
      </c>
      <c r="N26" s="15">
        <v>0</v>
      </c>
      <c r="O26" s="15">
        <f t="shared" si="1"/>
        <v>0.28867311275915647</v>
      </c>
      <c r="P26" s="20">
        <f t="shared" si="3"/>
        <v>2.0936765632786347</v>
      </c>
      <c r="Q26" s="20">
        <f>MAX($P$5:P26)</f>
        <v>2.0936765632786347</v>
      </c>
      <c r="R26" s="15">
        <f t="shared" si="2"/>
        <v>0</v>
      </c>
      <c r="S26" s="15">
        <f>O26-Benchmark_RF!D26</f>
        <v>0.28381733380640123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IF(Rankings!C29&lt;=3,1,0)</f>
        <v>1</v>
      </c>
      <c r="D27" s="16">
        <f>IF(Rankings!D29&lt;=3,1,0)</f>
        <v>0</v>
      </c>
      <c r="E27" s="16">
        <f>IF(Rankings!E29&lt;=3,1,0)</f>
        <v>0</v>
      </c>
      <c r="F27" s="16">
        <f>IF(Rankings!F29&lt;=3,1,0)</f>
        <v>0</v>
      </c>
      <c r="G27" s="16">
        <f>IF(Rankings!G29&lt;=3,1,0)</f>
        <v>0</v>
      </c>
      <c r="H27" s="16">
        <f>IF(Rankings!H29&lt;=3,1,0)</f>
        <v>1</v>
      </c>
      <c r="I27" s="16">
        <f>IF(Rankings!I29&lt;=3,1,0)</f>
        <v>1</v>
      </c>
      <c r="J27" s="16">
        <f>IF(Rankings!J29&lt;=3,1,0)</f>
        <v>0</v>
      </c>
      <c r="K27" s="19">
        <f t="shared" si="0"/>
        <v>3</v>
      </c>
      <c r="L27" s="15">
        <f>SUMPRODUCT(C27:J27,Returns!B31:I31)/K27</f>
        <v>-2.4606894394582821E-3</v>
      </c>
      <c r="M27" s="15">
        <v>0</v>
      </c>
      <c r="N27" s="15">
        <v>0</v>
      </c>
      <c r="O27" s="15">
        <f t="shared" si="1"/>
        <v>-2.4606894394582821E-3</v>
      </c>
      <c r="P27" s="20">
        <f t="shared" si="3"/>
        <v>2.0885246754697335</v>
      </c>
      <c r="Q27" s="20">
        <f>MAX($P$5:P27)</f>
        <v>2.0936765632786347</v>
      </c>
      <c r="R27" s="15">
        <f t="shared" si="2"/>
        <v>-2.460689439458319E-3</v>
      </c>
      <c r="S27" s="15">
        <f>O27-Benchmark_RF!D27</f>
        <v>-7.3211298161890061E-3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IF(Rankings!C29&lt;=3,1,0)</f>
        <v>1</v>
      </c>
      <c r="D28" s="16">
        <f>IF(Rankings!D29&lt;=3,1,0)</f>
        <v>0</v>
      </c>
      <c r="E28" s="16">
        <f>IF(Rankings!E29&lt;=3,1,0)</f>
        <v>0</v>
      </c>
      <c r="F28" s="16">
        <f>IF(Rankings!F29&lt;=3,1,0)</f>
        <v>0</v>
      </c>
      <c r="G28" s="16">
        <f>IF(Rankings!G29&lt;=3,1,0)</f>
        <v>0</v>
      </c>
      <c r="H28" s="16">
        <f>IF(Rankings!H29&lt;=3,1,0)</f>
        <v>1</v>
      </c>
      <c r="I28" s="16">
        <f>IF(Rankings!I29&lt;=3,1,0)</f>
        <v>1</v>
      </c>
      <c r="J28" s="16">
        <f>IF(Rankings!J29&lt;=3,1,0)</f>
        <v>0</v>
      </c>
      <c r="K28" s="19">
        <f t="shared" si="0"/>
        <v>3</v>
      </c>
      <c r="L28" s="15">
        <f>SUMPRODUCT(C28:J28,Returns!B32:I32)/K28</f>
        <v>-3.0641897580509319E-2</v>
      </c>
      <c r="M28" s="15">
        <v>0</v>
      </c>
      <c r="N28" s="15">
        <v>0</v>
      </c>
      <c r="O28" s="15">
        <f t="shared" si="1"/>
        <v>-3.0641897580509319E-2</v>
      </c>
      <c r="P28" s="20">
        <f t="shared" si="3"/>
        <v>2.0245283162696235</v>
      </c>
      <c r="Q28" s="20">
        <f>MAX($P$5:P28)</f>
        <v>2.0936765632786347</v>
      </c>
      <c r="R28" s="15">
        <f t="shared" si="2"/>
        <v>-3.3027186826186328E-2</v>
      </c>
      <c r="S28" s="15">
        <f>O28-Benchmark_RF!D28</f>
        <v>-3.5502258952035667E-2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IF(Rankings!C35&lt;=3,1,0)</f>
        <v>1</v>
      </c>
      <c r="D29" s="16">
        <f>IF(Rankings!D35&lt;=3,1,0)</f>
        <v>0</v>
      </c>
      <c r="E29" s="16">
        <f>IF(Rankings!E35&lt;=3,1,0)</f>
        <v>0</v>
      </c>
      <c r="F29" s="16">
        <f>IF(Rankings!F35&lt;=3,1,0)</f>
        <v>0</v>
      </c>
      <c r="G29" s="16">
        <f>IF(Rankings!G35&lt;=3,1,0)</f>
        <v>0</v>
      </c>
      <c r="H29" s="16">
        <f>IF(Rankings!H35&lt;=3,1,0)</f>
        <v>1</v>
      </c>
      <c r="I29" s="16">
        <f>IF(Rankings!I35&lt;=3,1,0)</f>
        <v>1</v>
      </c>
      <c r="J29" s="16">
        <f>IF(Rankings!J35&lt;=3,1,0)</f>
        <v>0</v>
      </c>
      <c r="K29" s="19">
        <f t="shared" si="0"/>
        <v>3</v>
      </c>
      <c r="L29" s="15">
        <f>SUMPRODUCT(C29:J29,Returns!B33:I33)/K29</f>
        <v>-0.17446914904849062</v>
      </c>
      <c r="M29" s="15">
        <f>-2*Assumptions!$B$13</f>
        <v>-7.0000000000000001E-3</v>
      </c>
      <c r="N29" s="15">
        <f>-Assumptions!$B$16*MAX(0,(1+O23)*(1+O24)*(1+O25)*(1+O26)*(1+O27)*(1+O28)-1)</f>
        <v>-2.1450466728033489E-2</v>
      </c>
      <c r="O29" s="15">
        <f t="shared" si="1"/>
        <v>-0.20291961577652412</v>
      </c>
      <c r="P29" s="20">
        <f t="shared" si="3"/>
        <v>1.6137118082034982</v>
      </c>
      <c r="Q29" s="20">
        <f>MAX($P$5:P29)</f>
        <v>2.0936765632786347</v>
      </c>
      <c r="R29" s="15">
        <f t="shared" si="2"/>
        <v>-0.2292449385417612</v>
      </c>
      <c r="S29" s="15">
        <f>O29-Benchmark_RF!D29</f>
        <v>-0.20777942410970623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IF(Rankings!C35&lt;=3,1,0)</f>
        <v>1</v>
      </c>
      <c r="D30" s="16">
        <f>IF(Rankings!D35&lt;=3,1,0)</f>
        <v>0</v>
      </c>
      <c r="E30" s="16">
        <f>IF(Rankings!E35&lt;=3,1,0)</f>
        <v>0</v>
      </c>
      <c r="F30" s="16">
        <f>IF(Rankings!F35&lt;=3,1,0)</f>
        <v>0</v>
      </c>
      <c r="G30" s="16">
        <f>IF(Rankings!G35&lt;=3,1,0)</f>
        <v>0</v>
      </c>
      <c r="H30" s="16">
        <f>IF(Rankings!H35&lt;=3,1,0)</f>
        <v>1</v>
      </c>
      <c r="I30" s="16">
        <f>IF(Rankings!I35&lt;=3,1,0)</f>
        <v>1</v>
      </c>
      <c r="J30" s="16">
        <f>IF(Rankings!J35&lt;=3,1,0)</f>
        <v>0</v>
      </c>
      <c r="K30" s="19">
        <f t="shared" si="0"/>
        <v>3</v>
      </c>
      <c r="L30" s="15">
        <f>SUMPRODUCT(C30:J30,Returns!B34:I34)/K30</f>
        <v>8.5444400034088888E-2</v>
      </c>
      <c r="M30" s="15">
        <v>0</v>
      </c>
      <c r="N30" s="15">
        <v>0</v>
      </c>
      <c r="O30" s="15">
        <f t="shared" si="1"/>
        <v>8.5444400034088888E-2</v>
      </c>
      <c r="P30" s="20">
        <f t="shared" si="3"/>
        <v>1.7515944454833707</v>
      </c>
      <c r="Q30" s="20">
        <f>MAX($P$5:P30)</f>
        <v>2.0936765632786347</v>
      </c>
      <c r="R30" s="15">
        <f t="shared" si="2"/>
        <v>-0.16338823474222475</v>
      </c>
      <c r="S30" s="15">
        <f>O30-Benchmark_RF!D30</f>
        <v>8.0583959657358165E-2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IF(Rankings!C35&lt;=3,1,0)</f>
        <v>1</v>
      </c>
      <c r="D31" s="16">
        <f>IF(Rankings!D35&lt;=3,1,0)</f>
        <v>0</v>
      </c>
      <c r="E31" s="16">
        <f>IF(Rankings!E35&lt;=3,1,0)</f>
        <v>0</v>
      </c>
      <c r="F31" s="16">
        <f>IF(Rankings!F35&lt;=3,1,0)</f>
        <v>0</v>
      </c>
      <c r="G31" s="16">
        <f>IF(Rankings!G35&lt;=3,1,0)</f>
        <v>0</v>
      </c>
      <c r="H31" s="16">
        <f>IF(Rankings!H35&lt;=3,1,0)</f>
        <v>1</v>
      </c>
      <c r="I31" s="16">
        <f>IF(Rankings!I35&lt;=3,1,0)</f>
        <v>1</v>
      </c>
      <c r="J31" s="16">
        <f>IF(Rankings!J35&lt;=3,1,0)</f>
        <v>0</v>
      </c>
      <c r="K31" s="19">
        <f t="shared" si="0"/>
        <v>3</v>
      </c>
      <c r="L31" s="15">
        <f>SUMPRODUCT(C31:J31,Returns!B35:I35)/K31</f>
        <v>-4.1785128012031159E-2</v>
      </c>
      <c r="M31" s="15">
        <v>0</v>
      </c>
      <c r="N31" s="15">
        <v>0</v>
      </c>
      <c r="O31" s="15">
        <f t="shared" si="1"/>
        <v>-4.1785128012031159E-2</v>
      </c>
      <c r="P31" s="20">
        <f t="shared" si="3"/>
        <v>1.6784038473536853</v>
      </c>
      <c r="Q31" s="20">
        <f>MAX($P$5:P31)</f>
        <v>2.0936765632786347</v>
      </c>
      <c r="R31" s="15">
        <f t="shared" si="2"/>
        <v>-0.19834616444989228</v>
      </c>
      <c r="S31" s="15">
        <f>O31-Benchmark_RF!D31</f>
        <v>-4.6645568388761882E-2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IF(Rankings!C35&lt;=3,1,0)</f>
        <v>1</v>
      </c>
      <c r="D32" s="16">
        <f>IF(Rankings!D35&lt;=3,1,0)</f>
        <v>0</v>
      </c>
      <c r="E32" s="16">
        <f>IF(Rankings!E35&lt;=3,1,0)</f>
        <v>0</v>
      </c>
      <c r="F32" s="16">
        <f>IF(Rankings!F35&lt;=3,1,0)</f>
        <v>0</v>
      </c>
      <c r="G32" s="16">
        <f>IF(Rankings!G35&lt;=3,1,0)</f>
        <v>0</v>
      </c>
      <c r="H32" s="16">
        <f>IF(Rankings!H35&lt;=3,1,0)</f>
        <v>1</v>
      </c>
      <c r="I32" s="16">
        <f>IF(Rankings!I35&lt;=3,1,0)</f>
        <v>1</v>
      </c>
      <c r="J32" s="16">
        <f>IF(Rankings!J35&lt;=3,1,0)</f>
        <v>0</v>
      </c>
      <c r="K32" s="19">
        <f t="shared" si="0"/>
        <v>3</v>
      </c>
      <c r="L32" s="15">
        <f>SUMPRODUCT(C32:J32,Returns!B36:I36)/K32</f>
        <v>0.19866395385310839</v>
      </c>
      <c r="M32" s="15">
        <v>0</v>
      </c>
      <c r="N32" s="15">
        <v>0</v>
      </c>
      <c r="O32" s="15">
        <f t="shared" si="1"/>
        <v>0.19866395385310839</v>
      </c>
      <c r="P32" s="20">
        <f t="shared" si="3"/>
        <v>2.0118421918312372</v>
      </c>
      <c r="Q32" s="20">
        <f>MAX($P$5:P32)</f>
        <v>2.0936765632786347</v>
      </c>
      <c r="R32" s="15">
        <f t="shared" si="2"/>
        <v>-3.9086443857998421E-2</v>
      </c>
      <c r="S32" s="15">
        <f>O32-Benchmark_RF!D32</f>
        <v>0.19380359248158205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IF(Rankings!C35&lt;=3,1,0)</f>
        <v>1</v>
      </c>
      <c r="D33" s="16">
        <f>IF(Rankings!D35&lt;=3,1,0)</f>
        <v>0</v>
      </c>
      <c r="E33" s="16">
        <f>IF(Rankings!E35&lt;=3,1,0)</f>
        <v>0</v>
      </c>
      <c r="F33" s="16">
        <f>IF(Rankings!F35&lt;=3,1,0)</f>
        <v>0</v>
      </c>
      <c r="G33" s="16">
        <f>IF(Rankings!G35&lt;=3,1,0)</f>
        <v>0</v>
      </c>
      <c r="H33" s="16">
        <f>IF(Rankings!H35&lt;=3,1,0)</f>
        <v>1</v>
      </c>
      <c r="I33" s="16">
        <f>IF(Rankings!I35&lt;=3,1,0)</f>
        <v>1</v>
      </c>
      <c r="J33" s="16">
        <f>IF(Rankings!J35&lt;=3,1,0)</f>
        <v>0</v>
      </c>
      <c r="K33" s="19">
        <f t="shared" si="0"/>
        <v>3</v>
      </c>
      <c r="L33" s="15">
        <f>SUMPRODUCT(C33:J33,Returns!B37:I37)/K33</f>
        <v>-5.4116305779124589E-3</v>
      </c>
      <c r="M33" s="15">
        <v>0</v>
      </c>
      <c r="N33" s="15">
        <v>0</v>
      </c>
      <c r="O33" s="15">
        <f t="shared" si="1"/>
        <v>-5.4116305779124589E-3</v>
      </c>
      <c r="P33" s="20">
        <f t="shared" si="3"/>
        <v>2.000954845107989</v>
      </c>
      <c r="Q33" s="20">
        <f>MAX($P$5:P33)</f>
        <v>2.0936765632786347</v>
      </c>
      <c r="R33" s="15">
        <f t="shared" si="2"/>
        <v>-4.4286553041147037E-2</v>
      </c>
      <c r="S33" s="15">
        <f>O33-Benchmark_RF!D33</f>
        <v>-1.0272070954643182E-2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IF(Rankings!C35&lt;=3,1,0)</f>
        <v>1</v>
      </c>
      <c r="D34" s="16">
        <f>IF(Rankings!D35&lt;=3,1,0)</f>
        <v>0</v>
      </c>
      <c r="E34" s="16">
        <f>IF(Rankings!E35&lt;=3,1,0)</f>
        <v>0</v>
      </c>
      <c r="F34" s="16">
        <f>IF(Rankings!F35&lt;=3,1,0)</f>
        <v>0</v>
      </c>
      <c r="G34" s="16">
        <f>IF(Rankings!G35&lt;=3,1,0)</f>
        <v>0</v>
      </c>
      <c r="H34" s="16">
        <f>IF(Rankings!H35&lt;=3,1,0)</f>
        <v>1</v>
      </c>
      <c r="I34" s="16">
        <f>IF(Rankings!I35&lt;=3,1,0)</f>
        <v>1</v>
      </c>
      <c r="J34" s="16">
        <f>IF(Rankings!J35&lt;=3,1,0)</f>
        <v>0</v>
      </c>
      <c r="K34" s="19">
        <f t="shared" si="0"/>
        <v>3</v>
      </c>
      <c r="L34" s="15">
        <f>SUMPRODUCT(C34:J34,Returns!B38:I38)/K34</f>
        <v>4.3890712090430682E-2</v>
      </c>
      <c r="M34" s="15">
        <v>0</v>
      </c>
      <c r="N34" s="15">
        <v>0</v>
      </c>
      <c r="O34" s="15">
        <f t="shared" si="1"/>
        <v>4.3890712090430682E-2</v>
      </c>
      <c r="P34" s="20">
        <f t="shared" si="3"/>
        <v>2.0887781781205761</v>
      </c>
      <c r="Q34" s="20">
        <f>MAX($P$5:P34)</f>
        <v>2.0936765632786347</v>
      </c>
      <c r="R34" s="15">
        <f t="shared" si="2"/>
        <v>-2.3396092997228779E-3</v>
      </c>
      <c r="S34" s="15">
        <f>O34-Benchmark_RF!D34</f>
        <v>3.8865299951594455E-2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IF(Rankings!C41&lt;=3,1,0)</f>
        <v>0</v>
      </c>
      <c r="D35" s="16">
        <f>IF(Rankings!D41&lt;=3,1,0)</f>
        <v>1</v>
      </c>
      <c r="E35" s="16">
        <f>IF(Rankings!E41&lt;=3,1,0)</f>
        <v>1</v>
      </c>
      <c r="F35" s="16">
        <f>IF(Rankings!F41&lt;=3,1,0)</f>
        <v>0</v>
      </c>
      <c r="G35" s="16">
        <f>IF(Rankings!G41&lt;=3,1,0)</f>
        <v>1</v>
      </c>
      <c r="H35" s="16">
        <f>IF(Rankings!H41&lt;=3,1,0)</f>
        <v>0</v>
      </c>
      <c r="I35" s="16">
        <f>IF(Rankings!I41&lt;=3,1,0)</f>
        <v>0</v>
      </c>
      <c r="J35" s="16">
        <f>IF(Rankings!J41&lt;=3,1,0)</f>
        <v>0</v>
      </c>
      <c r="K35" s="19">
        <f t="shared" si="0"/>
        <v>3</v>
      </c>
      <c r="L35" s="15">
        <f>SUMPRODUCT(C35:J35,Returns!B39:I39)/K35</f>
        <v>-1.8469609027310468E-2</v>
      </c>
      <c r="M35" s="15">
        <f>-2*Assumptions!$B$13</f>
        <v>-7.0000000000000001E-3</v>
      </c>
      <c r="N35" s="15">
        <f>-Assumptions!$B$16*MAX(0,(1+O29)*(1+O30)*(1+O31)*(1+O32)*(1+O33)*(1+O34)-1)</f>
        <v>-4.7603578572814166E-3</v>
      </c>
      <c r="O35" s="15">
        <f t="shared" si="1"/>
        <v>-3.0229966884591883E-2</v>
      </c>
      <c r="P35" s="20">
        <f t="shared" si="3"/>
        <v>2.025634482966733</v>
      </c>
      <c r="Q35" s="20">
        <f>MAX($P$5:P35)</f>
        <v>2.0936765632786347</v>
      </c>
      <c r="R35" s="15">
        <f t="shared" si="2"/>
        <v>-3.2498849872661273E-2</v>
      </c>
      <c r="S35" s="15">
        <f>O35-Benchmark_RF!D35</f>
        <v>-3.528076926346678E-2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IF(Rankings!C41&lt;=3,1,0)</f>
        <v>0</v>
      </c>
      <c r="D36" s="16">
        <f>IF(Rankings!D41&lt;=3,1,0)</f>
        <v>1</v>
      </c>
      <c r="E36" s="16">
        <f>IF(Rankings!E41&lt;=3,1,0)</f>
        <v>1</v>
      </c>
      <c r="F36" s="16">
        <f>IF(Rankings!F41&lt;=3,1,0)</f>
        <v>0</v>
      </c>
      <c r="G36" s="16">
        <f>IF(Rankings!G41&lt;=3,1,0)</f>
        <v>1</v>
      </c>
      <c r="H36" s="16">
        <f>IF(Rankings!H41&lt;=3,1,0)</f>
        <v>0</v>
      </c>
      <c r="I36" s="16">
        <f>IF(Rankings!I41&lt;=3,1,0)</f>
        <v>0</v>
      </c>
      <c r="J36" s="16">
        <f>IF(Rankings!J41&lt;=3,1,0)</f>
        <v>0</v>
      </c>
      <c r="K36" s="19">
        <f t="shared" si="0"/>
        <v>3</v>
      </c>
      <c r="L36" s="15">
        <f>SUMPRODUCT(C36:J36,Returns!B40:I40)/K36</f>
        <v>6.7956287330574058E-2</v>
      </c>
      <c r="M36" s="15">
        <v>0</v>
      </c>
      <c r="N36" s="15">
        <v>0</v>
      </c>
      <c r="O36" s="15">
        <f t="shared" si="1"/>
        <v>6.7956287330574058E-2</v>
      </c>
      <c r="P36" s="20">
        <f t="shared" si="3"/>
        <v>2.1632890819179393</v>
      </c>
      <c r="Q36" s="20">
        <f>MAX($P$5:P36)</f>
        <v>2.1632890819179393</v>
      </c>
      <c r="R36" s="15">
        <f t="shared" si="2"/>
        <v>0</v>
      </c>
      <c r="S36" s="15">
        <f>O36-Benchmark_RF!D36</f>
        <v>6.2884279258458894E-2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IF(Rankings!C41&lt;=3,1,0)</f>
        <v>0</v>
      </c>
      <c r="D37" s="16">
        <f>IF(Rankings!D41&lt;=3,1,0)</f>
        <v>1</v>
      </c>
      <c r="E37" s="16">
        <f>IF(Rankings!E41&lt;=3,1,0)</f>
        <v>1</v>
      </c>
      <c r="F37" s="16">
        <f>IF(Rankings!F41&lt;=3,1,0)</f>
        <v>0</v>
      </c>
      <c r="G37" s="16">
        <f>IF(Rankings!G41&lt;=3,1,0)</f>
        <v>1</v>
      </c>
      <c r="H37" s="16">
        <f>IF(Rankings!H41&lt;=3,1,0)</f>
        <v>0</v>
      </c>
      <c r="I37" s="16">
        <f>IF(Rankings!I41&lt;=3,1,0)</f>
        <v>0</v>
      </c>
      <c r="J37" s="16">
        <f>IF(Rankings!J41&lt;=3,1,0)</f>
        <v>0</v>
      </c>
      <c r="K37" s="19">
        <f t="shared" ref="K37:K68" si="4">SUM(C37:J37)</f>
        <v>3</v>
      </c>
      <c r="L37" s="15">
        <f>SUMPRODUCT(C37:J37,Returns!B41:I41)/K37</f>
        <v>-2.9422648896840764E-3</v>
      </c>
      <c r="M37" s="15">
        <v>0</v>
      </c>
      <c r="N37" s="15">
        <v>0</v>
      </c>
      <c r="O37" s="15">
        <f t="shared" ref="O37:O68" si="5">L37+M37+N37</f>
        <v>-2.9422648896840764E-3</v>
      </c>
      <c r="P37" s="20">
        <f t="shared" si="3"/>
        <v>2.1569241124059753</v>
      </c>
      <c r="Q37" s="20">
        <f>MAX($P$5:P37)</f>
        <v>2.1632890819179393</v>
      </c>
      <c r="R37" s="15">
        <f t="shared" ref="R37:R68" si="6">P37/Q37-1</f>
        <v>-2.9422648896840764E-3</v>
      </c>
      <c r="S37" s="15">
        <f>O37-Benchmark_RF!D37</f>
        <v>-7.9967727073574357E-3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IF(Rankings!C41&lt;=3,1,0)</f>
        <v>0</v>
      </c>
      <c r="D38" s="16">
        <f>IF(Rankings!D41&lt;=3,1,0)</f>
        <v>1</v>
      </c>
      <c r="E38" s="16">
        <f>IF(Rankings!E41&lt;=3,1,0)</f>
        <v>1</v>
      </c>
      <c r="F38" s="16">
        <f>IF(Rankings!F41&lt;=3,1,0)</f>
        <v>0</v>
      </c>
      <c r="G38" s="16">
        <f>IF(Rankings!G41&lt;=3,1,0)</f>
        <v>1</v>
      </c>
      <c r="H38" s="16">
        <f>IF(Rankings!H41&lt;=3,1,0)</f>
        <v>0</v>
      </c>
      <c r="I38" s="16">
        <f>IF(Rankings!I41&lt;=3,1,0)</f>
        <v>0</v>
      </c>
      <c r="J38" s="16">
        <f>IF(Rankings!J41&lt;=3,1,0)</f>
        <v>0</v>
      </c>
      <c r="K38" s="19">
        <f t="shared" si="4"/>
        <v>3</v>
      </c>
      <c r="L38" s="15">
        <f>SUMPRODUCT(C38:J38,Returns!B42:I42)/K38</f>
        <v>-6.181424368440961E-2</v>
      </c>
      <c r="M38" s="15">
        <v>0</v>
      </c>
      <c r="N38" s="15">
        <v>0</v>
      </c>
      <c r="O38" s="15">
        <f t="shared" si="5"/>
        <v>-6.181424368440961E-2</v>
      </c>
      <c r="P38" s="20">
        <f t="shared" ref="P38:P69" si="7">P37*(1+O38)</f>
        <v>2.0235954797129336</v>
      </c>
      <c r="Q38" s="20">
        <f>MAX($P$5:P38)</f>
        <v>2.1632890819179393</v>
      </c>
      <c r="R38" s="15">
        <f t="shared" si="6"/>
        <v>-6.4574634695218625E-2</v>
      </c>
      <c r="S38" s="15">
        <f>O38-Benchmark_RF!D38</f>
        <v>-6.6885778820743563E-2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IF(Rankings!C41&lt;=3,1,0)</f>
        <v>0</v>
      </c>
      <c r="D39" s="16">
        <f>IF(Rankings!D41&lt;=3,1,0)</f>
        <v>1</v>
      </c>
      <c r="E39" s="16">
        <f>IF(Rankings!E41&lt;=3,1,0)</f>
        <v>1</v>
      </c>
      <c r="F39" s="16">
        <f>IF(Rankings!F41&lt;=3,1,0)</f>
        <v>0</v>
      </c>
      <c r="G39" s="16">
        <f>IF(Rankings!G41&lt;=3,1,0)</f>
        <v>1</v>
      </c>
      <c r="H39" s="16">
        <f>IF(Rankings!H41&lt;=3,1,0)</f>
        <v>0</v>
      </c>
      <c r="I39" s="16">
        <f>IF(Rankings!I41&lt;=3,1,0)</f>
        <v>0</v>
      </c>
      <c r="J39" s="16">
        <f>IF(Rankings!J41&lt;=3,1,0)</f>
        <v>0</v>
      </c>
      <c r="K39" s="19">
        <f t="shared" si="4"/>
        <v>3</v>
      </c>
      <c r="L39" s="15">
        <f>SUMPRODUCT(C39:J39,Returns!B43:I43)/K39</f>
        <v>8.0964582832092988E-3</v>
      </c>
      <c r="M39" s="15">
        <v>0</v>
      </c>
      <c r="N39" s="15">
        <v>0</v>
      </c>
      <c r="O39" s="15">
        <f t="shared" si="5"/>
        <v>8.0964582832092988E-3</v>
      </c>
      <c r="P39" s="20">
        <f t="shared" si="7"/>
        <v>2.0399794360965204</v>
      </c>
      <c r="Q39" s="20">
        <f>MAX($P$5:P39)</f>
        <v>2.1632890819179393</v>
      </c>
      <c r="R39" s="15">
        <f t="shared" si="6"/>
        <v>-5.7001002247972554E-2</v>
      </c>
      <c r="S39" s="15">
        <f>O39-Benchmark_RF!D39</f>
        <v>2.6308715712615536E-3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IF(Rankings!C41&lt;=3,1,0)</f>
        <v>0</v>
      </c>
      <c r="D40" s="16">
        <f>IF(Rankings!D41&lt;=3,1,0)</f>
        <v>1</v>
      </c>
      <c r="E40" s="16">
        <f>IF(Rankings!E41&lt;=3,1,0)</f>
        <v>1</v>
      </c>
      <c r="F40" s="16">
        <f>IF(Rankings!F41&lt;=3,1,0)</f>
        <v>0</v>
      </c>
      <c r="G40" s="16">
        <f>IF(Rankings!G41&lt;=3,1,0)</f>
        <v>1</v>
      </c>
      <c r="H40" s="16">
        <f>IF(Rankings!H41&lt;=3,1,0)</f>
        <v>0</v>
      </c>
      <c r="I40" s="16">
        <f>IF(Rankings!I41&lt;=3,1,0)</f>
        <v>0</v>
      </c>
      <c r="J40" s="16">
        <f>IF(Rankings!J41&lt;=3,1,0)</f>
        <v>0</v>
      </c>
      <c r="K40" s="19">
        <f t="shared" si="4"/>
        <v>3</v>
      </c>
      <c r="L40" s="15">
        <f>SUMPRODUCT(C40:J40,Returns!B44:I44)/K40</f>
        <v>7.9002015632353942E-2</v>
      </c>
      <c r="M40" s="15">
        <v>0</v>
      </c>
      <c r="N40" s="15">
        <v>0</v>
      </c>
      <c r="O40" s="15">
        <f t="shared" si="5"/>
        <v>7.9002015632353942E-2</v>
      </c>
      <c r="P40" s="20">
        <f t="shared" si="7"/>
        <v>2.201141923396698</v>
      </c>
      <c r="Q40" s="20">
        <f>MAX($P$5:P40)</f>
        <v>2.201141923396698</v>
      </c>
      <c r="R40" s="15">
        <f t="shared" si="6"/>
        <v>0</v>
      </c>
      <c r="S40" s="15">
        <f>O40-Benchmark_RF!D40</f>
        <v>7.2784671839303774E-2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IF(Rankings!C47&lt;=3,1,0)</f>
        <v>1</v>
      </c>
      <c r="D41" s="16">
        <f>IF(Rankings!D47&lt;=3,1,0)</f>
        <v>1</v>
      </c>
      <c r="E41" s="16">
        <f>IF(Rankings!E47&lt;=3,1,0)</f>
        <v>0</v>
      </c>
      <c r="F41" s="16">
        <f>IF(Rankings!F47&lt;=3,1,0)</f>
        <v>0</v>
      </c>
      <c r="G41" s="16">
        <f>IF(Rankings!G47&lt;=3,1,0)</f>
        <v>0</v>
      </c>
      <c r="H41" s="16">
        <f>IF(Rankings!H47&lt;=3,1,0)</f>
        <v>1</v>
      </c>
      <c r="I41" s="16">
        <f>IF(Rankings!I47&lt;=3,1,0)</f>
        <v>0</v>
      </c>
      <c r="J41" s="16">
        <f>IF(Rankings!J47&lt;=3,1,0)</f>
        <v>0</v>
      </c>
      <c r="K41" s="19">
        <f t="shared" si="4"/>
        <v>3</v>
      </c>
      <c r="L41" s="15">
        <f>SUMPRODUCT(C41:J41,Returns!B45:I45)/K41</f>
        <v>1.1689149467403662E-2</v>
      </c>
      <c r="M41" s="15">
        <f>-2*Assumptions!$B$13</f>
        <v>-7.0000000000000001E-3</v>
      </c>
      <c r="N41" s="15">
        <f>-Assumptions!$B$16*MAX(0,(1+O35)*(1+O36)*(1+O37)*(1+O38)*(1+O39)*(1+O40)-1)</f>
        <v>-8.0691008590406902E-3</v>
      </c>
      <c r="O41" s="15">
        <f t="shared" si="5"/>
        <v>-3.3799513916370283E-3</v>
      </c>
      <c r="P41" s="20">
        <f t="shared" si="7"/>
        <v>2.1937021706895226</v>
      </c>
      <c r="Q41" s="20">
        <f>MAX($P$5:P41)</f>
        <v>2.201141923396698</v>
      </c>
      <c r="R41" s="15">
        <f t="shared" si="6"/>
        <v>-3.3799513916371593E-3</v>
      </c>
      <c r="S41" s="15">
        <f>O41-Benchmark_RF!D41</f>
        <v>-9.6196328529227562E-3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IF(Rankings!C47&lt;=3,1,0)</f>
        <v>1</v>
      </c>
      <c r="D42" s="16">
        <f>IF(Rankings!D47&lt;=3,1,0)</f>
        <v>1</v>
      </c>
      <c r="E42" s="16">
        <f>IF(Rankings!E47&lt;=3,1,0)</f>
        <v>0</v>
      </c>
      <c r="F42" s="16">
        <f>IF(Rankings!F47&lt;=3,1,0)</f>
        <v>0</v>
      </c>
      <c r="G42" s="16">
        <f>IF(Rankings!G47&lt;=3,1,0)</f>
        <v>0</v>
      </c>
      <c r="H42" s="16">
        <f>IF(Rankings!H47&lt;=3,1,0)</f>
        <v>1</v>
      </c>
      <c r="I42" s="16">
        <f>IF(Rankings!I47&lt;=3,1,0)</f>
        <v>0</v>
      </c>
      <c r="J42" s="16">
        <f>IF(Rankings!J47&lt;=3,1,0)</f>
        <v>0</v>
      </c>
      <c r="K42" s="19">
        <f t="shared" si="4"/>
        <v>3</v>
      </c>
      <c r="L42" s="15">
        <f>SUMPRODUCT(C42:J42,Returns!B46:I46)/K42</f>
        <v>1.700462860939082E-2</v>
      </c>
      <c r="M42" s="15">
        <v>0</v>
      </c>
      <c r="N42" s="15">
        <v>0</v>
      </c>
      <c r="O42" s="15">
        <f t="shared" si="5"/>
        <v>1.700462860939082E-2</v>
      </c>
      <c r="P42" s="20">
        <f t="shared" si="7"/>
        <v>2.2310052613817124</v>
      </c>
      <c r="Q42" s="20">
        <f>MAX($P$5:P42)</f>
        <v>2.2310052613817124</v>
      </c>
      <c r="R42" s="15">
        <f t="shared" si="6"/>
        <v>0</v>
      </c>
      <c r="S42" s="15">
        <f>O42-Benchmark_RF!D42</f>
        <v>1.0764947148105091E-2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IF(Rankings!C47&lt;=3,1,0)</f>
        <v>1</v>
      </c>
      <c r="D43" s="16">
        <f>IF(Rankings!D47&lt;=3,1,0)</f>
        <v>1</v>
      </c>
      <c r="E43" s="16">
        <f>IF(Rankings!E47&lt;=3,1,0)</f>
        <v>0</v>
      </c>
      <c r="F43" s="16">
        <f>IF(Rankings!F47&lt;=3,1,0)</f>
        <v>0</v>
      </c>
      <c r="G43" s="16">
        <f>IF(Rankings!G47&lt;=3,1,0)</f>
        <v>0</v>
      </c>
      <c r="H43" s="16">
        <f>IF(Rankings!H47&lt;=3,1,0)</f>
        <v>1</v>
      </c>
      <c r="I43" s="16">
        <f>IF(Rankings!I47&lt;=3,1,0)</f>
        <v>0</v>
      </c>
      <c r="J43" s="16">
        <f>IF(Rankings!J47&lt;=3,1,0)</f>
        <v>0</v>
      </c>
      <c r="K43" s="19">
        <f t="shared" si="4"/>
        <v>3</v>
      </c>
      <c r="L43" s="15">
        <f>SUMPRODUCT(C43:J43,Returns!B47:I47)/K43</f>
        <v>5.4286564252478277E-2</v>
      </c>
      <c r="M43" s="15">
        <v>0</v>
      </c>
      <c r="N43" s="15">
        <v>0</v>
      </c>
      <c r="O43" s="15">
        <f t="shared" si="5"/>
        <v>5.4286564252478277E-2</v>
      </c>
      <c r="P43" s="20">
        <f t="shared" si="7"/>
        <v>2.352118871851328</v>
      </c>
      <c r="Q43" s="20">
        <f>MAX($P$5:P43)</f>
        <v>2.352118871851328</v>
      </c>
      <c r="R43" s="15">
        <f t="shared" si="6"/>
        <v>0</v>
      </c>
      <c r="S43" s="15">
        <f>O43-Benchmark_RF!D43</f>
        <v>4.7239625856740387E-2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IF(Rankings!C47&lt;=3,1,0)</f>
        <v>1</v>
      </c>
      <c r="D44" s="16">
        <f>IF(Rankings!D47&lt;=3,1,0)</f>
        <v>1</v>
      </c>
      <c r="E44" s="16">
        <f>IF(Rankings!E47&lt;=3,1,0)</f>
        <v>0</v>
      </c>
      <c r="F44" s="16">
        <f>IF(Rankings!F47&lt;=3,1,0)</f>
        <v>0</v>
      </c>
      <c r="G44" s="16">
        <f>IF(Rankings!G47&lt;=3,1,0)</f>
        <v>0</v>
      </c>
      <c r="H44" s="16">
        <f>IF(Rankings!H47&lt;=3,1,0)</f>
        <v>1</v>
      </c>
      <c r="I44" s="16">
        <f>IF(Rankings!I47&lt;=3,1,0)</f>
        <v>0</v>
      </c>
      <c r="J44" s="16">
        <f>IF(Rankings!J47&lt;=3,1,0)</f>
        <v>0</v>
      </c>
      <c r="K44" s="19">
        <f t="shared" si="4"/>
        <v>3</v>
      </c>
      <c r="L44" s="15">
        <f>SUMPRODUCT(C44:J44,Returns!B48:I48)/K44</f>
        <v>-2.6297107538221714E-2</v>
      </c>
      <c r="M44" s="15">
        <v>0</v>
      </c>
      <c r="N44" s="15">
        <v>0</v>
      </c>
      <c r="O44" s="15">
        <f t="shared" si="5"/>
        <v>-2.6297107538221714E-2</v>
      </c>
      <c r="P44" s="20">
        <f t="shared" si="7"/>
        <v>2.2902649489355729</v>
      </c>
      <c r="Q44" s="20">
        <f>MAX($P$5:P44)</f>
        <v>2.352118871851328</v>
      </c>
      <c r="R44" s="15">
        <f t="shared" si="6"/>
        <v>-2.6297107538221676E-2</v>
      </c>
      <c r="S44" s="15">
        <f>O44-Benchmark_RF!D44</f>
        <v>-3.3348828403930317E-2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IF(Rankings!C47&lt;=3,1,0)</f>
        <v>1</v>
      </c>
      <c r="D45" s="16">
        <f>IF(Rankings!D47&lt;=3,1,0)</f>
        <v>1</v>
      </c>
      <c r="E45" s="16">
        <f>IF(Rankings!E47&lt;=3,1,0)</f>
        <v>0</v>
      </c>
      <c r="F45" s="16">
        <f>IF(Rankings!F47&lt;=3,1,0)</f>
        <v>0</v>
      </c>
      <c r="G45" s="16">
        <f>IF(Rankings!G47&lt;=3,1,0)</f>
        <v>0</v>
      </c>
      <c r="H45" s="16">
        <f>IF(Rankings!H47&lt;=3,1,0)</f>
        <v>1</v>
      </c>
      <c r="I45" s="16">
        <f>IF(Rankings!I47&lt;=3,1,0)</f>
        <v>0</v>
      </c>
      <c r="J45" s="16">
        <f>IF(Rankings!J47&lt;=3,1,0)</f>
        <v>0</v>
      </c>
      <c r="K45" s="19">
        <f t="shared" si="4"/>
        <v>3</v>
      </c>
      <c r="L45" s="15">
        <f>SUMPRODUCT(C45:J45,Returns!B49:I49)/K45</f>
        <v>-8.9993047411749225E-2</v>
      </c>
      <c r="M45" s="15">
        <v>0</v>
      </c>
      <c r="N45" s="15">
        <v>0</v>
      </c>
      <c r="O45" s="15">
        <f t="shared" si="5"/>
        <v>-8.9993047411749225E-2</v>
      </c>
      <c r="P45" s="20">
        <f t="shared" si="7"/>
        <v>2.0841570268005465</v>
      </c>
      <c r="Q45" s="20">
        <f>MAX($P$5:P45)</f>
        <v>2.352118871851328</v>
      </c>
      <c r="R45" s="15">
        <f t="shared" si="6"/>
        <v>-0.11392359810449182</v>
      </c>
      <c r="S45" s="15">
        <f>O45-Benchmark_RF!D45</f>
        <v>-9.8193397154447346E-2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IF(Rankings!C47&lt;=3,1,0)</f>
        <v>1</v>
      </c>
      <c r="D46" s="16">
        <f>IF(Rankings!D47&lt;=3,1,0)</f>
        <v>1</v>
      </c>
      <c r="E46" s="16">
        <f>IF(Rankings!E47&lt;=3,1,0)</f>
        <v>0</v>
      </c>
      <c r="F46" s="16">
        <f>IF(Rankings!F47&lt;=3,1,0)</f>
        <v>0</v>
      </c>
      <c r="G46" s="16">
        <f>IF(Rankings!G47&lt;=3,1,0)</f>
        <v>0</v>
      </c>
      <c r="H46" s="16">
        <f>IF(Rankings!H47&lt;=3,1,0)</f>
        <v>1</v>
      </c>
      <c r="I46" s="16">
        <f>IF(Rankings!I47&lt;=3,1,0)</f>
        <v>0</v>
      </c>
      <c r="J46" s="16">
        <f>IF(Rankings!J47&lt;=3,1,0)</f>
        <v>0</v>
      </c>
      <c r="K46" s="19">
        <f t="shared" si="4"/>
        <v>3</v>
      </c>
      <c r="L46" s="15">
        <f>SUMPRODUCT(C46:J46,Returns!B50:I50)/K46</f>
        <v>0.10796754171568297</v>
      </c>
      <c r="M46" s="15">
        <v>0</v>
      </c>
      <c r="N46" s="15">
        <v>0</v>
      </c>
      <c r="O46" s="15">
        <f t="shared" si="5"/>
        <v>0.10796754171568297</v>
      </c>
      <c r="P46" s="20">
        <f t="shared" si="7"/>
        <v>2.3091783375336683</v>
      </c>
      <c r="Q46" s="20">
        <f>MAX($P$5:P46)</f>
        <v>2.352118871851328</v>
      </c>
      <c r="R46" s="15">
        <f t="shared" si="6"/>
        <v>-1.8256107219556283E-2</v>
      </c>
      <c r="S46" s="15">
        <f>O46-Benchmark_RF!D46</f>
        <v>9.9763840403647233E-2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IF(Rankings!C53&lt;=3,1,0)</f>
        <v>1</v>
      </c>
      <c r="D47" s="16">
        <f>IF(Rankings!D53&lt;=3,1,0)</f>
        <v>0</v>
      </c>
      <c r="E47" s="16">
        <f>IF(Rankings!E53&lt;=3,1,0)</f>
        <v>1</v>
      </c>
      <c r="F47" s="16">
        <f>IF(Rankings!F53&lt;=3,1,0)</f>
        <v>0</v>
      </c>
      <c r="G47" s="16">
        <f>IF(Rankings!G53&lt;=3,1,0)</f>
        <v>1</v>
      </c>
      <c r="H47" s="16">
        <f>IF(Rankings!H53&lt;=3,1,0)</f>
        <v>0</v>
      </c>
      <c r="I47" s="16">
        <f>IF(Rankings!I53&lt;=3,1,0)</f>
        <v>0</v>
      </c>
      <c r="J47" s="16">
        <f>IF(Rankings!J53&lt;=3,1,0)</f>
        <v>0</v>
      </c>
      <c r="K47" s="19">
        <f t="shared" si="4"/>
        <v>3</v>
      </c>
      <c r="L47" s="15">
        <f>SUMPRODUCT(C47:J47,Returns!B51:I51)/K47</f>
        <v>-1.4273401095796298E-2</v>
      </c>
      <c r="M47" s="15">
        <f>-2*Assumptions!$B$13</f>
        <v>-7.0000000000000001E-3</v>
      </c>
      <c r="N47" s="15">
        <f>-Assumptions!$B$16*MAX(0,(1+O41)*(1+O42)*(1+O43)*(1+O44)*(1+O45)*(1+O46)-1)</f>
        <v>-7.3622977002491541E-3</v>
      </c>
      <c r="O47" s="15">
        <f t="shared" si="5"/>
        <v>-2.8635698796045453E-2</v>
      </c>
      <c r="P47" s="20">
        <f t="shared" si="7"/>
        <v>2.2430534021937012</v>
      </c>
      <c r="Q47" s="20">
        <f>MAX($P$5:P47)</f>
        <v>2.352118871851328</v>
      </c>
      <c r="R47" s="15">
        <f t="shared" si="6"/>
        <v>-4.636902962807421E-2</v>
      </c>
      <c r="S47" s="15">
        <f>O47-Benchmark_RF!D47</f>
        <v>-3.702871701139189E-2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IF(Rankings!C53&lt;=3,1,0)</f>
        <v>1</v>
      </c>
      <c r="D48" s="16">
        <f>IF(Rankings!D53&lt;=3,1,0)</f>
        <v>0</v>
      </c>
      <c r="E48" s="16">
        <f>IF(Rankings!E53&lt;=3,1,0)</f>
        <v>1</v>
      </c>
      <c r="F48" s="16">
        <f>IF(Rankings!F53&lt;=3,1,0)</f>
        <v>0</v>
      </c>
      <c r="G48" s="16">
        <f>IF(Rankings!G53&lt;=3,1,0)</f>
        <v>1</v>
      </c>
      <c r="H48" s="16">
        <f>IF(Rankings!H53&lt;=3,1,0)</f>
        <v>0</v>
      </c>
      <c r="I48" s="16">
        <f>IF(Rankings!I53&lt;=3,1,0)</f>
        <v>0</v>
      </c>
      <c r="J48" s="16">
        <f>IF(Rankings!J53&lt;=3,1,0)</f>
        <v>0</v>
      </c>
      <c r="K48" s="19">
        <f t="shared" si="4"/>
        <v>3</v>
      </c>
      <c r="L48" s="15">
        <f>SUMPRODUCT(C48:J48,Returns!B52:I52)/K48</f>
        <v>-4.0533973861448934E-2</v>
      </c>
      <c r="M48" s="15">
        <v>0</v>
      </c>
      <c r="N48" s="15">
        <v>0</v>
      </c>
      <c r="O48" s="15">
        <f t="shared" si="5"/>
        <v>-4.0533973861448934E-2</v>
      </c>
      <c r="P48" s="20">
        <f t="shared" si="7"/>
        <v>2.1521335342193475</v>
      </c>
      <c r="Q48" s="20">
        <f>MAX($P$5:P48)</f>
        <v>2.352118871851328</v>
      </c>
      <c r="R48" s="15">
        <f t="shared" si="6"/>
        <v>-8.502348245459812E-2</v>
      </c>
      <c r="S48" s="15">
        <f>O48-Benchmark_RF!D48</f>
        <v>-4.892167097867791E-2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IF(Rankings!C53&lt;=3,1,0)</f>
        <v>1</v>
      </c>
      <c r="D49" s="16">
        <f>IF(Rankings!D53&lt;=3,1,0)</f>
        <v>0</v>
      </c>
      <c r="E49" s="16">
        <f>IF(Rankings!E53&lt;=3,1,0)</f>
        <v>1</v>
      </c>
      <c r="F49" s="16">
        <f>IF(Rankings!F53&lt;=3,1,0)</f>
        <v>0</v>
      </c>
      <c r="G49" s="16">
        <f>IF(Rankings!G53&lt;=3,1,0)</f>
        <v>1</v>
      </c>
      <c r="H49" s="16">
        <f>IF(Rankings!H53&lt;=3,1,0)</f>
        <v>0</v>
      </c>
      <c r="I49" s="16">
        <f>IF(Rankings!I53&lt;=3,1,0)</f>
        <v>0</v>
      </c>
      <c r="J49" s="16">
        <f>IF(Rankings!J53&lt;=3,1,0)</f>
        <v>0</v>
      </c>
      <c r="K49" s="19">
        <f t="shared" si="4"/>
        <v>3</v>
      </c>
      <c r="L49" s="15">
        <f>SUMPRODUCT(C49:J49,Returns!B53:I53)/K49</f>
        <v>-5.8941099077643187E-2</v>
      </c>
      <c r="M49" s="15">
        <v>0</v>
      </c>
      <c r="N49" s="15">
        <v>0</v>
      </c>
      <c r="O49" s="15">
        <f t="shared" si="5"/>
        <v>-5.8941099077643187E-2</v>
      </c>
      <c r="P49" s="20">
        <f t="shared" si="7"/>
        <v>2.0252844183506067</v>
      </c>
      <c r="Q49" s="20">
        <f>MAX($P$5:P49)</f>
        <v>2.352118871851328</v>
      </c>
      <c r="R49" s="15">
        <f t="shared" si="6"/>
        <v>-0.1389532040289585</v>
      </c>
      <c r="S49" s="15">
        <f>O49-Benchmark_RF!D49</f>
        <v>-6.7638046954750258E-2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IF(Rankings!C53&lt;=3,1,0)</f>
        <v>1</v>
      </c>
      <c r="D50" s="16">
        <f>IF(Rankings!D53&lt;=3,1,0)</f>
        <v>0</v>
      </c>
      <c r="E50" s="16">
        <f>IF(Rankings!E53&lt;=3,1,0)</f>
        <v>1</v>
      </c>
      <c r="F50" s="16">
        <f>IF(Rankings!F53&lt;=3,1,0)</f>
        <v>0</v>
      </c>
      <c r="G50" s="16">
        <f>IF(Rankings!G53&lt;=3,1,0)</f>
        <v>1</v>
      </c>
      <c r="H50" s="16">
        <f>IF(Rankings!H53&lt;=3,1,0)</f>
        <v>0</v>
      </c>
      <c r="I50" s="16">
        <f>IF(Rankings!I53&lt;=3,1,0)</f>
        <v>0</v>
      </c>
      <c r="J50" s="16">
        <f>IF(Rankings!J53&lt;=3,1,0)</f>
        <v>0</v>
      </c>
      <c r="K50" s="19">
        <f t="shared" si="4"/>
        <v>3</v>
      </c>
      <c r="L50" s="15">
        <f>SUMPRODUCT(C50:J50,Returns!B54:I54)/K50</f>
        <v>2.1404183541068138E-2</v>
      </c>
      <c r="M50" s="15">
        <v>0</v>
      </c>
      <c r="N50" s="15">
        <v>0</v>
      </c>
      <c r="O50" s="15">
        <f t="shared" si="5"/>
        <v>2.1404183541068138E-2</v>
      </c>
      <c r="P50" s="20">
        <f t="shared" si="7"/>
        <v>2.0686339777638483</v>
      </c>
      <c r="Q50" s="20">
        <f>MAX($P$5:P50)</f>
        <v>2.352118871851328</v>
      </c>
      <c r="R50" s="15">
        <f t="shared" si="6"/>
        <v>-0.12052320037054576</v>
      </c>
      <c r="S50" s="15">
        <f>O50-Benchmark_RF!D50</f>
        <v>1.148474086840005E-2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IF(Rankings!C53&lt;=3,1,0)</f>
        <v>1</v>
      </c>
      <c r="D51" s="16">
        <f>IF(Rankings!D53&lt;=3,1,0)</f>
        <v>0</v>
      </c>
      <c r="E51" s="16">
        <f>IF(Rankings!E53&lt;=3,1,0)</f>
        <v>1</v>
      </c>
      <c r="F51" s="16">
        <f>IF(Rankings!F53&lt;=3,1,0)</f>
        <v>0</v>
      </c>
      <c r="G51" s="16">
        <f>IF(Rankings!G53&lt;=3,1,0)</f>
        <v>1</v>
      </c>
      <c r="H51" s="16">
        <f>IF(Rankings!H53&lt;=3,1,0)</f>
        <v>0</v>
      </c>
      <c r="I51" s="16">
        <f>IF(Rankings!I53&lt;=3,1,0)</f>
        <v>0</v>
      </c>
      <c r="J51" s="16">
        <f>IF(Rankings!J53&lt;=3,1,0)</f>
        <v>0</v>
      </c>
      <c r="K51" s="19">
        <f t="shared" si="4"/>
        <v>3</v>
      </c>
      <c r="L51" s="15">
        <f>SUMPRODUCT(C51:J51,Returns!B55:I55)/K51</f>
        <v>-7.4430301091033699E-2</v>
      </c>
      <c r="M51" s="15">
        <v>0</v>
      </c>
      <c r="N51" s="15">
        <v>0</v>
      </c>
      <c r="O51" s="15">
        <f t="shared" si="5"/>
        <v>-7.4430301091033699E-2</v>
      </c>
      <c r="P51" s="20">
        <f t="shared" si="7"/>
        <v>1.9146649279517425</v>
      </c>
      <c r="Q51" s="20">
        <f>MAX($P$5:P51)</f>
        <v>2.352118871851328</v>
      </c>
      <c r="R51" s="15">
        <f t="shared" si="6"/>
        <v>-0.18598292336954469</v>
      </c>
      <c r="S51" s="15">
        <f>O51-Benchmark_RF!D51</f>
        <v>-8.4471819117920385E-2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IF(Rankings!C53&lt;=3,1,0)</f>
        <v>1</v>
      </c>
      <c r="D52" s="16">
        <f>IF(Rankings!D53&lt;=3,1,0)</f>
        <v>0</v>
      </c>
      <c r="E52" s="16">
        <f>IF(Rankings!E53&lt;=3,1,0)</f>
        <v>1</v>
      </c>
      <c r="F52" s="16">
        <f>IF(Rankings!F53&lt;=3,1,0)</f>
        <v>0</v>
      </c>
      <c r="G52" s="16">
        <f>IF(Rankings!G53&lt;=3,1,0)</f>
        <v>1</v>
      </c>
      <c r="H52" s="16">
        <f>IF(Rankings!H53&lt;=3,1,0)</f>
        <v>0</v>
      </c>
      <c r="I52" s="16">
        <f>IF(Rankings!I53&lt;=3,1,0)</f>
        <v>0</v>
      </c>
      <c r="J52" s="16">
        <f>IF(Rankings!J53&lt;=3,1,0)</f>
        <v>0</v>
      </c>
      <c r="K52" s="19">
        <f t="shared" si="4"/>
        <v>3</v>
      </c>
      <c r="L52" s="15">
        <f>SUMPRODUCT(C52:J52,Returns!B56:I56)/K52</f>
        <v>-8.4404285507031131E-3</v>
      </c>
      <c r="M52" s="15">
        <v>0</v>
      </c>
      <c r="N52" s="15">
        <v>0</v>
      </c>
      <c r="O52" s="15">
        <f t="shared" si="5"/>
        <v>-8.4404285507031131E-3</v>
      </c>
      <c r="P52" s="20">
        <f t="shared" si="7"/>
        <v>1.8985043354288287</v>
      </c>
      <c r="Q52" s="20">
        <f>MAX($P$5:P52)</f>
        <v>2.352118871851328</v>
      </c>
      <c r="R52" s="15">
        <f t="shared" si="6"/>
        <v>-0.19285357634389633</v>
      </c>
      <c r="S52" s="15">
        <f>O52-Benchmark_RF!D52</f>
        <v>-1.9231155391717679E-2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IF(Rankings!C59&lt;=3,1,0)</f>
        <v>1</v>
      </c>
      <c r="D53" s="16">
        <f>IF(Rankings!D59&lt;=3,1,0)</f>
        <v>1</v>
      </c>
      <c r="E53" s="16">
        <f>IF(Rankings!E59&lt;=3,1,0)</f>
        <v>0</v>
      </c>
      <c r="F53" s="16">
        <f>IF(Rankings!F59&lt;=3,1,0)</f>
        <v>0</v>
      </c>
      <c r="G53" s="16">
        <f>IF(Rankings!G59&lt;=3,1,0)</f>
        <v>1</v>
      </c>
      <c r="H53" s="16">
        <f>IF(Rankings!H59&lt;=3,1,0)</f>
        <v>0</v>
      </c>
      <c r="I53" s="16">
        <f>IF(Rankings!I59&lt;=3,1,0)</f>
        <v>0</v>
      </c>
      <c r="J53" s="16">
        <f>IF(Rankings!J59&lt;=3,1,0)</f>
        <v>0</v>
      </c>
      <c r="K53" s="19">
        <f t="shared" si="4"/>
        <v>3</v>
      </c>
      <c r="L53" s="15">
        <f>SUMPRODUCT(C53:J53,Returns!B57:I57)/K53</f>
        <v>-0.11065169780888111</v>
      </c>
      <c r="M53" s="15">
        <f>-2*Assumptions!$B$13</f>
        <v>-7.0000000000000001E-3</v>
      </c>
      <c r="N53" s="15">
        <f>-Assumptions!$B$16*MAX(0,(1+O47)*(1+O48)*(1+O49)*(1+O50)*(1+O51)*(1+O52)-1)</f>
        <v>0</v>
      </c>
      <c r="O53" s="15">
        <f t="shared" si="5"/>
        <v>-0.11765169780888111</v>
      </c>
      <c r="P53" s="20">
        <f t="shared" si="7"/>
        <v>1.6751420770681056</v>
      </c>
      <c r="Q53" s="20">
        <f>MAX($P$5:P53)</f>
        <v>2.352118871851328</v>
      </c>
      <c r="R53" s="15">
        <f t="shared" si="6"/>
        <v>-0.28781572346740325</v>
      </c>
      <c r="S53" s="15">
        <f>O53-Benchmark_RF!D53</f>
        <v>-0.12844486837966979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IF(Rankings!C59&lt;=3,1,0)</f>
        <v>1</v>
      </c>
      <c r="D54" s="16">
        <f>IF(Rankings!D59&lt;=3,1,0)</f>
        <v>1</v>
      </c>
      <c r="E54" s="16">
        <f>IF(Rankings!E59&lt;=3,1,0)</f>
        <v>0</v>
      </c>
      <c r="F54" s="16">
        <f>IF(Rankings!F59&lt;=3,1,0)</f>
        <v>0</v>
      </c>
      <c r="G54" s="16">
        <f>IF(Rankings!G59&lt;=3,1,0)</f>
        <v>1</v>
      </c>
      <c r="H54" s="16">
        <f>IF(Rankings!H59&lt;=3,1,0)</f>
        <v>0</v>
      </c>
      <c r="I54" s="16">
        <f>IF(Rankings!I59&lt;=3,1,0)</f>
        <v>0</v>
      </c>
      <c r="J54" s="16">
        <f>IF(Rankings!J59&lt;=3,1,0)</f>
        <v>0</v>
      </c>
      <c r="K54" s="19">
        <f t="shared" si="4"/>
        <v>3</v>
      </c>
      <c r="L54" s="15">
        <f>SUMPRODUCT(C54:J54,Returns!B58:I58)/K54</f>
        <v>4.0532213637047211E-2</v>
      </c>
      <c r="M54" s="15">
        <v>0</v>
      </c>
      <c r="N54" s="15">
        <v>0</v>
      </c>
      <c r="O54" s="15">
        <f t="shared" si="5"/>
        <v>4.0532213637047211E-2</v>
      </c>
      <c r="P54" s="20">
        <f t="shared" si="7"/>
        <v>1.7430392936082371</v>
      </c>
      <c r="Q54" s="20">
        <f>MAX($P$5:P54)</f>
        <v>2.352118871851328</v>
      </c>
      <c r="R54" s="15">
        <f t="shared" si="6"/>
        <v>-0.25894931822203815</v>
      </c>
      <c r="S54" s="15">
        <f>O54-Benchmark_RF!D54</f>
        <v>2.976207594828665E-2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IF(Rankings!C59&lt;=3,1,0)</f>
        <v>1</v>
      </c>
      <c r="D55" s="16">
        <f>IF(Rankings!D59&lt;=3,1,0)</f>
        <v>1</v>
      </c>
      <c r="E55" s="16">
        <f>IF(Rankings!E59&lt;=3,1,0)</f>
        <v>0</v>
      </c>
      <c r="F55" s="16">
        <f>IF(Rankings!F59&lt;=3,1,0)</f>
        <v>0</v>
      </c>
      <c r="G55" s="16">
        <f>IF(Rankings!G59&lt;=3,1,0)</f>
        <v>1</v>
      </c>
      <c r="H55" s="16">
        <f>IF(Rankings!H59&lt;=3,1,0)</f>
        <v>0</v>
      </c>
      <c r="I55" s="16">
        <f>IF(Rankings!I59&lt;=3,1,0)</f>
        <v>0</v>
      </c>
      <c r="J55" s="16">
        <f>IF(Rankings!J59&lt;=3,1,0)</f>
        <v>0</v>
      </c>
      <c r="K55" s="19">
        <f t="shared" si="4"/>
        <v>3</v>
      </c>
      <c r="L55" s="15">
        <f>SUMPRODUCT(C55:J55,Returns!B59:I59)/K55</f>
        <v>4.6468363584002859E-2</v>
      </c>
      <c r="M55" s="15">
        <v>0</v>
      </c>
      <c r="N55" s="15">
        <v>0</v>
      </c>
      <c r="O55" s="15">
        <f t="shared" si="5"/>
        <v>4.6468363584002859E-2</v>
      </c>
      <c r="P55" s="20">
        <f t="shared" si="7"/>
        <v>1.8240354772448282</v>
      </c>
      <c r="Q55" s="20">
        <f>MAX($P$5:P55)</f>
        <v>2.352118871851328</v>
      </c>
      <c r="R55" s="15">
        <f t="shared" si="6"/>
        <v>-0.22451390570700658</v>
      </c>
      <c r="S55" s="15">
        <f>O55-Benchmark_RF!D55</f>
        <v>3.6045157315222731E-2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IF(Rankings!C59&lt;=3,1,0)</f>
        <v>1</v>
      </c>
      <c r="D56" s="16">
        <f>IF(Rankings!D59&lt;=3,1,0)</f>
        <v>1</v>
      </c>
      <c r="E56" s="16">
        <f>IF(Rankings!E59&lt;=3,1,0)</f>
        <v>0</v>
      </c>
      <c r="F56" s="16">
        <f>IF(Rankings!F59&lt;=3,1,0)</f>
        <v>0</v>
      </c>
      <c r="G56" s="16">
        <f>IF(Rankings!G59&lt;=3,1,0)</f>
        <v>1</v>
      </c>
      <c r="H56" s="16">
        <f>IF(Rankings!H59&lt;=3,1,0)</f>
        <v>0</v>
      </c>
      <c r="I56" s="16">
        <f>IF(Rankings!I59&lt;=3,1,0)</f>
        <v>0</v>
      </c>
      <c r="J56" s="16">
        <f>IF(Rankings!J59&lt;=3,1,0)</f>
        <v>0</v>
      </c>
      <c r="K56" s="19">
        <f t="shared" si="4"/>
        <v>3</v>
      </c>
      <c r="L56" s="15">
        <f>SUMPRODUCT(C56:J56,Returns!B60:I60)/K56</f>
        <v>0.11377068265754546</v>
      </c>
      <c r="M56" s="15">
        <v>0</v>
      </c>
      <c r="N56" s="15">
        <v>0</v>
      </c>
      <c r="O56" s="15">
        <f t="shared" si="5"/>
        <v>0.11377068265754546</v>
      </c>
      <c r="P56" s="20">
        <f t="shared" si="7"/>
        <v>2.031557238682554</v>
      </c>
      <c r="Q56" s="20">
        <f>MAX($P$5:P56)</f>
        <v>2.352118871851328</v>
      </c>
      <c r="R56" s="15">
        <f t="shared" si="6"/>
        <v>-0.13628632336785906</v>
      </c>
      <c r="S56" s="15">
        <f>O56-Benchmark_RF!D56</f>
        <v>0.10319117654858904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IF(Rankings!C59&lt;=3,1,0)</f>
        <v>1</v>
      </c>
      <c r="D57" s="16">
        <f>IF(Rankings!D59&lt;=3,1,0)</f>
        <v>1</v>
      </c>
      <c r="E57" s="16">
        <f>IF(Rankings!E59&lt;=3,1,0)</f>
        <v>0</v>
      </c>
      <c r="F57" s="16">
        <f>IF(Rankings!F59&lt;=3,1,0)</f>
        <v>0</v>
      </c>
      <c r="G57" s="16">
        <f>IF(Rankings!G59&lt;=3,1,0)</f>
        <v>1</v>
      </c>
      <c r="H57" s="16">
        <f>IF(Rankings!H59&lt;=3,1,0)</f>
        <v>0</v>
      </c>
      <c r="I57" s="16">
        <f>IF(Rankings!I59&lt;=3,1,0)</f>
        <v>0</v>
      </c>
      <c r="J57" s="16">
        <f>IF(Rankings!J59&lt;=3,1,0)</f>
        <v>0</v>
      </c>
      <c r="K57" s="19">
        <f t="shared" si="4"/>
        <v>3</v>
      </c>
      <c r="L57" s="15">
        <f>SUMPRODUCT(C57:J57,Returns!B61:I61)/K57</f>
        <v>6.1767541966556504E-2</v>
      </c>
      <c r="M57" s="15">
        <v>0</v>
      </c>
      <c r="N57" s="15">
        <v>0</v>
      </c>
      <c r="O57" s="15">
        <f t="shared" si="5"/>
        <v>6.1767541966556504E-2</v>
      </c>
      <c r="P57" s="20">
        <f t="shared" si="7"/>
        <v>2.1570415356803401</v>
      </c>
      <c r="Q57" s="20">
        <f>MAX($P$5:P57)</f>
        <v>2.352118871851328</v>
      </c>
      <c r="R57" s="15">
        <f t="shared" si="6"/>
        <v>-8.2936852599394539E-2</v>
      </c>
      <c r="S57" s="15">
        <f>O57-Benchmark_RF!D57</f>
        <v>5.1198873176925362E-2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IF(Rankings!C59&lt;=3,1,0)</f>
        <v>1</v>
      </c>
      <c r="D58" s="16">
        <f>IF(Rankings!D59&lt;=3,1,0)</f>
        <v>1</v>
      </c>
      <c r="E58" s="16">
        <f>IF(Rankings!E59&lt;=3,1,0)</f>
        <v>0</v>
      </c>
      <c r="F58" s="16">
        <f>IF(Rankings!F59&lt;=3,1,0)</f>
        <v>0</v>
      </c>
      <c r="G58" s="16">
        <f>IF(Rankings!G59&lt;=3,1,0)</f>
        <v>1</v>
      </c>
      <c r="H58" s="16">
        <f>IF(Rankings!H59&lt;=3,1,0)</f>
        <v>0</v>
      </c>
      <c r="I58" s="16">
        <f>IF(Rankings!I59&lt;=3,1,0)</f>
        <v>0</v>
      </c>
      <c r="J58" s="16">
        <f>IF(Rankings!J59&lt;=3,1,0)</f>
        <v>0</v>
      </c>
      <c r="K58" s="19">
        <f t="shared" si="4"/>
        <v>3</v>
      </c>
      <c r="L58" s="15">
        <f>SUMPRODUCT(C58:J58,Returns!B62:I62)/K58</f>
        <v>5.7026148253877897E-2</v>
      </c>
      <c r="M58" s="15">
        <v>0</v>
      </c>
      <c r="N58" s="15">
        <v>0</v>
      </c>
      <c r="O58" s="15">
        <f t="shared" si="5"/>
        <v>5.7026148253877897E-2</v>
      </c>
      <c r="P58" s="20">
        <f t="shared" si="7"/>
        <v>2.2800493060838196</v>
      </c>
      <c r="Q58" s="20">
        <f>MAX($P$5:P58)</f>
        <v>2.352118871851328</v>
      </c>
      <c r="R58" s="15">
        <f t="shared" si="6"/>
        <v>-3.0640273597559831E-2</v>
      </c>
      <c r="S58" s="15">
        <f>O58-Benchmark_RF!D58</f>
        <v>4.6500321658320666E-2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IF(Rankings!C65&lt;=3,1,0)</f>
        <v>1</v>
      </c>
      <c r="D59" s="16">
        <f>IF(Rankings!D65&lt;=3,1,0)</f>
        <v>0</v>
      </c>
      <c r="E59" s="16">
        <f>IF(Rankings!E65&lt;=3,1,0)</f>
        <v>0</v>
      </c>
      <c r="F59" s="16">
        <f>IF(Rankings!F65&lt;=3,1,0)</f>
        <v>0</v>
      </c>
      <c r="G59" s="16">
        <f>IF(Rankings!G65&lt;=3,1,0)</f>
        <v>0</v>
      </c>
      <c r="H59" s="16">
        <f>IF(Rankings!H65&lt;=3,1,0)</f>
        <v>0</v>
      </c>
      <c r="I59" s="16">
        <f>IF(Rankings!I65&lt;=3,1,0)</f>
        <v>1</v>
      </c>
      <c r="J59" s="16">
        <f>IF(Rankings!J65&lt;=3,1,0)</f>
        <v>1</v>
      </c>
      <c r="K59" s="19">
        <f t="shared" si="4"/>
        <v>3</v>
      </c>
      <c r="L59" s="15">
        <f>SUMPRODUCT(C59:J59,Returns!B63:I63)/K59</f>
        <v>-5.6107091488581985E-2</v>
      </c>
      <c r="M59" s="15">
        <f>-2*Assumptions!$B$13</f>
        <v>-7.0000000000000001E-3</v>
      </c>
      <c r="N59" s="15">
        <f>-Assumptions!$B$16*MAX(0,(1+O53)*(1+O54)*(1+O55)*(1+O56)*(1+O57)*(1+O58)-1)</f>
        <v>-3.0145701819175051E-2</v>
      </c>
      <c r="O59" s="15">
        <f t="shared" si="5"/>
        <v>-9.3252793307757043E-2</v>
      </c>
      <c r="P59" s="20">
        <f t="shared" si="7"/>
        <v>2.0674283394120905</v>
      </c>
      <c r="Q59" s="20">
        <f>MAX($P$5:P59)</f>
        <v>2.352118871851328</v>
      </c>
      <c r="R59" s="15">
        <f t="shared" si="6"/>
        <v>-0.12103577580463043</v>
      </c>
      <c r="S59" s="15">
        <f>O59-Benchmark_RF!D59</f>
        <v>-0.1037731239647165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IF(Rankings!C65&lt;=3,1,0)</f>
        <v>1</v>
      </c>
      <c r="D60" s="16">
        <f>IF(Rankings!D65&lt;=3,1,0)</f>
        <v>0</v>
      </c>
      <c r="E60" s="16">
        <f>IF(Rankings!E65&lt;=3,1,0)</f>
        <v>0</v>
      </c>
      <c r="F60" s="16">
        <f>IF(Rankings!F65&lt;=3,1,0)</f>
        <v>0</v>
      </c>
      <c r="G60" s="16">
        <f>IF(Rankings!G65&lt;=3,1,0)</f>
        <v>0</v>
      </c>
      <c r="H60" s="16">
        <f>IF(Rankings!H65&lt;=3,1,0)</f>
        <v>0</v>
      </c>
      <c r="I60" s="16">
        <f>IF(Rankings!I65&lt;=3,1,0)</f>
        <v>1</v>
      </c>
      <c r="J60" s="16">
        <f>IF(Rankings!J65&lt;=3,1,0)</f>
        <v>1</v>
      </c>
      <c r="K60" s="19">
        <f t="shared" si="4"/>
        <v>3</v>
      </c>
      <c r="L60" s="15">
        <f>SUMPRODUCT(C60:J60,Returns!B64:I64)/K60</f>
        <v>-0.34736735721614481</v>
      </c>
      <c r="M60" s="15">
        <v>0</v>
      </c>
      <c r="N60" s="15">
        <v>0</v>
      </c>
      <c r="O60" s="15">
        <f t="shared" si="5"/>
        <v>-0.34736735721614481</v>
      </c>
      <c r="P60" s="20">
        <f t="shared" si="7"/>
        <v>1.3492712209167497</v>
      </c>
      <c r="Q60" s="20">
        <f>MAX($P$5:P60)</f>
        <v>2.352118871851328</v>
      </c>
      <c r="R60" s="15">
        <f t="shared" si="6"/>
        <v>-0.42635925545091502</v>
      </c>
      <c r="S60" s="15">
        <f>O60-Benchmark_RF!D60</f>
        <v>-0.35626644224693788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IF(Rankings!C65&lt;=3,1,0)</f>
        <v>1</v>
      </c>
      <c r="D61" s="16">
        <f>IF(Rankings!D65&lt;=3,1,0)</f>
        <v>0</v>
      </c>
      <c r="E61" s="16">
        <f>IF(Rankings!E65&lt;=3,1,0)</f>
        <v>0</v>
      </c>
      <c r="F61" s="16">
        <f>IF(Rankings!F65&lt;=3,1,0)</f>
        <v>0</v>
      </c>
      <c r="G61" s="16">
        <f>IF(Rankings!G65&lt;=3,1,0)</f>
        <v>0</v>
      </c>
      <c r="H61" s="16">
        <f>IF(Rankings!H65&lt;=3,1,0)</f>
        <v>0</v>
      </c>
      <c r="I61" s="16">
        <f>IF(Rankings!I65&lt;=3,1,0)</f>
        <v>1</v>
      </c>
      <c r="J61" s="16">
        <f>IF(Rankings!J65&lt;=3,1,0)</f>
        <v>1</v>
      </c>
      <c r="K61" s="19">
        <f t="shared" si="4"/>
        <v>3</v>
      </c>
      <c r="L61" s="15">
        <f>SUMPRODUCT(C61:J61,Returns!B65:I65)/K61</f>
        <v>0.17186393370977274</v>
      </c>
      <c r="M61" s="15">
        <v>0</v>
      </c>
      <c r="N61" s="15">
        <v>0</v>
      </c>
      <c r="O61" s="15">
        <f t="shared" si="5"/>
        <v>0.17186393370977274</v>
      </c>
      <c r="P61" s="20">
        <f t="shared" si="7"/>
        <v>1.5811622805848899</v>
      </c>
      <c r="Q61" s="20">
        <f>MAX($P$5:P61)</f>
        <v>2.352118871851328</v>
      </c>
      <c r="R61" s="15">
        <f t="shared" si="6"/>
        <v>-0.32777110055650638</v>
      </c>
      <c r="S61" s="15">
        <f>O61-Benchmark_RF!D61</f>
        <v>0.16526386846941279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IF(Rankings!C65&lt;=3,1,0)</f>
        <v>1</v>
      </c>
      <c r="D62" s="16">
        <f>IF(Rankings!D65&lt;=3,1,0)</f>
        <v>0</v>
      </c>
      <c r="E62" s="16">
        <f>IF(Rankings!E65&lt;=3,1,0)</f>
        <v>0</v>
      </c>
      <c r="F62" s="16">
        <f>IF(Rankings!F65&lt;=3,1,0)</f>
        <v>0</v>
      </c>
      <c r="G62" s="16">
        <f>IF(Rankings!G65&lt;=3,1,0)</f>
        <v>0</v>
      </c>
      <c r="H62" s="16">
        <f>IF(Rankings!H65&lt;=3,1,0)</f>
        <v>0</v>
      </c>
      <c r="I62" s="16">
        <f>IF(Rankings!I65&lt;=3,1,0)</f>
        <v>1</v>
      </c>
      <c r="J62" s="16">
        <f>IF(Rankings!J65&lt;=3,1,0)</f>
        <v>1</v>
      </c>
      <c r="K62" s="19">
        <f t="shared" si="4"/>
        <v>3</v>
      </c>
      <c r="L62" s="15">
        <f>SUMPRODUCT(C62:J62,Returns!B66:I66)/K62</f>
        <v>0.16772373604110236</v>
      </c>
      <c r="M62" s="15">
        <v>0</v>
      </c>
      <c r="N62" s="15">
        <v>0</v>
      </c>
      <c r="O62" s="15">
        <f t="shared" si="5"/>
        <v>0.16772373604110236</v>
      </c>
      <c r="P62" s="20">
        <f t="shared" si="7"/>
        <v>1.8463607255718575</v>
      </c>
      <c r="Q62" s="20">
        <f>MAX($P$5:P62)</f>
        <v>2.352118871851328</v>
      </c>
      <c r="R62" s="15">
        <f t="shared" si="6"/>
        <v>-0.21502235806704517</v>
      </c>
      <c r="S62" s="15">
        <f>O62-Benchmark_RF!D62</f>
        <v>0.16119602197439975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IF(Rankings!C65&lt;=3,1,0)</f>
        <v>1</v>
      </c>
      <c r="D63" s="16">
        <f>IF(Rankings!D65&lt;=3,1,0)</f>
        <v>0</v>
      </c>
      <c r="E63" s="16">
        <f>IF(Rankings!E65&lt;=3,1,0)</f>
        <v>0</v>
      </c>
      <c r="F63" s="16">
        <f>IF(Rankings!F65&lt;=3,1,0)</f>
        <v>0</v>
      </c>
      <c r="G63" s="16">
        <f>IF(Rankings!G65&lt;=3,1,0)</f>
        <v>0</v>
      </c>
      <c r="H63" s="16">
        <f>IF(Rankings!H65&lt;=3,1,0)</f>
        <v>0</v>
      </c>
      <c r="I63" s="16">
        <f>IF(Rankings!I65&lt;=3,1,0)</f>
        <v>1</v>
      </c>
      <c r="J63" s="16">
        <f>IF(Rankings!J65&lt;=3,1,0)</f>
        <v>1</v>
      </c>
      <c r="K63" s="19">
        <f t="shared" si="4"/>
        <v>3</v>
      </c>
      <c r="L63" s="15">
        <f>SUMPRODUCT(C63:J63,Returns!B67:I67)/K63</f>
        <v>3.2557811038006181E-2</v>
      </c>
      <c r="M63" s="15">
        <v>0</v>
      </c>
      <c r="N63" s="15">
        <v>0</v>
      </c>
      <c r="O63" s="15">
        <f t="shared" si="5"/>
        <v>3.2557811038006181E-2</v>
      </c>
      <c r="P63" s="20">
        <f t="shared" si="7"/>
        <v>1.9064741891830221</v>
      </c>
      <c r="Q63" s="20">
        <f>MAX($P$5:P63)</f>
        <v>2.352118871851328</v>
      </c>
      <c r="R63" s="15">
        <f t="shared" si="6"/>
        <v>-0.18946520433193226</v>
      </c>
      <c r="S63" s="15">
        <f>O63-Benchmark_RF!D63</f>
        <v>2.7022165242659803E-2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IF(Rankings!C65&lt;=3,1,0)</f>
        <v>1</v>
      </c>
      <c r="D64" s="16">
        <f>IF(Rankings!D65&lt;=3,1,0)</f>
        <v>0</v>
      </c>
      <c r="E64" s="16">
        <f>IF(Rankings!E65&lt;=3,1,0)</f>
        <v>0</v>
      </c>
      <c r="F64" s="16">
        <f>IF(Rankings!F65&lt;=3,1,0)</f>
        <v>0</v>
      </c>
      <c r="G64" s="16">
        <f>IF(Rankings!G65&lt;=3,1,0)</f>
        <v>0</v>
      </c>
      <c r="H64" s="16">
        <f>IF(Rankings!H65&lt;=3,1,0)</f>
        <v>0</v>
      </c>
      <c r="I64" s="16">
        <f>IF(Rankings!I65&lt;=3,1,0)</f>
        <v>1</v>
      </c>
      <c r="J64" s="16">
        <f>IF(Rankings!J65&lt;=3,1,0)</f>
        <v>1</v>
      </c>
      <c r="K64" s="19">
        <f t="shared" si="4"/>
        <v>3</v>
      </c>
      <c r="L64" s="15">
        <f>SUMPRODUCT(C64:J64,Returns!B68:I68)/K64</f>
        <v>0.1020535227154844</v>
      </c>
      <c r="M64" s="15">
        <v>0</v>
      </c>
      <c r="N64" s="15">
        <v>0</v>
      </c>
      <c r="O64" s="15">
        <f t="shared" si="5"/>
        <v>0.1020535227154844</v>
      </c>
      <c r="P64" s="20">
        <f t="shared" si="7"/>
        <v>2.1010365961552964</v>
      </c>
      <c r="Q64" s="20">
        <f>MAX($P$5:P64)</f>
        <v>2.352118871851328</v>
      </c>
      <c r="R64" s="15">
        <f t="shared" si="6"/>
        <v>-0.10674727315053056</v>
      </c>
      <c r="S64" s="15">
        <f>O64-Benchmark_RF!D64</f>
        <v>9.6498586758841487E-2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IF(Rankings!C71&lt;=3,1,0)</f>
        <v>0</v>
      </c>
      <c r="D65" s="16">
        <f>IF(Rankings!D71&lt;=3,1,0)</f>
        <v>0</v>
      </c>
      <c r="E65" s="16">
        <f>IF(Rankings!E71&lt;=3,1,0)</f>
        <v>0</v>
      </c>
      <c r="F65" s="16">
        <f>IF(Rankings!F71&lt;=3,1,0)</f>
        <v>1</v>
      </c>
      <c r="G65" s="16">
        <f>IF(Rankings!G71&lt;=3,1,0)</f>
        <v>1</v>
      </c>
      <c r="H65" s="16">
        <f>IF(Rankings!H71&lt;=3,1,0)</f>
        <v>0</v>
      </c>
      <c r="I65" s="16">
        <f>IF(Rankings!I71&lt;=3,1,0)</f>
        <v>1</v>
      </c>
      <c r="J65" s="16">
        <f>IF(Rankings!J71&lt;=3,1,0)</f>
        <v>0</v>
      </c>
      <c r="K65" s="19">
        <f t="shared" si="4"/>
        <v>3</v>
      </c>
      <c r="L65" s="15">
        <f>SUMPRODUCT(C65:J65,Returns!B69:I69)/K65</f>
        <v>7.702795514734366E-2</v>
      </c>
      <c r="M65" s="15">
        <f>-2*Assumptions!$B$13</f>
        <v>-7.0000000000000001E-3</v>
      </c>
      <c r="N65" s="15">
        <f>-Assumptions!$B$16*MAX(0,(1+O59)*(1+O60)*(1+O61)*(1+O62)*(1+O63)*(1+O64)-1)</f>
        <v>0</v>
      </c>
      <c r="O65" s="15">
        <f t="shared" si="5"/>
        <v>7.0027955147343654E-2</v>
      </c>
      <c r="P65" s="20">
        <f t="shared" si="7"/>
        <v>2.2481678926737874</v>
      </c>
      <c r="Q65" s="20">
        <f>MAX($P$5:P65)</f>
        <v>2.352118871851328</v>
      </c>
      <c r="R65" s="15">
        <f t="shared" si="6"/>
        <v>-4.4194611259473437E-2</v>
      </c>
      <c r="S65" s="15">
        <f>O65-Benchmark_RF!D65</f>
        <v>6.4302094966023723E-2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IF(Rankings!C71&lt;=3,1,0)</f>
        <v>0</v>
      </c>
      <c r="D66" s="16">
        <f>IF(Rankings!D71&lt;=3,1,0)</f>
        <v>0</v>
      </c>
      <c r="E66" s="16">
        <f>IF(Rankings!E71&lt;=3,1,0)</f>
        <v>0</v>
      </c>
      <c r="F66" s="16">
        <f>IF(Rankings!F71&lt;=3,1,0)</f>
        <v>1</v>
      </c>
      <c r="G66" s="16">
        <f>IF(Rankings!G71&lt;=3,1,0)</f>
        <v>1</v>
      </c>
      <c r="H66" s="16">
        <f>IF(Rankings!H71&lt;=3,1,0)</f>
        <v>0</v>
      </c>
      <c r="I66" s="16">
        <f>IF(Rankings!I71&lt;=3,1,0)</f>
        <v>1</v>
      </c>
      <c r="J66" s="16">
        <f>IF(Rankings!J71&lt;=3,1,0)</f>
        <v>0</v>
      </c>
      <c r="K66" s="19">
        <f t="shared" si="4"/>
        <v>3</v>
      </c>
      <c r="L66" s="15">
        <f>SUMPRODUCT(C66:J66,Returns!B70:I70)/K66</f>
        <v>9.8499876759005813E-3</v>
      </c>
      <c r="M66" s="15">
        <v>0</v>
      </c>
      <c r="N66" s="15">
        <v>0</v>
      </c>
      <c r="O66" s="15">
        <f t="shared" si="5"/>
        <v>9.8499876759005813E-3</v>
      </c>
      <c r="P66" s="20">
        <f t="shared" si="7"/>
        <v>2.2703123187099798</v>
      </c>
      <c r="Q66" s="20">
        <f>MAX($P$5:P66)</f>
        <v>2.352118871851328</v>
      </c>
      <c r="R66" s="15">
        <f t="shared" si="6"/>
        <v>-3.4779939959819761E-2</v>
      </c>
      <c r="S66" s="15">
        <f>O66-Benchmark_RF!D66</f>
        <v>4.1188841872549977E-3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IF(Rankings!C71&lt;=3,1,0)</f>
        <v>0</v>
      </c>
      <c r="D67" s="16">
        <f>IF(Rankings!D71&lt;=3,1,0)</f>
        <v>0</v>
      </c>
      <c r="E67" s="16">
        <f>IF(Rankings!E71&lt;=3,1,0)</f>
        <v>0</v>
      </c>
      <c r="F67" s="16">
        <f>IF(Rankings!F71&lt;=3,1,0)</f>
        <v>1</v>
      </c>
      <c r="G67" s="16">
        <f>IF(Rankings!G71&lt;=3,1,0)</f>
        <v>1</v>
      </c>
      <c r="H67" s="16">
        <f>IF(Rankings!H71&lt;=3,1,0)</f>
        <v>0</v>
      </c>
      <c r="I67" s="16">
        <f>IF(Rankings!I71&lt;=3,1,0)</f>
        <v>1</v>
      </c>
      <c r="J67" s="16">
        <f>IF(Rankings!J71&lt;=3,1,0)</f>
        <v>0</v>
      </c>
      <c r="K67" s="19">
        <f t="shared" si="4"/>
        <v>3</v>
      </c>
      <c r="L67" s="15">
        <f>SUMPRODUCT(C67:J67,Returns!B71:I71)/K67</f>
        <v>6.6189405944029334E-2</v>
      </c>
      <c r="M67" s="15">
        <v>0</v>
      </c>
      <c r="N67" s="15">
        <v>0</v>
      </c>
      <c r="O67" s="15">
        <f t="shared" si="5"/>
        <v>6.6189405944029334E-2</v>
      </c>
      <c r="P67" s="20">
        <f t="shared" si="7"/>
        <v>2.4205829423928051</v>
      </c>
      <c r="Q67" s="20">
        <f>MAX($P$5:P67)</f>
        <v>2.4205829423928051</v>
      </c>
      <c r="R67" s="15">
        <f t="shared" si="6"/>
        <v>0</v>
      </c>
      <c r="S67" s="15">
        <f>O67-Benchmark_RF!D67</f>
        <v>6.0411595510925453E-2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IF(Rankings!C71&lt;=3,1,0)</f>
        <v>0</v>
      </c>
      <c r="D68" s="16">
        <f>IF(Rankings!D71&lt;=3,1,0)</f>
        <v>0</v>
      </c>
      <c r="E68" s="16">
        <f>IF(Rankings!E71&lt;=3,1,0)</f>
        <v>0</v>
      </c>
      <c r="F68" s="16">
        <f>IF(Rankings!F71&lt;=3,1,0)</f>
        <v>1</v>
      </c>
      <c r="G68" s="16">
        <f>IF(Rankings!G71&lt;=3,1,0)</f>
        <v>1</v>
      </c>
      <c r="H68" s="16">
        <f>IF(Rankings!H71&lt;=3,1,0)</f>
        <v>0</v>
      </c>
      <c r="I68" s="16">
        <f>IF(Rankings!I71&lt;=3,1,0)</f>
        <v>1</v>
      </c>
      <c r="J68" s="16">
        <f>IF(Rankings!J71&lt;=3,1,0)</f>
        <v>0</v>
      </c>
      <c r="K68" s="19">
        <f t="shared" si="4"/>
        <v>3</v>
      </c>
      <c r="L68" s="15">
        <f>SUMPRODUCT(C68:J68,Returns!B72:I72)/K68</f>
        <v>4.6791126179109481E-3</v>
      </c>
      <c r="M68" s="15">
        <v>0</v>
      </c>
      <c r="N68" s="15">
        <v>0</v>
      </c>
      <c r="O68" s="15">
        <f t="shared" si="5"/>
        <v>4.6791126179109481E-3</v>
      </c>
      <c r="P68" s="20">
        <f t="shared" si="7"/>
        <v>2.431909122581255</v>
      </c>
      <c r="Q68" s="20">
        <f>MAX($P$5:P68)</f>
        <v>2.431909122581255</v>
      </c>
      <c r="R68" s="15">
        <f t="shared" si="6"/>
        <v>0</v>
      </c>
      <c r="S68" s="15">
        <f>O68-Benchmark_RF!D68</f>
        <v>-1.0847742878005535E-3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IF(Rankings!C71&lt;=3,1,0)</f>
        <v>0</v>
      </c>
      <c r="D69" s="16">
        <f>IF(Rankings!D71&lt;=3,1,0)</f>
        <v>0</v>
      </c>
      <c r="E69" s="16">
        <f>IF(Rankings!E71&lt;=3,1,0)</f>
        <v>0</v>
      </c>
      <c r="F69" s="16">
        <f>IF(Rankings!F71&lt;=3,1,0)</f>
        <v>1</v>
      </c>
      <c r="G69" s="16">
        <f>IF(Rankings!G71&lt;=3,1,0)</f>
        <v>1</v>
      </c>
      <c r="H69" s="16">
        <f>IF(Rankings!H71&lt;=3,1,0)</f>
        <v>0</v>
      </c>
      <c r="I69" s="16">
        <f>IF(Rankings!I71&lt;=3,1,0)</f>
        <v>1</v>
      </c>
      <c r="J69" s="16">
        <f>IF(Rankings!J71&lt;=3,1,0)</f>
        <v>0</v>
      </c>
      <c r="K69" s="19">
        <f t="shared" ref="K69:K100" si="8">SUM(C69:J69)</f>
        <v>3</v>
      </c>
      <c r="L69" s="15">
        <f>SUMPRODUCT(C69:J69,Returns!B73:I73)/K69</f>
        <v>9.8959099715884388E-2</v>
      </c>
      <c r="M69" s="15">
        <v>0</v>
      </c>
      <c r="N69" s="15">
        <v>0</v>
      </c>
      <c r="O69" s="15">
        <f t="shared" ref="O69:O100" si="9">L69+M69+N69</f>
        <v>9.8959099715884388E-2</v>
      </c>
      <c r="P69" s="20">
        <f t="shared" si="7"/>
        <v>2.6725686599427427</v>
      </c>
      <c r="Q69" s="20">
        <f>MAX($P$5:P69)</f>
        <v>2.6725686599427427</v>
      </c>
      <c r="R69" s="15">
        <f t="shared" ref="R69:R100" si="10">P69/Q69-1</f>
        <v>0</v>
      </c>
      <c r="S69" s="15">
        <f>O69-Benchmark_RF!D69</f>
        <v>9.3219623210685817E-2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IF(Rankings!C71&lt;=3,1,0)</f>
        <v>0</v>
      </c>
      <c r="D70" s="16">
        <f>IF(Rankings!D71&lt;=3,1,0)</f>
        <v>0</v>
      </c>
      <c r="E70" s="16">
        <f>IF(Rankings!E71&lt;=3,1,0)</f>
        <v>0</v>
      </c>
      <c r="F70" s="16">
        <f>IF(Rankings!F71&lt;=3,1,0)</f>
        <v>1</v>
      </c>
      <c r="G70" s="16">
        <f>IF(Rankings!G71&lt;=3,1,0)</f>
        <v>1</v>
      </c>
      <c r="H70" s="16">
        <f>IF(Rankings!H71&lt;=3,1,0)</f>
        <v>0</v>
      </c>
      <c r="I70" s="16">
        <f>IF(Rankings!I71&lt;=3,1,0)</f>
        <v>1</v>
      </c>
      <c r="J70" s="16">
        <f>IF(Rankings!J71&lt;=3,1,0)</f>
        <v>0</v>
      </c>
      <c r="K70" s="19">
        <f t="shared" si="8"/>
        <v>3</v>
      </c>
      <c r="L70" s="15">
        <f>SUMPRODUCT(C70:J70,Returns!B74:I74)/K70</f>
        <v>3.5428946436638263E-2</v>
      </c>
      <c r="M70" s="15">
        <v>0</v>
      </c>
      <c r="N70" s="15">
        <v>0</v>
      </c>
      <c r="O70" s="15">
        <f t="shared" si="9"/>
        <v>3.5428946436638263E-2</v>
      </c>
      <c r="P70" s="20">
        <f t="shared" ref="P70:P101" si="11">P69*(1+O70)</f>
        <v>2.7672549518440919</v>
      </c>
      <c r="Q70" s="20">
        <f>MAX($P$5:P70)</f>
        <v>2.7672549518440919</v>
      </c>
      <c r="R70" s="15">
        <f t="shared" si="10"/>
        <v>0</v>
      </c>
      <c r="S70" s="15">
        <f>O70-Benchmark_RF!D70</f>
        <v>2.9656063751154559E-2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IF(Rankings!C77&lt;=3,1,0)</f>
        <v>1</v>
      </c>
      <c r="D71" s="16">
        <f>IF(Rankings!D77&lt;=3,1,0)</f>
        <v>0</v>
      </c>
      <c r="E71" s="16">
        <f>IF(Rankings!E77&lt;=3,1,0)</f>
        <v>0</v>
      </c>
      <c r="F71" s="16">
        <f>IF(Rankings!F77&lt;=3,1,0)</f>
        <v>1</v>
      </c>
      <c r="G71" s="16">
        <f>IF(Rankings!G77&lt;=3,1,0)</f>
        <v>0</v>
      </c>
      <c r="H71" s="16">
        <f>IF(Rankings!H77&lt;=3,1,0)</f>
        <v>1</v>
      </c>
      <c r="I71" s="16">
        <f>IF(Rankings!I77&lt;=3,1,0)</f>
        <v>0</v>
      </c>
      <c r="J71" s="16">
        <f>IF(Rankings!J77&lt;=3,1,0)</f>
        <v>0</v>
      </c>
      <c r="K71" s="19">
        <f t="shared" si="8"/>
        <v>3</v>
      </c>
      <c r="L71" s="15">
        <f>SUMPRODUCT(C71:J71,Returns!B75:I75)/K71</f>
        <v>-2.0793648890452616E-2</v>
      </c>
      <c r="M71" s="15">
        <f>-2*Assumptions!$B$13</f>
        <v>-7.0000000000000001E-3</v>
      </c>
      <c r="N71" s="15">
        <f>-Assumptions!$B$16*MAX(0,(1+O65)*(1+O66)*(1+O67)*(1+O68)*(1+O69)*(1+O70)-1)</f>
        <v>-4.7563547220541992E-2</v>
      </c>
      <c r="O71" s="15">
        <f t="shared" si="9"/>
        <v>-7.5357196110994604E-2</v>
      </c>
      <c r="P71" s="20">
        <f t="shared" si="11"/>
        <v>2.5587223777488557</v>
      </c>
      <c r="Q71" s="20">
        <f>MAX($P$5:P71)</f>
        <v>2.7672549518440919</v>
      </c>
      <c r="R71" s="15">
        <f t="shared" si="10"/>
        <v>-7.5357196110994562E-2</v>
      </c>
      <c r="S71" s="15">
        <f>O71-Benchmark_RF!D71</f>
        <v>-8.1160501440759189E-2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IF(Rankings!C77&lt;=3,1,0)</f>
        <v>1</v>
      </c>
      <c r="D72" s="16">
        <f>IF(Rankings!D77&lt;=3,1,0)</f>
        <v>0</v>
      </c>
      <c r="E72" s="16">
        <f>IF(Rankings!E77&lt;=3,1,0)</f>
        <v>0</v>
      </c>
      <c r="F72" s="16">
        <f>IF(Rankings!F77&lt;=3,1,0)</f>
        <v>1</v>
      </c>
      <c r="G72" s="16">
        <f>IF(Rankings!G77&lt;=3,1,0)</f>
        <v>0</v>
      </c>
      <c r="H72" s="16">
        <f>IF(Rankings!H77&lt;=3,1,0)</f>
        <v>1</v>
      </c>
      <c r="I72" s="16">
        <f>IF(Rankings!I77&lt;=3,1,0)</f>
        <v>0</v>
      </c>
      <c r="J72" s="16">
        <f>IF(Rankings!J77&lt;=3,1,0)</f>
        <v>0</v>
      </c>
      <c r="K72" s="19">
        <f t="shared" si="8"/>
        <v>3</v>
      </c>
      <c r="L72" s="15">
        <f>SUMPRODUCT(C72:J72,Returns!B76:I76)/K72</f>
        <v>-5.077311832033856E-2</v>
      </c>
      <c r="M72" s="15">
        <v>0</v>
      </c>
      <c r="N72" s="15">
        <v>0</v>
      </c>
      <c r="O72" s="15">
        <f t="shared" si="9"/>
        <v>-5.077311832033856E-2</v>
      </c>
      <c r="P72" s="20">
        <f t="shared" si="11"/>
        <v>2.4288080637145151</v>
      </c>
      <c r="Q72" s="20">
        <f>MAX($P$5:P72)</f>
        <v>2.7672549518440919</v>
      </c>
      <c r="R72" s="15">
        <f t="shared" si="10"/>
        <v>-0.12230419459690067</v>
      </c>
      <c r="S72" s="15">
        <f>O72-Benchmark_RF!D72</f>
        <v>-5.6763273391008583E-2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IF(Rankings!C77&lt;=3,1,0)</f>
        <v>1</v>
      </c>
      <c r="D73" s="16">
        <f>IF(Rankings!D77&lt;=3,1,0)</f>
        <v>0</v>
      </c>
      <c r="E73" s="16">
        <f>IF(Rankings!E77&lt;=3,1,0)</f>
        <v>0</v>
      </c>
      <c r="F73" s="16">
        <f>IF(Rankings!F77&lt;=3,1,0)</f>
        <v>1</v>
      </c>
      <c r="G73" s="16">
        <f>IF(Rankings!G77&lt;=3,1,0)</f>
        <v>0</v>
      </c>
      <c r="H73" s="16">
        <f>IF(Rankings!H77&lt;=3,1,0)</f>
        <v>1</v>
      </c>
      <c r="I73" s="16">
        <f>IF(Rankings!I77&lt;=3,1,0)</f>
        <v>0</v>
      </c>
      <c r="J73" s="16">
        <f>IF(Rankings!J77&lt;=3,1,0)</f>
        <v>0</v>
      </c>
      <c r="K73" s="19">
        <f t="shared" si="8"/>
        <v>3</v>
      </c>
      <c r="L73" s="15">
        <f>SUMPRODUCT(C73:J73,Returns!B77:I77)/K73</f>
        <v>-4.8719490880677729E-2</v>
      </c>
      <c r="M73" s="15">
        <v>0</v>
      </c>
      <c r="N73" s="15">
        <v>0</v>
      </c>
      <c r="O73" s="15">
        <f t="shared" si="9"/>
        <v>-4.8719490880677729E-2</v>
      </c>
      <c r="P73" s="20">
        <f t="shared" si="11"/>
        <v>2.3104777714034594</v>
      </c>
      <c r="Q73" s="20">
        <f>MAX($P$5:P73)</f>
        <v>2.7672549518440919</v>
      </c>
      <c r="R73" s="15">
        <f t="shared" si="10"/>
        <v>-0.16506508738424597</v>
      </c>
      <c r="S73" s="15">
        <f>O73-Benchmark_RF!D73</f>
        <v>-5.4667887859303765E-2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IF(Rankings!C77&lt;=3,1,0)</f>
        <v>1</v>
      </c>
      <c r="D74" s="16">
        <f>IF(Rankings!D77&lt;=3,1,0)</f>
        <v>0</v>
      </c>
      <c r="E74" s="16">
        <f>IF(Rankings!E77&lt;=3,1,0)</f>
        <v>0</v>
      </c>
      <c r="F74" s="16">
        <f>IF(Rankings!F77&lt;=3,1,0)</f>
        <v>1</v>
      </c>
      <c r="G74" s="16">
        <f>IF(Rankings!G77&lt;=3,1,0)</f>
        <v>0</v>
      </c>
      <c r="H74" s="16">
        <f>IF(Rankings!H77&lt;=3,1,0)</f>
        <v>1</v>
      </c>
      <c r="I74" s="16">
        <f>IF(Rankings!I77&lt;=3,1,0)</f>
        <v>0</v>
      </c>
      <c r="J74" s="16">
        <f>IF(Rankings!J77&lt;=3,1,0)</f>
        <v>0</v>
      </c>
      <c r="K74" s="19">
        <f t="shared" si="8"/>
        <v>3</v>
      </c>
      <c r="L74" s="15">
        <f>SUMPRODUCT(C74:J74,Returns!B78:I78)/K74</f>
        <v>3.7165494355678362E-2</v>
      </c>
      <c r="M74" s="15">
        <v>0</v>
      </c>
      <c r="N74" s="15">
        <v>0</v>
      </c>
      <c r="O74" s="15">
        <f t="shared" si="9"/>
        <v>3.7165494355678362E-2</v>
      </c>
      <c r="P74" s="20">
        <f t="shared" si="11"/>
        <v>2.3963478199754751</v>
      </c>
      <c r="Q74" s="20">
        <f>MAX($P$5:P74)</f>
        <v>2.7672549518440919</v>
      </c>
      <c r="R74" s="15">
        <f t="shared" si="10"/>
        <v>-0.13403431860206638</v>
      </c>
      <c r="S74" s="15">
        <f>O74-Benchmark_RF!D74</f>
        <v>3.1243879422019859E-2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IF(Rankings!C77&lt;=3,1,0)</f>
        <v>1</v>
      </c>
      <c r="D75" s="16">
        <f>IF(Rankings!D77&lt;=3,1,0)</f>
        <v>0</v>
      </c>
      <c r="E75" s="16">
        <f>IF(Rankings!E77&lt;=3,1,0)</f>
        <v>0</v>
      </c>
      <c r="F75" s="16">
        <f>IF(Rankings!F77&lt;=3,1,0)</f>
        <v>1</v>
      </c>
      <c r="G75" s="16">
        <f>IF(Rankings!G77&lt;=3,1,0)</f>
        <v>0</v>
      </c>
      <c r="H75" s="16">
        <f>IF(Rankings!H77&lt;=3,1,0)</f>
        <v>1</v>
      </c>
      <c r="I75" s="16">
        <f>IF(Rankings!I77&lt;=3,1,0)</f>
        <v>0</v>
      </c>
      <c r="J75" s="16">
        <f>IF(Rankings!J77&lt;=3,1,0)</f>
        <v>0</v>
      </c>
      <c r="K75" s="19">
        <f t="shared" si="8"/>
        <v>3</v>
      </c>
      <c r="L75" s="15">
        <f>SUMPRODUCT(C75:J75,Returns!B79:I79)/K75</f>
        <v>-2.1619508441846496E-2</v>
      </c>
      <c r="M75" s="15">
        <v>0</v>
      </c>
      <c r="N75" s="15">
        <v>0</v>
      </c>
      <c r="O75" s="15">
        <f t="shared" si="9"/>
        <v>-2.1619508441846496E-2</v>
      </c>
      <c r="P75" s="20">
        <f t="shared" si="11"/>
        <v>2.3445399580519148</v>
      </c>
      <c r="Q75" s="20">
        <f>MAX($P$5:P75)</f>
        <v>2.7672549518440919</v>
      </c>
      <c r="R75" s="15">
        <f t="shared" si="10"/>
        <v>-0.15275607096139832</v>
      </c>
      <c r="S75" s="15">
        <f>O75-Benchmark_RF!D75</f>
        <v>-2.7504646577654095E-2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IF(Rankings!C77&lt;=3,1,0)</f>
        <v>1</v>
      </c>
      <c r="D76" s="16">
        <f>IF(Rankings!D77&lt;=3,1,0)</f>
        <v>0</v>
      </c>
      <c r="E76" s="16">
        <f>IF(Rankings!E77&lt;=3,1,0)</f>
        <v>0</v>
      </c>
      <c r="F76" s="16">
        <f>IF(Rankings!F77&lt;=3,1,0)</f>
        <v>1</v>
      </c>
      <c r="G76" s="16">
        <f>IF(Rankings!G77&lt;=3,1,0)</f>
        <v>0</v>
      </c>
      <c r="H76" s="16">
        <f>IF(Rankings!H77&lt;=3,1,0)</f>
        <v>1</v>
      </c>
      <c r="I76" s="16">
        <f>IF(Rankings!I77&lt;=3,1,0)</f>
        <v>0</v>
      </c>
      <c r="J76" s="16">
        <f>IF(Rankings!J77&lt;=3,1,0)</f>
        <v>0</v>
      </c>
      <c r="K76" s="19">
        <f t="shared" si="8"/>
        <v>3</v>
      </c>
      <c r="L76" s="15">
        <f>SUMPRODUCT(C76:J76,Returns!B80:I80)/K76</f>
        <v>-3.520229946735324E-3</v>
      </c>
      <c r="M76" s="15">
        <v>0</v>
      </c>
      <c r="N76" s="15">
        <v>0</v>
      </c>
      <c r="O76" s="15">
        <f t="shared" si="9"/>
        <v>-3.520229946735324E-3</v>
      </c>
      <c r="P76" s="20">
        <f t="shared" si="11"/>
        <v>2.3362866382802632</v>
      </c>
      <c r="Q76" s="20">
        <f>MAX($P$5:P76)</f>
        <v>2.7672549518440919</v>
      </c>
      <c r="R76" s="15">
        <f t="shared" si="10"/>
        <v>-0.1557385644125896</v>
      </c>
      <c r="S76" s="15">
        <f>O76-Benchmark_RF!D76</f>
        <v>-9.3562928208880489E-3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IF(Rankings!C83&lt;=3,1,0)</f>
        <v>1</v>
      </c>
      <c r="D77" s="16">
        <f>IF(Rankings!D83&lt;=3,1,0)</f>
        <v>1</v>
      </c>
      <c r="E77" s="16">
        <f>IF(Rankings!E83&lt;=3,1,0)</f>
        <v>0</v>
      </c>
      <c r="F77" s="16">
        <f>IF(Rankings!F83&lt;=3,1,0)</f>
        <v>1</v>
      </c>
      <c r="G77" s="16">
        <f>IF(Rankings!G83&lt;=3,1,0)</f>
        <v>0</v>
      </c>
      <c r="H77" s="16">
        <f>IF(Rankings!H83&lt;=3,1,0)</f>
        <v>0</v>
      </c>
      <c r="I77" s="16">
        <f>IF(Rankings!I83&lt;=3,1,0)</f>
        <v>0</v>
      </c>
      <c r="J77" s="16">
        <f>IF(Rankings!J83&lt;=3,1,0)</f>
        <v>0</v>
      </c>
      <c r="K77" s="19">
        <f t="shared" si="8"/>
        <v>3</v>
      </c>
      <c r="L77" s="15">
        <f>SUMPRODUCT(C77:J77,Returns!B81:I81)/K77</f>
        <v>8.2293350223880693E-2</v>
      </c>
      <c r="M77" s="15">
        <f>-2*Assumptions!$B$13</f>
        <v>-7.0000000000000001E-3</v>
      </c>
      <c r="N77" s="15">
        <f>-Assumptions!$B$16*MAX(0,(1+O71)*(1+O72)*(1+O73)*(1+O74)*(1+O75)*(1+O76)-1)</f>
        <v>0</v>
      </c>
      <c r="O77" s="15">
        <f t="shared" si="9"/>
        <v>7.5293350223880687E-2</v>
      </c>
      <c r="P77" s="20">
        <f t="shared" si="11"/>
        <v>2.5121934863596715</v>
      </c>
      <c r="Q77" s="20">
        <f>MAX($P$5:P77)</f>
        <v>2.7672549518440919</v>
      </c>
      <c r="R77" s="15">
        <f t="shared" si="10"/>
        <v>-9.2171292462390531E-2</v>
      </c>
      <c r="S77" s="15">
        <f>O77-Benchmark_RF!D77</f>
        <v>6.9459788705369022E-2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IF(Rankings!C83&lt;=3,1,0)</f>
        <v>1</v>
      </c>
      <c r="D78" s="16">
        <f>IF(Rankings!D83&lt;=3,1,0)</f>
        <v>1</v>
      </c>
      <c r="E78" s="16">
        <f>IF(Rankings!E83&lt;=3,1,0)</f>
        <v>0</v>
      </c>
      <c r="F78" s="16">
        <f>IF(Rankings!F83&lt;=3,1,0)</f>
        <v>1</v>
      </c>
      <c r="G78" s="16">
        <f>IF(Rankings!G83&lt;=3,1,0)</f>
        <v>0</v>
      </c>
      <c r="H78" s="16">
        <f>IF(Rankings!H83&lt;=3,1,0)</f>
        <v>0</v>
      </c>
      <c r="I78" s="16">
        <f>IF(Rankings!I83&lt;=3,1,0)</f>
        <v>0</v>
      </c>
      <c r="J78" s="16">
        <f>IF(Rankings!J83&lt;=3,1,0)</f>
        <v>0</v>
      </c>
      <c r="K78" s="19">
        <f t="shared" si="8"/>
        <v>3</v>
      </c>
      <c r="L78" s="15">
        <f>SUMPRODUCT(C78:J78,Returns!B82:I82)/K78</f>
        <v>-4.2541615662015309E-2</v>
      </c>
      <c r="M78" s="15">
        <v>0</v>
      </c>
      <c r="N78" s="15">
        <v>0</v>
      </c>
      <c r="O78" s="15">
        <f t="shared" si="9"/>
        <v>-4.2541615662015309E-2</v>
      </c>
      <c r="P78" s="20">
        <f t="shared" si="11"/>
        <v>2.40532071659434</v>
      </c>
      <c r="Q78" s="20">
        <f>MAX($P$5:P78)</f>
        <v>2.7672549518440919</v>
      </c>
      <c r="R78" s="15">
        <f t="shared" si="10"/>
        <v>-0.13079179242539973</v>
      </c>
      <c r="S78" s="15">
        <f>O78-Benchmark_RF!D78</f>
        <v>-4.8641967336998659E-2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IF(Rankings!C83&lt;=3,1,0)</f>
        <v>1</v>
      </c>
      <c r="D79" s="16">
        <f>IF(Rankings!D83&lt;=3,1,0)</f>
        <v>1</v>
      </c>
      <c r="E79" s="16">
        <f>IF(Rankings!E83&lt;=3,1,0)</f>
        <v>0</v>
      </c>
      <c r="F79" s="16">
        <f>IF(Rankings!F83&lt;=3,1,0)</f>
        <v>1</v>
      </c>
      <c r="G79" s="16">
        <f>IF(Rankings!G83&lt;=3,1,0)</f>
        <v>0</v>
      </c>
      <c r="H79" s="16">
        <f>IF(Rankings!H83&lt;=3,1,0)</f>
        <v>0</v>
      </c>
      <c r="I79" s="16">
        <f>IF(Rankings!I83&lt;=3,1,0)</f>
        <v>0</v>
      </c>
      <c r="J79" s="16">
        <f>IF(Rankings!J83&lt;=3,1,0)</f>
        <v>0</v>
      </c>
      <c r="K79" s="19">
        <f t="shared" si="8"/>
        <v>3</v>
      </c>
      <c r="L79" s="15">
        <f>SUMPRODUCT(C79:J79,Returns!B83:I83)/K79</f>
        <v>1.5316442573631442E-2</v>
      </c>
      <c r="M79" s="15">
        <v>0</v>
      </c>
      <c r="N79" s="15">
        <v>0</v>
      </c>
      <c r="O79" s="15">
        <f t="shared" si="9"/>
        <v>1.5316442573631442E-2</v>
      </c>
      <c r="P79" s="20">
        <f t="shared" si="11"/>
        <v>2.4421616732212232</v>
      </c>
      <c r="Q79" s="20">
        <f>MAX($P$5:P79)</f>
        <v>2.7672549518440919</v>
      </c>
      <c r="R79" s="15">
        <f t="shared" si="10"/>
        <v>-0.11747861482955424</v>
      </c>
      <c r="S79" s="15">
        <f>O79-Benchmark_RF!D79</f>
        <v>8.7467687146760929E-3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IF(Rankings!C83&lt;=3,1,0)</f>
        <v>1</v>
      </c>
      <c r="D80" s="16">
        <f>IF(Rankings!D83&lt;=3,1,0)</f>
        <v>1</v>
      </c>
      <c r="E80" s="16">
        <f>IF(Rankings!E83&lt;=3,1,0)</f>
        <v>0</v>
      </c>
      <c r="F80" s="16">
        <f>IF(Rankings!F83&lt;=3,1,0)</f>
        <v>1</v>
      </c>
      <c r="G80" s="16">
        <f>IF(Rankings!G83&lt;=3,1,0)</f>
        <v>0</v>
      </c>
      <c r="H80" s="16">
        <f>IF(Rankings!H83&lt;=3,1,0)</f>
        <v>0</v>
      </c>
      <c r="I80" s="16">
        <f>IF(Rankings!I83&lt;=3,1,0)</f>
        <v>0</v>
      </c>
      <c r="J80" s="16">
        <f>IF(Rankings!J83&lt;=3,1,0)</f>
        <v>0</v>
      </c>
      <c r="K80" s="19">
        <f t="shared" si="8"/>
        <v>3</v>
      </c>
      <c r="L80" s="15">
        <f>SUMPRODUCT(C80:J80,Returns!B84:I84)/K80</f>
        <v>2.3324637376755424E-2</v>
      </c>
      <c r="M80" s="15">
        <v>0</v>
      </c>
      <c r="N80" s="15">
        <v>0</v>
      </c>
      <c r="O80" s="15">
        <f t="shared" si="9"/>
        <v>2.3324637376755424E-2</v>
      </c>
      <c r="P80" s="20">
        <f t="shared" si="11"/>
        <v>2.4991242086645187</v>
      </c>
      <c r="Q80" s="20">
        <f>MAX($P$5:P80)</f>
        <v>2.7672549518440919</v>
      </c>
      <c r="R80" s="15">
        <f t="shared" si="10"/>
        <v>-9.6894123543221577E-2</v>
      </c>
      <c r="S80" s="15">
        <f>O80-Benchmark_RF!D80</f>
        <v>1.6502912024568033E-2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IF(Rankings!C83&lt;=3,1,0)</f>
        <v>1</v>
      </c>
      <c r="D81" s="16">
        <f>IF(Rankings!D83&lt;=3,1,0)</f>
        <v>1</v>
      </c>
      <c r="E81" s="16">
        <f>IF(Rankings!E83&lt;=3,1,0)</f>
        <v>0</v>
      </c>
      <c r="F81" s="16">
        <f>IF(Rankings!F83&lt;=3,1,0)</f>
        <v>1</v>
      </c>
      <c r="G81" s="16">
        <f>IF(Rankings!G83&lt;=3,1,0)</f>
        <v>0</v>
      </c>
      <c r="H81" s="16">
        <f>IF(Rankings!H83&lt;=3,1,0)</f>
        <v>0</v>
      </c>
      <c r="I81" s="16">
        <f>IF(Rankings!I83&lt;=3,1,0)</f>
        <v>0</v>
      </c>
      <c r="J81" s="16">
        <f>IF(Rankings!J83&lt;=3,1,0)</f>
        <v>0</v>
      </c>
      <c r="K81" s="19">
        <f t="shared" si="8"/>
        <v>3</v>
      </c>
      <c r="L81" s="15">
        <f>SUMPRODUCT(C81:J81,Returns!B85:I85)/K81</f>
        <v>-3.5941844584066428E-2</v>
      </c>
      <c r="M81" s="15">
        <v>0</v>
      </c>
      <c r="N81" s="15">
        <v>0</v>
      </c>
      <c r="O81" s="15">
        <f t="shared" si="9"/>
        <v>-3.5941844584066428E-2</v>
      </c>
      <c r="P81" s="20">
        <f t="shared" si="11"/>
        <v>2.4093010747604207</v>
      </c>
      <c r="Q81" s="20">
        <f>MAX($P$5:P81)</f>
        <v>2.7672549518440919</v>
      </c>
      <c r="R81" s="15">
        <f t="shared" si="10"/>
        <v>-0.12935341459778815</v>
      </c>
      <c r="S81" s="15">
        <f>O81-Benchmark_RF!D81</f>
        <v>-4.4211257595429175E-2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IF(Rankings!C83&lt;=3,1,0)</f>
        <v>1</v>
      </c>
      <c r="D82" s="16">
        <f>IF(Rankings!D83&lt;=3,1,0)</f>
        <v>1</v>
      </c>
      <c r="E82" s="16">
        <f>IF(Rankings!E83&lt;=3,1,0)</f>
        <v>0</v>
      </c>
      <c r="F82" s="16">
        <f>IF(Rankings!F83&lt;=3,1,0)</f>
        <v>1</v>
      </c>
      <c r="G82" s="16">
        <f>IF(Rankings!G83&lt;=3,1,0)</f>
        <v>0</v>
      </c>
      <c r="H82" s="16">
        <f>IF(Rankings!H83&lt;=3,1,0)</f>
        <v>0</v>
      </c>
      <c r="I82" s="16">
        <f>IF(Rankings!I83&lt;=3,1,0)</f>
        <v>0</v>
      </c>
      <c r="J82" s="16">
        <f>IF(Rankings!J83&lt;=3,1,0)</f>
        <v>0</v>
      </c>
      <c r="K82" s="19">
        <f t="shared" si="8"/>
        <v>3</v>
      </c>
      <c r="L82" s="15">
        <f>SUMPRODUCT(C82:J82,Returns!B86:I86)/K82</f>
        <v>2.7320110601880703E-2</v>
      </c>
      <c r="M82" s="15">
        <v>0</v>
      </c>
      <c r="N82" s="15">
        <v>0</v>
      </c>
      <c r="O82" s="15">
        <f t="shared" si="9"/>
        <v>2.7320110601880703E-2</v>
      </c>
      <c r="P82" s="20">
        <f t="shared" si="11"/>
        <v>2.4751234465961054</v>
      </c>
      <c r="Q82" s="20">
        <f>MAX($P$5:P82)</f>
        <v>2.7672549518440919</v>
      </c>
      <c r="R82" s="15">
        <f t="shared" si="10"/>
        <v>-0.10556725358944996</v>
      </c>
      <c r="S82" s="15">
        <f>O82-Benchmark_RF!D82</f>
        <v>1.9191086929845429E-2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IF(Rankings!C89&lt;=3,1,0)</f>
        <v>1</v>
      </c>
      <c r="D83" s="16">
        <f>IF(Rankings!D89&lt;=3,1,0)</f>
        <v>1</v>
      </c>
      <c r="E83" s="16">
        <f>IF(Rankings!E89&lt;=3,1,0)</f>
        <v>0</v>
      </c>
      <c r="F83" s="16">
        <f>IF(Rankings!F89&lt;=3,1,0)</f>
        <v>0</v>
      </c>
      <c r="G83" s="16">
        <f>IF(Rankings!G89&lt;=3,1,0)</f>
        <v>0</v>
      </c>
      <c r="H83" s="16">
        <f>IF(Rankings!H89&lt;=3,1,0)</f>
        <v>0</v>
      </c>
      <c r="I83" s="16">
        <f>IF(Rankings!I89&lt;=3,1,0)</f>
        <v>1</v>
      </c>
      <c r="J83" s="16">
        <f>IF(Rankings!J89&lt;=3,1,0)</f>
        <v>0</v>
      </c>
      <c r="K83" s="19">
        <f t="shared" si="8"/>
        <v>3</v>
      </c>
      <c r="L83" s="15">
        <f>SUMPRODUCT(C83:J83,Returns!B87:I87)/K83</f>
        <v>-1.7653326046427331E-2</v>
      </c>
      <c r="M83" s="15">
        <f>-2*Assumptions!$B$13</f>
        <v>-7.0000000000000001E-3</v>
      </c>
      <c r="N83" s="15">
        <f>-Assumptions!$B$16*MAX(0,(1+O77)*(1+O78)*(1+O79)*(1+O80)*(1+O81)*(1+O82)-1)</f>
        <v>-8.9139409977133533E-3</v>
      </c>
      <c r="O83" s="15">
        <f t="shared" si="9"/>
        <v>-3.3567267044140682E-2</v>
      </c>
      <c r="P83" s="20">
        <f t="shared" si="11"/>
        <v>2.3920403168969999</v>
      </c>
      <c r="Q83" s="20">
        <f>MAX($P$5:P83)</f>
        <v>2.7672549518440919</v>
      </c>
      <c r="R83" s="15">
        <f t="shared" si="10"/>
        <v>-0.13559091644123711</v>
      </c>
      <c r="S83" s="15">
        <f>O83-Benchmark_RF!D83</f>
        <v>-4.1833863718433208E-2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IF(Rankings!C89&lt;=3,1,0)</f>
        <v>1</v>
      </c>
      <c r="D84" s="16">
        <f>IF(Rankings!D89&lt;=3,1,0)</f>
        <v>1</v>
      </c>
      <c r="E84" s="16">
        <f>IF(Rankings!E89&lt;=3,1,0)</f>
        <v>0</v>
      </c>
      <c r="F84" s="16">
        <f>IF(Rankings!F89&lt;=3,1,0)</f>
        <v>0</v>
      </c>
      <c r="G84" s="16">
        <f>IF(Rankings!G89&lt;=3,1,0)</f>
        <v>0</v>
      </c>
      <c r="H84" s="16">
        <f>IF(Rankings!H89&lt;=3,1,0)</f>
        <v>0</v>
      </c>
      <c r="I84" s="16">
        <f>IF(Rankings!I89&lt;=3,1,0)</f>
        <v>1</v>
      </c>
      <c r="J84" s="16">
        <f>IF(Rankings!J89&lt;=3,1,0)</f>
        <v>0</v>
      </c>
      <c r="K84" s="19">
        <f t="shared" si="8"/>
        <v>3</v>
      </c>
      <c r="L84" s="15">
        <f>SUMPRODUCT(C84:J84,Returns!B88:I88)/K84</f>
        <v>-7.4090625948096081E-2</v>
      </c>
      <c r="M84" s="15">
        <v>0</v>
      </c>
      <c r="N84" s="15">
        <v>0</v>
      </c>
      <c r="O84" s="15">
        <f t="shared" si="9"/>
        <v>-7.4090625948096081E-2</v>
      </c>
      <c r="P84" s="20">
        <f t="shared" si="11"/>
        <v>2.2148125525250189</v>
      </c>
      <c r="Q84" s="20">
        <f>MAX($P$5:P84)</f>
        <v>2.7672549518440919</v>
      </c>
      <c r="R84" s="15">
        <f t="shared" si="10"/>
        <v>-0.19963552651732608</v>
      </c>
      <c r="S84" s="15">
        <f>O84-Benchmark_RF!D84</f>
        <v>-8.3391901154585682E-2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IF(Rankings!C89&lt;=3,1,0)</f>
        <v>1</v>
      </c>
      <c r="D85" s="16">
        <f>IF(Rankings!D89&lt;=3,1,0)</f>
        <v>1</v>
      </c>
      <c r="E85" s="16">
        <f>IF(Rankings!E89&lt;=3,1,0)</f>
        <v>0</v>
      </c>
      <c r="F85" s="16">
        <f>IF(Rankings!F89&lt;=3,1,0)</f>
        <v>0</v>
      </c>
      <c r="G85" s="16">
        <f>IF(Rankings!G89&lt;=3,1,0)</f>
        <v>0</v>
      </c>
      <c r="H85" s="16">
        <f>IF(Rankings!H89&lt;=3,1,0)</f>
        <v>0</v>
      </c>
      <c r="I85" s="16">
        <f>IF(Rankings!I89&lt;=3,1,0)</f>
        <v>1</v>
      </c>
      <c r="J85" s="16">
        <f>IF(Rankings!J89&lt;=3,1,0)</f>
        <v>0</v>
      </c>
      <c r="K85" s="19">
        <f t="shared" si="8"/>
        <v>3</v>
      </c>
      <c r="L85" s="15">
        <f>SUMPRODUCT(C85:J85,Returns!B89:I89)/K85</f>
        <v>3.0313430753930486E-2</v>
      </c>
      <c r="M85" s="15">
        <v>0</v>
      </c>
      <c r="N85" s="15">
        <v>0</v>
      </c>
      <c r="O85" s="15">
        <f t="shared" si="9"/>
        <v>3.0313430753930486E-2</v>
      </c>
      <c r="P85" s="20">
        <f t="shared" si="11"/>
        <v>2.2819511194689222</v>
      </c>
      <c r="Q85" s="20">
        <f>MAX($P$5:P85)</f>
        <v>2.7672549518440919</v>
      </c>
      <c r="R85" s="15">
        <f t="shared" si="10"/>
        <v>-0.17537373347250296</v>
      </c>
      <c r="S85" s="15">
        <f>O85-Benchmark_RF!D85</f>
        <v>1.919161584657984E-2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IF(Rankings!C89&lt;=3,1,0)</f>
        <v>1</v>
      </c>
      <c r="D86" s="16">
        <f>IF(Rankings!D89&lt;=3,1,0)</f>
        <v>1</v>
      </c>
      <c r="E86" s="16">
        <f>IF(Rankings!E89&lt;=3,1,0)</f>
        <v>0</v>
      </c>
      <c r="F86" s="16">
        <f>IF(Rankings!F89&lt;=3,1,0)</f>
        <v>0</v>
      </c>
      <c r="G86" s="16">
        <f>IF(Rankings!G89&lt;=3,1,0)</f>
        <v>0</v>
      </c>
      <c r="H86" s="16">
        <f>IF(Rankings!H89&lt;=3,1,0)</f>
        <v>0</v>
      </c>
      <c r="I86" s="16">
        <f>IF(Rankings!I89&lt;=3,1,0)</f>
        <v>1</v>
      </c>
      <c r="J86" s="16">
        <f>IF(Rankings!J89&lt;=3,1,0)</f>
        <v>0</v>
      </c>
      <c r="K86" s="19">
        <f t="shared" si="8"/>
        <v>3</v>
      </c>
      <c r="L86" s="15">
        <f>SUMPRODUCT(C86:J86,Returns!B90:I90)/K86</f>
        <v>-7.5046899658929855E-2</v>
      </c>
      <c r="M86" s="15">
        <v>0</v>
      </c>
      <c r="N86" s="15">
        <v>0</v>
      </c>
      <c r="O86" s="15">
        <f t="shared" si="9"/>
        <v>-7.5046899658929855E-2</v>
      </c>
      <c r="P86" s="20">
        <f t="shared" si="11"/>
        <v>2.1106977627795551</v>
      </c>
      <c r="Q86" s="20">
        <f>MAX($P$5:P86)</f>
        <v>2.7672549518440919</v>
      </c>
      <c r="R86" s="15">
        <f t="shared" si="10"/>
        <v>-0.23725937815271003</v>
      </c>
      <c r="S86" s="15">
        <f>O86-Benchmark_RF!D86</f>
        <v>-8.6337458276047996E-2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IF(Rankings!C89&lt;=3,1,0)</f>
        <v>1</v>
      </c>
      <c r="D87" s="16">
        <f>IF(Rankings!D89&lt;=3,1,0)</f>
        <v>1</v>
      </c>
      <c r="E87" s="16">
        <f>IF(Rankings!E89&lt;=3,1,0)</f>
        <v>0</v>
      </c>
      <c r="F87" s="16">
        <f>IF(Rankings!F89&lt;=3,1,0)</f>
        <v>0</v>
      </c>
      <c r="G87" s="16">
        <f>IF(Rankings!G89&lt;=3,1,0)</f>
        <v>0</v>
      </c>
      <c r="H87" s="16">
        <f>IF(Rankings!H89&lt;=3,1,0)</f>
        <v>0</v>
      </c>
      <c r="I87" s="16">
        <f>IF(Rankings!I89&lt;=3,1,0)</f>
        <v>1</v>
      </c>
      <c r="J87" s="16">
        <f>IF(Rankings!J89&lt;=3,1,0)</f>
        <v>0</v>
      </c>
      <c r="K87" s="19">
        <f t="shared" si="8"/>
        <v>3</v>
      </c>
      <c r="L87" s="15">
        <f>SUMPRODUCT(C87:J87,Returns!B91:I91)/K87</f>
        <v>-8.1878298602160046E-2</v>
      </c>
      <c r="M87" s="15">
        <v>0</v>
      </c>
      <c r="N87" s="15">
        <v>0</v>
      </c>
      <c r="O87" s="15">
        <f t="shared" si="9"/>
        <v>-8.1878298602160046E-2</v>
      </c>
      <c r="P87" s="20">
        <f t="shared" si="11"/>
        <v>1.9378774210997796</v>
      </c>
      <c r="Q87" s="20">
        <f>MAX($P$5:P87)</f>
        <v>2.7672549518440919</v>
      </c>
      <c r="R87" s="15">
        <f t="shared" si="10"/>
        <v>-0.29971128254431967</v>
      </c>
      <c r="S87" s="15">
        <f>O87-Benchmark_RF!D87</f>
        <v>-9.3651846970386907E-2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IF(Rankings!C89&lt;=3,1,0)</f>
        <v>1</v>
      </c>
      <c r="D88" s="16">
        <f>IF(Rankings!D89&lt;=3,1,0)</f>
        <v>1</v>
      </c>
      <c r="E88" s="16">
        <f>IF(Rankings!E89&lt;=3,1,0)</f>
        <v>0</v>
      </c>
      <c r="F88" s="16">
        <f>IF(Rankings!F89&lt;=3,1,0)</f>
        <v>0</v>
      </c>
      <c r="G88" s="16">
        <f>IF(Rankings!G89&lt;=3,1,0)</f>
        <v>0</v>
      </c>
      <c r="H88" s="16">
        <f>IF(Rankings!H89&lt;=3,1,0)</f>
        <v>0</v>
      </c>
      <c r="I88" s="16">
        <f>IF(Rankings!I89&lt;=3,1,0)</f>
        <v>1</v>
      </c>
      <c r="J88" s="16">
        <f>IF(Rankings!J89&lt;=3,1,0)</f>
        <v>0</v>
      </c>
      <c r="K88" s="19">
        <f t="shared" si="8"/>
        <v>3</v>
      </c>
      <c r="L88" s="15">
        <f>SUMPRODUCT(C88:J88,Returns!B92:I92)/K88</f>
        <v>1.5990177434800062E-2</v>
      </c>
      <c r="M88" s="15">
        <v>0</v>
      </c>
      <c r="N88" s="15">
        <v>0</v>
      </c>
      <c r="O88" s="15">
        <f t="shared" si="9"/>
        <v>1.5990177434800062E-2</v>
      </c>
      <c r="P88" s="20">
        <f t="shared" si="11"/>
        <v>1.968864424910058</v>
      </c>
      <c r="Q88" s="20">
        <f>MAX($P$5:P88)</f>
        <v>2.7672549518440919</v>
      </c>
      <c r="R88" s="15">
        <f t="shared" si="10"/>
        <v>-0.28851354169661469</v>
      </c>
      <c r="S88" s="15">
        <f>O88-Benchmark_RF!D88</f>
        <v>3.8145463137403794E-3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IF(Rankings!C95&lt;=3,1,0)</f>
        <v>0</v>
      </c>
      <c r="D89" s="16">
        <f>IF(Rankings!D95&lt;=3,1,0)</f>
        <v>1</v>
      </c>
      <c r="E89" s="16">
        <f>IF(Rankings!E95&lt;=3,1,0)</f>
        <v>0</v>
      </c>
      <c r="F89" s="16">
        <f>IF(Rankings!F95&lt;=3,1,0)</f>
        <v>0</v>
      </c>
      <c r="G89" s="16">
        <f>IF(Rankings!G95&lt;=3,1,0)</f>
        <v>1</v>
      </c>
      <c r="H89" s="16">
        <f>IF(Rankings!H95&lt;=3,1,0)</f>
        <v>0</v>
      </c>
      <c r="I89" s="16">
        <f>IF(Rankings!I95&lt;=3,1,0)</f>
        <v>1</v>
      </c>
      <c r="J89" s="16">
        <f>IF(Rankings!J95&lt;=3,1,0)</f>
        <v>0</v>
      </c>
      <c r="K89" s="19">
        <f t="shared" si="8"/>
        <v>3</v>
      </c>
      <c r="L89" s="15">
        <f>SUMPRODUCT(C89:J89,Returns!B93:I93)/K89</f>
        <v>0.15216587181785032</v>
      </c>
      <c r="M89" s="15">
        <f>-2*Assumptions!$B$13</f>
        <v>-7.0000000000000001E-3</v>
      </c>
      <c r="N89" s="15">
        <f>-Assumptions!$B$16*MAX(0,(1+O83)*(1+O84)*(1+O85)*(1+O86)*(1+O87)*(1+O88)-1)</f>
        <v>0</v>
      </c>
      <c r="O89" s="15">
        <f t="shared" si="9"/>
        <v>0.14516587181785032</v>
      </c>
      <c r="P89" s="20">
        <f t="shared" si="11"/>
        <v>2.254676345643277</v>
      </c>
      <c r="Q89" s="20">
        <f>MAX($P$5:P89)</f>
        <v>2.7672549518440919</v>
      </c>
      <c r="R89" s="15">
        <f t="shared" si="10"/>
        <v>-0.18522998969040916</v>
      </c>
      <c r="S89" s="15">
        <f>O89-Benchmark_RF!D89</f>
        <v>0.13291732315468538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IF(Rankings!C95&lt;=3,1,0)</f>
        <v>0</v>
      </c>
      <c r="D90" s="16">
        <f>IF(Rankings!D95&lt;=3,1,0)</f>
        <v>1</v>
      </c>
      <c r="E90" s="16">
        <f>IF(Rankings!E95&lt;=3,1,0)</f>
        <v>0</v>
      </c>
      <c r="F90" s="16">
        <f>IF(Rankings!F95&lt;=3,1,0)</f>
        <v>0</v>
      </c>
      <c r="G90" s="16">
        <f>IF(Rankings!G95&lt;=3,1,0)</f>
        <v>1</v>
      </c>
      <c r="H90" s="16">
        <f>IF(Rankings!H95&lt;=3,1,0)</f>
        <v>0</v>
      </c>
      <c r="I90" s="16">
        <f>IF(Rankings!I95&lt;=3,1,0)</f>
        <v>1</v>
      </c>
      <c r="J90" s="16">
        <f>IF(Rankings!J95&lt;=3,1,0)</f>
        <v>0</v>
      </c>
      <c r="K90" s="19">
        <f t="shared" si="8"/>
        <v>3</v>
      </c>
      <c r="L90" s="15">
        <f>SUMPRODUCT(C90:J90,Returns!B94:I94)/K90</f>
        <v>-7.3189087357806645E-2</v>
      </c>
      <c r="M90" s="15">
        <v>0</v>
      </c>
      <c r="N90" s="15">
        <v>0</v>
      </c>
      <c r="O90" s="15">
        <f t="shared" si="9"/>
        <v>-7.3189087357806645E-2</v>
      </c>
      <c r="P90" s="20">
        <f t="shared" si="11"/>
        <v>2.0896586416184109</v>
      </c>
      <c r="Q90" s="20">
        <f>MAX($P$5:P90)</f>
        <v>2.7672549518440919</v>
      </c>
      <c r="R90" s="15">
        <f t="shared" si="10"/>
        <v>-0.24486226315147885</v>
      </c>
      <c r="S90" s="15">
        <f>O90-Benchmark_RF!D90</f>
        <v>-8.5612402752360303E-2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IF(Rankings!C95&lt;=3,1,0)</f>
        <v>0</v>
      </c>
      <c r="D91" s="16">
        <f>IF(Rankings!D95&lt;=3,1,0)</f>
        <v>1</v>
      </c>
      <c r="E91" s="16">
        <f>IF(Rankings!E95&lt;=3,1,0)</f>
        <v>0</v>
      </c>
      <c r="F91" s="16">
        <f>IF(Rankings!F95&lt;=3,1,0)</f>
        <v>0</v>
      </c>
      <c r="G91" s="16">
        <f>IF(Rankings!G95&lt;=3,1,0)</f>
        <v>1</v>
      </c>
      <c r="H91" s="16">
        <f>IF(Rankings!H95&lt;=3,1,0)</f>
        <v>0</v>
      </c>
      <c r="I91" s="16">
        <f>IF(Rankings!I95&lt;=3,1,0)</f>
        <v>1</v>
      </c>
      <c r="J91" s="16">
        <f>IF(Rankings!J95&lt;=3,1,0)</f>
        <v>0</v>
      </c>
      <c r="K91" s="19">
        <f t="shared" si="8"/>
        <v>3</v>
      </c>
      <c r="L91" s="15">
        <f>SUMPRODUCT(C91:J91,Returns!B95:I95)/K91</f>
        <v>-6.3022820359933493E-2</v>
      </c>
      <c r="M91" s="15">
        <v>0</v>
      </c>
      <c r="N91" s="15">
        <v>0</v>
      </c>
      <c r="O91" s="15">
        <f t="shared" si="9"/>
        <v>-6.3022820359933493E-2</v>
      </c>
      <c r="P91" s="20">
        <f t="shared" si="11"/>
        <v>1.9579624604341113</v>
      </c>
      <c r="Q91" s="20">
        <f>MAX($P$5:P91)</f>
        <v>2.7672549518440919</v>
      </c>
      <c r="R91" s="15">
        <f t="shared" si="10"/>
        <v>-0.29245317308788987</v>
      </c>
      <c r="S91" s="15">
        <f>O91-Benchmark_RF!D91</f>
        <v>-7.5227625431940656E-2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IF(Rankings!C95&lt;=3,1,0)</f>
        <v>0</v>
      </c>
      <c r="D92" s="16">
        <f>IF(Rankings!D95&lt;=3,1,0)</f>
        <v>1</v>
      </c>
      <c r="E92" s="16">
        <f>IF(Rankings!E95&lt;=3,1,0)</f>
        <v>0</v>
      </c>
      <c r="F92" s="16">
        <f>IF(Rankings!F95&lt;=3,1,0)</f>
        <v>0</v>
      </c>
      <c r="G92" s="16">
        <f>IF(Rankings!G95&lt;=3,1,0)</f>
        <v>1</v>
      </c>
      <c r="H92" s="16">
        <f>IF(Rankings!H95&lt;=3,1,0)</f>
        <v>0</v>
      </c>
      <c r="I92" s="16">
        <f>IF(Rankings!I95&lt;=3,1,0)</f>
        <v>1</v>
      </c>
      <c r="J92" s="16">
        <f>IF(Rankings!J95&lt;=3,1,0)</f>
        <v>0</v>
      </c>
      <c r="K92" s="19">
        <f t="shared" si="8"/>
        <v>3</v>
      </c>
      <c r="L92" s="15">
        <f>SUMPRODUCT(C92:J92,Returns!B96:I96)/K92</f>
        <v>4.8146302705306031E-2</v>
      </c>
      <c r="M92" s="15">
        <v>0</v>
      </c>
      <c r="N92" s="15">
        <v>0</v>
      </c>
      <c r="O92" s="15">
        <f t="shared" si="9"/>
        <v>4.8146302705306031E-2</v>
      </c>
      <c r="P92" s="20">
        <f t="shared" si="11"/>
        <v>2.0522311137397975</v>
      </c>
      <c r="Q92" s="20">
        <f>MAX($P$5:P92)</f>
        <v>2.7672549518440919</v>
      </c>
      <c r="R92" s="15">
        <f t="shared" si="10"/>
        <v>-0.25838740938120075</v>
      </c>
      <c r="S92" s="15">
        <f>O92-Benchmark_RF!D92</f>
        <v>3.5063328001174142E-2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IF(Rankings!C95&lt;=3,1,0)</f>
        <v>0</v>
      </c>
      <c r="D93" s="16">
        <f>IF(Rankings!D95&lt;=3,1,0)</f>
        <v>1</v>
      </c>
      <c r="E93" s="16">
        <f>IF(Rankings!E95&lt;=3,1,0)</f>
        <v>0</v>
      </c>
      <c r="F93" s="16">
        <f>IF(Rankings!F95&lt;=3,1,0)</f>
        <v>0</v>
      </c>
      <c r="G93" s="16">
        <f>IF(Rankings!G95&lt;=3,1,0)</f>
        <v>1</v>
      </c>
      <c r="H93" s="16">
        <f>IF(Rankings!H95&lt;=3,1,0)</f>
        <v>0</v>
      </c>
      <c r="I93" s="16">
        <f>IF(Rankings!I95&lt;=3,1,0)</f>
        <v>1</v>
      </c>
      <c r="J93" s="16">
        <f>IF(Rankings!J95&lt;=3,1,0)</f>
        <v>0</v>
      </c>
      <c r="K93" s="19">
        <f t="shared" si="8"/>
        <v>3</v>
      </c>
      <c r="L93" s="15">
        <f>SUMPRODUCT(C93:J93,Returns!B97:I97)/K93</f>
        <v>-0.10810738068164687</v>
      </c>
      <c r="M93" s="15">
        <v>0</v>
      </c>
      <c r="N93" s="15">
        <v>0</v>
      </c>
      <c r="O93" s="15">
        <f t="shared" si="9"/>
        <v>-0.10810738068164687</v>
      </c>
      <c r="P93" s="20">
        <f t="shared" si="11"/>
        <v>1.8303697834800092</v>
      </c>
      <c r="Q93" s="20">
        <f>MAX($P$5:P93)</f>
        <v>2.7672549518440919</v>
      </c>
      <c r="R93" s="15">
        <f t="shared" si="10"/>
        <v>-0.33856120403352963</v>
      </c>
      <c r="S93" s="15">
        <f>O93-Benchmark_RF!D93</f>
        <v>-0.12124812205799289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IF(Rankings!C95&lt;=3,1,0)</f>
        <v>0</v>
      </c>
      <c r="D94" s="16">
        <f>IF(Rankings!D95&lt;=3,1,0)</f>
        <v>1</v>
      </c>
      <c r="E94" s="16">
        <f>IF(Rankings!E95&lt;=3,1,0)</f>
        <v>0</v>
      </c>
      <c r="F94" s="16">
        <f>IF(Rankings!F95&lt;=3,1,0)</f>
        <v>0</v>
      </c>
      <c r="G94" s="16">
        <f>IF(Rankings!G95&lt;=3,1,0)</f>
        <v>1</v>
      </c>
      <c r="H94" s="16">
        <f>IF(Rankings!H95&lt;=3,1,0)</f>
        <v>0</v>
      </c>
      <c r="I94" s="16">
        <f>IF(Rankings!I95&lt;=3,1,0)</f>
        <v>1</v>
      </c>
      <c r="J94" s="16">
        <f>IF(Rankings!J95&lt;=3,1,0)</f>
        <v>0</v>
      </c>
      <c r="K94" s="19">
        <f t="shared" si="8"/>
        <v>3</v>
      </c>
      <c r="L94" s="15">
        <f>SUMPRODUCT(C94:J94,Returns!B98:I98)/K94</f>
        <v>-5.3296578261359508E-2</v>
      </c>
      <c r="M94" s="15">
        <v>0</v>
      </c>
      <c r="N94" s="15">
        <v>0</v>
      </c>
      <c r="O94" s="15">
        <f t="shared" si="9"/>
        <v>-5.3296578261359508E-2</v>
      </c>
      <c r="P94" s="20">
        <f t="shared" si="11"/>
        <v>1.7328173370675393</v>
      </c>
      <c r="Q94" s="20">
        <f>MAX($P$5:P94)</f>
        <v>2.7672549518440919</v>
      </c>
      <c r="R94" s="15">
        <f t="shared" si="10"/>
        <v>-0.37381362858785594</v>
      </c>
      <c r="S94" s="15">
        <f>O94-Benchmark_RF!D94</f>
        <v>-6.705603428968912E-2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IF(Rankings!C101&lt;=3,1,0)</f>
        <v>0</v>
      </c>
      <c r="D95" s="16">
        <f>IF(Rankings!D101&lt;=3,1,0)</f>
        <v>1</v>
      </c>
      <c r="E95" s="16">
        <f>IF(Rankings!E101&lt;=3,1,0)</f>
        <v>0</v>
      </c>
      <c r="F95" s="16">
        <f>IF(Rankings!F101&lt;=3,1,0)</f>
        <v>0</v>
      </c>
      <c r="G95" s="16">
        <f>IF(Rankings!G101&lt;=3,1,0)</f>
        <v>1</v>
      </c>
      <c r="H95" s="16">
        <f>IF(Rankings!H101&lt;=3,1,0)</f>
        <v>0</v>
      </c>
      <c r="I95" s="16">
        <f>IF(Rankings!I101&lt;=3,1,0)</f>
        <v>0</v>
      </c>
      <c r="J95" s="16">
        <f>IF(Rankings!J101&lt;=3,1,0)</f>
        <v>1</v>
      </c>
      <c r="K95" s="19">
        <f t="shared" si="8"/>
        <v>3</v>
      </c>
      <c r="L95" s="15">
        <f>SUMPRODUCT(C95:J95,Returns!B99:I99)/K95</f>
        <v>-5.4084739990045332E-3</v>
      </c>
      <c r="M95" s="15">
        <f>-2*Assumptions!$B$13</f>
        <v>-7.0000000000000001E-3</v>
      </c>
      <c r="N95" s="15">
        <f>-Assumptions!$B$16*MAX(0,(1+O89)*(1+O90)*(1+O91)*(1+O92)*(1+O93)*(1+O94)-1)</f>
        <v>0</v>
      </c>
      <c r="O95" s="15">
        <f t="shared" si="9"/>
        <v>-1.2408473999004533E-2</v>
      </c>
      <c r="P95" s="20">
        <f t="shared" si="11"/>
        <v>1.7113157181955123</v>
      </c>
      <c r="Q95" s="20">
        <f>MAX($P$5:P95)</f>
        <v>2.7672549518440919</v>
      </c>
      <c r="R95" s="15">
        <f t="shared" si="10"/>
        <v>-0.38158364589605465</v>
      </c>
      <c r="S95" s="15">
        <f>O95-Benchmark_RF!D95</f>
        <v>-2.7201798301792993E-2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IF(Rankings!C101&lt;=3,1,0)</f>
        <v>0</v>
      </c>
      <c r="D96" s="16">
        <f>IF(Rankings!D101&lt;=3,1,0)</f>
        <v>1</v>
      </c>
      <c r="E96" s="16">
        <f>IF(Rankings!E101&lt;=3,1,0)</f>
        <v>0</v>
      </c>
      <c r="F96" s="16">
        <f>IF(Rankings!F101&lt;=3,1,0)</f>
        <v>0</v>
      </c>
      <c r="G96" s="16">
        <f>IF(Rankings!G101&lt;=3,1,0)</f>
        <v>1</v>
      </c>
      <c r="H96" s="16">
        <f>IF(Rankings!H101&lt;=3,1,0)</f>
        <v>0</v>
      </c>
      <c r="I96" s="16">
        <f>IF(Rankings!I101&lt;=3,1,0)</f>
        <v>0</v>
      </c>
      <c r="J96" s="16">
        <f>IF(Rankings!J101&lt;=3,1,0)</f>
        <v>1</v>
      </c>
      <c r="K96" s="19">
        <f t="shared" si="8"/>
        <v>3</v>
      </c>
      <c r="L96" s="15">
        <f>SUMPRODUCT(C96:J96,Returns!B100:I100)/K96</f>
        <v>1.2123240098762866E-2</v>
      </c>
      <c r="M96" s="15">
        <v>0</v>
      </c>
      <c r="N96" s="15">
        <v>0</v>
      </c>
      <c r="O96" s="15">
        <f t="shared" si="9"/>
        <v>1.2123240098762866E-2</v>
      </c>
      <c r="P96" s="20">
        <f t="shared" si="11"/>
        <v>1.7320624095319834</v>
      </c>
      <c r="Q96" s="20">
        <f>MAX($P$5:P96)</f>
        <v>2.7672549518440919</v>
      </c>
      <c r="R96" s="15">
        <f t="shared" si="10"/>
        <v>-0.37408643595425084</v>
      </c>
      <c r="S96" s="15">
        <f>O96-Benchmark_RF!D96</f>
        <v>-3.9306020973149947E-3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IF(Rankings!C101&lt;=3,1,0)</f>
        <v>0</v>
      </c>
      <c r="D97" s="16">
        <f>IF(Rankings!D101&lt;=3,1,0)</f>
        <v>1</v>
      </c>
      <c r="E97" s="16">
        <f>IF(Rankings!E101&lt;=3,1,0)</f>
        <v>0</v>
      </c>
      <c r="F97" s="16">
        <f>IF(Rankings!F101&lt;=3,1,0)</f>
        <v>0</v>
      </c>
      <c r="G97" s="16">
        <f>IF(Rankings!G101&lt;=3,1,0)</f>
        <v>1</v>
      </c>
      <c r="H97" s="16">
        <f>IF(Rankings!H101&lt;=3,1,0)</f>
        <v>0</v>
      </c>
      <c r="I97" s="16">
        <f>IF(Rankings!I101&lt;=3,1,0)</f>
        <v>0</v>
      </c>
      <c r="J97" s="16">
        <f>IF(Rankings!J101&lt;=3,1,0)</f>
        <v>1</v>
      </c>
      <c r="K97" s="19">
        <f t="shared" si="8"/>
        <v>3</v>
      </c>
      <c r="L97" s="15">
        <f>SUMPRODUCT(C97:J97,Returns!B101:I101)/K97</f>
        <v>2.8555539034757865E-2</v>
      </c>
      <c r="M97" s="15">
        <v>0</v>
      </c>
      <c r="N97" s="15">
        <v>0</v>
      </c>
      <c r="O97" s="15">
        <f t="shared" si="9"/>
        <v>2.8555539034757865E-2</v>
      </c>
      <c r="P97" s="20">
        <f t="shared" si="11"/>
        <v>1.7815223852780107</v>
      </c>
      <c r="Q97" s="20">
        <f>MAX($P$5:P97)</f>
        <v>2.7672549518440919</v>
      </c>
      <c r="R97" s="15">
        <f t="shared" si="10"/>
        <v>-0.3562131367437581</v>
      </c>
      <c r="S97" s="15">
        <f>O97-Benchmark_RF!D97</f>
        <v>1.1860465672066039E-2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IF(Rankings!C101&lt;=3,1,0)</f>
        <v>0</v>
      </c>
      <c r="D98" s="16">
        <f>IF(Rankings!D101&lt;=3,1,0)</f>
        <v>1</v>
      </c>
      <c r="E98" s="16">
        <f>IF(Rankings!E101&lt;=3,1,0)</f>
        <v>0</v>
      </c>
      <c r="F98" s="16">
        <f>IF(Rankings!F101&lt;=3,1,0)</f>
        <v>0</v>
      </c>
      <c r="G98" s="16">
        <f>IF(Rankings!G101&lt;=3,1,0)</f>
        <v>1</v>
      </c>
      <c r="H98" s="16">
        <f>IF(Rankings!H101&lt;=3,1,0)</f>
        <v>0</v>
      </c>
      <c r="I98" s="16">
        <f>IF(Rankings!I101&lt;=3,1,0)</f>
        <v>0</v>
      </c>
      <c r="J98" s="16">
        <f>IF(Rankings!J101&lt;=3,1,0)</f>
        <v>1</v>
      </c>
      <c r="K98" s="19">
        <f t="shared" si="8"/>
        <v>3</v>
      </c>
      <c r="L98" s="15">
        <f>SUMPRODUCT(C98:J98,Returns!B102:I102)/K98</f>
        <v>4.9430147747660046E-2</v>
      </c>
      <c r="M98" s="15">
        <v>0</v>
      </c>
      <c r="N98" s="15">
        <v>0</v>
      </c>
      <c r="O98" s="15">
        <f t="shared" si="9"/>
        <v>4.9430147747660046E-2</v>
      </c>
      <c r="P98" s="20">
        <f t="shared" si="11"/>
        <v>1.8695832999980664</v>
      </c>
      <c r="Q98" s="20">
        <f>MAX($P$5:P98)</f>
        <v>2.7672549518440919</v>
      </c>
      <c r="R98" s="15">
        <f t="shared" si="10"/>
        <v>-0.32439065697499947</v>
      </c>
      <c r="S98" s="15">
        <f>O98-Benchmark_RF!D98</f>
        <v>3.273507438496822E-2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IF(Rankings!C101&lt;=3,1,0)</f>
        <v>0</v>
      </c>
      <c r="D99" s="16">
        <f>IF(Rankings!D101&lt;=3,1,0)</f>
        <v>1</v>
      </c>
      <c r="E99" s="16">
        <f>IF(Rankings!E101&lt;=3,1,0)</f>
        <v>0</v>
      </c>
      <c r="F99" s="16">
        <f>IF(Rankings!F101&lt;=3,1,0)</f>
        <v>0</v>
      </c>
      <c r="G99" s="16">
        <f>IF(Rankings!G101&lt;=3,1,0)</f>
        <v>1</v>
      </c>
      <c r="H99" s="16">
        <f>IF(Rankings!H101&lt;=3,1,0)</f>
        <v>0</v>
      </c>
      <c r="I99" s="16">
        <f>IF(Rankings!I101&lt;=3,1,0)</f>
        <v>0</v>
      </c>
      <c r="J99" s="16">
        <f>IF(Rankings!J101&lt;=3,1,0)</f>
        <v>1</v>
      </c>
      <c r="K99" s="19">
        <f t="shared" si="8"/>
        <v>3</v>
      </c>
      <c r="L99" s="15">
        <f>SUMPRODUCT(C99:J99,Returns!B103:I103)/K99</f>
        <v>-1.4073731188132857E-2</v>
      </c>
      <c r="M99" s="15">
        <v>0</v>
      </c>
      <c r="N99" s="15">
        <v>0</v>
      </c>
      <c r="O99" s="15">
        <f t="shared" si="9"/>
        <v>-1.4073731188132857E-2</v>
      </c>
      <c r="P99" s="20">
        <f t="shared" si="11"/>
        <v>1.8432712872000714</v>
      </c>
      <c r="Q99" s="20">
        <f>MAX($P$5:P99)</f>
        <v>2.7672549518440919</v>
      </c>
      <c r="R99" s="15">
        <f t="shared" si="10"/>
        <v>-0.33389900125692429</v>
      </c>
      <c r="S99" s="15">
        <f>O99-Benchmark_RF!D99</f>
        <v>-3.0775750066985776E-2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IF(Rankings!C101&lt;=3,1,0)</f>
        <v>0</v>
      </c>
      <c r="D100" s="16">
        <f>IF(Rankings!D101&lt;=3,1,0)</f>
        <v>1</v>
      </c>
      <c r="E100" s="16">
        <f>IF(Rankings!E101&lt;=3,1,0)</f>
        <v>0</v>
      </c>
      <c r="F100" s="16">
        <f>IF(Rankings!F101&lt;=3,1,0)</f>
        <v>0</v>
      </c>
      <c r="G100" s="16">
        <f>IF(Rankings!G101&lt;=3,1,0)</f>
        <v>1</v>
      </c>
      <c r="H100" s="16">
        <f>IF(Rankings!H101&lt;=3,1,0)</f>
        <v>0</v>
      </c>
      <c r="I100" s="16">
        <f>IF(Rankings!I101&lt;=3,1,0)</f>
        <v>0</v>
      </c>
      <c r="J100" s="16">
        <f>IF(Rankings!J101&lt;=3,1,0)</f>
        <v>1</v>
      </c>
      <c r="K100" s="19">
        <f t="shared" si="8"/>
        <v>3</v>
      </c>
      <c r="L100" s="15">
        <f>SUMPRODUCT(C100:J100,Returns!B104:I104)/K100</f>
        <v>0.24310652343958891</v>
      </c>
      <c r="M100" s="15">
        <v>0</v>
      </c>
      <c r="N100" s="15">
        <v>0</v>
      </c>
      <c r="O100" s="15">
        <f t="shared" si="9"/>
        <v>0.24310652343958891</v>
      </c>
      <c r="P100" s="20">
        <f t="shared" si="11"/>
        <v>2.2913825615872967</v>
      </c>
      <c r="Q100" s="20">
        <f>MAX($P$5:P100)</f>
        <v>2.7672549518440919</v>
      </c>
      <c r="R100" s="15">
        <f t="shared" si="10"/>
        <v>-0.17196550319285719</v>
      </c>
      <c r="S100" s="15">
        <f>O100-Benchmark_RF!D100</f>
        <v>0.22577643048579463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IF(Rankings!C107&lt;=3,1,0)</f>
        <v>1</v>
      </c>
      <c r="D101" s="16">
        <f>IF(Rankings!D107&lt;=3,1,0)</f>
        <v>0</v>
      </c>
      <c r="E101" s="16">
        <f>IF(Rankings!E107&lt;=3,1,0)</f>
        <v>0</v>
      </c>
      <c r="F101" s="16">
        <f>IF(Rankings!F107&lt;=3,1,0)</f>
        <v>1</v>
      </c>
      <c r="G101" s="16">
        <f>IF(Rankings!G107&lt;=3,1,0)</f>
        <v>0</v>
      </c>
      <c r="H101" s="16">
        <f>IF(Rankings!H107&lt;=3,1,0)</f>
        <v>1</v>
      </c>
      <c r="I101" s="16">
        <f>IF(Rankings!I107&lt;=3,1,0)</f>
        <v>0</v>
      </c>
      <c r="J101" s="16">
        <f>IF(Rankings!J107&lt;=3,1,0)</f>
        <v>0</v>
      </c>
      <c r="K101" s="19">
        <f t="shared" ref="K101:K132" si="12">SUM(C101:J101)</f>
        <v>3</v>
      </c>
      <c r="L101" s="15">
        <f>SUMPRODUCT(C101:J101,Returns!B105:I105)/K101</f>
        <v>-6.6123478279765571E-2</v>
      </c>
      <c r="M101" s="15">
        <f>-2*Assumptions!$B$13</f>
        <v>-7.0000000000000001E-3</v>
      </c>
      <c r="N101" s="15">
        <f>-Assumptions!$B$16*MAX(0,(1+O95)*(1+O96)*(1+O97)*(1+O98)*(1+O99)*(1+O100)-1)</f>
        <v>-4.8351769044366368E-2</v>
      </c>
      <c r="O101" s="15">
        <f t="shared" ref="O101:O132" si="13">L101+M101+N101</f>
        <v>-0.12147524732413195</v>
      </c>
      <c r="P101" s="20">
        <f t="shared" si="11"/>
        <v>2.0130362982042769</v>
      </c>
      <c r="Q101" s="20">
        <f>MAX($P$5:P101)</f>
        <v>2.7672549518440919</v>
      </c>
      <c r="R101" s="15">
        <f t="shared" ref="R101:R132" si="14">P101/Q101-1</f>
        <v>-0.27255119848541798</v>
      </c>
      <c r="S101" s="15">
        <f>O101-Benchmark_RF!D101</f>
        <v>-0.13878643718385641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IF(Rankings!C107&lt;=3,1,0)</f>
        <v>1</v>
      </c>
      <c r="D102" s="16">
        <f>IF(Rankings!D107&lt;=3,1,0)</f>
        <v>0</v>
      </c>
      <c r="E102" s="16">
        <f>IF(Rankings!E107&lt;=3,1,0)</f>
        <v>0</v>
      </c>
      <c r="F102" s="16">
        <f>IF(Rankings!F107&lt;=3,1,0)</f>
        <v>1</v>
      </c>
      <c r="G102" s="16">
        <f>IF(Rankings!G107&lt;=3,1,0)</f>
        <v>0</v>
      </c>
      <c r="H102" s="16">
        <f>IF(Rankings!H107&lt;=3,1,0)</f>
        <v>1</v>
      </c>
      <c r="I102" s="16">
        <f>IF(Rankings!I107&lt;=3,1,0)</f>
        <v>0</v>
      </c>
      <c r="J102" s="16">
        <f>IF(Rankings!J107&lt;=3,1,0)</f>
        <v>0</v>
      </c>
      <c r="K102" s="19">
        <f t="shared" si="12"/>
        <v>3</v>
      </c>
      <c r="L102" s="15">
        <f>SUMPRODUCT(C102:J102,Returns!B106:I106)/K102</f>
        <v>2.812524782834521E-3</v>
      </c>
      <c r="M102" s="15">
        <v>0</v>
      </c>
      <c r="N102" s="15">
        <v>0</v>
      </c>
      <c r="O102" s="15">
        <f t="shared" si="13"/>
        <v>2.812524782834521E-3</v>
      </c>
      <c r="P102" s="20">
        <f t="shared" ref="P102:P133" si="15">P101*(1+O102)</f>
        <v>2.018698012681722</v>
      </c>
      <c r="Q102" s="20">
        <f>MAX($P$5:P102)</f>
        <v>2.7672549518440919</v>
      </c>
      <c r="R102" s="15">
        <f t="shared" si="14"/>
        <v>-0.27050523070291499</v>
      </c>
      <c r="S102" s="15">
        <f>O102-Benchmark_RF!D102</f>
        <v>-1.4420251881429183E-2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IF(Rankings!C107&lt;=3,1,0)</f>
        <v>1</v>
      </c>
      <c r="D103" s="16">
        <f>IF(Rankings!D107&lt;=3,1,0)</f>
        <v>0</v>
      </c>
      <c r="E103" s="16">
        <f>IF(Rankings!E107&lt;=3,1,0)</f>
        <v>0</v>
      </c>
      <c r="F103" s="16">
        <f>IF(Rankings!F107&lt;=3,1,0)</f>
        <v>1</v>
      </c>
      <c r="G103" s="16">
        <f>IF(Rankings!G107&lt;=3,1,0)</f>
        <v>0</v>
      </c>
      <c r="H103" s="16">
        <f>IF(Rankings!H107&lt;=3,1,0)</f>
        <v>1</v>
      </c>
      <c r="I103" s="16">
        <f>IF(Rankings!I107&lt;=3,1,0)</f>
        <v>0</v>
      </c>
      <c r="J103" s="16">
        <f>IF(Rankings!J107&lt;=3,1,0)</f>
        <v>0</v>
      </c>
      <c r="K103" s="19">
        <f t="shared" si="12"/>
        <v>3</v>
      </c>
      <c r="L103" s="15">
        <f>SUMPRODUCT(C103:J103,Returns!B107:I107)/K103</f>
        <v>0.11072909396694712</v>
      </c>
      <c r="M103" s="15">
        <v>0</v>
      </c>
      <c r="N103" s="15">
        <v>0</v>
      </c>
      <c r="O103" s="15">
        <f t="shared" si="13"/>
        <v>0.11072909396694712</v>
      </c>
      <c r="P103" s="20">
        <f t="shared" si="15"/>
        <v>2.2422266146188461</v>
      </c>
      <c r="Q103" s="20">
        <f>MAX($P$5:P103)</f>
        <v>2.7672549518440919</v>
      </c>
      <c r="R103" s="15">
        <f t="shared" si="14"/>
        <v>-0.18972893584502148</v>
      </c>
      <c r="S103" s="15">
        <f>O103-Benchmark_RF!D103</f>
        <v>9.3922954926088195E-2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IF(Rankings!C107&lt;=3,1,0)</f>
        <v>1</v>
      </c>
      <c r="D104" s="16">
        <f>IF(Rankings!D107&lt;=3,1,0)</f>
        <v>0</v>
      </c>
      <c r="E104" s="16">
        <f>IF(Rankings!E107&lt;=3,1,0)</f>
        <v>0</v>
      </c>
      <c r="F104" s="16">
        <f>IF(Rankings!F107&lt;=3,1,0)</f>
        <v>1</v>
      </c>
      <c r="G104" s="16">
        <f>IF(Rankings!G107&lt;=3,1,0)</f>
        <v>0</v>
      </c>
      <c r="H104" s="16">
        <f>IF(Rankings!H107&lt;=3,1,0)</f>
        <v>1</v>
      </c>
      <c r="I104" s="16">
        <f>IF(Rankings!I107&lt;=3,1,0)</f>
        <v>0</v>
      </c>
      <c r="J104" s="16">
        <f>IF(Rankings!J107&lt;=3,1,0)</f>
        <v>0</v>
      </c>
      <c r="K104" s="19">
        <f t="shared" si="12"/>
        <v>3</v>
      </c>
      <c r="L104" s="15">
        <f>SUMPRODUCT(C104:J104,Returns!B108:I108)/K104</f>
        <v>8.9413274250456379E-2</v>
      </c>
      <c r="M104" s="15">
        <v>0</v>
      </c>
      <c r="N104" s="15">
        <v>0</v>
      </c>
      <c r="O104" s="15">
        <f t="shared" si="13"/>
        <v>8.9413274250456379E-2</v>
      </c>
      <c r="P104" s="20">
        <f t="shared" si="15"/>
        <v>2.4427114378434331</v>
      </c>
      <c r="Q104" s="20">
        <f>MAX($P$5:P104)</f>
        <v>2.7672549518440919</v>
      </c>
      <c r="R104" s="15">
        <f t="shared" si="14"/>
        <v>-0.1172799469685234</v>
      </c>
      <c r="S104" s="15">
        <f>O104-Benchmark_RF!D104</f>
        <v>7.3163803211199266E-2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IF(Rankings!C107&lt;=3,1,0)</f>
        <v>1</v>
      </c>
      <c r="D105" s="16">
        <f>IF(Rankings!D107&lt;=3,1,0)</f>
        <v>0</v>
      </c>
      <c r="E105" s="16">
        <f>IF(Rankings!E107&lt;=3,1,0)</f>
        <v>0</v>
      </c>
      <c r="F105" s="16">
        <f>IF(Rankings!F107&lt;=3,1,0)</f>
        <v>1</v>
      </c>
      <c r="G105" s="16">
        <f>IF(Rankings!G107&lt;=3,1,0)</f>
        <v>0</v>
      </c>
      <c r="H105" s="16">
        <f>IF(Rankings!H107&lt;=3,1,0)</f>
        <v>1</v>
      </c>
      <c r="I105" s="16">
        <f>IF(Rankings!I107&lt;=3,1,0)</f>
        <v>0</v>
      </c>
      <c r="J105" s="16">
        <f>IF(Rankings!J107&lt;=3,1,0)</f>
        <v>0</v>
      </c>
      <c r="K105" s="19">
        <f t="shared" si="12"/>
        <v>3</v>
      </c>
      <c r="L105" s="15">
        <f>SUMPRODUCT(C105:J105,Returns!B109:I109)/K105</f>
        <v>2.2153924220522796E-2</v>
      </c>
      <c r="M105" s="15">
        <v>0</v>
      </c>
      <c r="N105" s="15">
        <v>0</v>
      </c>
      <c r="O105" s="15">
        <f t="shared" si="13"/>
        <v>2.2153924220522796E-2</v>
      </c>
      <c r="P105" s="20">
        <f t="shared" si="15"/>
        <v>2.4968270819300211</v>
      </c>
      <c r="Q105" s="20">
        <f>MAX($P$5:P105)</f>
        <v>2.7672549518440919</v>
      </c>
      <c r="R105" s="15">
        <f t="shared" si="14"/>
        <v>-9.7724233805728034E-2</v>
      </c>
      <c r="S105" s="15">
        <f>O105-Benchmark_RF!D105</f>
        <v>5.9184129396855738E-3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IF(Rankings!C107&lt;=3,1,0)</f>
        <v>1</v>
      </c>
      <c r="D106" s="16">
        <f>IF(Rankings!D107&lt;=3,1,0)</f>
        <v>0</v>
      </c>
      <c r="E106" s="16">
        <f>IF(Rankings!E107&lt;=3,1,0)</f>
        <v>0</v>
      </c>
      <c r="F106" s="16">
        <f>IF(Rankings!F107&lt;=3,1,0)</f>
        <v>1</v>
      </c>
      <c r="G106" s="16">
        <f>IF(Rankings!G107&lt;=3,1,0)</f>
        <v>0</v>
      </c>
      <c r="H106" s="16">
        <f>IF(Rankings!H107&lt;=3,1,0)</f>
        <v>1</v>
      </c>
      <c r="I106" s="16">
        <f>IF(Rankings!I107&lt;=3,1,0)</f>
        <v>0</v>
      </c>
      <c r="J106" s="16">
        <f>IF(Rankings!J107&lt;=3,1,0)</f>
        <v>0</v>
      </c>
      <c r="K106" s="19">
        <f t="shared" si="12"/>
        <v>3</v>
      </c>
      <c r="L106" s="15">
        <f>SUMPRODUCT(C106:J106,Returns!B110:I110)/K106</f>
        <v>8.1999504070986259E-2</v>
      </c>
      <c r="M106" s="15">
        <v>0</v>
      </c>
      <c r="N106" s="15">
        <v>0</v>
      </c>
      <c r="O106" s="15">
        <f t="shared" si="13"/>
        <v>8.1999504070986259E-2</v>
      </c>
      <c r="P106" s="20">
        <f t="shared" si="15"/>
        <v>2.7015656643992907</v>
      </c>
      <c r="Q106" s="20">
        <f>MAX($P$5:P106)</f>
        <v>2.7672549518440919</v>
      </c>
      <c r="R106" s="15">
        <f t="shared" si="14"/>
        <v>-2.373806844252857E-2</v>
      </c>
      <c r="S106" s="15">
        <f>O106-Benchmark_RF!D106</f>
        <v>6.6010590381884435E-2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IF(Rankings!C113&lt;=3,1,0)</f>
        <v>0</v>
      </c>
      <c r="D107" s="16">
        <f>IF(Rankings!D113&lt;=3,1,0)</f>
        <v>1</v>
      </c>
      <c r="E107" s="16">
        <f>IF(Rankings!E113&lt;=3,1,0)</f>
        <v>0</v>
      </c>
      <c r="F107" s="16">
        <f>IF(Rankings!F113&lt;=3,1,0)</f>
        <v>0</v>
      </c>
      <c r="G107" s="16">
        <f>IF(Rankings!G113&lt;=3,1,0)</f>
        <v>0</v>
      </c>
      <c r="H107" s="16">
        <f>IF(Rankings!H113&lt;=3,1,0)</f>
        <v>1</v>
      </c>
      <c r="I107" s="16">
        <f>IF(Rankings!I113&lt;=3,1,0)</f>
        <v>1</v>
      </c>
      <c r="J107" s="16">
        <f>IF(Rankings!J113&lt;=3,1,0)</f>
        <v>0</v>
      </c>
      <c r="K107" s="19">
        <f t="shared" si="12"/>
        <v>3</v>
      </c>
      <c r="L107" s="15">
        <f>SUMPRODUCT(C107:J107,Returns!B111:I111)/K107</f>
        <v>0.30777495952643452</v>
      </c>
      <c r="M107" s="15">
        <f>-2*Assumptions!$B$13</f>
        <v>-7.0000000000000001E-3</v>
      </c>
      <c r="N107" s="15">
        <f>-Assumptions!$B$16*MAX(0,(1+O101)*(1+O102)*(1+O103)*(1+O104)*(1+O105)*(1+O106)-1)</f>
        <v>-2.6851677434071686E-2</v>
      </c>
      <c r="O107" s="15">
        <f t="shared" si="13"/>
        <v>0.27392328209236283</v>
      </c>
      <c r="P107" s="20">
        <f t="shared" si="15"/>
        <v>3.4415873979795788</v>
      </c>
      <c r="Q107" s="20">
        <f>MAX($P$5:P107)</f>
        <v>3.4415873979795788</v>
      </c>
      <c r="R107" s="15">
        <f t="shared" si="14"/>
        <v>0</v>
      </c>
      <c r="S107" s="15">
        <f>O107-Benchmark_RF!D107</f>
        <v>0.25769475148182963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IF(Rankings!C113&lt;=3,1,0)</f>
        <v>0</v>
      </c>
      <c r="D108" s="16">
        <f>IF(Rankings!D113&lt;=3,1,0)</f>
        <v>1</v>
      </c>
      <c r="E108" s="16">
        <f>IF(Rankings!E113&lt;=3,1,0)</f>
        <v>0</v>
      </c>
      <c r="F108" s="16">
        <f>IF(Rankings!F113&lt;=3,1,0)</f>
        <v>0</v>
      </c>
      <c r="G108" s="16">
        <f>IF(Rankings!G113&lt;=3,1,0)</f>
        <v>0</v>
      </c>
      <c r="H108" s="16">
        <f>IF(Rankings!H113&lt;=3,1,0)</f>
        <v>1</v>
      </c>
      <c r="I108" s="16">
        <f>IF(Rankings!I113&lt;=3,1,0)</f>
        <v>1</v>
      </c>
      <c r="J108" s="16">
        <f>IF(Rankings!J113&lt;=3,1,0)</f>
        <v>0</v>
      </c>
      <c r="K108" s="19">
        <f t="shared" si="12"/>
        <v>3</v>
      </c>
      <c r="L108" s="15">
        <f>SUMPRODUCT(C108:J108,Returns!B112:I112)/K108</f>
        <v>9.271652123343703E-2</v>
      </c>
      <c r="M108" s="15">
        <v>0</v>
      </c>
      <c r="N108" s="15">
        <v>0</v>
      </c>
      <c r="O108" s="15">
        <f t="shared" si="13"/>
        <v>9.271652123343703E-2</v>
      </c>
      <c r="P108" s="20">
        <f t="shared" si="15"/>
        <v>3.760679409041082</v>
      </c>
      <c r="Q108" s="20">
        <f>MAX($P$5:P108)</f>
        <v>3.760679409041082</v>
      </c>
      <c r="R108" s="15">
        <f t="shared" si="14"/>
        <v>0</v>
      </c>
      <c r="S108" s="15">
        <f>O108-Benchmark_RF!D108</f>
        <v>7.6404257370909986E-2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IF(Rankings!C113&lt;=3,1,0)</f>
        <v>0</v>
      </c>
      <c r="D109" s="16">
        <f>IF(Rankings!D113&lt;=3,1,0)</f>
        <v>1</v>
      </c>
      <c r="E109" s="16">
        <f>IF(Rankings!E113&lt;=3,1,0)</f>
        <v>0</v>
      </c>
      <c r="F109" s="16">
        <f>IF(Rankings!F113&lt;=3,1,0)</f>
        <v>0</v>
      </c>
      <c r="G109" s="16">
        <f>IF(Rankings!G113&lt;=3,1,0)</f>
        <v>0</v>
      </c>
      <c r="H109" s="16">
        <f>IF(Rankings!H113&lt;=3,1,0)</f>
        <v>1</v>
      </c>
      <c r="I109" s="16">
        <f>IF(Rankings!I113&lt;=3,1,0)</f>
        <v>1</v>
      </c>
      <c r="J109" s="16">
        <f>IF(Rankings!J113&lt;=3,1,0)</f>
        <v>0</v>
      </c>
      <c r="K109" s="19">
        <f t="shared" si="12"/>
        <v>3</v>
      </c>
      <c r="L109" s="15">
        <f>SUMPRODUCT(C109:J109,Returns!B113:I113)/K109</f>
        <v>0.31828672132651897</v>
      </c>
      <c r="M109" s="15">
        <v>0</v>
      </c>
      <c r="N109" s="15">
        <v>0</v>
      </c>
      <c r="O109" s="15">
        <f t="shared" si="13"/>
        <v>0.31828672132651897</v>
      </c>
      <c r="P109" s="20">
        <f t="shared" si="15"/>
        <v>4.9576537281049191</v>
      </c>
      <c r="Q109" s="20">
        <f>MAX($P$5:P109)</f>
        <v>4.9576537281049191</v>
      </c>
      <c r="R109" s="15">
        <f t="shared" si="14"/>
        <v>0</v>
      </c>
      <c r="S109" s="15">
        <f>O109-Benchmark_RF!D109</f>
        <v>0.30186293104115619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IF(Rankings!C113&lt;=3,1,0)</f>
        <v>0</v>
      </c>
      <c r="D110" s="16">
        <f>IF(Rankings!D113&lt;=3,1,0)</f>
        <v>1</v>
      </c>
      <c r="E110" s="16">
        <f>IF(Rankings!E113&lt;=3,1,0)</f>
        <v>0</v>
      </c>
      <c r="F110" s="16">
        <f>IF(Rankings!F113&lt;=3,1,0)</f>
        <v>0</v>
      </c>
      <c r="G110" s="16">
        <f>IF(Rankings!G113&lt;=3,1,0)</f>
        <v>0</v>
      </c>
      <c r="H110" s="16">
        <f>IF(Rankings!H113&lt;=3,1,0)</f>
        <v>1</v>
      </c>
      <c r="I110" s="16">
        <f>IF(Rankings!I113&lt;=3,1,0)</f>
        <v>1</v>
      </c>
      <c r="J110" s="16">
        <f>IF(Rankings!J113&lt;=3,1,0)</f>
        <v>0</v>
      </c>
      <c r="K110" s="19">
        <f t="shared" si="12"/>
        <v>3</v>
      </c>
      <c r="L110" s="15">
        <f>SUMPRODUCT(C110:J110,Returns!B114:I114)/K110</f>
        <v>8.3771121266103532E-2</v>
      </c>
      <c r="M110" s="15">
        <v>0</v>
      </c>
      <c r="N110" s="15">
        <v>0</v>
      </c>
      <c r="O110" s="15">
        <f t="shared" si="13"/>
        <v>8.3771121266103532E-2</v>
      </c>
      <c r="P110" s="20">
        <f t="shared" si="15"/>
        <v>5.3729619397573458</v>
      </c>
      <c r="Q110" s="20">
        <f>MAX($P$5:P110)</f>
        <v>5.3729619397573458</v>
      </c>
      <c r="R110" s="15">
        <f t="shared" si="14"/>
        <v>0</v>
      </c>
      <c r="S110" s="15">
        <f>O110-Benchmark_RF!D110</f>
        <v>6.7801246999027787E-2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IF(Rankings!C113&lt;=3,1,0)</f>
        <v>0</v>
      </c>
      <c r="D111" s="16">
        <f>IF(Rankings!D113&lt;=3,1,0)</f>
        <v>1</v>
      </c>
      <c r="E111" s="16">
        <f>IF(Rankings!E113&lt;=3,1,0)</f>
        <v>0</v>
      </c>
      <c r="F111" s="16">
        <f>IF(Rankings!F113&lt;=3,1,0)</f>
        <v>0</v>
      </c>
      <c r="G111" s="16">
        <f>IF(Rankings!G113&lt;=3,1,0)</f>
        <v>0</v>
      </c>
      <c r="H111" s="16">
        <f>IF(Rankings!H113&lt;=3,1,0)</f>
        <v>1</v>
      </c>
      <c r="I111" s="16">
        <f>IF(Rankings!I113&lt;=3,1,0)</f>
        <v>1</v>
      </c>
      <c r="J111" s="16">
        <f>IF(Rankings!J113&lt;=3,1,0)</f>
        <v>0</v>
      </c>
      <c r="K111" s="19">
        <f t="shared" si="12"/>
        <v>3</v>
      </c>
      <c r="L111" s="15">
        <f>SUMPRODUCT(C111:J111,Returns!B115:I115)/K111</f>
        <v>5.9871122511347928E-2</v>
      </c>
      <c r="M111" s="15">
        <v>0</v>
      </c>
      <c r="N111" s="15">
        <v>0</v>
      </c>
      <c r="O111" s="15">
        <f t="shared" si="13"/>
        <v>5.9871122511347928E-2</v>
      </c>
      <c r="P111" s="20">
        <f t="shared" si="15"/>
        <v>5.6946472023013675</v>
      </c>
      <c r="Q111" s="20">
        <f>MAX($P$5:P111)</f>
        <v>5.6946472023013675</v>
      </c>
      <c r="R111" s="15">
        <f t="shared" si="14"/>
        <v>0</v>
      </c>
      <c r="S111" s="15">
        <f>O111-Benchmark_RF!D111</f>
        <v>4.4551428975468897E-2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IF(Rankings!C113&lt;=3,1,0)</f>
        <v>0</v>
      </c>
      <c r="D112" s="16">
        <f>IF(Rankings!D113&lt;=3,1,0)</f>
        <v>1</v>
      </c>
      <c r="E112" s="16">
        <f>IF(Rankings!E113&lt;=3,1,0)</f>
        <v>0</v>
      </c>
      <c r="F112" s="16">
        <f>IF(Rankings!F113&lt;=3,1,0)</f>
        <v>0</v>
      </c>
      <c r="G112" s="16">
        <f>IF(Rankings!G113&lt;=3,1,0)</f>
        <v>0</v>
      </c>
      <c r="H112" s="16">
        <f>IF(Rankings!H113&lt;=3,1,0)</f>
        <v>1</v>
      </c>
      <c r="I112" s="16">
        <f>IF(Rankings!I113&lt;=3,1,0)</f>
        <v>1</v>
      </c>
      <c r="J112" s="16">
        <f>IF(Rankings!J113&lt;=3,1,0)</f>
        <v>0</v>
      </c>
      <c r="K112" s="19">
        <f t="shared" si="12"/>
        <v>3</v>
      </c>
      <c r="L112" s="15">
        <f>SUMPRODUCT(C112:J112,Returns!B116:I116)/K112</f>
        <v>0.12689399536373314</v>
      </c>
      <c r="M112" s="15">
        <v>0</v>
      </c>
      <c r="N112" s="15">
        <v>0</v>
      </c>
      <c r="O112" s="15">
        <f t="shared" si="13"/>
        <v>0.12689399536373314</v>
      </c>
      <c r="P112" s="20">
        <f t="shared" si="15"/>
        <v>6.4172637379882929</v>
      </c>
      <c r="Q112" s="20">
        <f>MAX($P$5:P112)</f>
        <v>6.4172637379882929</v>
      </c>
      <c r="R112" s="15">
        <f t="shared" si="14"/>
        <v>0</v>
      </c>
      <c r="S112" s="15">
        <f>O112-Benchmark_RF!D112</f>
        <v>0.11194481599159078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IF(Rankings!C119&lt;=3,1,0)</f>
        <v>1</v>
      </c>
      <c r="D113" s="16">
        <f>IF(Rankings!D119&lt;=3,1,0)</f>
        <v>0</v>
      </c>
      <c r="E113" s="16">
        <f>IF(Rankings!E119&lt;=3,1,0)</f>
        <v>0</v>
      </c>
      <c r="F113" s="16">
        <f>IF(Rankings!F119&lt;=3,1,0)</f>
        <v>0</v>
      </c>
      <c r="G113" s="16">
        <f>IF(Rankings!G119&lt;=3,1,0)</f>
        <v>1</v>
      </c>
      <c r="H113" s="16">
        <f>IF(Rankings!H119&lt;=3,1,0)</f>
        <v>1</v>
      </c>
      <c r="I113" s="16">
        <f>IF(Rankings!I119&lt;=3,1,0)</f>
        <v>0</v>
      </c>
      <c r="J113" s="16">
        <f>IF(Rankings!J119&lt;=3,1,0)</f>
        <v>0</v>
      </c>
      <c r="K113" s="19">
        <f t="shared" si="12"/>
        <v>3</v>
      </c>
      <c r="L113" s="15">
        <f>SUMPRODUCT(C113:J113,Returns!B117:I117)/K113</f>
        <v>-6.7496317429157253E-3</v>
      </c>
      <c r="M113" s="15">
        <f>-2*Assumptions!$B$13</f>
        <v>-7.0000000000000001E-3</v>
      </c>
      <c r="N113" s="15">
        <f>-Assumptions!$B$16*MAX(0,(1+O107)*(1+O108)*(1+O109)*(1+O110)*(1+O111)*(1+O112)-1)</f>
        <v>-0.20630803773643661</v>
      </c>
      <c r="O113" s="15">
        <f t="shared" si="13"/>
        <v>-0.22005766947935232</v>
      </c>
      <c r="P113" s="20">
        <f t="shared" si="15"/>
        <v>5.005095635372232</v>
      </c>
      <c r="Q113" s="20">
        <f>MAX($P$5:P113)</f>
        <v>6.4172637379882929</v>
      </c>
      <c r="R113" s="15">
        <f t="shared" si="14"/>
        <v>-0.22005766947935235</v>
      </c>
      <c r="S113" s="15">
        <f>O113-Benchmark_RF!D113</f>
        <v>-0.23356582421159475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IF(Rankings!C119&lt;=3,1,0)</f>
        <v>1</v>
      </c>
      <c r="D114" s="16">
        <f>IF(Rankings!D119&lt;=3,1,0)</f>
        <v>0</v>
      </c>
      <c r="E114" s="16">
        <f>IF(Rankings!E119&lt;=3,1,0)</f>
        <v>0</v>
      </c>
      <c r="F114" s="16">
        <f>IF(Rankings!F119&lt;=3,1,0)</f>
        <v>0</v>
      </c>
      <c r="G114" s="16">
        <f>IF(Rankings!G119&lt;=3,1,0)</f>
        <v>1</v>
      </c>
      <c r="H114" s="16">
        <f>IF(Rankings!H119&lt;=3,1,0)</f>
        <v>1</v>
      </c>
      <c r="I114" s="16">
        <f>IF(Rankings!I119&lt;=3,1,0)</f>
        <v>0</v>
      </c>
      <c r="J114" s="16">
        <f>IF(Rankings!J119&lt;=3,1,0)</f>
        <v>0</v>
      </c>
      <c r="K114" s="19">
        <f t="shared" si="12"/>
        <v>3</v>
      </c>
      <c r="L114" s="15">
        <f>SUMPRODUCT(C114:J114,Returns!B118:I118)/K114</f>
        <v>0.12458640830189742</v>
      </c>
      <c r="M114" s="15">
        <v>0</v>
      </c>
      <c r="N114" s="15">
        <v>0</v>
      </c>
      <c r="O114" s="15">
        <f t="shared" si="13"/>
        <v>0.12458640830189742</v>
      </c>
      <c r="P114" s="20">
        <f t="shared" si="15"/>
        <v>5.6286625237907622</v>
      </c>
      <c r="Q114" s="20">
        <f>MAX($P$5:P114)</f>
        <v>6.4172637379882929</v>
      </c>
      <c r="R114" s="15">
        <f t="shared" si="14"/>
        <v>-0.12288745583717342</v>
      </c>
      <c r="S114" s="15">
        <f>O114-Benchmark_RF!D114</f>
        <v>0.11112140269269914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IF(Rankings!C119&lt;=3,1,0)</f>
        <v>1</v>
      </c>
      <c r="D115" s="16">
        <f>IF(Rankings!D119&lt;=3,1,0)</f>
        <v>0</v>
      </c>
      <c r="E115" s="16">
        <f>IF(Rankings!E119&lt;=3,1,0)</f>
        <v>0</v>
      </c>
      <c r="F115" s="16">
        <f>IF(Rankings!F119&lt;=3,1,0)</f>
        <v>0</v>
      </c>
      <c r="G115" s="16">
        <f>IF(Rankings!G119&lt;=3,1,0)</f>
        <v>1</v>
      </c>
      <c r="H115" s="16">
        <f>IF(Rankings!H119&lt;=3,1,0)</f>
        <v>1</v>
      </c>
      <c r="I115" s="16">
        <f>IF(Rankings!I119&lt;=3,1,0)</f>
        <v>0</v>
      </c>
      <c r="J115" s="16">
        <f>IF(Rankings!J119&lt;=3,1,0)</f>
        <v>0</v>
      </c>
      <c r="K115" s="19">
        <f t="shared" si="12"/>
        <v>3</v>
      </c>
      <c r="L115" s="15">
        <f>SUMPRODUCT(C115:J115,Returns!B119:I119)/K115</f>
        <v>0.15473191693544211</v>
      </c>
      <c r="M115" s="15">
        <v>0</v>
      </c>
      <c r="N115" s="15">
        <v>0</v>
      </c>
      <c r="O115" s="15">
        <f t="shared" si="13"/>
        <v>0.15473191693544211</v>
      </c>
      <c r="P115" s="20">
        <f t="shared" si="15"/>
        <v>6.4995962658795907</v>
      </c>
      <c r="Q115" s="20">
        <f>MAX($P$5:P115)</f>
        <v>6.4995962658795907</v>
      </c>
      <c r="R115" s="15">
        <f t="shared" si="14"/>
        <v>0</v>
      </c>
      <c r="S115" s="15">
        <f>O115-Benchmark_RF!D115</f>
        <v>0.14384918778696135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IF(Rankings!C119&lt;=3,1,0)</f>
        <v>1</v>
      </c>
      <c r="D116" s="16">
        <f>IF(Rankings!D119&lt;=3,1,0)</f>
        <v>0</v>
      </c>
      <c r="E116" s="16">
        <f>IF(Rankings!E119&lt;=3,1,0)</f>
        <v>0</v>
      </c>
      <c r="F116" s="16">
        <f>IF(Rankings!F119&lt;=3,1,0)</f>
        <v>0</v>
      </c>
      <c r="G116" s="16">
        <f>IF(Rankings!G119&lt;=3,1,0)</f>
        <v>1</v>
      </c>
      <c r="H116" s="16">
        <f>IF(Rankings!H119&lt;=3,1,0)</f>
        <v>1</v>
      </c>
      <c r="I116" s="16">
        <f>IF(Rankings!I119&lt;=3,1,0)</f>
        <v>0</v>
      </c>
      <c r="J116" s="16">
        <f>IF(Rankings!J119&lt;=3,1,0)</f>
        <v>0</v>
      </c>
      <c r="K116" s="19">
        <f t="shared" si="12"/>
        <v>3</v>
      </c>
      <c r="L116" s="15">
        <f>SUMPRODUCT(C116:J116,Returns!B120:I120)/K116</f>
        <v>0.14773551242247937</v>
      </c>
      <c r="M116" s="15">
        <v>0</v>
      </c>
      <c r="N116" s="15">
        <v>0</v>
      </c>
      <c r="O116" s="15">
        <f t="shared" si="13"/>
        <v>0.14773551242247937</v>
      </c>
      <c r="P116" s="20">
        <f t="shared" si="15"/>
        <v>7.4598174507585453</v>
      </c>
      <c r="Q116" s="20">
        <f>MAX($P$5:P116)</f>
        <v>7.4598174507585453</v>
      </c>
      <c r="R116" s="15">
        <f t="shared" si="14"/>
        <v>0</v>
      </c>
      <c r="S116" s="15">
        <f>O116-Benchmark_RF!D116</f>
        <v>0.13685278327399861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IF(Rankings!C119&lt;=3,1,0)</f>
        <v>1</v>
      </c>
      <c r="D117" s="16">
        <f>IF(Rankings!D119&lt;=3,1,0)</f>
        <v>0</v>
      </c>
      <c r="E117" s="16">
        <f>IF(Rankings!E119&lt;=3,1,0)</f>
        <v>0</v>
      </c>
      <c r="F117" s="16">
        <f>IF(Rankings!F119&lt;=3,1,0)</f>
        <v>0</v>
      </c>
      <c r="G117" s="16">
        <f>IF(Rankings!G119&lt;=3,1,0)</f>
        <v>1</v>
      </c>
      <c r="H117" s="16">
        <f>IF(Rankings!H119&lt;=3,1,0)</f>
        <v>1</v>
      </c>
      <c r="I117" s="16">
        <f>IF(Rankings!I119&lt;=3,1,0)</f>
        <v>0</v>
      </c>
      <c r="J117" s="16">
        <f>IF(Rankings!J119&lt;=3,1,0)</f>
        <v>0</v>
      </c>
      <c r="K117" s="19">
        <f t="shared" si="12"/>
        <v>3</v>
      </c>
      <c r="L117" s="15">
        <f>SUMPRODUCT(C117:J117,Returns!B121:I121)/K117</f>
        <v>0.12361723699042471</v>
      </c>
      <c r="M117" s="15">
        <v>0</v>
      </c>
      <c r="N117" s="15">
        <v>0</v>
      </c>
      <c r="O117" s="15">
        <f t="shared" si="13"/>
        <v>0.12361723699042471</v>
      </c>
      <c r="P117" s="20">
        <f t="shared" si="15"/>
        <v>8.3819794724742707</v>
      </c>
      <c r="Q117" s="20">
        <f>MAX($P$5:P117)</f>
        <v>8.3819794724742707</v>
      </c>
      <c r="R117" s="15">
        <f t="shared" si="14"/>
        <v>0</v>
      </c>
      <c r="S117" s="15">
        <f>O117-Benchmark_RF!D117</f>
        <v>0.11424117943391665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84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IF(Rankings!C11&lt;=3,1,0)</f>
        <v>0</v>
      </c>
      <c r="D5" s="16">
        <f>IF(Rankings!D11&lt;=3,1,0)</f>
        <v>1</v>
      </c>
      <c r="E5" s="16">
        <f>IF(Rankings!E11&lt;=3,1,0)</f>
        <v>0</v>
      </c>
      <c r="F5" s="16">
        <f>IF(Rankings!F11&lt;=3,1,0)</f>
        <v>0</v>
      </c>
      <c r="G5" s="16">
        <f>IF(Rankings!G11&lt;=3,1,0)</f>
        <v>1</v>
      </c>
      <c r="H5" s="16">
        <f>IF(Rankings!H11&lt;=3,1,0)</f>
        <v>1</v>
      </c>
      <c r="I5" s="16">
        <f>IF(Rankings!I11&lt;=3,1,0)</f>
        <v>0</v>
      </c>
      <c r="J5" s="16">
        <f>IF(Rankings!J11&lt;=3,1,0)</f>
        <v>0</v>
      </c>
      <c r="K5" s="19">
        <f t="shared" ref="K5:K36" si="0">SUM(C5:J5)</f>
        <v>3</v>
      </c>
      <c r="L5" s="15">
        <f>SUMPRODUCT(C5:J5,Returns!B9:I9)/K5</f>
        <v>-1.4022102071828782E-2</v>
      </c>
      <c r="M5" s="15">
        <f>-2*Assumptions!$B$13</f>
        <v>-7.0000000000000001E-3</v>
      </c>
      <c r="N5" s="15">
        <v>0</v>
      </c>
      <c r="O5" s="15">
        <f t="shared" ref="O5:O36" si="1">L5+M5+N5</f>
        <v>-2.1022102071828783E-2</v>
      </c>
      <c r="P5" s="20">
        <f>1*(1+O5)</f>
        <v>0.97897789792817125</v>
      </c>
      <c r="Q5" s="20">
        <f>MAX($P$5:P5)</f>
        <v>0.97897789792817125</v>
      </c>
      <c r="R5" s="15">
        <f t="shared" ref="R5:R36" si="2">P5/Q5-1</f>
        <v>0</v>
      </c>
      <c r="S5" s="15">
        <f>O5-Benchmark_RF!D5</f>
        <v>-2.6622032581154951E-2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IF(Rankings!C11&lt;=3,1,0)</f>
        <v>0</v>
      </c>
      <c r="D6" s="16">
        <f>IF(Rankings!D11&lt;=3,1,0)</f>
        <v>1</v>
      </c>
      <c r="E6" s="16">
        <f>IF(Rankings!E11&lt;=3,1,0)</f>
        <v>0</v>
      </c>
      <c r="F6" s="16">
        <f>IF(Rankings!F11&lt;=3,1,0)</f>
        <v>0</v>
      </c>
      <c r="G6" s="16">
        <f>IF(Rankings!G11&lt;=3,1,0)</f>
        <v>1</v>
      </c>
      <c r="H6" s="16">
        <f>IF(Rankings!H11&lt;=3,1,0)</f>
        <v>1</v>
      </c>
      <c r="I6" s="16">
        <f>IF(Rankings!I11&lt;=3,1,0)</f>
        <v>0</v>
      </c>
      <c r="J6" s="16">
        <f>IF(Rankings!J11&lt;=3,1,0)</f>
        <v>0</v>
      </c>
      <c r="K6" s="19">
        <f t="shared" si="0"/>
        <v>3</v>
      </c>
      <c r="L6" s="15">
        <f>SUMPRODUCT(C6:J6,Returns!B10:I10)/K6</f>
        <v>-3.1142889346888619E-2</v>
      </c>
      <c r="M6" s="15">
        <v>0</v>
      </c>
      <c r="N6" s="15">
        <v>0</v>
      </c>
      <c r="O6" s="15">
        <f t="shared" si="1"/>
        <v>-3.1142889346888619E-2</v>
      </c>
      <c r="P6" s="20">
        <f t="shared" ref="P6:P37" si="3">P5*(1+O6)</f>
        <v>0.94848969757994461</v>
      </c>
      <c r="Q6" s="20">
        <f>MAX($P$5:P6)</f>
        <v>0.97897789792817125</v>
      </c>
      <c r="R6" s="15">
        <f t="shared" si="2"/>
        <v>-3.114288934688858E-2</v>
      </c>
      <c r="S6" s="15">
        <f>O6-Benchmark_RF!D6</f>
        <v>-3.6378071704047651E-2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IF(Rankings!C11&lt;=3,1,0)</f>
        <v>0</v>
      </c>
      <c r="D7" s="16">
        <f>IF(Rankings!D11&lt;=3,1,0)</f>
        <v>1</v>
      </c>
      <c r="E7" s="16">
        <f>IF(Rankings!E11&lt;=3,1,0)</f>
        <v>0</v>
      </c>
      <c r="F7" s="16">
        <f>IF(Rankings!F11&lt;=3,1,0)</f>
        <v>0</v>
      </c>
      <c r="G7" s="16">
        <f>IF(Rankings!G11&lt;=3,1,0)</f>
        <v>1</v>
      </c>
      <c r="H7" s="16">
        <f>IF(Rankings!H11&lt;=3,1,0)</f>
        <v>1</v>
      </c>
      <c r="I7" s="16">
        <f>IF(Rankings!I11&lt;=3,1,0)</f>
        <v>0</v>
      </c>
      <c r="J7" s="16">
        <f>IF(Rankings!J11&lt;=3,1,0)</f>
        <v>0</v>
      </c>
      <c r="K7" s="19">
        <f t="shared" si="0"/>
        <v>3</v>
      </c>
      <c r="L7" s="15">
        <f>SUMPRODUCT(C7:J7,Returns!B11:I11)/K7</f>
        <v>-6.1886085365929766E-3</v>
      </c>
      <c r="M7" s="15">
        <v>0</v>
      </c>
      <c r="N7" s="15">
        <v>0</v>
      </c>
      <c r="O7" s="15">
        <f t="shared" si="1"/>
        <v>-6.1886085365929766E-3</v>
      </c>
      <c r="P7" s="20">
        <f t="shared" si="3"/>
        <v>0.94261986614063087</v>
      </c>
      <c r="Q7" s="20">
        <f>MAX($P$5:P7)</f>
        <v>0.97897789792817125</v>
      </c>
      <c r="R7" s="15">
        <f t="shared" si="2"/>
        <v>-3.7138766732615291E-2</v>
      </c>
      <c r="S7" s="15">
        <f>O7-Benchmark_RF!D7</f>
        <v>-1.1295843441752274E-2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IF(Rankings!C14&lt;=3,1,0)</f>
        <v>1</v>
      </c>
      <c r="D8" s="16">
        <f>IF(Rankings!D14&lt;=3,1,0)</f>
        <v>1</v>
      </c>
      <c r="E8" s="16">
        <f>IF(Rankings!E14&lt;=3,1,0)</f>
        <v>0</v>
      </c>
      <c r="F8" s="16">
        <f>IF(Rankings!F14&lt;=3,1,0)</f>
        <v>1</v>
      </c>
      <c r="G8" s="16">
        <f>IF(Rankings!G14&lt;=3,1,0)</f>
        <v>0</v>
      </c>
      <c r="H8" s="16">
        <f>IF(Rankings!H14&lt;=3,1,0)</f>
        <v>0</v>
      </c>
      <c r="I8" s="16">
        <f>IF(Rankings!I14&lt;=3,1,0)</f>
        <v>0</v>
      </c>
      <c r="J8" s="16">
        <f>IF(Rankings!J14&lt;=3,1,0)</f>
        <v>0</v>
      </c>
      <c r="K8" s="19">
        <f t="shared" si="0"/>
        <v>3</v>
      </c>
      <c r="L8" s="15">
        <f>SUMPRODUCT(C8:J8,Returns!B12:I12)/K8</f>
        <v>-0.10346073772786375</v>
      </c>
      <c r="M8" s="15">
        <f>-2*Assumptions!$B$13</f>
        <v>-7.0000000000000001E-3</v>
      </c>
      <c r="N8" s="15">
        <f>-Assumptions!$B$16*MAX(0,(1+O5)*(1+O6)*(1+O7)-1)</f>
        <v>0</v>
      </c>
      <c r="O8" s="15">
        <f t="shared" si="1"/>
        <v>-0.11046073772786376</v>
      </c>
      <c r="P8" s="20">
        <f t="shared" si="3"/>
        <v>0.83849738032979659</v>
      </c>
      <c r="Q8" s="20">
        <f>MAX($P$5:P8)</f>
        <v>0.97897789792817125</v>
      </c>
      <c r="R8" s="15">
        <f t="shared" si="2"/>
        <v>-0.14349712888889132</v>
      </c>
      <c r="S8" s="15">
        <f>O8-Benchmark_RF!D8</f>
        <v>-0.11561940935728894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IF(Rankings!C14&lt;=3,1,0)</f>
        <v>1</v>
      </c>
      <c r="D9" s="16">
        <f>IF(Rankings!D14&lt;=3,1,0)</f>
        <v>1</v>
      </c>
      <c r="E9" s="16">
        <f>IF(Rankings!E14&lt;=3,1,0)</f>
        <v>0</v>
      </c>
      <c r="F9" s="16">
        <f>IF(Rankings!F14&lt;=3,1,0)</f>
        <v>1</v>
      </c>
      <c r="G9" s="16">
        <f>IF(Rankings!G14&lt;=3,1,0)</f>
        <v>0</v>
      </c>
      <c r="H9" s="16">
        <f>IF(Rankings!H14&lt;=3,1,0)</f>
        <v>0</v>
      </c>
      <c r="I9" s="16">
        <f>IF(Rankings!I14&lt;=3,1,0)</f>
        <v>0</v>
      </c>
      <c r="J9" s="16">
        <f>IF(Rankings!J14&lt;=3,1,0)</f>
        <v>0</v>
      </c>
      <c r="K9" s="19">
        <f t="shared" si="0"/>
        <v>3</v>
      </c>
      <c r="L9" s="15">
        <f>SUMPRODUCT(C9:J9,Returns!B13:I13)/K9</f>
        <v>9.406440443798755E-3</v>
      </c>
      <c r="M9" s="15">
        <v>0</v>
      </c>
      <c r="N9" s="15">
        <v>0</v>
      </c>
      <c r="O9" s="15">
        <f t="shared" si="1"/>
        <v>9.406440443798755E-3</v>
      </c>
      <c r="P9" s="20">
        <f t="shared" si="3"/>
        <v>0.84638465600015012</v>
      </c>
      <c r="Q9" s="20">
        <f>MAX($P$5:P9)</f>
        <v>0.97897789792817125</v>
      </c>
      <c r="R9" s="15">
        <f t="shared" si="2"/>
        <v>-0.13544048564184197</v>
      </c>
      <c r="S9" s="15">
        <f>O9-Benchmark_RF!D9</f>
        <v>4.2727352465285664E-3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IF(Rankings!C14&lt;=3,1,0)</f>
        <v>1</v>
      </c>
      <c r="D10" s="16">
        <f>IF(Rankings!D14&lt;=3,1,0)</f>
        <v>1</v>
      </c>
      <c r="E10" s="16">
        <f>IF(Rankings!E14&lt;=3,1,0)</f>
        <v>0</v>
      </c>
      <c r="F10" s="16">
        <f>IF(Rankings!F14&lt;=3,1,0)</f>
        <v>1</v>
      </c>
      <c r="G10" s="16">
        <f>IF(Rankings!G14&lt;=3,1,0)</f>
        <v>0</v>
      </c>
      <c r="H10" s="16">
        <f>IF(Rankings!H14&lt;=3,1,0)</f>
        <v>0</v>
      </c>
      <c r="I10" s="16">
        <f>IF(Rankings!I14&lt;=3,1,0)</f>
        <v>0</v>
      </c>
      <c r="J10" s="16">
        <f>IF(Rankings!J14&lt;=3,1,0)</f>
        <v>0</v>
      </c>
      <c r="K10" s="19">
        <f t="shared" si="0"/>
        <v>3</v>
      </c>
      <c r="L10" s="15">
        <f>SUMPRODUCT(C10:J10,Returns!B14:I14)/K10</f>
        <v>-7.8154716135527866E-2</v>
      </c>
      <c r="M10" s="15">
        <v>0</v>
      </c>
      <c r="N10" s="15">
        <v>0</v>
      </c>
      <c r="O10" s="15">
        <f t="shared" si="1"/>
        <v>-7.8154716135527866E-2</v>
      </c>
      <c r="P10" s="20">
        <f t="shared" si="3"/>
        <v>0.78023570346899207</v>
      </c>
      <c r="Q10" s="20">
        <f>MAX($P$5:P10)</f>
        <v>0.97897789792817125</v>
      </c>
      <c r="R10" s="15">
        <f t="shared" si="2"/>
        <v>-0.2030098890687736</v>
      </c>
      <c r="S10" s="15">
        <f>O10-Benchmark_RF!D10</f>
        <v>-8.3149918891669602E-2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IF(Rankings!C17&lt;=3,1,0)</f>
        <v>1</v>
      </c>
      <c r="D11" s="16">
        <f>IF(Rankings!D17&lt;=3,1,0)</f>
        <v>0</v>
      </c>
      <c r="E11" s="16">
        <f>IF(Rankings!E17&lt;=3,1,0)</f>
        <v>0</v>
      </c>
      <c r="F11" s="16">
        <f>IF(Rankings!F17&lt;=3,1,0)</f>
        <v>0</v>
      </c>
      <c r="G11" s="16">
        <f>IF(Rankings!G17&lt;=3,1,0)</f>
        <v>0</v>
      </c>
      <c r="H11" s="16">
        <f>IF(Rankings!H17&lt;=3,1,0)</f>
        <v>0</v>
      </c>
      <c r="I11" s="16">
        <f>IF(Rankings!I17&lt;=3,1,0)</f>
        <v>1</v>
      </c>
      <c r="J11" s="16">
        <f>IF(Rankings!J17&lt;=3,1,0)</f>
        <v>1</v>
      </c>
      <c r="K11" s="19">
        <f t="shared" si="0"/>
        <v>3</v>
      </c>
      <c r="L11" s="15">
        <f>SUMPRODUCT(C11:J11,Returns!B15:I15)/K11</f>
        <v>-3.5256960704331486E-2</v>
      </c>
      <c r="M11" s="15">
        <f>-2*Assumptions!$B$13</f>
        <v>-7.0000000000000001E-3</v>
      </c>
      <c r="N11" s="15">
        <f>-Assumptions!$B$16*MAX(0,(1+O8)*(1+O9)*(1+O10)-1)</f>
        <v>0</v>
      </c>
      <c r="O11" s="15">
        <f t="shared" si="1"/>
        <v>-4.2256960704331485E-2</v>
      </c>
      <c r="P11" s="20">
        <f t="shared" si="3"/>
        <v>0.74726531400738638</v>
      </c>
      <c r="Q11" s="20">
        <f>MAX($P$5:P11)</f>
        <v>0.97897789792817125</v>
      </c>
      <c r="R11" s="15">
        <f t="shared" si="2"/>
        <v>-0.23668826886813521</v>
      </c>
      <c r="S11" s="15">
        <f>O11-Benchmark_RF!D11</f>
        <v>-4.7293491798014557E-2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IF(Rankings!C17&lt;=3,1,0)</f>
        <v>1</v>
      </c>
      <c r="D12" s="16">
        <f>IF(Rankings!D17&lt;=3,1,0)</f>
        <v>0</v>
      </c>
      <c r="E12" s="16">
        <f>IF(Rankings!E17&lt;=3,1,0)</f>
        <v>0</v>
      </c>
      <c r="F12" s="16">
        <f>IF(Rankings!F17&lt;=3,1,0)</f>
        <v>0</v>
      </c>
      <c r="G12" s="16">
        <f>IF(Rankings!G17&lt;=3,1,0)</f>
        <v>0</v>
      </c>
      <c r="H12" s="16">
        <f>IF(Rankings!H17&lt;=3,1,0)</f>
        <v>0</v>
      </c>
      <c r="I12" s="16">
        <f>IF(Rankings!I17&lt;=3,1,0)</f>
        <v>1</v>
      </c>
      <c r="J12" s="16">
        <f>IF(Rankings!J17&lt;=3,1,0)</f>
        <v>1</v>
      </c>
      <c r="K12" s="19">
        <f t="shared" si="0"/>
        <v>3</v>
      </c>
      <c r="L12" s="15">
        <f>SUMPRODUCT(C12:J12,Returns!B16:I16)/K12</f>
        <v>0.11977873374981818</v>
      </c>
      <c r="M12" s="15">
        <v>0</v>
      </c>
      <c r="N12" s="15">
        <v>0</v>
      </c>
      <c r="O12" s="15">
        <f t="shared" si="1"/>
        <v>0.11977873374981818</v>
      </c>
      <c r="P12" s="20">
        <f t="shared" si="3"/>
        <v>0.83677180709435139</v>
      </c>
      <c r="Q12" s="20">
        <f>MAX($P$5:P12)</f>
        <v>0.97897789792817125</v>
      </c>
      <c r="R12" s="15">
        <f t="shared" si="2"/>
        <v>-0.14525975625677878</v>
      </c>
      <c r="S12" s="15">
        <f>O12-Benchmark_RF!D12</f>
        <v>0.11477722011449631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IF(Rankings!C17&lt;=3,1,0)</f>
        <v>1</v>
      </c>
      <c r="D13" s="16">
        <f>IF(Rankings!D17&lt;=3,1,0)</f>
        <v>0</v>
      </c>
      <c r="E13" s="16">
        <f>IF(Rankings!E17&lt;=3,1,0)</f>
        <v>0</v>
      </c>
      <c r="F13" s="16">
        <f>IF(Rankings!F17&lt;=3,1,0)</f>
        <v>0</v>
      </c>
      <c r="G13" s="16">
        <f>IF(Rankings!G17&lt;=3,1,0)</f>
        <v>0</v>
      </c>
      <c r="H13" s="16">
        <f>IF(Rankings!H17&lt;=3,1,0)</f>
        <v>0</v>
      </c>
      <c r="I13" s="16">
        <f>IF(Rankings!I17&lt;=3,1,0)</f>
        <v>1</v>
      </c>
      <c r="J13" s="16">
        <f>IF(Rankings!J17&lt;=3,1,0)</f>
        <v>1</v>
      </c>
      <c r="K13" s="19">
        <f t="shared" si="0"/>
        <v>3</v>
      </c>
      <c r="L13" s="15">
        <f>SUMPRODUCT(C13:J13,Returns!B17:I17)/K13</f>
        <v>0.11057307393428117</v>
      </c>
      <c r="M13" s="15">
        <v>0</v>
      </c>
      <c r="N13" s="15">
        <v>0</v>
      </c>
      <c r="O13" s="15">
        <f t="shared" si="1"/>
        <v>0.11057307393428117</v>
      </c>
      <c r="P13" s="20">
        <f t="shared" si="3"/>
        <v>0.92929623798631722</v>
      </c>
      <c r="Q13" s="20">
        <f>MAX($P$5:P13)</f>
        <v>0.97897789792817125</v>
      </c>
      <c r="R13" s="15">
        <f t="shared" si="2"/>
        <v>-5.0748500090754045E-2</v>
      </c>
      <c r="S13" s="15">
        <f>O13-Benchmark_RF!D13</f>
        <v>0.10557156029895931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IF(Rankings!C20&lt;=3,1,0)</f>
        <v>0</v>
      </c>
      <c r="D14" s="16">
        <f>IF(Rankings!D20&lt;=3,1,0)</f>
        <v>0</v>
      </c>
      <c r="E14" s="16">
        <f>IF(Rankings!E20&lt;=3,1,0)</f>
        <v>0</v>
      </c>
      <c r="F14" s="16">
        <f>IF(Rankings!F20&lt;=3,1,0)</f>
        <v>1</v>
      </c>
      <c r="G14" s="16">
        <f>IF(Rankings!G20&lt;=3,1,0)</f>
        <v>0</v>
      </c>
      <c r="H14" s="16">
        <f>IF(Rankings!H20&lt;=3,1,0)</f>
        <v>1</v>
      </c>
      <c r="I14" s="16">
        <f>IF(Rankings!I20&lt;=3,1,0)</f>
        <v>1</v>
      </c>
      <c r="J14" s="16">
        <f>IF(Rankings!J20&lt;=3,1,0)</f>
        <v>0</v>
      </c>
      <c r="K14" s="19">
        <f t="shared" si="0"/>
        <v>3</v>
      </c>
      <c r="L14" s="15">
        <f>SUMPRODUCT(C14:J14,Returns!B18:I18)/K14</f>
        <v>-1.2537912650028829E-2</v>
      </c>
      <c r="M14" s="15">
        <f>-2*Assumptions!$B$13</f>
        <v>-7.0000000000000001E-3</v>
      </c>
      <c r="N14" s="15">
        <f>-Assumptions!$B$16*MAX(0,(1+O11)*(1+O12)*(1+O13)-1)</f>
        <v>-2.8656827774207791E-2</v>
      </c>
      <c r="O14" s="15">
        <f t="shared" si="1"/>
        <v>-4.8194740424236618E-2</v>
      </c>
      <c r="P14" s="20">
        <f t="shared" si="3"/>
        <v>0.88450904701934696</v>
      </c>
      <c r="Q14" s="20">
        <f>MAX($P$5:P14)</f>
        <v>0.97897789792817125</v>
      </c>
      <c r="R14" s="15">
        <f t="shared" si="2"/>
        <v>-9.649742972619757E-2</v>
      </c>
      <c r="S14" s="15">
        <f>O14-Benchmark_RF!D14</f>
        <v>-5.3052415578155945E-2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IF(Rankings!C20&lt;=3,1,0)</f>
        <v>0</v>
      </c>
      <c r="D15" s="16">
        <f>IF(Rankings!D20&lt;=3,1,0)</f>
        <v>0</v>
      </c>
      <c r="E15" s="16">
        <f>IF(Rankings!E20&lt;=3,1,0)</f>
        <v>0</v>
      </c>
      <c r="F15" s="16">
        <f>IF(Rankings!F20&lt;=3,1,0)</f>
        <v>1</v>
      </c>
      <c r="G15" s="16">
        <f>IF(Rankings!G20&lt;=3,1,0)</f>
        <v>0</v>
      </c>
      <c r="H15" s="16">
        <f>IF(Rankings!H20&lt;=3,1,0)</f>
        <v>1</v>
      </c>
      <c r="I15" s="16">
        <f>IF(Rankings!I20&lt;=3,1,0)</f>
        <v>1</v>
      </c>
      <c r="J15" s="16">
        <f>IF(Rankings!J20&lt;=3,1,0)</f>
        <v>0</v>
      </c>
      <c r="K15" s="19">
        <f t="shared" si="0"/>
        <v>3</v>
      </c>
      <c r="L15" s="15">
        <f>SUMPRODUCT(C15:J15,Returns!B19:I19)/K15</f>
        <v>2.046681344847423E-2</v>
      </c>
      <c r="M15" s="15">
        <v>0</v>
      </c>
      <c r="N15" s="15">
        <v>0</v>
      </c>
      <c r="O15" s="15">
        <f t="shared" si="1"/>
        <v>2.046681344847423E-2</v>
      </c>
      <c r="P15" s="20">
        <f t="shared" si="3"/>
        <v>0.90261212867817964</v>
      </c>
      <c r="Q15" s="20">
        <f>MAX($P$5:P15)</f>
        <v>0.97897789792817125</v>
      </c>
      <c r="R15" s="15">
        <f t="shared" si="2"/>
        <v>-7.8005611170186673E-2</v>
      </c>
      <c r="S15" s="15">
        <f>O15-Benchmark_RF!D15</f>
        <v>1.5678454218322813E-2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IF(Rankings!C20&lt;=3,1,0)</f>
        <v>0</v>
      </c>
      <c r="D16" s="16">
        <f>IF(Rankings!D20&lt;=3,1,0)</f>
        <v>0</v>
      </c>
      <c r="E16" s="16">
        <f>IF(Rankings!E20&lt;=3,1,0)</f>
        <v>0</v>
      </c>
      <c r="F16" s="16">
        <f>IF(Rankings!F20&lt;=3,1,0)</f>
        <v>1</v>
      </c>
      <c r="G16" s="16">
        <f>IF(Rankings!G20&lt;=3,1,0)</f>
        <v>0</v>
      </c>
      <c r="H16" s="16">
        <f>IF(Rankings!H20&lt;=3,1,0)</f>
        <v>1</v>
      </c>
      <c r="I16" s="16">
        <f>IF(Rankings!I20&lt;=3,1,0)</f>
        <v>1</v>
      </c>
      <c r="J16" s="16">
        <f>IF(Rankings!J20&lt;=3,1,0)</f>
        <v>0</v>
      </c>
      <c r="K16" s="19">
        <f t="shared" si="0"/>
        <v>3</v>
      </c>
      <c r="L16" s="15">
        <f>SUMPRODUCT(C16:J16,Returns!B20:I20)/K16</f>
        <v>1.7968320316395021E-2</v>
      </c>
      <c r="M16" s="15">
        <v>0</v>
      </c>
      <c r="N16" s="15">
        <v>0</v>
      </c>
      <c r="O16" s="15">
        <f t="shared" si="1"/>
        <v>1.7968320316395021E-2</v>
      </c>
      <c r="P16" s="20">
        <f t="shared" si="3"/>
        <v>0.91883055252773227</v>
      </c>
      <c r="Q16" s="20">
        <f>MAX($P$5:P16)</f>
        <v>0.97897789792817125</v>
      </c>
      <c r="R16" s="15">
        <f t="shared" si="2"/>
        <v>-6.143892066177381E-2</v>
      </c>
      <c r="S16" s="15">
        <f>O16-Benchmark_RF!D16</f>
        <v>1.3268955404627098E-2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IF(Rankings!C23&lt;=3,1,0)</f>
        <v>0</v>
      </c>
      <c r="D17" s="16">
        <f>IF(Rankings!D23&lt;=3,1,0)</f>
        <v>0</v>
      </c>
      <c r="E17" s="16">
        <f>IF(Rankings!E23&lt;=3,1,0)</f>
        <v>0</v>
      </c>
      <c r="F17" s="16">
        <f>IF(Rankings!F23&lt;=3,1,0)</f>
        <v>1</v>
      </c>
      <c r="G17" s="16">
        <f>IF(Rankings!G23&lt;=3,1,0)</f>
        <v>0</v>
      </c>
      <c r="H17" s="16">
        <f>IF(Rankings!H23&lt;=3,1,0)</f>
        <v>0</v>
      </c>
      <c r="I17" s="16">
        <f>IF(Rankings!I23&lt;=3,1,0)</f>
        <v>1</v>
      </c>
      <c r="J17" s="16">
        <f>IF(Rankings!J23&lt;=3,1,0)</f>
        <v>1</v>
      </c>
      <c r="K17" s="19">
        <f t="shared" si="0"/>
        <v>3</v>
      </c>
      <c r="L17" s="15">
        <f>SUMPRODUCT(C17:J17,Returns!B21:I21)/K17</f>
        <v>2.6015089706861876E-2</v>
      </c>
      <c r="M17" s="15">
        <f>-2*Assumptions!$B$13</f>
        <v>-7.0000000000000001E-3</v>
      </c>
      <c r="N17" s="15">
        <f>-Assumptions!$B$16*MAX(0,(1+O14)*(1+O15)*(1+O16)-1)</f>
        <v>0</v>
      </c>
      <c r="O17" s="15">
        <f t="shared" si="1"/>
        <v>1.9015089706861877E-2</v>
      </c>
      <c r="P17" s="20">
        <f t="shared" si="3"/>
        <v>0.93630219790945257</v>
      </c>
      <c r="Q17" s="20">
        <f>MAX($P$5:P17)</f>
        <v>0.97897789792817125</v>
      </c>
      <c r="R17" s="15">
        <f t="shared" si="2"/>
        <v>-4.3592097542788255E-2</v>
      </c>
      <c r="S17" s="15">
        <f>O17-Benchmark_RF!D17</f>
        <v>1.425820477827482E-2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IF(Rankings!C23&lt;=3,1,0)</f>
        <v>0</v>
      </c>
      <c r="D18" s="16">
        <f>IF(Rankings!D23&lt;=3,1,0)</f>
        <v>0</v>
      </c>
      <c r="E18" s="16">
        <f>IF(Rankings!E23&lt;=3,1,0)</f>
        <v>0</v>
      </c>
      <c r="F18" s="16">
        <f>IF(Rankings!F23&lt;=3,1,0)</f>
        <v>1</v>
      </c>
      <c r="G18" s="16">
        <f>IF(Rankings!G23&lt;=3,1,0)</f>
        <v>0</v>
      </c>
      <c r="H18" s="16">
        <f>IF(Rankings!H23&lt;=3,1,0)</f>
        <v>0</v>
      </c>
      <c r="I18" s="16">
        <f>IF(Rankings!I23&lt;=3,1,0)</f>
        <v>1</v>
      </c>
      <c r="J18" s="16">
        <f>IF(Rankings!J23&lt;=3,1,0)</f>
        <v>1</v>
      </c>
      <c r="K18" s="19">
        <f t="shared" si="0"/>
        <v>3</v>
      </c>
      <c r="L18" s="15">
        <f>SUMPRODUCT(C18:J18,Returns!B22:I22)/K18</f>
        <v>0.19673546320902077</v>
      </c>
      <c r="M18" s="15">
        <v>0</v>
      </c>
      <c r="N18" s="15">
        <v>0</v>
      </c>
      <c r="O18" s="15">
        <f t="shared" si="1"/>
        <v>0.19673546320902077</v>
      </c>
      <c r="P18" s="20">
        <f t="shared" si="3"/>
        <v>1.1205060445187931</v>
      </c>
      <c r="Q18" s="20">
        <f>MAX($P$5:P18)</f>
        <v>1.1205060445187931</v>
      </c>
      <c r="R18" s="15">
        <f t="shared" si="2"/>
        <v>0</v>
      </c>
      <c r="S18" s="15">
        <f>O18-Benchmark_RF!D18</f>
        <v>0.19197857828043371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IF(Rankings!C23&lt;=3,1,0)</f>
        <v>0</v>
      </c>
      <c r="D19" s="16">
        <f>IF(Rankings!D23&lt;=3,1,0)</f>
        <v>0</v>
      </c>
      <c r="E19" s="16">
        <f>IF(Rankings!E23&lt;=3,1,0)</f>
        <v>0</v>
      </c>
      <c r="F19" s="16">
        <f>IF(Rankings!F23&lt;=3,1,0)</f>
        <v>1</v>
      </c>
      <c r="G19" s="16">
        <f>IF(Rankings!G23&lt;=3,1,0)</f>
        <v>0</v>
      </c>
      <c r="H19" s="16">
        <f>IF(Rankings!H23&lt;=3,1,0)</f>
        <v>0</v>
      </c>
      <c r="I19" s="16">
        <f>IF(Rankings!I23&lt;=3,1,0)</f>
        <v>1</v>
      </c>
      <c r="J19" s="16">
        <f>IF(Rankings!J23&lt;=3,1,0)</f>
        <v>1</v>
      </c>
      <c r="K19" s="19">
        <f t="shared" si="0"/>
        <v>3</v>
      </c>
      <c r="L19" s="15">
        <f>SUMPRODUCT(C19:J19,Returns!B23:I23)/K19</f>
        <v>7.9820788360964068E-2</v>
      </c>
      <c r="M19" s="15">
        <v>0</v>
      </c>
      <c r="N19" s="15">
        <v>0</v>
      </c>
      <c r="O19" s="15">
        <f t="shared" si="1"/>
        <v>7.9820788360964068E-2</v>
      </c>
      <c r="P19" s="20">
        <f t="shared" si="3"/>
        <v>1.2099457203555086</v>
      </c>
      <c r="Q19" s="20">
        <f>MAX($P$5:P19)</f>
        <v>1.2099457203555086</v>
      </c>
      <c r="R19" s="15">
        <f t="shared" si="2"/>
        <v>0</v>
      </c>
      <c r="S19" s="15">
        <f>O19-Benchmark_RF!D19</f>
        <v>7.5048085844821477E-2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IF(Rankings!C26&lt;=3,1,0)</f>
        <v>1</v>
      </c>
      <c r="D20" s="16">
        <f>IF(Rankings!D26&lt;=3,1,0)</f>
        <v>0</v>
      </c>
      <c r="E20" s="16">
        <f>IF(Rankings!E26&lt;=3,1,0)</f>
        <v>0</v>
      </c>
      <c r="F20" s="16">
        <f>IF(Rankings!F26&lt;=3,1,0)</f>
        <v>0</v>
      </c>
      <c r="G20" s="16">
        <f>IF(Rankings!G26&lt;=3,1,0)</f>
        <v>0</v>
      </c>
      <c r="H20" s="16">
        <f>IF(Rankings!H26&lt;=3,1,0)</f>
        <v>1</v>
      </c>
      <c r="I20" s="16">
        <f>IF(Rankings!I26&lt;=3,1,0)</f>
        <v>1</v>
      </c>
      <c r="J20" s="16">
        <f>IF(Rankings!J26&lt;=3,1,0)</f>
        <v>0</v>
      </c>
      <c r="K20" s="19">
        <f t="shared" si="0"/>
        <v>3</v>
      </c>
      <c r="L20" s="15">
        <f>SUMPRODUCT(C20:J20,Returns!B24:I24)/K20</f>
        <v>0.13867225452197199</v>
      </c>
      <c r="M20" s="15">
        <f>-2*Assumptions!$B$13</f>
        <v>-7.0000000000000001E-3</v>
      </c>
      <c r="N20" s="15">
        <f>-Assumptions!$B$16*MAX(0,(1+O17)*(1+O18)*(1+O19)-1)</f>
        <v>-4.7524840193914293E-2</v>
      </c>
      <c r="O20" s="15">
        <f t="shared" si="1"/>
        <v>8.4147414328057696E-2</v>
      </c>
      <c r="P20" s="20">
        <f t="shared" si="3"/>
        <v>1.3117595242007238</v>
      </c>
      <c r="Q20" s="20">
        <f>MAX($P$5:P20)</f>
        <v>1.3117595242007238</v>
      </c>
      <c r="R20" s="15">
        <f t="shared" si="2"/>
        <v>0</v>
      </c>
      <c r="S20" s="15">
        <f>O20-Benchmark_RF!D20</f>
        <v>7.9319371815519929E-2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IF(Rankings!C26&lt;=3,1,0)</f>
        <v>1</v>
      </c>
      <c r="D21" s="16">
        <f>IF(Rankings!D26&lt;=3,1,0)</f>
        <v>0</v>
      </c>
      <c r="E21" s="16">
        <f>IF(Rankings!E26&lt;=3,1,0)</f>
        <v>0</v>
      </c>
      <c r="F21" s="16">
        <f>IF(Rankings!F26&lt;=3,1,0)</f>
        <v>0</v>
      </c>
      <c r="G21" s="16">
        <f>IF(Rankings!G26&lt;=3,1,0)</f>
        <v>0</v>
      </c>
      <c r="H21" s="16">
        <f>IF(Rankings!H26&lt;=3,1,0)</f>
        <v>1</v>
      </c>
      <c r="I21" s="16">
        <f>IF(Rankings!I26&lt;=3,1,0)</f>
        <v>1</v>
      </c>
      <c r="J21" s="16">
        <f>IF(Rankings!J26&lt;=3,1,0)</f>
        <v>0</v>
      </c>
      <c r="K21" s="19">
        <f t="shared" si="0"/>
        <v>3</v>
      </c>
      <c r="L21" s="15">
        <f>SUMPRODUCT(C21:J21,Returns!B25:I25)/K21</f>
        <v>3.8016047956271927E-2</v>
      </c>
      <c r="M21" s="15">
        <v>0</v>
      </c>
      <c r="N21" s="15">
        <v>0</v>
      </c>
      <c r="O21" s="15">
        <f t="shared" si="1"/>
        <v>3.8016047956271927E-2</v>
      </c>
      <c r="P21" s="20">
        <f t="shared" si="3"/>
        <v>1.3616274371798349</v>
      </c>
      <c r="Q21" s="20">
        <f>MAX($P$5:P21)</f>
        <v>1.3616274371798349</v>
      </c>
      <c r="R21" s="15">
        <f t="shared" si="2"/>
        <v>0</v>
      </c>
      <c r="S21" s="15">
        <f>O21-Benchmark_RF!D21</f>
        <v>3.3176230256632334E-2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IF(Rankings!C26&lt;=3,1,0)</f>
        <v>1</v>
      </c>
      <c r="D22" s="16">
        <f>IF(Rankings!D26&lt;=3,1,0)</f>
        <v>0</v>
      </c>
      <c r="E22" s="16">
        <f>IF(Rankings!E26&lt;=3,1,0)</f>
        <v>0</v>
      </c>
      <c r="F22" s="16">
        <f>IF(Rankings!F26&lt;=3,1,0)</f>
        <v>0</v>
      </c>
      <c r="G22" s="16">
        <f>IF(Rankings!G26&lt;=3,1,0)</f>
        <v>0</v>
      </c>
      <c r="H22" s="16">
        <f>IF(Rankings!H26&lt;=3,1,0)</f>
        <v>1</v>
      </c>
      <c r="I22" s="16">
        <f>IF(Rankings!I26&lt;=3,1,0)</f>
        <v>1</v>
      </c>
      <c r="J22" s="16">
        <f>IF(Rankings!J26&lt;=3,1,0)</f>
        <v>0</v>
      </c>
      <c r="K22" s="19">
        <f t="shared" si="0"/>
        <v>3</v>
      </c>
      <c r="L22" s="15">
        <f>SUMPRODUCT(C22:J22,Returns!B26:I26)/K22</f>
        <v>1.5570401473395834E-2</v>
      </c>
      <c r="M22" s="15">
        <v>0</v>
      </c>
      <c r="N22" s="15">
        <v>0</v>
      </c>
      <c r="O22" s="15">
        <f t="shared" si="1"/>
        <v>1.5570401473395834E-2</v>
      </c>
      <c r="P22" s="20">
        <f t="shared" si="3"/>
        <v>1.3828285230339159</v>
      </c>
      <c r="Q22" s="20">
        <f>MAX($P$5:P22)</f>
        <v>1.3828285230339159</v>
      </c>
      <c r="R22" s="15">
        <f t="shared" si="2"/>
        <v>0</v>
      </c>
      <c r="S22" s="15">
        <f>O22-Benchmark_RF!D22</f>
        <v>1.0796038269450858E-2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IF(Rankings!C29&lt;=3,1,0)</f>
        <v>1</v>
      </c>
      <c r="D23" s="16">
        <f>IF(Rankings!D29&lt;=3,1,0)</f>
        <v>0</v>
      </c>
      <c r="E23" s="16">
        <f>IF(Rankings!E29&lt;=3,1,0)</f>
        <v>0</v>
      </c>
      <c r="F23" s="16">
        <f>IF(Rankings!F29&lt;=3,1,0)</f>
        <v>0</v>
      </c>
      <c r="G23" s="16">
        <f>IF(Rankings!G29&lt;=3,1,0)</f>
        <v>0</v>
      </c>
      <c r="H23" s="16">
        <f>IF(Rankings!H29&lt;=3,1,0)</f>
        <v>1</v>
      </c>
      <c r="I23" s="16">
        <f>IF(Rankings!I29&lt;=3,1,0)</f>
        <v>1</v>
      </c>
      <c r="J23" s="16">
        <f>IF(Rankings!J29&lt;=3,1,0)</f>
        <v>0</v>
      </c>
      <c r="K23" s="19">
        <f t="shared" si="0"/>
        <v>3</v>
      </c>
      <c r="L23" s="15">
        <f>SUMPRODUCT(C23:J23,Returns!B27:I27)/K23</f>
        <v>-3.864719523133834E-2</v>
      </c>
      <c r="M23" s="15">
        <f>-2*Assumptions!$B$13</f>
        <v>-7.0000000000000001E-3</v>
      </c>
      <c r="N23" s="15">
        <f>-Assumptions!$B$16*MAX(0,(1+O20)*(1+O21)*(1+O22)-1)</f>
        <v>-2.1432713852768147E-2</v>
      </c>
      <c r="O23" s="15">
        <f t="shared" si="1"/>
        <v>-6.7079909084106493E-2</v>
      </c>
      <c r="P23" s="20">
        <f t="shared" si="3"/>
        <v>1.2900685114298915</v>
      </c>
      <c r="Q23" s="20">
        <f>MAX($P$5:P23)</f>
        <v>1.3828285230339159</v>
      </c>
      <c r="R23" s="15">
        <f t="shared" si="2"/>
        <v>-6.7079909084106548E-2</v>
      </c>
      <c r="S23" s="15">
        <f>O23-Benchmark_RF!D23</f>
        <v>-7.1901391605909193E-2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IF(Rankings!C29&lt;=3,1,0)</f>
        <v>1</v>
      </c>
      <c r="D24" s="16">
        <f>IF(Rankings!D29&lt;=3,1,0)</f>
        <v>0</v>
      </c>
      <c r="E24" s="16">
        <f>IF(Rankings!E29&lt;=3,1,0)</f>
        <v>0</v>
      </c>
      <c r="F24" s="16">
        <f>IF(Rankings!F29&lt;=3,1,0)</f>
        <v>0</v>
      </c>
      <c r="G24" s="16">
        <f>IF(Rankings!G29&lt;=3,1,0)</f>
        <v>0</v>
      </c>
      <c r="H24" s="16">
        <f>IF(Rankings!H29&lt;=3,1,0)</f>
        <v>1</v>
      </c>
      <c r="I24" s="16">
        <f>IF(Rankings!I29&lt;=3,1,0)</f>
        <v>1</v>
      </c>
      <c r="J24" s="16">
        <f>IF(Rankings!J29&lt;=3,1,0)</f>
        <v>0</v>
      </c>
      <c r="K24" s="19">
        <f t="shared" si="0"/>
        <v>3</v>
      </c>
      <c r="L24" s="15">
        <f>SUMPRODUCT(C24:J24,Returns!B28:I28)/K24</f>
        <v>-2.0909106477317141E-2</v>
      </c>
      <c r="M24" s="15">
        <v>0</v>
      </c>
      <c r="N24" s="15">
        <v>0</v>
      </c>
      <c r="O24" s="15">
        <f t="shared" si="1"/>
        <v>-2.0909106477317141E-2</v>
      </c>
      <c r="P24" s="20">
        <f t="shared" si="3"/>
        <v>1.2630943315613699</v>
      </c>
      <c r="Q24" s="20">
        <f>MAX($P$5:P24)</f>
        <v>1.3828285230339159</v>
      </c>
      <c r="R24" s="15">
        <f t="shared" si="2"/>
        <v>-8.6586434599895346E-2</v>
      </c>
      <c r="S24" s="15">
        <f>O24-Benchmark_RF!D24</f>
        <v>-2.5754376601788809E-2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IF(Rankings!C29&lt;=3,1,0)</f>
        <v>1</v>
      </c>
      <c r="D25" s="16">
        <f>IF(Rankings!D29&lt;=3,1,0)</f>
        <v>0</v>
      </c>
      <c r="E25" s="16">
        <f>IF(Rankings!E29&lt;=3,1,0)</f>
        <v>0</v>
      </c>
      <c r="F25" s="16">
        <f>IF(Rankings!F29&lt;=3,1,0)</f>
        <v>0</v>
      </c>
      <c r="G25" s="16">
        <f>IF(Rankings!G29&lt;=3,1,0)</f>
        <v>0</v>
      </c>
      <c r="H25" s="16">
        <f>IF(Rankings!H29&lt;=3,1,0)</f>
        <v>1</v>
      </c>
      <c r="I25" s="16">
        <f>IF(Rankings!I29&lt;=3,1,0)</f>
        <v>1</v>
      </c>
      <c r="J25" s="16">
        <f>IF(Rankings!J29&lt;=3,1,0)</f>
        <v>0</v>
      </c>
      <c r="K25" s="19">
        <f t="shared" si="0"/>
        <v>3</v>
      </c>
      <c r="L25" s="15">
        <f>SUMPRODUCT(C25:J25,Returns!B29:I29)/K25</f>
        <v>8.3260277049750739E-2</v>
      </c>
      <c r="M25" s="15">
        <v>0</v>
      </c>
      <c r="N25" s="15">
        <v>0</v>
      </c>
      <c r="O25" s="15">
        <f t="shared" si="1"/>
        <v>8.3260277049750739E-2</v>
      </c>
      <c r="P25" s="20">
        <f t="shared" si="3"/>
        <v>1.3682599155471393</v>
      </c>
      <c r="Q25" s="20">
        <f>MAX($P$5:P25)</f>
        <v>1.3828285230339159</v>
      </c>
      <c r="R25" s="15">
        <f t="shared" si="2"/>
        <v>-1.053536808368194E-2</v>
      </c>
      <c r="S25" s="15">
        <f>O25-Benchmark_RF!D25</f>
        <v>7.8404498096995498E-2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IF(Rankings!C32&lt;=3,1,0)</f>
        <v>1</v>
      </c>
      <c r="D26" s="16">
        <f>IF(Rankings!D32&lt;=3,1,0)</f>
        <v>0</v>
      </c>
      <c r="E26" s="16">
        <f>IF(Rankings!E32&lt;=3,1,0)</f>
        <v>0</v>
      </c>
      <c r="F26" s="16">
        <f>IF(Rankings!F32&lt;=3,1,0)</f>
        <v>0</v>
      </c>
      <c r="G26" s="16">
        <f>IF(Rankings!G32&lt;=3,1,0)</f>
        <v>0</v>
      </c>
      <c r="H26" s="16">
        <f>IF(Rankings!H32&lt;=3,1,0)</f>
        <v>1</v>
      </c>
      <c r="I26" s="16">
        <f>IF(Rankings!I32&lt;=3,1,0)</f>
        <v>1</v>
      </c>
      <c r="J26" s="16">
        <f>IF(Rankings!J32&lt;=3,1,0)</f>
        <v>0</v>
      </c>
      <c r="K26" s="19">
        <f t="shared" si="0"/>
        <v>3</v>
      </c>
      <c r="L26" s="15">
        <f>SUMPRODUCT(C26:J26,Returns!B30:I30)/K26</f>
        <v>0.28867311275915647</v>
      </c>
      <c r="M26" s="15">
        <f>-2*Assumptions!$B$13</f>
        <v>-7.0000000000000001E-3</v>
      </c>
      <c r="N26" s="15">
        <f>-Assumptions!$B$16*MAX(0,(1+O23)*(1+O24)*(1+O25)-1)</f>
        <v>0</v>
      </c>
      <c r="O26" s="15">
        <f t="shared" si="1"/>
        <v>0.28167311275915646</v>
      </c>
      <c r="P26" s="20">
        <f t="shared" si="3"/>
        <v>1.7536619450228828</v>
      </c>
      <c r="Q26" s="20">
        <f>MAX($P$5:P26)</f>
        <v>1.7536619450228828</v>
      </c>
      <c r="R26" s="15">
        <f t="shared" si="2"/>
        <v>0</v>
      </c>
      <c r="S26" s="15">
        <f>O26-Benchmark_RF!D26</f>
        <v>0.27681733380640122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IF(Rankings!C32&lt;=3,1,0)</f>
        <v>1</v>
      </c>
      <c r="D27" s="16">
        <f>IF(Rankings!D32&lt;=3,1,0)</f>
        <v>0</v>
      </c>
      <c r="E27" s="16">
        <f>IF(Rankings!E32&lt;=3,1,0)</f>
        <v>0</v>
      </c>
      <c r="F27" s="16">
        <f>IF(Rankings!F32&lt;=3,1,0)</f>
        <v>0</v>
      </c>
      <c r="G27" s="16">
        <f>IF(Rankings!G32&lt;=3,1,0)</f>
        <v>0</v>
      </c>
      <c r="H27" s="16">
        <f>IF(Rankings!H32&lt;=3,1,0)</f>
        <v>1</v>
      </c>
      <c r="I27" s="16">
        <f>IF(Rankings!I32&lt;=3,1,0)</f>
        <v>1</v>
      </c>
      <c r="J27" s="16">
        <f>IF(Rankings!J32&lt;=3,1,0)</f>
        <v>0</v>
      </c>
      <c r="K27" s="19">
        <f t="shared" si="0"/>
        <v>3</v>
      </c>
      <c r="L27" s="15">
        <f>SUMPRODUCT(C27:J27,Returns!B31:I31)/K27</f>
        <v>-2.4606894394582821E-3</v>
      </c>
      <c r="M27" s="15">
        <v>0</v>
      </c>
      <c r="N27" s="15">
        <v>0</v>
      </c>
      <c r="O27" s="15">
        <f t="shared" si="1"/>
        <v>-2.4606894394582821E-3</v>
      </c>
      <c r="P27" s="20">
        <f t="shared" si="3"/>
        <v>1.749346727594385</v>
      </c>
      <c r="Q27" s="20">
        <f>MAX($P$5:P27)</f>
        <v>1.7536619450228828</v>
      </c>
      <c r="R27" s="15">
        <f t="shared" si="2"/>
        <v>-2.460689439458319E-3</v>
      </c>
      <c r="S27" s="15">
        <f>O27-Benchmark_RF!D27</f>
        <v>-7.3211298161890061E-3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IF(Rankings!C32&lt;=3,1,0)</f>
        <v>1</v>
      </c>
      <c r="D28" s="16">
        <f>IF(Rankings!D32&lt;=3,1,0)</f>
        <v>0</v>
      </c>
      <c r="E28" s="16">
        <f>IF(Rankings!E32&lt;=3,1,0)</f>
        <v>0</v>
      </c>
      <c r="F28" s="16">
        <f>IF(Rankings!F32&lt;=3,1,0)</f>
        <v>0</v>
      </c>
      <c r="G28" s="16">
        <f>IF(Rankings!G32&lt;=3,1,0)</f>
        <v>0</v>
      </c>
      <c r="H28" s="16">
        <f>IF(Rankings!H32&lt;=3,1,0)</f>
        <v>1</v>
      </c>
      <c r="I28" s="16">
        <f>IF(Rankings!I32&lt;=3,1,0)</f>
        <v>1</v>
      </c>
      <c r="J28" s="16">
        <f>IF(Rankings!J32&lt;=3,1,0)</f>
        <v>0</v>
      </c>
      <c r="K28" s="19">
        <f t="shared" si="0"/>
        <v>3</v>
      </c>
      <c r="L28" s="15">
        <f>SUMPRODUCT(C28:J28,Returns!B32:I32)/K28</f>
        <v>-3.0641897580509319E-2</v>
      </c>
      <c r="M28" s="15">
        <v>0</v>
      </c>
      <c r="N28" s="15">
        <v>0</v>
      </c>
      <c r="O28" s="15">
        <f t="shared" si="1"/>
        <v>-3.0641897580509319E-2</v>
      </c>
      <c r="P28" s="20">
        <f t="shared" si="3"/>
        <v>1.6957434243346388</v>
      </c>
      <c r="Q28" s="20">
        <f>MAX($P$5:P28)</f>
        <v>1.7536619450228828</v>
      </c>
      <c r="R28" s="15">
        <f t="shared" si="2"/>
        <v>-3.3027186826186328E-2</v>
      </c>
      <c r="S28" s="15">
        <f>O28-Benchmark_RF!D28</f>
        <v>-3.5502258952035667E-2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IF(Rankings!C35&lt;=3,1,0)</f>
        <v>1</v>
      </c>
      <c r="D29" s="16">
        <f>IF(Rankings!D35&lt;=3,1,0)</f>
        <v>0</v>
      </c>
      <c r="E29" s="16">
        <f>IF(Rankings!E35&lt;=3,1,0)</f>
        <v>0</v>
      </c>
      <c r="F29" s="16">
        <f>IF(Rankings!F35&lt;=3,1,0)</f>
        <v>0</v>
      </c>
      <c r="G29" s="16">
        <f>IF(Rankings!G35&lt;=3,1,0)</f>
        <v>0</v>
      </c>
      <c r="H29" s="16">
        <f>IF(Rankings!H35&lt;=3,1,0)</f>
        <v>1</v>
      </c>
      <c r="I29" s="16">
        <f>IF(Rankings!I35&lt;=3,1,0)</f>
        <v>1</v>
      </c>
      <c r="J29" s="16">
        <f>IF(Rankings!J35&lt;=3,1,0)</f>
        <v>0</v>
      </c>
      <c r="K29" s="19">
        <f t="shared" si="0"/>
        <v>3</v>
      </c>
      <c r="L29" s="15">
        <f>SUMPRODUCT(C29:J29,Returns!B33:I33)/K29</f>
        <v>-0.17446914904849062</v>
      </c>
      <c r="M29" s="15">
        <f>-2*Assumptions!$B$13</f>
        <v>-7.0000000000000001E-3</v>
      </c>
      <c r="N29" s="15">
        <f>-Assumptions!$B$16*MAX(0,(1+O26)*(1+O27)*(1+O28)-1)</f>
        <v>-3.5901458312094021E-2</v>
      </c>
      <c r="O29" s="15">
        <f t="shared" si="1"/>
        <v>-0.21737060736058464</v>
      </c>
      <c r="P29" s="20">
        <f t="shared" si="3"/>
        <v>1.3271386462593007</v>
      </c>
      <c r="Q29" s="20">
        <f>MAX($P$5:P29)</f>
        <v>1.7536619450228828</v>
      </c>
      <c r="R29" s="15">
        <f t="shared" si="2"/>
        <v>-0.24321865452695135</v>
      </c>
      <c r="S29" s="15">
        <f>O29-Benchmark_RF!D29</f>
        <v>-0.22223041569376675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IF(Rankings!C35&lt;=3,1,0)</f>
        <v>1</v>
      </c>
      <c r="D30" s="16">
        <f>IF(Rankings!D35&lt;=3,1,0)</f>
        <v>0</v>
      </c>
      <c r="E30" s="16">
        <f>IF(Rankings!E35&lt;=3,1,0)</f>
        <v>0</v>
      </c>
      <c r="F30" s="16">
        <f>IF(Rankings!F35&lt;=3,1,0)</f>
        <v>0</v>
      </c>
      <c r="G30" s="16">
        <f>IF(Rankings!G35&lt;=3,1,0)</f>
        <v>0</v>
      </c>
      <c r="H30" s="16">
        <f>IF(Rankings!H35&lt;=3,1,0)</f>
        <v>1</v>
      </c>
      <c r="I30" s="16">
        <f>IF(Rankings!I35&lt;=3,1,0)</f>
        <v>1</v>
      </c>
      <c r="J30" s="16">
        <f>IF(Rankings!J35&lt;=3,1,0)</f>
        <v>0</v>
      </c>
      <c r="K30" s="19">
        <f t="shared" si="0"/>
        <v>3</v>
      </c>
      <c r="L30" s="15">
        <f>SUMPRODUCT(C30:J30,Returns!B34:I34)/K30</f>
        <v>8.5444400034088888E-2</v>
      </c>
      <c r="M30" s="15">
        <v>0</v>
      </c>
      <c r="N30" s="15">
        <v>0</v>
      </c>
      <c r="O30" s="15">
        <f t="shared" si="1"/>
        <v>8.5444400034088888E-2</v>
      </c>
      <c r="P30" s="20">
        <f t="shared" si="3"/>
        <v>1.4405352116509795</v>
      </c>
      <c r="Q30" s="20">
        <f>MAX($P$5:P30)</f>
        <v>1.7536619450228828</v>
      </c>
      <c r="R30" s="15">
        <f t="shared" si="2"/>
        <v>-0.17855592650601615</v>
      </c>
      <c r="S30" s="15">
        <f>O30-Benchmark_RF!D30</f>
        <v>8.0583959657358165E-2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IF(Rankings!C35&lt;=3,1,0)</f>
        <v>1</v>
      </c>
      <c r="D31" s="16">
        <f>IF(Rankings!D35&lt;=3,1,0)</f>
        <v>0</v>
      </c>
      <c r="E31" s="16">
        <f>IF(Rankings!E35&lt;=3,1,0)</f>
        <v>0</v>
      </c>
      <c r="F31" s="16">
        <f>IF(Rankings!F35&lt;=3,1,0)</f>
        <v>0</v>
      </c>
      <c r="G31" s="16">
        <f>IF(Rankings!G35&lt;=3,1,0)</f>
        <v>0</v>
      </c>
      <c r="H31" s="16">
        <f>IF(Rankings!H35&lt;=3,1,0)</f>
        <v>1</v>
      </c>
      <c r="I31" s="16">
        <f>IF(Rankings!I35&lt;=3,1,0)</f>
        <v>1</v>
      </c>
      <c r="J31" s="16">
        <f>IF(Rankings!J35&lt;=3,1,0)</f>
        <v>0</v>
      </c>
      <c r="K31" s="19">
        <f t="shared" si="0"/>
        <v>3</v>
      </c>
      <c r="L31" s="15">
        <f>SUMPRODUCT(C31:J31,Returns!B35:I35)/K31</f>
        <v>-4.1785128012031159E-2</v>
      </c>
      <c r="M31" s="15">
        <v>0</v>
      </c>
      <c r="N31" s="15">
        <v>0</v>
      </c>
      <c r="O31" s="15">
        <f t="shared" si="1"/>
        <v>-4.1785128012031159E-2</v>
      </c>
      <c r="P31" s="20">
        <f t="shared" si="3"/>
        <v>1.3803422634263049</v>
      </c>
      <c r="Q31" s="20">
        <f>MAX($P$5:P31)</f>
        <v>1.7536619450228828</v>
      </c>
      <c r="R31" s="15">
        <f t="shared" si="2"/>
        <v>-0.21288007227168659</v>
      </c>
      <c r="S31" s="15">
        <f>O31-Benchmark_RF!D31</f>
        <v>-4.6645568388761882E-2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IF(Rankings!C38&lt;=3,1,0)</f>
        <v>0</v>
      </c>
      <c r="D32" s="16">
        <f>IF(Rankings!D38&lt;=3,1,0)</f>
        <v>1</v>
      </c>
      <c r="E32" s="16">
        <f>IF(Rankings!E38&lt;=3,1,0)</f>
        <v>1</v>
      </c>
      <c r="F32" s="16">
        <f>IF(Rankings!F38&lt;=3,1,0)</f>
        <v>0</v>
      </c>
      <c r="G32" s="16">
        <f>IF(Rankings!G38&lt;=3,1,0)</f>
        <v>0</v>
      </c>
      <c r="H32" s="16">
        <f>IF(Rankings!H38&lt;=3,1,0)</f>
        <v>1</v>
      </c>
      <c r="I32" s="16">
        <f>IF(Rankings!I38&lt;=3,1,0)</f>
        <v>0</v>
      </c>
      <c r="J32" s="16">
        <f>IF(Rankings!J38&lt;=3,1,0)</f>
        <v>0</v>
      </c>
      <c r="K32" s="19">
        <f t="shared" si="0"/>
        <v>3</v>
      </c>
      <c r="L32" s="15">
        <f>SUMPRODUCT(C32:J32,Returns!B36:I36)/K32</f>
        <v>1.3394593303012256E-2</v>
      </c>
      <c r="M32" s="15">
        <f>-2*Assumptions!$B$13</f>
        <v>-7.0000000000000001E-3</v>
      </c>
      <c r="N32" s="15">
        <f>-Assumptions!$B$16*MAX(0,(1+O29)*(1+O30)*(1+O31)-1)</f>
        <v>0</v>
      </c>
      <c r="O32" s="15">
        <f t="shared" si="1"/>
        <v>6.3945933030122555E-3</v>
      </c>
      <c r="P32" s="20">
        <f t="shared" si="3"/>
        <v>1.3891689908198757</v>
      </c>
      <c r="Q32" s="20">
        <f>MAX($P$5:P32)</f>
        <v>1.7536619450228828</v>
      </c>
      <c r="R32" s="15">
        <f t="shared" si="2"/>
        <v>-0.20784676045316763</v>
      </c>
      <c r="S32" s="15">
        <f>O32-Benchmark_RF!D32</f>
        <v>1.5342319314859106E-3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IF(Rankings!C38&lt;=3,1,0)</f>
        <v>0</v>
      </c>
      <c r="D33" s="16">
        <f>IF(Rankings!D38&lt;=3,1,0)</f>
        <v>1</v>
      </c>
      <c r="E33" s="16">
        <f>IF(Rankings!E38&lt;=3,1,0)</f>
        <v>1</v>
      </c>
      <c r="F33" s="16">
        <f>IF(Rankings!F38&lt;=3,1,0)</f>
        <v>0</v>
      </c>
      <c r="G33" s="16">
        <f>IF(Rankings!G38&lt;=3,1,0)</f>
        <v>0</v>
      </c>
      <c r="H33" s="16">
        <f>IF(Rankings!H38&lt;=3,1,0)</f>
        <v>1</v>
      </c>
      <c r="I33" s="16">
        <f>IF(Rankings!I38&lt;=3,1,0)</f>
        <v>0</v>
      </c>
      <c r="J33" s="16">
        <f>IF(Rankings!J38&lt;=3,1,0)</f>
        <v>0</v>
      </c>
      <c r="K33" s="19">
        <f t="shared" si="0"/>
        <v>3</v>
      </c>
      <c r="L33" s="15">
        <f>SUMPRODUCT(C33:J33,Returns!B37:I37)/K33</f>
        <v>7.3692710461431554E-3</v>
      </c>
      <c r="M33" s="15">
        <v>0</v>
      </c>
      <c r="N33" s="15">
        <v>0</v>
      </c>
      <c r="O33" s="15">
        <f t="shared" si="1"/>
        <v>7.3692710461431554E-3</v>
      </c>
      <c r="P33" s="20">
        <f t="shared" si="3"/>
        <v>1.3994061536421243</v>
      </c>
      <c r="Q33" s="20">
        <f>MAX($P$5:P33)</f>
        <v>1.7536619450228828</v>
      </c>
      <c r="R33" s="15">
        <f t="shared" si="2"/>
        <v>-0.2020091685208667</v>
      </c>
      <c r="S33" s="15">
        <f>O33-Benchmark_RF!D33</f>
        <v>2.5088306694124318E-3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IF(Rankings!C38&lt;=3,1,0)</f>
        <v>0</v>
      </c>
      <c r="D34" s="16">
        <f>IF(Rankings!D38&lt;=3,1,0)</f>
        <v>1</v>
      </c>
      <c r="E34" s="16">
        <f>IF(Rankings!E38&lt;=3,1,0)</f>
        <v>1</v>
      </c>
      <c r="F34" s="16">
        <f>IF(Rankings!F38&lt;=3,1,0)</f>
        <v>0</v>
      </c>
      <c r="G34" s="16">
        <f>IF(Rankings!G38&lt;=3,1,0)</f>
        <v>0</v>
      </c>
      <c r="H34" s="16">
        <f>IF(Rankings!H38&lt;=3,1,0)</f>
        <v>1</v>
      </c>
      <c r="I34" s="16">
        <f>IF(Rankings!I38&lt;=3,1,0)</f>
        <v>0</v>
      </c>
      <c r="J34" s="16">
        <f>IF(Rankings!J38&lt;=3,1,0)</f>
        <v>0</v>
      </c>
      <c r="K34" s="19">
        <f t="shared" si="0"/>
        <v>3</v>
      </c>
      <c r="L34" s="15">
        <f>SUMPRODUCT(C34:J34,Returns!B38:I38)/K34</f>
        <v>0.10346073722543607</v>
      </c>
      <c r="M34" s="15">
        <v>0</v>
      </c>
      <c r="N34" s="15">
        <v>0</v>
      </c>
      <c r="O34" s="15">
        <f t="shared" si="1"/>
        <v>0.10346073722543607</v>
      </c>
      <c r="P34" s="20">
        <f t="shared" si="3"/>
        <v>1.5441897459757503</v>
      </c>
      <c r="Q34" s="20">
        <f>MAX($P$5:P34)</f>
        <v>1.7536619450228828</v>
      </c>
      <c r="R34" s="15">
        <f t="shared" si="2"/>
        <v>-0.11944844879689687</v>
      </c>
      <c r="S34" s="15">
        <f>O34-Benchmark_RF!D34</f>
        <v>9.8435325086599842E-2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IF(Rankings!C41&lt;=3,1,0)</f>
        <v>0</v>
      </c>
      <c r="D35" s="16">
        <f>IF(Rankings!D41&lt;=3,1,0)</f>
        <v>1</v>
      </c>
      <c r="E35" s="16">
        <f>IF(Rankings!E41&lt;=3,1,0)</f>
        <v>1</v>
      </c>
      <c r="F35" s="16">
        <f>IF(Rankings!F41&lt;=3,1,0)</f>
        <v>0</v>
      </c>
      <c r="G35" s="16">
        <f>IF(Rankings!G41&lt;=3,1,0)</f>
        <v>1</v>
      </c>
      <c r="H35" s="16">
        <f>IF(Rankings!H41&lt;=3,1,0)</f>
        <v>0</v>
      </c>
      <c r="I35" s="16">
        <f>IF(Rankings!I41&lt;=3,1,0)</f>
        <v>0</v>
      </c>
      <c r="J35" s="16">
        <f>IF(Rankings!J41&lt;=3,1,0)</f>
        <v>0</v>
      </c>
      <c r="K35" s="19">
        <f t="shared" si="0"/>
        <v>3</v>
      </c>
      <c r="L35" s="15">
        <f>SUMPRODUCT(C35:J35,Returns!B39:I39)/K35</f>
        <v>-1.8469609027310468E-2</v>
      </c>
      <c r="M35" s="15">
        <f>-2*Assumptions!$B$13</f>
        <v>-7.0000000000000001E-3</v>
      </c>
      <c r="N35" s="15">
        <f>-Assumptions!$B$16*MAX(0,(1+O32)*(1+O33)*(1+O34)-1)</f>
        <v>-1.7805093007448113E-2</v>
      </c>
      <c r="O35" s="15">
        <f t="shared" si="1"/>
        <v>-4.3274702034758583E-2</v>
      </c>
      <c r="P35" s="20">
        <f t="shared" si="3"/>
        <v>1.4773653948335201</v>
      </c>
      <c r="Q35" s="20">
        <f>MAX($P$5:P35)</f>
        <v>1.7536619450228828</v>
      </c>
      <c r="R35" s="15">
        <f t="shared" si="2"/>
        <v>-0.15755405480145568</v>
      </c>
      <c r="S35" s="15">
        <f>O35-Benchmark_RF!D35</f>
        <v>-4.832550441363348E-2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IF(Rankings!C41&lt;=3,1,0)</f>
        <v>0</v>
      </c>
      <c r="D36" s="16">
        <f>IF(Rankings!D41&lt;=3,1,0)</f>
        <v>1</v>
      </c>
      <c r="E36" s="16">
        <f>IF(Rankings!E41&lt;=3,1,0)</f>
        <v>1</v>
      </c>
      <c r="F36" s="16">
        <f>IF(Rankings!F41&lt;=3,1,0)</f>
        <v>0</v>
      </c>
      <c r="G36" s="16">
        <f>IF(Rankings!G41&lt;=3,1,0)</f>
        <v>1</v>
      </c>
      <c r="H36" s="16">
        <f>IF(Rankings!H41&lt;=3,1,0)</f>
        <v>0</v>
      </c>
      <c r="I36" s="16">
        <f>IF(Rankings!I41&lt;=3,1,0)</f>
        <v>0</v>
      </c>
      <c r="J36" s="16">
        <f>IF(Rankings!J41&lt;=3,1,0)</f>
        <v>0</v>
      </c>
      <c r="K36" s="19">
        <f t="shared" si="0"/>
        <v>3</v>
      </c>
      <c r="L36" s="15">
        <f>SUMPRODUCT(C36:J36,Returns!B40:I40)/K36</f>
        <v>6.7956287330574058E-2</v>
      </c>
      <c r="M36" s="15">
        <v>0</v>
      </c>
      <c r="N36" s="15">
        <v>0</v>
      </c>
      <c r="O36" s="15">
        <f t="shared" si="1"/>
        <v>6.7956287330574058E-2</v>
      </c>
      <c r="P36" s="20">
        <f t="shared" si="3"/>
        <v>1.577761662097074</v>
      </c>
      <c r="Q36" s="20">
        <f>MAX($P$5:P36)</f>
        <v>1.7536619450228828</v>
      </c>
      <c r="R36" s="15">
        <f t="shared" si="2"/>
        <v>-0.10030455608906619</v>
      </c>
      <c r="S36" s="15">
        <f>O36-Benchmark_RF!D36</f>
        <v>6.2884279258458894E-2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IF(Rankings!C41&lt;=3,1,0)</f>
        <v>0</v>
      </c>
      <c r="D37" s="16">
        <f>IF(Rankings!D41&lt;=3,1,0)</f>
        <v>1</v>
      </c>
      <c r="E37" s="16">
        <f>IF(Rankings!E41&lt;=3,1,0)</f>
        <v>1</v>
      </c>
      <c r="F37" s="16">
        <f>IF(Rankings!F41&lt;=3,1,0)</f>
        <v>0</v>
      </c>
      <c r="G37" s="16">
        <f>IF(Rankings!G41&lt;=3,1,0)</f>
        <v>1</v>
      </c>
      <c r="H37" s="16">
        <f>IF(Rankings!H41&lt;=3,1,0)</f>
        <v>0</v>
      </c>
      <c r="I37" s="16">
        <f>IF(Rankings!I41&lt;=3,1,0)</f>
        <v>0</v>
      </c>
      <c r="J37" s="16">
        <f>IF(Rankings!J41&lt;=3,1,0)</f>
        <v>0</v>
      </c>
      <c r="K37" s="19">
        <f t="shared" ref="K37:K68" si="4">SUM(C37:J37)</f>
        <v>3</v>
      </c>
      <c r="L37" s="15">
        <f>SUMPRODUCT(C37:J37,Returns!B41:I41)/K37</f>
        <v>-2.9422648896840764E-3</v>
      </c>
      <c r="M37" s="15">
        <v>0</v>
      </c>
      <c r="N37" s="15">
        <v>0</v>
      </c>
      <c r="O37" s="15">
        <f t="shared" ref="O37:O68" si="5">L37+M37+N37</f>
        <v>-2.9422648896840764E-3</v>
      </c>
      <c r="P37" s="20">
        <f t="shared" si="3"/>
        <v>1.5731194693543962</v>
      </c>
      <c r="Q37" s="20">
        <f>MAX($P$5:P37)</f>
        <v>1.7536619450228828</v>
      </c>
      <c r="R37" s="15">
        <f t="shared" ref="R37:R68" si="6">P37/Q37-1</f>
        <v>-0.10295169840509411</v>
      </c>
      <c r="S37" s="15">
        <f>O37-Benchmark_RF!D37</f>
        <v>-7.9967727073574357E-3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IF(Rankings!C44&lt;=3,1,0)</f>
        <v>0</v>
      </c>
      <c r="D38" s="16">
        <f>IF(Rankings!D44&lt;=3,1,0)</f>
        <v>0</v>
      </c>
      <c r="E38" s="16">
        <f>IF(Rankings!E44&lt;=3,1,0)</f>
        <v>0</v>
      </c>
      <c r="F38" s="16">
        <f>IF(Rankings!F44&lt;=3,1,0)</f>
        <v>1</v>
      </c>
      <c r="G38" s="16">
        <f>IF(Rankings!G44&lt;=3,1,0)</f>
        <v>1</v>
      </c>
      <c r="H38" s="16">
        <f>IF(Rankings!H44&lt;=3,1,0)</f>
        <v>1</v>
      </c>
      <c r="I38" s="16">
        <f>IF(Rankings!I44&lt;=3,1,0)</f>
        <v>0</v>
      </c>
      <c r="J38" s="16">
        <f>IF(Rankings!J44&lt;=3,1,0)</f>
        <v>0</v>
      </c>
      <c r="K38" s="19">
        <f t="shared" si="4"/>
        <v>3</v>
      </c>
      <c r="L38" s="15">
        <f>SUMPRODUCT(C38:J38,Returns!B42:I42)/K38</f>
        <v>-6.8409434265920235E-2</v>
      </c>
      <c r="M38" s="15">
        <f>-2*Assumptions!$B$13</f>
        <v>-7.0000000000000001E-3</v>
      </c>
      <c r="N38" s="15">
        <f>-Assumptions!$B$16*MAX(0,(1+O35)*(1+O36)*(1+O37)-1)</f>
        <v>-2.810184770431079E-3</v>
      </c>
      <c r="O38" s="15">
        <f t="shared" si="5"/>
        <v>-7.8219619036351315E-2</v>
      </c>
      <c r="P38" s="20">
        <f t="shared" ref="P38:P69" si="7">P37*(1+O38)</f>
        <v>1.4500706637628282</v>
      </c>
      <c r="Q38" s="20">
        <f>MAX($P$5:P38)</f>
        <v>1.7536619450228828</v>
      </c>
      <c r="R38" s="15">
        <f t="shared" si="6"/>
        <v>-0.17311847481305365</v>
      </c>
      <c r="S38" s="15">
        <f>O38-Benchmark_RF!D38</f>
        <v>-8.3291154172685275E-2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IF(Rankings!C44&lt;=3,1,0)</f>
        <v>0</v>
      </c>
      <c r="D39" s="16">
        <f>IF(Rankings!D44&lt;=3,1,0)</f>
        <v>0</v>
      </c>
      <c r="E39" s="16">
        <f>IF(Rankings!E44&lt;=3,1,0)</f>
        <v>0</v>
      </c>
      <c r="F39" s="16">
        <f>IF(Rankings!F44&lt;=3,1,0)</f>
        <v>1</v>
      </c>
      <c r="G39" s="16">
        <f>IF(Rankings!G44&lt;=3,1,0)</f>
        <v>1</v>
      </c>
      <c r="H39" s="16">
        <f>IF(Rankings!H44&lt;=3,1,0)</f>
        <v>1</v>
      </c>
      <c r="I39" s="16">
        <f>IF(Rankings!I44&lt;=3,1,0)</f>
        <v>0</v>
      </c>
      <c r="J39" s="16">
        <f>IF(Rankings!J44&lt;=3,1,0)</f>
        <v>0</v>
      </c>
      <c r="K39" s="19">
        <f t="shared" si="4"/>
        <v>3</v>
      </c>
      <c r="L39" s="15">
        <f>SUMPRODUCT(C39:J39,Returns!B43:I43)/K39</f>
        <v>-3.1129712614315446E-2</v>
      </c>
      <c r="M39" s="15">
        <v>0</v>
      </c>
      <c r="N39" s="15">
        <v>0</v>
      </c>
      <c r="O39" s="15">
        <f t="shared" si="5"/>
        <v>-3.1129712614315446E-2</v>
      </c>
      <c r="P39" s="20">
        <f t="shared" si="7"/>
        <v>1.4049303807294418</v>
      </c>
      <c r="Q39" s="20">
        <f>MAX($P$5:P39)</f>
        <v>1.7536619450228828</v>
      </c>
      <c r="R39" s="15">
        <f t="shared" si="6"/>
        <v>-0.19885905905821011</v>
      </c>
      <c r="S39" s="15">
        <f>O39-Benchmark_RF!D39</f>
        <v>-3.6595299326263195E-2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IF(Rankings!C44&lt;=3,1,0)</f>
        <v>0</v>
      </c>
      <c r="D40" s="16">
        <f>IF(Rankings!D44&lt;=3,1,0)</f>
        <v>0</v>
      </c>
      <c r="E40" s="16">
        <f>IF(Rankings!E44&lt;=3,1,0)</f>
        <v>0</v>
      </c>
      <c r="F40" s="16">
        <f>IF(Rankings!F44&lt;=3,1,0)</f>
        <v>1</v>
      </c>
      <c r="G40" s="16">
        <f>IF(Rankings!G44&lt;=3,1,0)</f>
        <v>1</v>
      </c>
      <c r="H40" s="16">
        <f>IF(Rankings!H44&lt;=3,1,0)</f>
        <v>1</v>
      </c>
      <c r="I40" s="16">
        <f>IF(Rankings!I44&lt;=3,1,0)</f>
        <v>0</v>
      </c>
      <c r="J40" s="16">
        <f>IF(Rankings!J44&lt;=3,1,0)</f>
        <v>0</v>
      </c>
      <c r="K40" s="19">
        <f t="shared" si="4"/>
        <v>3</v>
      </c>
      <c r="L40" s="15">
        <f>SUMPRODUCT(C40:J40,Returns!B44:I44)/K40</f>
        <v>4.6067117627994314E-2</v>
      </c>
      <c r="M40" s="15">
        <v>0</v>
      </c>
      <c r="N40" s="15">
        <v>0</v>
      </c>
      <c r="O40" s="15">
        <f t="shared" si="5"/>
        <v>4.6067117627994314E-2</v>
      </c>
      <c r="P40" s="20">
        <f t="shared" si="7"/>
        <v>1.4696514738376478</v>
      </c>
      <c r="Q40" s="20">
        <f>MAX($P$5:P40)</f>
        <v>1.7536619450228828</v>
      </c>
      <c r="R40" s="15">
        <f t="shared" si="6"/>
        <v>-0.16195280509524257</v>
      </c>
      <c r="S40" s="15">
        <f>O40-Benchmark_RF!D40</f>
        <v>3.9849773834944147E-2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IF(Rankings!C47&lt;=3,1,0)</f>
        <v>1</v>
      </c>
      <c r="D41" s="16">
        <f>IF(Rankings!D47&lt;=3,1,0)</f>
        <v>1</v>
      </c>
      <c r="E41" s="16">
        <f>IF(Rankings!E47&lt;=3,1,0)</f>
        <v>0</v>
      </c>
      <c r="F41" s="16">
        <f>IF(Rankings!F47&lt;=3,1,0)</f>
        <v>0</v>
      </c>
      <c r="G41" s="16">
        <f>IF(Rankings!G47&lt;=3,1,0)</f>
        <v>0</v>
      </c>
      <c r="H41" s="16">
        <f>IF(Rankings!H47&lt;=3,1,0)</f>
        <v>1</v>
      </c>
      <c r="I41" s="16">
        <f>IF(Rankings!I47&lt;=3,1,0)</f>
        <v>0</v>
      </c>
      <c r="J41" s="16">
        <f>IF(Rankings!J47&lt;=3,1,0)</f>
        <v>0</v>
      </c>
      <c r="K41" s="19">
        <f t="shared" si="4"/>
        <v>3</v>
      </c>
      <c r="L41" s="15">
        <f>SUMPRODUCT(C41:J41,Returns!B45:I45)/K41</f>
        <v>1.1689149467403662E-2</v>
      </c>
      <c r="M41" s="15">
        <f>-2*Assumptions!$B$13</f>
        <v>-7.0000000000000001E-3</v>
      </c>
      <c r="N41" s="15">
        <f>-Assumptions!$B$16*MAX(0,(1+O38)*(1+O39)*(1+O40)-1)</f>
        <v>0</v>
      </c>
      <c r="O41" s="15">
        <f t="shared" si="5"/>
        <v>4.6891494674036619E-3</v>
      </c>
      <c r="P41" s="20">
        <f t="shared" si="7"/>
        <v>1.4765428892634627</v>
      </c>
      <c r="Q41" s="20">
        <f>MAX($P$5:P41)</f>
        <v>1.7536619450228828</v>
      </c>
      <c r="R41" s="15">
        <f t="shared" si="6"/>
        <v>-0.15802307653759573</v>
      </c>
      <c r="S41" s="15">
        <f>O41-Benchmark_RF!D41</f>
        <v>-1.5505319938820669E-3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IF(Rankings!C47&lt;=3,1,0)</f>
        <v>1</v>
      </c>
      <c r="D42" s="16">
        <f>IF(Rankings!D47&lt;=3,1,0)</f>
        <v>1</v>
      </c>
      <c r="E42" s="16">
        <f>IF(Rankings!E47&lt;=3,1,0)</f>
        <v>0</v>
      </c>
      <c r="F42" s="16">
        <f>IF(Rankings!F47&lt;=3,1,0)</f>
        <v>0</v>
      </c>
      <c r="G42" s="16">
        <f>IF(Rankings!G47&lt;=3,1,0)</f>
        <v>0</v>
      </c>
      <c r="H42" s="16">
        <f>IF(Rankings!H47&lt;=3,1,0)</f>
        <v>1</v>
      </c>
      <c r="I42" s="16">
        <f>IF(Rankings!I47&lt;=3,1,0)</f>
        <v>0</v>
      </c>
      <c r="J42" s="16">
        <f>IF(Rankings!J47&lt;=3,1,0)</f>
        <v>0</v>
      </c>
      <c r="K42" s="19">
        <f t="shared" si="4"/>
        <v>3</v>
      </c>
      <c r="L42" s="15">
        <f>SUMPRODUCT(C42:J42,Returns!B46:I46)/K42</f>
        <v>1.700462860939082E-2</v>
      </c>
      <c r="M42" s="15">
        <v>0</v>
      </c>
      <c r="N42" s="15">
        <v>0</v>
      </c>
      <c r="O42" s="15">
        <f t="shared" si="5"/>
        <v>1.700462860939082E-2</v>
      </c>
      <c r="P42" s="20">
        <f t="shared" si="7"/>
        <v>1.5016509527212247</v>
      </c>
      <c r="Q42" s="20">
        <f>MAX($P$5:P42)</f>
        <v>1.7536619450228828</v>
      </c>
      <c r="R42" s="15">
        <f t="shared" si="6"/>
        <v>-0.14370557165644016</v>
      </c>
      <c r="S42" s="15">
        <f>O42-Benchmark_RF!D42</f>
        <v>1.0764947148105091E-2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IF(Rankings!C47&lt;=3,1,0)</f>
        <v>1</v>
      </c>
      <c r="D43" s="16">
        <f>IF(Rankings!D47&lt;=3,1,0)</f>
        <v>1</v>
      </c>
      <c r="E43" s="16">
        <f>IF(Rankings!E47&lt;=3,1,0)</f>
        <v>0</v>
      </c>
      <c r="F43" s="16">
        <f>IF(Rankings!F47&lt;=3,1,0)</f>
        <v>0</v>
      </c>
      <c r="G43" s="16">
        <f>IF(Rankings!G47&lt;=3,1,0)</f>
        <v>0</v>
      </c>
      <c r="H43" s="16">
        <f>IF(Rankings!H47&lt;=3,1,0)</f>
        <v>1</v>
      </c>
      <c r="I43" s="16">
        <f>IF(Rankings!I47&lt;=3,1,0)</f>
        <v>0</v>
      </c>
      <c r="J43" s="16">
        <f>IF(Rankings!J47&lt;=3,1,0)</f>
        <v>0</v>
      </c>
      <c r="K43" s="19">
        <f t="shared" si="4"/>
        <v>3</v>
      </c>
      <c r="L43" s="15">
        <f>SUMPRODUCT(C43:J43,Returns!B47:I47)/K43</f>
        <v>5.4286564252478277E-2</v>
      </c>
      <c r="M43" s="15">
        <v>0</v>
      </c>
      <c r="N43" s="15">
        <v>0</v>
      </c>
      <c r="O43" s="15">
        <f t="shared" si="5"/>
        <v>5.4286564252478277E-2</v>
      </c>
      <c r="P43" s="20">
        <f t="shared" si="7"/>
        <v>1.5831704236509208</v>
      </c>
      <c r="Q43" s="20">
        <f>MAX($P$5:P43)</f>
        <v>1.7536619450228828</v>
      </c>
      <c r="R43" s="15">
        <f t="shared" si="6"/>
        <v>-9.7220289153128303E-2</v>
      </c>
      <c r="S43" s="15">
        <f>O43-Benchmark_RF!D43</f>
        <v>4.7239625856740387E-2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IF(Rankings!C50&lt;=3,1,0)</f>
        <v>1</v>
      </c>
      <c r="D44" s="16">
        <f>IF(Rankings!D50&lt;=3,1,0)</f>
        <v>1</v>
      </c>
      <c r="E44" s="16">
        <f>IF(Rankings!E50&lt;=3,1,0)</f>
        <v>0</v>
      </c>
      <c r="F44" s="16">
        <f>IF(Rankings!F50&lt;=3,1,0)</f>
        <v>0</v>
      </c>
      <c r="G44" s="16">
        <f>IF(Rankings!G50&lt;=3,1,0)</f>
        <v>0</v>
      </c>
      <c r="H44" s="16">
        <f>IF(Rankings!H50&lt;=3,1,0)</f>
        <v>1</v>
      </c>
      <c r="I44" s="16">
        <f>IF(Rankings!I50&lt;=3,1,0)</f>
        <v>0</v>
      </c>
      <c r="J44" s="16">
        <f>IF(Rankings!J50&lt;=3,1,0)</f>
        <v>0</v>
      </c>
      <c r="K44" s="19">
        <f t="shared" si="4"/>
        <v>3</v>
      </c>
      <c r="L44" s="15">
        <f>SUMPRODUCT(C44:J44,Returns!B48:I48)/K44</f>
        <v>-2.6297107538221714E-2</v>
      </c>
      <c r="M44" s="15">
        <f>-2*Assumptions!$B$13</f>
        <v>-7.0000000000000001E-3</v>
      </c>
      <c r="N44" s="15">
        <f>-Assumptions!$B$16*MAX(0,(1+O41)*(1+O42)*(1+O43)-1)</f>
        <v>-1.158631333694835E-2</v>
      </c>
      <c r="O44" s="15">
        <f t="shared" si="5"/>
        <v>-4.4883420875170069E-2</v>
      </c>
      <c r="P44" s="20">
        <f t="shared" si="7"/>
        <v>1.5121123192090753</v>
      </c>
      <c r="Q44" s="20">
        <f>MAX($P$5:P44)</f>
        <v>1.7536619450228828</v>
      </c>
      <c r="R44" s="15">
        <f t="shared" si="6"/>
        <v>-0.1377401308726327</v>
      </c>
      <c r="S44" s="15">
        <f>O44-Benchmark_RF!D44</f>
        <v>-5.1935141740878668E-2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IF(Rankings!C50&lt;=3,1,0)</f>
        <v>1</v>
      </c>
      <c r="D45" s="16">
        <f>IF(Rankings!D50&lt;=3,1,0)</f>
        <v>1</v>
      </c>
      <c r="E45" s="16">
        <f>IF(Rankings!E50&lt;=3,1,0)</f>
        <v>0</v>
      </c>
      <c r="F45" s="16">
        <f>IF(Rankings!F50&lt;=3,1,0)</f>
        <v>0</v>
      </c>
      <c r="G45" s="16">
        <f>IF(Rankings!G50&lt;=3,1,0)</f>
        <v>0</v>
      </c>
      <c r="H45" s="16">
        <f>IF(Rankings!H50&lt;=3,1,0)</f>
        <v>1</v>
      </c>
      <c r="I45" s="16">
        <f>IF(Rankings!I50&lt;=3,1,0)</f>
        <v>0</v>
      </c>
      <c r="J45" s="16">
        <f>IF(Rankings!J50&lt;=3,1,0)</f>
        <v>0</v>
      </c>
      <c r="K45" s="19">
        <f t="shared" si="4"/>
        <v>3</v>
      </c>
      <c r="L45" s="15">
        <f>SUMPRODUCT(C45:J45,Returns!B49:I49)/K45</f>
        <v>-8.9993047411749225E-2</v>
      </c>
      <c r="M45" s="15">
        <v>0</v>
      </c>
      <c r="N45" s="15">
        <v>0</v>
      </c>
      <c r="O45" s="15">
        <f t="shared" si="5"/>
        <v>-8.9993047411749225E-2</v>
      </c>
      <c r="P45" s="20">
        <f t="shared" si="7"/>
        <v>1.376032723574603</v>
      </c>
      <c r="Q45" s="20">
        <f>MAX($P$5:P45)</f>
        <v>1.7536619450228828</v>
      </c>
      <c r="R45" s="15">
        <f t="shared" si="6"/>
        <v>-0.21533752415626051</v>
      </c>
      <c r="S45" s="15">
        <f>O45-Benchmark_RF!D45</f>
        <v>-9.8193397154447346E-2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IF(Rankings!C50&lt;=3,1,0)</f>
        <v>1</v>
      </c>
      <c r="D46" s="16">
        <f>IF(Rankings!D50&lt;=3,1,0)</f>
        <v>1</v>
      </c>
      <c r="E46" s="16">
        <f>IF(Rankings!E50&lt;=3,1,0)</f>
        <v>0</v>
      </c>
      <c r="F46" s="16">
        <f>IF(Rankings!F50&lt;=3,1,0)</f>
        <v>0</v>
      </c>
      <c r="G46" s="16">
        <f>IF(Rankings!G50&lt;=3,1,0)</f>
        <v>0</v>
      </c>
      <c r="H46" s="16">
        <f>IF(Rankings!H50&lt;=3,1,0)</f>
        <v>1</v>
      </c>
      <c r="I46" s="16">
        <f>IF(Rankings!I50&lt;=3,1,0)</f>
        <v>0</v>
      </c>
      <c r="J46" s="16">
        <f>IF(Rankings!J50&lt;=3,1,0)</f>
        <v>0</v>
      </c>
      <c r="K46" s="19">
        <f t="shared" si="4"/>
        <v>3</v>
      </c>
      <c r="L46" s="15">
        <f>SUMPRODUCT(C46:J46,Returns!B50:I50)/K46</f>
        <v>0.10796754171568297</v>
      </c>
      <c r="M46" s="15">
        <v>0</v>
      </c>
      <c r="N46" s="15">
        <v>0</v>
      </c>
      <c r="O46" s="15">
        <f t="shared" si="5"/>
        <v>0.10796754171568297</v>
      </c>
      <c r="P46" s="20">
        <f t="shared" si="7"/>
        <v>1.5245995940592887</v>
      </c>
      <c r="Q46" s="20">
        <f>MAX($P$5:P46)</f>
        <v>1.7536619450228828</v>
      </c>
      <c r="R46" s="15">
        <f t="shared" si="6"/>
        <v>-0.13061944556287053</v>
      </c>
      <c r="S46" s="15">
        <f>O46-Benchmark_RF!D46</f>
        <v>9.9763840403647233E-2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IF(Rankings!C53&lt;=3,1,0)</f>
        <v>1</v>
      </c>
      <c r="D47" s="16">
        <f>IF(Rankings!D53&lt;=3,1,0)</f>
        <v>0</v>
      </c>
      <c r="E47" s="16">
        <f>IF(Rankings!E53&lt;=3,1,0)</f>
        <v>1</v>
      </c>
      <c r="F47" s="16">
        <f>IF(Rankings!F53&lt;=3,1,0)</f>
        <v>0</v>
      </c>
      <c r="G47" s="16">
        <f>IF(Rankings!G53&lt;=3,1,0)</f>
        <v>1</v>
      </c>
      <c r="H47" s="16">
        <f>IF(Rankings!H53&lt;=3,1,0)</f>
        <v>0</v>
      </c>
      <c r="I47" s="16">
        <f>IF(Rankings!I53&lt;=3,1,0)</f>
        <v>0</v>
      </c>
      <c r="J47" s="16">
        <f>IF(Rankings!J53&lt;=3,1,0)</f>
        <v>0</v>
      </c>
      <c r="K47" s="19">
        <f t="shared" si="4"/>
        <v>3</v>
      </c>
      <c r="L47" s="15">
        <f>SUMPRODUCT(C47:J47,Returns!B51:I51)/K47</f>
        <v>-1.4273401095796298E-2</v>
      </c>
      <c r="M47" s="15">
        <f>-2*Assumptions!$B$13</f>
        <v>-7.0000000000000001E-3</v>
      </c>
      <c r="N47" s="15">
        <f>-Assumptions!$B$16*MAX(0,(1+O44)*(1+O45)*(1+O46)-1)</f>
        <v>0</v>
      </c>
      <c r="O47" s="15">
        <f t="shared" si="5"/>
        <v>-2.1273401095796299E-2</v>
      </c>
      <c r="P47" s="20">
        <f t="shared" si="7"/>
        <v>1.4921661753843771</v>
      </c>
      <c r="Q47" s="20">
        <f>MAX($P$5:P47)</f>
        <v>1.7536619450228828</v>
      </c>
      <c r="R47" s="15">
        <f t="shared" si="6"/>
        <v>-0.14911412680229741</v>
      </c>
      <c r="S47" s="15">
        <f>O47-Benchmark_RF!D47</f>
        <v>-2.9666419311142736E-2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IF(Rankings!C53&lt;=3,1,0)</f>
        <v>1</v>
      </c>
      <c r="D48" s="16">
        <f>IF(Rankings!D53&lt;=3,1,0)</f>
        <v>0</v>
      </c>
      <c r="E48" s="16">
        <f>IF(Rankings!E53&lt;=3,1,0)</f>
        <v>1</v>
      </c>
      <c r="F48" s="16">
        <f>IF(Rankings!F53&lt;=3,1,0)</f>
        <v>0</v>
      </c>
      <c r="G48" s="16">
        <f>IF(Rankings!G53&lt;=3,1,0)</f>
        <v>1</v>
      </c>
      <c r="H48" s="16">
        <f>IF(Rankings!H53&lt;=3,1,0)</f>
        <v>0</v>
      </c>
      <c r="I48" s="16">
        <f>IF(Rankings!I53&lt;=3,1,0)</f>
        <v>0</v>
      </c>
      <c r="J48" s="16">
        <f>IF(Rankings!J53&lt;=3,1,0)</f>
        <v>0</v>
      </c>
      <c r="K48" s="19">
        <f t="shared" si="4"/>
        <v>3</v>
      </c>
      <c r="L48" s="15">
        <f>SUMPRODUCT(C48:J48,Returns!B52:I52)/K48</f>
        <v>-4.0533973861448934E-2</v>
      </c>
      <c r="M48" s="15">
        <v>0</v>
      </c>
      <c r="N48" s="15">
        <v>0</v>
      </c>
      <c r="O48" s="15">
        <f t="shared" si="5"/>
        <v>-4.0533973861448934E-2</v>
      </c>
      <c r="P48" s="20">
        <f t="shared" si="7"/>
        <v>1.4316827506344085</v>
      </c>
      <c r="Q48" s="20">
        <f>MAX($P$5:P48)</f>
        <v>1.7536619450228828</v>
      </c>
      <c r="R48" s="15">
        <f t="shared" si="6"/>
        <v>-0.18360391254556929</v>
      </c>
      <c r="S48" s="15">
        <f>O48-Benchmark_RF!D48</f>
        <v>-4.892167097867791E-2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IF(Rankings!C53&lt;=3,1,0)</f>
        <v>1</v>
      </c>
      <c r="D49" s="16">
        <f>IF(Rankings!D53&lt;=3,1,0)</f>
        <v>0</v>
      </c>
      <c r="E49" s="16">
        <f>IF(Rankings!E53&lt;=3,1,0)</f>
        <v>1</v>
      </c>
      <c r="F49" s="16">
        <f>IF(Rankings!F53&lt;=3,1,0)</f>
        <v>0</v>
      </c>
      <c r="G49" s="16">
        <f>IF(Rankings!G53&lt;=3,1,0)</f>
        <v>1</v>
      </c>
      <c r="H49" s="16">
        <f>IF(Rankings!H53&lt;=3,1,0)</f>
        <v>0</v>
      </c>
      <c r="I49" s="16">
        <f>IF(Rankings!I53&lt;=3,1,0)</f>
        <v>0</v>
      </c>
      <c r="J49" s="16">
        <f>IF(Rankings!J53&lt;=3,1,0)</f>
        <v>0</v>
      </c>
      <c r="K49" s="19">
        <f t="shared" si="4"/>
        <v>3</v>
      </c>
      <c r="L49" s="15">
        <f>SUMPRODUCT(C49:J49,Returns!B53:I53)/K49</f>
        <v>-5.8941099077643187E-2</v>
      </c>
      <c r="M49" s="15">
        <v>0</v>
      </c>
      <c r="N49" s="15">
        <v>0</v>
      </c>
      <c r="O49" s="15">
        <f t="shared" si="5"/>
        <v>-5.8941099077643187E-2</v>
      </c>
      <c r="P49" s="20">
        <f t="shared" si="7"/>
        <v>1.3472977957815131</v>
      </c>
      <c r="Q49" s="20">
        <f>MAX($P$5:P49)</f>
        <v>1.7536619450228828</v>
      </c>
      <c r="R49" s="15">
        <f t="shared" si="6"/>
        <v>-0.23172319522282114</v>
      </c>
      <c r="S49" s="15">
        <f>O49-Benchmark_RF!D49</f>
        <v>-6.7638046954750258E-2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IF(Rankings!C56&lt;=3,1,0)</f>
        <v>1</v>
      </c>
      <c r="D50" s="16">
        <f>IF(Rankings!D56&lt;=3,1,0)</f>
        <v>0</v>
      </c>
      <c r="E50" s="16">
        <f>IF(Rankings!E56&lt;=3,1,0)</f>
        <v>1</v>
      </c>
      <c r="F50" s="16">
        <f>IF(Rankings!F56&lt;=3,1,0)</f>
        <v>0</v>
      </c>
      <c r="G50" s="16">
        <f>IF(Rankings!G56&lt;=3,1,0)</f>
        <v>1</v>
      </c>
      <c r="H50" s="16">
        <f>IF(Rankings!H56&lt;=3,1,0)</f>
        <v>0</v>
      </c>
      <c r="I50" s="16">
        <f>IF(Rankings!I56&lt;=3,1,0)</f>
        <v>0</v>
      </c>
      <c r="J50" s="16">
        <f>IF(Rankings!J56&lt;=3,1,0)</f>
        <v>0</v>
      </c>
      <c r="K50" s="19">
        <f t="shared" si="4"/>
        <v>3</v>
      </c>
      <c r="L50" s="15">
        <f>SUMPRODUCT(C50:J50,Returns!B54:I54)/K50</f>
        <v>2.1404183541068138E-2</v>
      </c>
      <c r="M50" s="15">
        <f>-2*Assumptions!$B$13</f>
        <v>-7.0000000000000001E-3</v>
      </c>
      <c r="N50" s="15">
        <f>-Assumptions!$B$16*MAX(0,(1+O47)*(1+O48)*(1+O49)-1)</f>
        <v>0</v>
      </c>
      <c r="O50" s="15">
        <f t="shared" si="5"/>
        <v>1.4404183541068139E-2</v>
      </c>
      <c r="P50" s="20">
        <f t="shared" si="7"/>
        <v>1.3667045205164265</v>
      </c>
      <c r="Q50" s="20">
        <f>MAX($P$5:P50)</f>
        <v>1.7536619450228828</v>
      </c>
      <c r="R50" s="15">
        <f t="shared" si="6"/>
        <v>-0.2206567951164653</v>
      </c>
      <c r="S50" s="15">
        <f>O50-Benchmark_RF!D50</f>
        <v>4.4847408684000507E-3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IF(Rankings!C56&lt;=3,1,0)</f>
        <v>1</v>
      </c>
      <c r="D51" s="16">
        <f>IF(Rankings!D56&lt;=3,1,0)</f>
        <v>0</v>
      </c>
      <c r="E51" s="16">
        <f>IF(Rankings!E56&lt;=3,1,0)</f>
        <v>1</v>
      </c>
      <c r="F51" s="16">
        <f>IF(Rankings!F56&lt;=3,1,0)</f>
        <v>0</v>
      </c>
      <c r="G51" s="16">
        <f>IF(Rankings!G56&lt;=3,1,0)</f>
        <v>1</v>
      </c>
      <c r="H51" s="16">
        <f>IF(Rankings!H56&lt;=3,1,0)</f>
        <v>0</v>
      </c>
      <c r="I51" s="16">
        <f>IF(Rankings!I56&lt;=3,1,0)</f>
        <v>0</v>
      </c>
      <c r="J51" s="16">
        <f>IF(Rankings!J56&lt;=3,1,0)</f>
        <v>0</v>
      </c>
      <c r="K51" s="19">
        <f t="shared" si="4"/>
        <v>3</v>
      </c>
      <c r="L51" s="15">
        <f>SUMPRODUCT(C51:J51,Returns!B55:I55)/K51</f>
        <v>-7.4430301091033699E-2</v>
      </c>
      <c r="M51" s="15">
        <v>0</v>
      </c>
      <c r="N51" s="15">
        <v>0</v>
      </c>
      <c r="O51" s="15">
        <f t="shared" si="5"/>
        <v>-7.4430301091033699E-2</v>
      </c>
      <c r="P51" s="20">
        <f t="shared" si="7"/>
        <v>1.2649802915519122</v>
      </c>
      <c r="Q51" s="20">
        <f>MAX($P$5:P51)</f>
        <v>1.7536619450228828</v>
      </c>
      <c r="R51" s="15">
        <f t="shared" si="6"/>
        <v>-0.27866354450919784</v>
      </c>
      <c r="S51" s="15">
        <f>O51-Benchmark_RF!D51</f>
        <v>-8.4471819117920385E-2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IF(Rankings!C56&lt;=3,1,0)</f>
        <v>1</v>
      </c>
      <c r="D52" s="16">
        <f>IF(Rankings!D56&lt;=3,1,0)</f>
        <v>0</v>
      </c>
      <c r="E52" s="16">
        <f>IF(Rankings!E56&lt;=3,1,0)</f>
        <v>1</v>
      </c>
      <c r="F52" s="16">
        <f>IF(Rankings!F56&lt;=3,1,0)</f>
        <v>0</v>
      </c>
      <c r="G52" s="16">
        <f>IF(Rankings!G56&lt;=3,1,0)</f>
        <v>1</v>
      </c>
      <c r="H52" s="16">
        <f>IF(Rankings!H56&lt;=3,1,0)</f>
        <v>0</v>
      </c>
      <c r="I52" s="16">
        <f>IF(Rankings!I56&lt;=3,1,0)</f>
        <v>0</v>
      </c>
      <c r="J52" s="16">
        <f>IF(Rankings!J56&lt;=3,1,0)</f>
        <v>0</v>
      </c>
      <c r="K52" s="19">
        <f t="shared" si="4"/>
        <v>3</v>
      </c>
      <c r="L52" s="15">
        <f>SUMPRODUCT(C52:J52,Returns!B56:I56)/K52</f>
        <v>-8.4404285507031131E-3</v>
      </c>
      <c r="M52" s="15">
        <v>0</v>
      </c>
      <c r="N52" s="15">
        <v>0</v>
      </c>
      <c r="O52" s="15">
        <f t="shared" si="5"/>
        <v>-8.4404285507031131E-3</v>
      </c>
      <c r="P52" s="20">
        <f t="shared" si="7"/>
        <v>1.2543033157830206</v>
      </c>
      <c r="Q52" s="20">
        <f>MAX($P$5:P52)</f>
        <v>1.7536619450228828</v>
      </c>
      <c r="R52" s="15">
        <f t="shared" si="6"/>
        <v>-0.28475193332278548</v>
      </c>
      <c r="S52" s="15">
        <f>O52-Benchmark_RF!D52</f>
        <v>-1.9231155391717679E-2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IF(Rankings!C59&lt;=3,1,0)</f>
        <v>1</v>
      </c>
      <c r="D53" s="16">
        <f>IF(Rankings!D59&lt;=3,1,0)</f>
        <v>1</v>
      </c>
      <c r="E53" s="16">
        <f>IF(Rankings!E59&lt;=3,1,0)</f>
        <v>0</v>
      </c>
      <c r="F53" s="16">
        <f>IF(Rankings!F59&lt;=3,1,0)</f>
        <v>0</v>
      </c>
      <c r="G53" s="16">
        <f>IF(Rankings!G59&lt;=3,1,0)</f>
        <v>1</v>
      </c>
      <c r="H53" s="16">
        <f>IF(Rankings!H59&lt;=3,1,0)</f>
        <v>0</v>
      </c>
      <c r="I53" s="16">
        <f>IF(Rankings!I59&lt;=3,1,0)</f>
        <v>0</v>
      </c>
      <c r="J53" s="16">
        <f>IF(Rankings!J59&lt;=3,1,0)</f>
        <v>0</v>
      </c>
      <c r="K53" s="19">
        <f t="shared" si="4"/>
        <v>3</v>
      </c>
      <c r="L53" s="15">
        <f>SUMPRODUCT(C53:J53,Returns!B57:I57)/K53</f>
        <v>-0.11065169780888111</v>
      </c>
      <c r="M53" s="15">
        <f>-2*Assumptions!$B$13</f>
        <v>-7.0000000000000001E-3</v>
      </c>
      <c r="N53" s="15">
        <f>-Assumptions!$B$16*MAX(0,(1+O50)*(1+O51)*(1+O52)-1)</f>
        <v>0</v>
      </c>
      <c r="O53" s="15">
        <f t="shared" si="5"/>
        <v>-0.11765169780888111</v>
      </c>
      <c r="P53" s="20">
        <f t="shared" si="7"/>
        <v>1.1067324011138391</v>
      </c>
      <c r="Q53" s="20">
        <f>MAX($P$5:P53)</f>
        <v>1.7536619450228828</v>
      </c>
      <c r="R53" s="15">
        <f t="shared" si="6"/>
        <v>-0.36890208272187952</v>
      </c>
      <c r="S53" s="15">
        <f>O53-Benchmark_RF!D53</f>
        <v>-0.12844486837966979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IF(Rankings!C59&lt;=3,1,0)</f>
        <v>1</v>
      </c>
      <c r="D54" s="16">
        <f>IF(Rankings!D59&lt;=3,1,0)</f>
        <v>1</v>
      </c>
      <c r="E54" s="16">
        <f>IF(Rankings!E59&lt;=3,1,0)</f>
        <v>0</v>
      </c>
      <c r="F54" s="16">
        <f>IF(Rankings!F59&lt;=3,1,0)</f>
        <v>0</v>
      </c>
      <c r="G54" s="16">
        <f>IF(Rankings!G59&lt;=3,1,0)</f>
        <v>1</v>
      </c>
      <c r="H54" s="16">
        <f>IF(Rankings!H59&lt;=3,1,0)</f>
        <v>0</v>
      </c>
      <c r="I54" s="16">
        <f>IF(Rankings!I59&lt;=3,1,0)</f>
        <v>0</v>
      </c>
      <c r="J54" s="16">
        <f>IF(Rankings!J59&lt;=3,1,0)</f>
        <v>0</v>
      </c>
      <c r="K54" s="19">
        <f t="shared" si="4"/>
        <v>3</v>
      </c>
      <c r="L54" s="15">
        <f>SUMPRODUCT(C54:J54,Returns!B58:I58)/K54</f>
        <v>4.0532213637047211E-2</v>
      </c>
      <c r="M54" s="15">
        <v>0</v>
      </c>
      <c r="N54" s="15">
        <v>0</v>
      </c>
      <c r="O54" s="15">
        <f t="shared" si="5"/>
        <v>4.0532213637047211E-2</v>
      </c>
      <c r="P54" s="20">
        <f t="shared" si="7"/>
        <v>1.1515907152348275</v>
      </c>
      <c r="Q54" s="20">
        <f>MAX($P$5:P54)</f>
        <v>1.7536619450228828</v>
      </c>
      <c r="R54" s="15">
        <f t="shared" si="6"/>
        <v>-0.34332228711286716</v>
      </c>
      <c r="S54" s="15">
        <f>O54-Benchmark_RF!D54</f>
        <v>2.976207594828665E-2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IF(Rankings!C59&lt;=3,1,0)</f>
        <v>1</v>
      </c>
      <c r="D55" s="16">
        <f>IF(Rankings!D59&lt;=3,1,0)</f>
        <v>1</v>
      </c>
      <c r="E55" s="16">
        <f>IF(Rankings!E59&lt;=3,1,0)</f>
        <v>0</v>
      </c>
      <c r="F55" s="16">
        <f>IF(Rankings!F59&lt;=3,1,0)</f>
        <v>0</v>
      </c>
      <c r="G55" s="16">
        <f>IF(Rankings!G59&lt;=3,1,0)</f>
        <v>1</v>
      </c>
      <c r="H55" s="16">
        <f>IF(Rankings!H59&lt;=3,1,0)</f>
        <v>0</v>
      </c>
      <c r="I55" s="16">
        <f>IF(Rankings!I59&lt;=3,1,0)</f>
        <v>0</v>
      </c>
      <c r="J55" s="16">
        <f>IF(Rankings!J59&lt;=3,1,0)</f>
        <v>0</v>
      </c>
      <c r="K55" s="19">
        <f t="shared" si="4"/>
        <v>3</v>
      </c>
      <c r="L55" s="15">
        <f>SUMPRODUCT(C55:J55,Returns!B59:I59)/K55</f>
        <v>4.6468363584002859E-2</v>
      </c>
      <c r="M55" s="15">
        <v>0</v>
      </c>
      <c r="N55" s="15">
        <v>0</v>
      </c>
      <c r="O55" s="15">
        <f t="shared" si="5"/>
        <v>4.6468363584002859E-2</v>
      </c>
      <c r="P55" s="20">
        <f t="shared" si="7"/>
        <v>1.2051032512903213</v>
      </c>
      <c r="Q55" s="20">
        <f>MAX($P$5:P55)</f>
        <v>1.7536619450228828</v>
      </c>
      <c r="R55" s="15">
        <f t="shared" si="6"/>
        <v>-0.31280754839291647</v>
      </c>
      <c r="S55" s="15">
        <f>O55-Benchmark_RF!D55</f>
        <v>3.6045157315222731E-2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IF(Rankings!C62&lt;=3,1,0)</f>
        <v>0</v>
      </c>
      <c r="D56" s="16">
        <f>IF(Rankings!D62&lt;=3,1,0)</f>
        <v>1</v>
      </c>
      <c r="E56" s="16">
        <f>IF(Rankings!E62&lt;=3,1,0)</f>
        <v>0</v>
      </c>
      <c r="F56" s="16">
        <f>IF(Rankings!F62&lt;=3,1,0)</f>
        <v>0</v>
      </c>
      <c r="G56" s="16">
        <f>IF(Rankings!G62&lt;=3,1,0)</f>
        <v>0</v>
      </c>
      <c r="H56" s="16">
        <f>IF(Rankings!H62&lt;=3,1,0)</f>
        <v>0</v>
      </c>
      <c r="I56" s="16">
        <f>IF(Rankings!I62&lt;=3,1,0)</f>
        <v>1</v>
      </c>
      <c r="J56" s="16">
        <f>IF(Rankings!J62&lt;=3,1,0)</f>
        <v>1</v>
      </c>
      <c r="K56" s="19">
        <f t="shared" si="4"/>
        <v>3</v>
      </c>
      <c r="L56" s="15">
        <f>SUMPRODUCT(C56:J56,Returns!B60:I60)/K56</f>
        <v>7.6305735746111589E-2</v>
      </c>
      <c r="M56" s="15">
        <f>-2*Assumptions!$B$13</f>
        <v>-7.0000000000000001E-3</v>
      </c>
      <c r="N56" s="15">
        <f>-Assumptions!$B$16*MAX(0,(1+O53)*(1+O54)*(1+O55)-1)</f>
        <v>0</v>
      </c>
      <c r="O56" s="15">
        <f t="shared" si="5"/>
        <v>6.9305735746111582E-2</v>
      </c>
      <c r="P56" s="20">
        <f t="shared" si="7"/>
        <v>1.2886238187710282</v>
      </c>
      <c r="Q56" s="20">
        <f>MAX($P$5:P56)</f>
        <v>1.7536619450228828</v>
      </c>
      <c r="R56" s="15">
        <f t="shared" si="6"/>
        <v>-0.26518116993511343</v>
      </c>
      <c r="S56" s="15">
        <f>O56-Benchmark_RF!D56</f>
        <v>5.8726229637155167E-2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IF(Rankings!C62&lt;=3,1,0)</f>
        <v>0</v>
      </c>
      <c r="D57" s="16">
        <f>IF(Rankings!D62&lt;=3,1,0)</f>
        <v>1</v>
      </c>
      <c r="E57" s="16">
        <f>IF(Rankings!E62&lt;=3,1,0)</f>
        <v>0</v>
      </c>
      <c r="F57" s="16">
        <f>IF(Rankings!F62&lt;=3,1,0)</f>
        <v>0</v>
      </c>
      <c r="G57" s="16">
        <f>IF(Rankings!G62&lt;=3,1,0)</f>
        <v>0</v>
      </c>
      <c r="H57" s="16">
        <f>IF(Rankings!H62&lt;=3,1,0)</f>
        <v>0</v>
      </c>
      <c r="I57" s="16">
        <f>IF(Rankings!I62&lt;=3,1,0)</f>
        <v>1</v>
      </c>
      <c r="J57" s="16">
        <f>IF(Rankings!J62&lt;=3,1,0)</f>
        <v>1</v>
      </c>
      <c r="K57" s="19">
        <f t="shared" si="4"/>
        <v>3</v>
      </c>
      <c r="L57" s="15">
        <f>SUMPRODUCT(C57:J57,Returns!B61:I61)/K57</f>
        <v>0.12399496679524165</v>
      </c>
      <c r="M57" s="15">
        <v>0</v>
      </c>
      <c r="N57" s="15">
        <v>0</v>
      </c>
      <c r="O57" s="15">
        <f t="shared" si="5"/>
        <v>0.12399496679524165</v>
      </c>
      <c r="P57" s="20">
        <f t="shared" si="7"/>
        <v>1.4484066863910992</v>
      </c>
      <c r="Q57" s="20">
        <f>MAX($P$5:P57)</f>
        <v>1.7536619450228828</v>
      </c>
      <c r="R57" s="15">
        <f t="shared" si="6"/>
        <v>-0.17406733350069958</v>
      </c>
      <c r="S57" s="15">
        <f>O57-Benchmark_RF!D57</f>
        <v>0.11342629800561051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IF(Rankings!C62&lt;=3,1,0)</f>
        <v>0</v>
      </c>
      <c r="D58" s="16">
        <f>IF(Rankings!D62&lt;=3,1,0)</f>
        <v>1</v>
      </c>
      <c r="E58" s="16">
        <f>IF(Rankings!E62&lt;=3,1,0)</f>
        <v>0</v>
      </c>
      <c r="F58" s="16">
        <f>IF(Rankings!F62&lt;=3,1,0)</f>
        <v>0</v>
      </c>
      <c r="G58" s="16">
        <f>IF(Rankings!G62&lt;=3,1,0)</f>
        <v>0</v>
      </c>
      <c r="H58" s="16">
        <f>IF(Rankings!H62&lt;=3,1,0)</f>
        <v>0</v>
      </c>
      <c r="I58" s="16">
        <f>IF(Rankings!I62&lt;=3,1,0)</f>
        <v>1</v>
      </c>
      <c r="J58" s="16">
        <f>IF(Rankings!J62&lt;=3,1,0)</f>
        <v>1</v>
      </c>
      <c r="K58" s="19">
        <f t="shared" si="4"/>
        <v>3</v>
      </c>
      <c r="L58" s="15">
        <f>SUMPRODUCT(C58:J58,Returns!B62:I62)/K58</f>
        <v>3.2365891386226732E-2</v>
      </c>
      <c r="M58" s="15">
        <v>0</v>
      </c>
      <c r="N58" s="15">
        <v>0</v>
      </c>
      <c r="O58" s="15">
        <f t="shared" si="5"/>
        <v>3.2365891386226732E-2</v>
      </c>
      <c r="P58" s="20">
        <f t="shared" si="7"/>
        <v>1.4952856598859181</v>
      </c>
      <c r="Q58" s="20">
        <f>MAX($P$5:P58)</f>
        <v>1.7536619450228828</v>
      </c>
      <c r="R58" s="15">
        <f t="shared" si="6"/>
        <v>-0.1473352865244465</v>
      </c>
      <c r="S58" s="15">
        <f>O58-Benchmark_RF!D58</f>
        <v>2.1840064790669501E-2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IF(Rankings!C65&lt;=3,1,0)</f>
        <v>1</v>
      </c>
      <c r="D59" s="16">
        <f>IF(Rankings!D65&lt;=3,1,0)</f>
        <v>0</v>
      </c>
      <c r="E59" s="16">
        <f>IF(Rankings!E65&lt;=3,1,0)</f>
        <v>0</v>
      </c>
      <c r="F59" s="16">
        <f>IF(Rankings!F65&lt;=3,1,0)</f>
        <v>0</v>
      </c>
      <c r="G59" s="16">
        <f>IF(Rankings!G65&lt;=3,1,0)</f>
        <v>0</v>
      </c>
      <c r="H59" s="16">
        <f>IF(Rankings!H65&lt;=3,1,0)</f>
        <v>0</v>
      </c>
      <c r="I59" s="16">
        <f>IF(Rankings!I65&lt;=3,1,0)</f>
        <v>1</v>
      </c>
      <c r="J59" s="16">
        <f>IF(Rankings!J65&lt;=3,1,0)</f>
        <v>1</v>
      </c>
      <c r="K59" s="19">
        <f t="shared" si="4"/>
        <v>3</v>
      </c>
      <c r="L59" s="15">
        <f>SUMPRODUCT(C59:J59,Returns!B63:I63)/K59</f>
        <v>-5.6107091488581985E-2</v>
      </c>
      <c r="M59" s="15">
        <f>-2*Assumptions!$B$13</f>
        <v>-7.0000000000000001E-3</v>
      </c>
      <c r="N59" s="15">
        <f>-Assumptions!$B$16*MAX(0,(1+O56)*(1+O57)*(1+O58)-1)</f>
        <v>-3.6119196627122326E-2</v>
      </c>
      <c r="O59" s="15">
        <f t="shared" si="5"/>
        <v>-9.9226288115704303E-2</v>
      </c>
      <c r="P59" s="20">
        <f t="shared" si="7"/>
        <v>1.3469140141827969</v>
      </c>
      <c r="Q59" s="20">
        <f>MAX($P$5:P59)</f>
        <v>1.7536619450228828</v>
      </c>
      <c r="R59" s="15">
        <f t="shared" si="6"/>
        <v>-0.23194204104986627</v>
      </c>
      <c r="S59" s="15">
        <f>O59-Benchmark_RF!D59</f>
        <v>-0.10974661877266376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IF(Rankings!C65&lt;=3,1,0)</f>
        <v>1</v>
      </c>
      <c r="D60" s="16">
        <f>IF(Rankings!D65&lt;=3,1,0)</f>
        <v>0</v>
      </c>
      <c r="E60" s="16">
        <f>IF(Rankings!E65&lt;=3,1,0)</f>
        <v>0</v>
      </c>
      <c r="F60" s="16">
        <f>IF(Rankings!F65&lt;=3,1,0)</f>
        <v>0</v>
      </c>
      <c r="G60" s="16">
        <f>IF(Rankings!G65&lt;=3,1,0)</f>
        <v>0</v>
      </c>
      <c r="H60" s="16">
        <f>IF(Rankings!H65&lt;=3,1,0)</f>
        <v>0</v>
      </c>
      <c r="I60" s="16">
        <f>IF(Rankings!I65&lt;=3,1,0)</f>
        <v>1</v>
      </c>
      <c r="J60" s="16">
        <f>IF(Rankings!J65&lt;=3,1,0)</f>
        <v>1</v>
      </c>
      <c r="K60" s="19">
        <f t="shared" si="4"/>
        <v>3</v>
      </c>
      <c r="L60" s="15">
        <f>SUMPRODUCT(C60:J60,Returns!B64:I64)/K60</f>
        <v>-0.34736735721614481</v>
      </c>
      <c r="M60" s="15">
        <v>0</v>
      </c>
      <c r="N60" s="15">
        <v>0</v>
      </c>
      <c r="O60" s="15">
        <f t="shared" si="5"/>
        <v>-0.34736735721614481</v>
      </c>
      <c r="P60" s="20">
        <f t="shared" si="7"/>
        <v>0.87904005267872964</v>
      </c>
      <c r="Q60" s="20">
        <f>MAX($P$5:P60)</f>
        <v>1.7536619450228828</v>
      </c>
      <c r="R60" s="15">
        <f t="shared" si="6"/>
        <v>-0.49874030443920059</v>
      </c>
      <c r="S60" s="15">
        <f>O60-Benchmark_RF!D60</f>
        <v>-0.35626644224693788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IF(Rankings!C65&lt;=3,1,0)</f>
        <v>1</v>
      </c>
      <c r="D61" s="16">
        <f>IF(Rankings!D65&lt;=3,1,0)</f>
        <v>0</v>
      </c>
      <c r="E61" s="16">
        <f>IF(Rankings!E65&lt;=3,1,0)</f>
        <v>0</v>
      </c>
      <c r="F61" s="16">
        <f>IF(Rankings!F65&lt;=3,1,0)</f>
        <v>0</v>
      </c>
      <c r="G61" s="16">
        <f>IF(Rankings!G65&lt;=3,1,0)</f>
        <v>0</v>
      </c>
      <c r="H61" s="16">
        <f>IF(Rankings!H65&lt;=3,1,0)</f>
        <v>0</v>
      </c>
      <c r="I61" s="16">
        <f>IF(Rankings!I65&lt;=3,1,0)</f>
        <v>1</v>
      </c>
      <c r="J61" s="16">
        <f>IF(Rankings!J65&lt;=3,1,0)</f>
        <v>1</v>
      </c>
      <c r="K61" s="19">
        <f t="shared" si="4"/>
        <v>3</v>
      </c>
      <c r="L61" s="15">
        <f>SUMPRODUCT(C61:J61,Returns!B65:I65)/K61</f>
        <v>0.17186393370977274</v>
      </c>
      <c r="M61" s="15">
        <v>0</v>
      </c>
      <c r="N61" s="15">
        <v>0</v>
      </c>
      <c r="O61" s="15">
        <f t="shared" si="5"/>
        <v>0.17186393370977274</v>
      </c>
      <c r="P61" s="20">
        <f t="shared" si="7"/>
        <v>1.030115334020542</v>
      </c>
      <c r="Q61" s="20">
        <f>MAX($P$5:P61)</f>
        <v>1.7536619450228828</v>
      </c>
      <c r="R61" s="15">
        <f t="shared" si="6"/>
        <v>-0.41259184134995841</v>
      </c>
      <c r="S61" s="15">
        <f>O61-Benchmark_RF!D61</f>
        <v>0.16526386846941279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IF(Rankings!C68&lt;=3,1,0)</f>
        <v>0</v>
      </c>
      <c r="D62" s="16">
        <f>IF(Rankings!D68&lt;=3,1,0)</f>
        <v>0</v>
      </c>
      <c r="E62" s="16">
        <f>IF(Rankings!E68&lt;=3,1,0)</f>
        <v>0</v>
      </c>
      <c r="F62" s="16">
        <f>IF(Rankings!F68&lt;=3,1,0)</f>
        <v>1</v>
      </c>
      <c r="G62" s="16">
        <f>IF(Rankings!G68&lt;=3,1,0)</f>
        <v>1</v>
      </c>
      <c r="H62" s="16">
        <f>IF(Rankings!H68&lt;=3,1,0)</f>
        <v>0</v>
      </c>
      <c r="I62" s="16">
        <f>IF(Rankings!I68&lt;=3,1,0)</f>
        <v>1</v>
      </c>
      <c r="J62" s="16">
        <f>IF(Rankings!J68&lt;=3,1,0)</f>
        <v>0</v>
      </c>
      <c r="K62" s="19">
        <f t="shared" si="4"/>
        <v>3</v>
      </c>
      <c r="L62" s="15">
        <f>SUMPRODUCT(C62:J62,Returns!B66:I66)/K62</f>
        <v>8.5031174379248634E-2</v>
      </c>
      <c r="M62" s="15">
        <f>-2*Assumptions!$B$13</f>
        <v>-7.0000000000000001E-3</v>
      </c>
      <c r="N62" s="15">
        <f>-Assumptions!$B$16*MAX(0,(1+O59)*(1+O60)*(1+O61)-1)</f>
        <v>0</v>
      </c>
      <c r="O62" s="15">
        <f t="shared" si="5"/>
        <v>7.8031174379248627E-2</v>
      </c>
      <c r="P62" s="20">
        <f t="shared" si="7"/>
        <v>1.1104964432802369</v>
      </c>
      <c r="Q62" s="20">
        <f>MAX($P$5:P62)</f>
        <v>1.7536619450228828</v>
      </c>
      <c r="R62" s="15">
        <f t="shared" si="6"/>
        <v>-0.36675569289054366</v>
      </c>
      <c r="S62" s="15">
        <f>O62-Benchmark_RF!D62</f>
        <v>7.1503460312546022E-2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IF(Rankings!C68&lt;=3,1,0)</f>
        <v>0</v>
      </c>
      <c r="D63" s="16">
        <f>IF(Rankings!D68&lt;=3,1,0)</f>
        <v>0</v>
      </c>
      <c r="E63" s="16">
        <f>IF(Rankings!E68&lt;=3,1,0)</f>
        <v>0</v>
      </c>
      <c r="F63" s="16">
        <f>IF(Rankings!F68&lt;=3,1,0)</f>
        <v>1</v>
      </c>
      <c r="G63" s="16">
        <f>IF(Rankings!G68&lt;=3,1,0)</f>
        <v>1</v>
      </c>
      <c r="H63" s="16">
        <f>IF(Rankings!H68&lt;=3,1,0)</f>
        <v>0</v>
      </c>
      <c r="I63" s="16">
        <f>IF(Rankings!I68&lt;=3,1,0)</f>
        <v>1</v>
      </c>
      <c r="J63" s="16">
        <f>IF(Rankings!J68&lt;=3,1,0)</f>
        <v>0</v>
      </c>
      <c r="K63" s="19">
        <f t="shared" si="4"/>
        <v>3</v>
      </c>
      <c r="L63" s="15">
        <f>SUMPRODUCT(C63:J63,Returns!B67:I67)/K63</f>
        <v>6.8155659989149228E-2</v>
      </c>
      <c r="M63" s="15">
        <v>0</v>
      </c>
      <c r="N63" s="15">
        <v>0</v>
      </c>
      <c r="O63" s="15">
        <f t="shared" si="5"/>
        <v>6.8155659989149228E-2</v>
      </c>
      <c r="P63" s="20">
        <f t="shared" si="7"/>
        <v>1.1861830612876043</v>
      </c>
      <c r="Q63" s="20">
        <f>MAX($P$5:P63)</f>
        <v>1.7536619450228828</v>
      </c>
      <c r="R63" s="15">
        <f t="shared" si="6"/>
        <v>-0.32359650920512717</v>
      </c>
      <c r="S63" s="15">
        <f>O63-Benchmark_RF!D63</f>
        <v>6.262001419380285E-2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IF(Rankings!C68&lt;=3,1,0)</f>
        <v>0</v>
      </c>
      <c r="D64" s="16">
        <f>IF(Rankings!D68&lt;=3,1,0)</f>
        <v>0</v>
      </c>
      <c r="E64" s="16">
        <f>IF(Rankings!E68&lt;=3,1,0)</f>
        <v>0</v>
      </c>
      <c r="F64" s="16">
        <f>IF(Rankings!F68&lt;=3,1,0)</f>
        <v>1</v>
      </c>
      <c r="G64" s="16">
        <f>IF(Rankings!G68&lt;=3,1,0)</f>
        <v>1</v>
      </c>
      <c r="H64" s="16">
        <f>IF(Rankings!H68&lt;=3,1,0)</f>
        <v>0</v>
      </c>
      <c r="I64" s="16">
        <f>IF(Rankings!I68&lt;=3,1,0)</f>
        <v>1</v>
      </c>
      <c r="J64" s="16">
        <f>IF(Rankings!J68&lt;=3,1,0)</f>
        <v>0</v>
      </c>
      <c r="K64" s="19">
        <f t="shared" si="4"/>
        <v>3</v>
      </c>
      <c r="L64" s="15">
        <f>SUMPRODUCT(C64:J64,Returns!B68:I68)/K64</f>
        <v>0.17651470008076689</v>
      </c>
      <c r="M64" s="15">
        <v>0</v>
      </c>
      <c r="N64" s="15">
        <v>0</v>
      </c>
      <c r="O64" s="15">
        <f t="shared" si="5"/>
        <v>0.17651470008076689</v>
      </c>
      <c r="P64" s="20">
        <f t="shared" si="7"/>
        <v>1.3955618085916719</v>
      </c>
      <c r="Q64" s="20">
        <f>MAX($P$5:P64)</f>
        <v>1.7536619450228828</v>
      </c>
      <c r="R64" s="15">
        <f t="shared" si="6"/>
        <v>-0.20420134989388627</v>
      </c>
      <c r="S64" s="15">
        <f>O64-Benchmark_RF!D64</f>
        <v>0.17095976412412398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IF(Rankings!C71&lt;=3,1,0)</f>
        <v>0</v>
      </c>
      <c r="D65" s="16">
        <f>IF(Rankings!D71&lt;=3,1,0)</f>
        <v>0</v>
      </c>
      <c r="E65" s="16">
        <f>IF(Rankings!E71&lt;=3,1,0)</f>
        <v>0</v>
      </c>
      <c r="F65" s="16">
        <f>IF(Rankings!F71&lt;=3,1,0)</f>
        <v>1</v>
      </c>
      <c r="G65" s="16">
        <f>IF(Rankings!G71&lt;=3,1,0)</f>
        <v>1</v>
      </c>
      <c r="H65" s="16">
        <f>IF(Rankings!H71&lt;=3,1,0)</f>
        <v>0</v>
      </c>
      <c r="I65" s="16">
        <f>IF(Rankings!I71&lt;=3,1,0)</f>
        <v>1</v>
      </c>
      <c r="J65" s="16">
        <f>IF(Rankings!J71&lt;=3,1,0)</f>
        <v>0</v>
      </c>
      <c r="K65" s="19">
        <f t="shared" si="4"/>
        <v>3</v>
      </c>
      <c r="L65" s="15">
        <f>SUMPRODUCT(C65:J65,Returns!B69:I69)/K65</f>
        <v>7.702795514734366E-2</v>
      </c>
      <c r="M65" s="15">
        <f>-2*Assumptions!$B$13</f>
        <v>-7.0000000000000001E-3</v>
      </c>
      <c r="N65" s="15">
        <f>-Assumptions!$B$16*MAX(0,(1+O62)*(1+O63)*(1+O64)-1)</f>
        <v>-5.321440170366043E-2</v>
      </c>
      <c r="O65" s="15">
        <f t="shared" si="5"/>
        <v>1.6813553443683224E-2</v>
      </c>
      <c r="P65" s="20">
        <f t="shared" si="7"/>
        <v>1.4190261616443913</v>
      </c>
      <c r="Q65" s="20">
        <f>MAX($P$5:P65)</f>
        <v>1.7536619450228828</v>
      </c>
      <c r="R65" s="15">
        <f t="shared" si="6"/>
        <v>-0.19082114675991613</v>
      </c>
      <c r="S65" s="15">
        <f>O65-Benchmark_RF!D65</f>
        <v>1.1087693262363293E-2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IF(Rankings!C71&lt;=3,1,0)</f>
        <v>0</v>
      </c>
      <c r="D66" s="16">
        <f>IF(Rankings!D71&lt;=3,1,0)</f>
        <v>0</v>
      </c>
      <c r="E66" s="16">
        <f>IF(Rankings!E71&lt;=3,1,0)</f>
        <v>0</v>
      </c>
      <c r="F66" s="16">
        <f>IF(Rankings!F71&lt;=3,1,0)</f>
        <v>1</v>
      </c>
      <c r="G66" s="16">
        <f>IF(Rankings!G71&lt;=3,1,0)</f>
        <v>1</v>
      </c>
      <c r="H66" s="16">
        <f>IF(Rankings!H71&lt;=3,1,0)</f>
        <v>0</v>
      </c>
      <c r="I66" s="16">
        <f>IF(Rankings!I71&lt;=3,1,0)</f>
        <v>1</v>
      </c>
      <c r="J66" s="16">
        <f>IF(Rankings!J71&lt;=3,1,0)</f>
        <v>0</v>
      </c>
      <c r="K66" s="19">
        <f t="shared" si="4"/>
        <v>3</v>
      </c>
      <c r="L66" s="15">
        <f>SUMPRODUCT(C66:J66,Returns!B70:I70)/K66</f>
        <v>9.8499876759005813E-3</v>
      </c>
      <c r="M66" s="15">
        <v>0</v>
      </c>
      <c r="N66" s="15">
        <v>0</v>
      </c>
      <c r="O66" s="15">
        <f t="shared" si="5"/>
        <v>9.8499876759005813E-3</v>
      </c>
      <c r="P66" s="20">
        <f t="shared" si="7"/>
        <v>1.433003551848369</v>
      </c>
      <c r="Q66" s="20">
        <f>MAX($P$5:P66)</f>
        <v>1.7536619450228828</v>
      </c>
      <c r="R66" s="15">
        <f t="shared" si="6"/>
        <v>-0.18285074502790188</v>
      </c>
      <c r="S66" s="15">
        <f>O66-Benchmark_RF!D66</f>
        <v>4.1188841872549977E-3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IF(Rankings!C71&lt;=3,1,0)</f>
        <v>0</v>
      </c>
      <c r="D67" s="16">
        <f>IF(Rankings!D71&lt;=3,1,0)</f>
        <v>0</v>
      </c>
      <c r="E67" s="16">
        <f>IF(Rankings!E71&lt;=3,1,0)</f>
        <v>0</v>
      </c>
      <c r="F67" s="16">
        <f>IF(Rankings!F71&lt;=3,1,0)</f>
        <v>1</v>
      </c>
      <c r="G67" s="16">
        <f>IF(Rankings!G71&lt;=3,1,0)</f>
        <v>1</v>
      </c>
      <c r="H67" s="16">
        <f>IF(Rankings!H71&lt;=3,1,0)</f>
        <v>0</v>
      </c>
      <c r="I67" s="16">
        <f>IF(Rankings!I71&lt;=3,1,0)</f>
        <v>1</v>
      </c>
      <c r="J67" s="16">
        <f>IF(Rankings!J71&lt;=3,1,0)</f>
        <v>0</v>
      </c>
      <c r="K67" s="19">
        <f t="shared" si="4"/>
        <v>3</v>
      </c>
      <c r="L67" s="15">
        <f>SUMPRODUCT(C67:J67,Returns!B71:I71)/K67</f>
        <v>6.6189405944029334E-2</v>
      </c>
      <c r="M67" s="15">
        <v>0</v>
      </c>
      <c r="N67" s="15">
        <v>0</v>
      </c>
      <c r="O67" s="15">
        <f t="shared" si="5"/>
        <v>6.6189405944029334E-2</v>
      </c>
      <c r="P67" s="20">
        <f t="shared" si="7"/>
        <v>1.5278532056608967</v>
      </c>
      <c r="Q67" s="20">
        <f>MAX($P$5:P67)</f>
        <v>1.7536619450228828</v>
      </c>
      <c r="R67" s="15">
        <f t="shared" si="6"/>
        <v>-0.12876412127369263</v>
      </c>
      <c r="S67" s="15">
        <f>O67-Benchmark_RF!D67</f>
        <v>6.0411595510925453E-2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IF(Rankings!C74&lt;=3,1,0)</f>
        <v>1</v>
      </c>
      <c r="D68" s="16">
        <f>IF(Rankings!D74&lt;=3,1,0)</f>
        <v>0</v>
      </c>
      <c r="E68" s="16">
        <f>IF(Rankings!E74&lt;=3,1,0)</f>
        <v>0</v>
      </c>
      <c r="F68" s="16">
        <f>IF(Rankings!F74&lt;=3,1,0)</f>
        <v>1</v>
      </c>
      <c r="G68" s="16">
        <f>IF(Rankings!G74&lt;=3,1,0)</f>
        <v>0</v>
      </c>
      <c r="H68" s="16">
        <f>IF(Rankings!H74&lt;=3,1,0)</f>
        <v>1</v>
      </c>
      <c r="I68" s="16">
        <f>IF(Rankings!I74&lt;=3,1,0)</f>
        <v>0</v>
      </c>
      <c r="J68" s="16">
        <f>IF(Rankings!J74&lt;=3,1,0)</f>
        <v>0</v>
      </c>
      <c r="K68" s="19">
        <f t="shared" si="4"/>
        <v>3</v>
      </c>
      <c r="L68" s="15">
        <f>SUMPRODUCT(C68:J68,Returns!B72:I72)/K68</f>
        <v>3.4931046536988496E-2</v>
      </c>
      <c r="M68" s="15">
        <f>-2*Assumptions!$B$13</f>
        <v>-7.0000000000000001E-3</v>
      </c>
      <c r="N68" s="15">
        <f>-Assumptions!$B$16*MAX(0,(1+O65)*(1+O66)*(1+O67)-1)</f>
        <v>-1.4219154922567666E-2</v>
      </c>
      <c r="O68" s="15">
        <f t="shared" si="5"/>
        <v>1.3711891614420831E-2</v>
      </c>
      <c r="P68" s="20">
        <f t="shared" si="7"/>
        <v>1.5488029632196643</v>
      </c>
      <c r="Q68" s="20">
        <f>MAX($P$5:P68)</f>
        <v>1.7536619450228828</v>
      </c>
      <c r="R68" s="15">
        <f t="shared" si="6"/>
        <v>-0.11681782933400275</v>
      </c>
      <c r="S68" s="15">
        <f>O68-Benchmark_RF!D68</f>
        <v>7.9480047087093289E-3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IF(Rankings!C74&lt;=3,1,0)</f>
        <v>1</v>
      </c>
      <c r="D69" s="16">
        <f>IF(Rankings!D74&lt;=3,1,0)</f>
        <v>0</v>
      </c>
      <c r="E69" s="16">
        <f>IF(Rankings!E74&lt;=3,1,0)</f>
        <v>0</v>
      </c>
      <c r="F69" s="16">
        <f>IF(Rankings!F74&lt;=3,1,0)</f>
        <v>1</v>
      </c>
      <c r="G69" s="16">
        <f>IF(Rankings!G74&lt;=3,1,0)</f>
        <v>0</v>
      </c>
      <c r="H69" s="16">
        <f>IF(Rankings!H74&lt;=3,1,0)</f>
        <v>1</v>
      </c>
      <c r="I69" s="16">
        <f>IF(Rankings!I74&lt;=3,1,0)</f>
        <v>0</v>
      </c>
      <c r="J69" s="16">
        <f>IF(Rankings!J74&lt;=3,1,0)</f>
        <v>0</v>
      </c>
      <c r="K69" s="19">
        <f t="shared" ref="K69:K100" si="8">SUM(C69:J69)</f>
        <v>3</v>
      </c>
      <c r="L69" s="15">
        <f>SUMPRODUCT(C69:J69,Returns!B73:I73)/K69</f>
        <v>5.6851044390018902E-2</v>
      </c>
      <c r="M69" s="15">
        <v>0</v>
      </c>
      <c r="N69" s="15">
        <v>0</v>
      </c>
      <c r="O69" s="15">
        <f t="shared" ref="O69:O100" si="9">L69+M69+N69</f>
        <v>5.6851044390018902E-2</v>
      </c>
      <c r="P69" s="20">
        <f t="shared" si="7"/>
        <v>1.6368540292330582</v>
      </c>
      <c r="Q69" s="20">
        <f>MAX($P$5:P69)</f>
        <v>1.7536619450228828</v>
      </c>
      <c r="R69" s="15">
        <f t="shared" ref="R69:R100" si="10">P69/Q69-1</f>
        <v>-6.6608000544996937E-2</v>
      </c>
      <c r="S69" s="15">
        <f>O69-Benchmark_RF!D69</f>
        <v>5.1111567884820332E-2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IF(Rankings!C74&lt;=3,1,0)</f>
        <v>1</v>
      </c>
      <c r="D70" s="16">
        <f>IF(Rankings!D74&lt;=3,1,0)</f>
        <v>0</v>
      </c>
      <c r="E70" s="16">
        <f>IF(Rankings!E74&lt;=3,1,0)</f>
        <v>0</v>
      </c>
      <c r="F70" s="16">
        <f>IF(Rankings!F74&lt;=3,1,0)</f>
        <v>1</v>
      </c>
      <c r="G70" s="16">
        <f>IF(Rankings!G74&lt;=3,1,0)</f>
        <v>0</v>
      </c>
      <c r="H70" s="16">
        <f>IF(Rankings!H74&lt;=3,1,0)</f>
        <v>1</v>
      </c>
      <c r="I70" s="16">
        <f>IF(Rankings!I74&lt;=3,1,0)</f>
        <v>0</v>
      </c>
      <c r="J70" s="16">
        <f>IF(Rankings!J74&lt;=3,1,0)</f>
        <v>0</v>
      </c>
      <c r="K70" s="19">
        <f t="shared" si="8"/>
        <v>3</v>
      </c>
      <c r="L70" s="15">
        <f>SUMPRODUCT(C70:J70,Returns!B74:I74)/K70</f>
        <v>2.1419900973432899E-2</v>
      </c>
      <c r="M70" s="15">
        <v>0</v>
      </c>
      <c r="N70" s="15">
        <v>0</v>
      </c>
      <c r="O70" s="15">
        <f t="shared" si="9"/>
        <v>2.1419900973432899E-2</v>
      </c>
      <c r="P70" s="20">
        <f t="shared" ref="P70:P101" si="11">P69*(1+O70)</f>
        <v>1.6719152804471948</v>
      </c>
      <c r="Q70" s="20">
        <f>MAX($P$5:P70)</f>
        <v>1.7536619450228828</v>
      </c>
      <c r="R70" s="15">
        <f t="shared" si="10"/>
        <v>-4.6614836347276256E-2</v>
      </c>
      <c r="S70" s="15">
        <f>O70-Benchmark_RF!D70</f>
        <v>1.5647018287949194E-2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IF(Rankings!C77&lt;=3,1,0)</f>
        <v>1</v>
      </c>
      <c r="D71" s="16">
        <f>IF(Rankings!D77&lt;=3,1,0)</f>
        <v>0</v>
      </c>
      <c r="E71" s="16">
        <f>IF(Rankings!E77&lt;=3,1,0)</f>
        <v>0</v>
      </c>
      <c r="F71" s="16">
        <f>IF(Rankings!F77&lt;=3,1,0)</f>
        <v>1</v>
      </c>
      <c r="G71" s="16">
        <f>IF(Rankings!G77&lt;=3,1,0)</f>
        <v>0</v>
      </c>
      <c r="H71" s="16">
        <f>IF(Rankings!H77&lt;=3,1,0)</f>
        <v>1</v>
      </c>
      <c r="I71" s="16">
        <f>IF(Rankings!I77&lt;=3,1,0)</f>
        <v>0</v>
      </c>
      <c r="J71" s="16">
        <f>IF(Rankings!J77&lt;=3,1,0)</f>
        <v>0</v>
      </c>
      <c r="K71" s="19">
        <f t="shared" si="8"/>
        <v>3</v>
      </c>
      <c r="L71" s="15">
        <f>SUMPRODUCT(C71:J71,Returns!B75:I75)/K71</f>
        <v>-2.0793648890452616E-2</v>
      </c>
      <c r="M71" s="15">
        <f>-2*Assumptions!$B$13</f>
        <v>-7.0000000000000001E-3</v>
      </c>
      <c r="N71" s="15">
        <f>-Assumptions!$B$16*MAX(0,(1+O68)*(1+O69)*(1+O70)-1)</f>
        <v>-1.4143578151277481E-2</v>
      </c>
      <c r="O71" s="15">
        <f t="shared" si="9"/>
        <v>-4.1937227041730099E-2</v>
      </c>
      <c r="P71" s="20">
        <f t="shared" si="11"/>
        <v>1.601799789736543</v>
      </c>
      <c r="Q71" s="20">
        <f>MAX($P$5:P71)</f>
        <v>1.7536619450228828</v>
      </c>
      <c r="R71" s="15">
        <f t="shared" si="10"/>
        <v>-8.6597166413597493E-2</v>
      </c>
      <c r="S71" s="15">
        <f>O71-Benchmark_RF!D71</f>
        <v>-4.7740532371494684E-2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IF(Rankings!C77&lt;=3,1,0)</f>
        <v>1</v>
      </c>
      <c r="D72" s="16">
        <f>IF(Rankings!D77&lt;=3,1,0)</f>
        <v>0</v>
      </c>
      <c r="E72" s="16">
        <f>IF(Rankings!E77&lt;=3,1,0)</f>
        <v>0</v>
      </c>
      <c r="F72" s="16">
        <f>IF(Rankings!F77&lt;=3,1,0)</f>
        <v>1</v>
      </c>
      <c r="G72" s="16">
        <f>IF(Rankings!G77&lt;=3,1,0)</f>
        <v>0</v>
      </c>
      <c r="H72" s="16">
        <f>IF(Rankings!H77&lt;=3,1,0)</f>
        <v>1</v>
      </c>
      <c r="I72" s="16">
        <f>IF(Rankings!I77&lt;=3,1,0)</f>
        <v>0</v>
      </c>
      <c r="J72" s="16">
        <f>IF(Rankings!J77&lt;=3,1,0)</f>
        <v>0</v>
      </c>
      <c r="K72" s="19">
        <f t="shared" si="8"/>
        <v>3</v>
      </c>
      <c r="L72" s="15">
        <f>SUMPRODUCT(C72:J72,Returns!B76:I76)/K72</f>
        <v>-5.077311832033856E-2</v>
      </c>
      <c r="M72" s="15">
        <v>0</v>
      </c>
      <c r="N72" s="15">
        <v>0</v>
      </c>
      <c r="O72" s="15">
        <f t="shared" si="9"/>
        <v>-5.077311832033856E-2</v>
      </c>
      <c r="P72" s="20">
        <f t="shared" si="11"/>
        <v>1.5204714194867561</v>
      </c>
      <c r="Q72" s="20">
        <f>MAX($P$5:P72)</f>
        <v>1.7536619450228828</v>
      </c>
      <c r="R72" s="15">
        <f t="shared" si="10"/>
        <v>-0.13297347655741243</v>
      </c>
      <c r="S72" s="15">
        <f>O72-Benchmark_RF!D72</f>
        <v>-5.6763273391008583E-2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IF(Rankings!C77&lt;=3,1,0)</f>
        <v>1</v>
      </c>
      <c r="D73" s="16">
        <f>IF(Rankings!D77&lt;=3,1,0)</f>
        <v>0</v>
      </c>
      <c r="E73" s="16">
        <f>IF(Rankings!E77&lt;=3,1,0)</f>
        <v>0</v>
      </c>
      <c r="F73" s="16">
        <f>IF(Rankings!F77&lt;=3,1,0)</f>
        <v>1</v>
      </c>
      <c r="G73" s="16">
        <f>IF(Rankings!G77&lt;=3,1,0)</f>
        <v>0</v>
      </c>
      <c r="H73" s="16">
        <f>IF(Rankings!H77&lt;=3,1,0)</f>
        <v>1</v>
      </c>
      <c r="I73" s="16">
        <f>IF(Rankings!I77&lt;=3,1,0)</f>
        <v>0</v>
      </c>
      <c r="J73" s="16">
        <f>IF(Rankings!J77&lt;=3,1,0)</f>
        <v>0</v>
      </c>
      <c r="K73" s="19">
        <f t="shared" si="8"/>
        <v>3</v>
      </c>
      <c r="L73" s="15">
        <f>SUMPRODUCT(C73:J73,Returns!B77:I77)/K73</f>
        <v>-4.8719490880677729E-2</v>
      </c>
      <c r="M73" s="15">
        <v>0</v>
      </c>
      <c r="N73" s="15">
        <v>0</v>
      </c>
      <c r="O73" s="15">
        <f t="shared" si="9"/>
        <v>-4.8719490880677729E-2</v>
      </c>
      <c r="P73" s="20">
        <f t="shared" si="11"/>
        <v>1.44639482603074</v>
      </c>
      <c r="Q73" s="20">
        <f>MAX($P$5:P73)</f>
        <v>1.7536619450228828</v>
      </c>
      <c r="R73" s="15">
        <f t="shared" si="10"/>
        <v>-0.1752145673595793</v>
      </c>
      <c r="S73" s="15">
        <f>O73-Benchmark_RF!D73</f>
        <v>-5.4667887859303765E-2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IF(Rankings!C80&lt;=3,1,0)</f>
        <v>1</v>
      </c>
      <c r="D74" s="16">
        <f>IF(Rankings!D80&lt;=3,1,0)</f>
        <v>0</v>
      </c>
      <c r="E74" s="16">
        <f>IF(Rankings!E80&lt;=3,1,0)</f>
        <v>0</v>
      </c>
      <c r="F74" s="16">
        <f>IF(Rankings!F80&lt;=3,1,0)</f>
        <v>1</v>
      </c>
      <c r="G74" s="16">
        <f>IF(Rankings!G80&lt;=3,1,0)</f>
        <v>0</v>
      </c>
      <c r="H74" s="16">
        <f>IF(Rankings!H80&lt;=3,1,0)</f>
        <v>0</v>
      </c>
      <c r="I74" s="16">
        <f>IF(Rankings!I80&lt;=3,1,0)</f>
        <v>1</v>
      </c>
      <c r="J74" s="16">
        <f>IF(Rankings!J80&lt;=3,1,0)</f>
        <v>0</v>
      </c>
      <c r="K74" s="19">
        <f t="shared" si="8"/>
        <v>3</v>
      </c>
      <c r="L74" s="15">
        <f>SUMPRODUCT(C74:J74,Returns!B78:I78)/K74</f>
        <v>5.4654944473215471E-2</v>
      </c>
      <c r="M74" s="15">
        <f>-2*Assumptions!$B$13</f>
        <v>-7.0000000000000001E-3</v>
      </c>
      <c r="N74" s="15">
        <f>-Assumptions!$B$16*MAX(0,(1+O71)*(1+O72)*(1+O73)-1)</f>
        <v>0</v>
      </c>
      <c r="O74" s="15">
        <f t="shared" si="9"/>
        <v>4.7654944473215471E-2</v>
      </c>
      <c r="P74" s="20">
        <f t="shared" si="11"/>
        <v>1.5153226911515811</v>
      </c>
      <c r="Q74" s="20">
        <f>MAX($P$5:P74)</f>
        <v>1.7536619450228828</v>
      </c>
      <c r="R74" s="15">
        <f t="shared" si="10"/>
        <v>-0.13590946336478305</v>
      </c>
      <c r="S74" s="15">
        <f>O74-Benchmark_RF!D74</f>
        <v>4.1733329539556968E-2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IF(Rankings!C80&lt;=3,1,0)</f>
        <v>1</v>
      </c>
      <c r="D75" s="16">
        <f>IF(Rankings!D80&lt;=3,1,0)</f>
        <v>0</v>
      </c>
      <c r="E75" s="16">
        <f>IF(Rankings!E80&lt;=3,1,0)</f>
        <v>0</v>
      </c>
      <c r="F75" s="16">
        <f>IF(Rankings!F80&lt;=3,1,0)</f>
        <v>1</v>
      </c>
      <c r="G75" s="16">
        <f>IF(Rankings!G80&lt;=3,1,0)</f>
        <v>0</v>
      </c>
      <c r="H75" s="16">
        <f>IF(Rankings!H80&lt;=3,1,0)</f>
        <v>0</v>
      </c>
      <c r="I75" s="16">
        <f>IF(Rankings!I80&lt;=3,1,0)</f>
        <v>1</v>
      </c>
      <c r="J75" s="16">
        <f>IF(Rankings!J80&lt;=3,1,0)</f>
        <v>0</v>
      </c>
      <c r="K75" s="19">
        <f t="shared" si="8"/>
        <v>3</v>
      </c>
      <c r="L75" s="15">
        <f>SUMPRODUCT(C75:J75,Returns!B79:I79)/K75</f>
        <v>-2.2628577325528736E-2</v>
      </c>
      <c r="M75" s="15">
        <v>0</v>
      </c>
      <c r="N75" s="15">
        <v>0</v>
      </c>
      <c r="O75" s="15">
        <f t="shared" si="9"/>
        <v>-2.2628577325528736E-2</v>
      </c>
      <c r="P75" s="20">
        <f t="shared" si="11"/>
        <v>1.4810330944617294</v>
      </c>
      <c r="Q75" s="20">
        <f>MAX($P$5:P75)</f>
        <v>1.7536619450228828</v>
      </c>
      <c r="R75" s="15">
        <f t="shared" si="10"/>
        <v>-0.15546260288929059</v>
      </c>
      <c r="S75" s="15">
        <f>O75-Benchmark_RF!D75</f>
        <v>-2.8513715461336336E-2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IF(Rankings!C80&lt;=3,1,0)</f>
        <v>1</v>
      </c>
      <c r="D76" s="16">
        <f>IF(Rankings!D80&lt;=3,1,0)</f>
        <v>0</v>
      </c>
      <c r="E76" s="16">
        <f>IF(Rankings!E80&lt;=3,1,0)</f>
        <v>0</v>
      </c>
      <c r="F76" s="16">
        <f>IF(Rankings!F80&lt;=3,1,0)</f>
        <v>1</v>
      </c>
      <c r="G76" s="16">
        <f>IF(Rankings!G80&lt;=3,1,0)</f>
        <v>0</v>
      </c>
      <c r="H76" s="16">
        <f>IF(Rankings!H80&lt;=3,1,0)</f>
        <v>0</v>
      </c>
      <c r="I76" s="16">
        <f>IF(Rankings!I80&lt;=3,1,0)</f>
        <v>1</v>
      </c>
      <c r="J76" s="16">
        <f>IF(Rankings!J80&lt;=3,1,0)</f>
        <v>0</v>
      </c>
      <c r="K76" s="19">
        <f t="shared" si="8"/>
        <v>3</v>
      </c>
      <c r="L76" s="15">
        <f>SUMPRODUCT(C76:J76,Returns!B80:I80)/K76</f>
        <v>-2.1606706902173995E-2</v>
      </c>
      <c r="M76" s="15">
        <v>0</v>
      </c>
      <c r="N76" s="15">
        <v>0</v>
      </c>
      <c r="O76" s="15">
        <f t="shared" si="9"/>
        <v>-2.1606706902173995E-2</v>
      </c>
      <c r="P76" s="20">
        <f t="shared" si="11"/>
        <v>1.449032846477275</v>
      </c>
      <c r="Q76" s="20">
        <f>MAX($P$5:P76)</f>
        <v>1.7536619450228828</v>
      </c>
      <c r="R76" s="15">
        <f t="shared" si="10"/>
        <v>-0.17371027489658664</v>
      </c>
      <c r="S76" s="15">
        <f>O76-Benchmark_RF!D76</f>
        <v>-2.744276977632672E-2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IF(Rankings!C83&lt;=3,1,0)</f>
        <v>1</v>
      </c>
      <c r="D77" s="16">
        <f>IF(Rankings!D83&lt;=3,1,0)</f>
        <v>1</v>
      </c>
      <c r="E77" s="16">
        <f>IF(Rankings!E83&lt;=3,1,0)</f>
        <v>0</v>
      </c>
      <c r="F77" s="16">
        <f>IF(Rankings!F83&lt;=3,1,0)</f>
        <v>1</v>
      </c>
      <c r="G77" s="16">
        <f>IF(Rankings!G83&lt;=3,1,0)</f>
        <v>0</v>
      </c>
      <c r="H77" s="16">
        <f>IF(Rankings!H83&lt;=3,1,0)</f>
        <v>0</v>
      </c>
      <c r="I77" s="16">
        <f>IF(Rankings!I83&lt;=3,1,0)</f>
        <v>0</v>
      </c>
      <c r="J77" s="16">
        <f>IF(Rankings!J83&lt;=3,1,0)</f>
        <v>0</v>
      </c>
      <c r="K77" s="19">
        <f t="shared" si="8"/>
        <v>3</v>
      </c>
      <c r="L77" s="15">
        <f>SUMPRODUCT(C77:J77,Returns!B81:I81)/K77</f>
        <v>8.2293350223880693E-2</v>
      </c>
      <c r="M77" s="15">
        <f>-2*Assumptions!$B$13</f>
        <v>-7.0000000000000001E-3</v>
      </c>
      <c r="N77" s="15">
        <f>-Assumptions!$B$16*MAX(0,(1+O74)*(1+O75)*(1+O76)-1)</f>
        <v>-2.7357887338834707E-4</v>
      </c>
      <c r="O77" s="15">
        <f t="shared" si="9"/>
        <v>7.5019771350492342E-2</v>
      </c>
      <c r="P77" s="20">
        <f t="shared" si="11"/>
        <v>1.5577389592993534</v>
      </c>
      <c r="Q77" s="20">
        <f>MAX($P$5:P77)</f>
        <v>1.7536619450228828</v>
      </c>
      <c r="R77" s="15">
        <f t="shared" si="10"/>
        <v>-0.11172220865006732</v>
      </c>
      <c r="S77" s="15">
        <f>O77-Benchmark_RF!D77</f>
        <v>6.9186209831980677E-2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IF(Rankings!C83&lt;=3,1,0)</f>
        <v>1</v>
      </c>
      <c r="D78" s="16">
        <f>IF(Rankings!D83&lt;=3,1,0)</f>
        <v>1</v>
      </c>
      <c r="E78" s="16">
        <f>IF(Rankings!E83&lt;=3,1,0)</f>
        <v>0</v>
      </c>
      <c r="F78" s="16">
        <f>IF(Rankings!F83&lt;=3,1,0)</f>
        <v>1</v>
      </c>
      <c r="G78" s="16">
        <f>IF(Rankings!G83&lt;=3,1,0)</f>
        <v>0</v>
      </c>
      <c r="H78" s="16">
        <f>IF(Rankings!H83&lt;=3,1,0)</f>
        <v>0</v>
      </c>
      <c r="I78" s="16">
        <f>IF(Rankings!I83&lt;=3,1,0)</f>
        <v>0</v>
      </c>
      <c r="J78" s="16">
        <f>IF(Rankings!J83&lt;=3,1,0)</f>
        <v>0</v>
      </c>
      <c r="K78" s="19">
        <f t="shared" si="8"/>
        <v>3</v>
      </c>
      <c r="L78" s="15">
        <f>SUMPRODUCT(C78:J78,Returns!B82:I82)/K78</f>
        <v>-4.2541615662015309E-2</v>
      </c>
      <c r="M78" s="15">
        <v>0</v>
      </c>
      <c r="N78" s="15">
        <v>0</v>
      </c>
      <c r="O78" s="15">
        <f t="shared" si="9"/>
        <v>-4.2541615662015309E-2</v>
      </c>
      <c r="P78" s="20">
        <f t="shared" si="11"/>
        <v>1.4914702271910925</v>
      </c>
      <c r="Q78" s="20">
        <f>MAX($P$5:P78)</f>
        <v>1.7536619450228828</v>
      </c>
      <c r="R78" s="15">
        <f t="shared" si="10"/>
        <v>-0.14951098105078009</v>
      </c>
      <c r="S78" s="15">
        <f>O78-Benchmark_RF!D78</f>
        <v>-4.8641967336998659E-2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IF(Rankings!C83&lt;=3,1,0)</f>
        <v>1</v>
      </c>
      <c r="D79" s="16">
        <f>IF(Rankings!D83&lt;=3,1,0)</f>
        <v>1</v>
      </c>
      <c r="E79" s="16">
        <f>IF(Rankings!E83&lt;=3,1,0)</f>
        <v>0</v>
      </c>
      <c r="F79" s="16">
        <f>IF(Rankings!F83&lt;=3,1,0)</f>
        <v>1</v>
      </c>
      <c r="G79" s="16">
        <f>IF(Rankings!G83&lt;=3,1,0)</f>
        <v>0</v>
      </c>
      <c r="H79" s="16">
        <f>IF(Rankings!H83&lt;=3,1,0)</f>
        <v>0</v>
      </c>
      <c r="I79" s="16">
        <f>IF(Rankings!I83&lt;=3,1,0)</f>
        <v>0</v>
      </c>
      <c r="J79" s="16">
        <f>IF(Rankings!J83&lt;=3,1,0)</f>
        <v>0</v>
      </c>
      <c r="K79" s="19">
        <f t="shared" si="8"/>
        <v>3</v>
      </c>
      <c r="L79" s="15">
        <f>SUMPRODUCT(C79:J79,Returns!B83:I83)/K79</f>
        <v>1.5316442573631442E-2</v>
      </c>
      <c r="M79" s="15">
        <v>0</v>
      </c>
      <c r="N79" s="15">
        <v>0</v>
      </c>
      <c r="O79" s="15">
        <f t="shared" si="9"/>
        <v>1.5316442573631442E-2</v>
      </c>
      <c r="P79" s="20">
        <f t="shared" si="11"/>
        <v>1.5143142452761458</v>
      </c>
      <c r="Q79" s="20">
        <f>MAX($P$5:P79)</f>
        <v>1.7536619450228828</v>
      </c>
      <c r="R79" s="15">
        <f t="shared" si="10"/>
        <v>-0.1364845148325402</v>
      </c>
      <c r="S79" s="15">
        <f>O79-Benchmark_RF!D79</f>
        <v>8.7467687146760929E-3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IF(Rankings!C86&lt;=3,1,0)</f>
        <v>1</v>
      </c>
      <c r="D80" s="16">
        <f>IF(Rankings!D86&lt;=3,1,0)</f>
        <v>1</v>
      </c>
      <c r="E80" s="16">
        <f>IF(Rankings!E86&lt;=3,1,0)</f>
        <v>0</v>
      </c>
      <c r="F80" s="16">
        <f>IF(Rankings!F86&lt;=3,1,0)</f>
        <v>0</v>
      </c>
      <c r="G80" s="16">
        <f>IF(Rankings!G86&lt;=3,1,0)</f>
        <v>0</v>
      </c>
      <c r="H80" s="16">
        <f>IF(Rankings!H86&lt;=3,1,0)</f>
        <v>0</v>
      </c>
      <c r="I80" s="16">
        <f>IF(Rankings!I86&lt;=3,1,0)</f>
        <v>1</v>
      </c>
      <c r="J80" s="16">
        <f>IF(Rankings!J86&lt;=3,1,0)</f>
        <v>0</v>
      </c>
      <c r="K80" s="19">
        <f t="shared" si="8"/>
        <v>3</v>
      </c>
      <c r="L80" s="15">
        <f>SUMPRODUCT(C80:J80,Returns!B84:I84)/K80</f>
        <v>-8.6662077417797665E-3</v>
      </c>
      <c r="M80" s="15">
        <f>-2*Assumptions!$B$13</f>
        <v>-7.0000000000000001E-3</v>
      </c>
      <c r="N80" s="15">
        <f>-Assumptions!$B$16*MAX(0,(1+O77)*(1+O78)*(1+O79)-1)</f>
        <v>-6.7577555910042332E-3</v>
      </c>
      <c r="O80" s="15">
        <f t="shared" si="9"/>
        <v>-2.2423963332784E-2</v>
      </c>
      <c r="P80" s="20">
        <f t="shared" si="11"/>
        <v>1.480357318165761</v>
      </c>
      <c r="Q80" s="20">
        <f>MAX($P$5:P80)</f>
        <v>1.7536619450228828</v>
      </c>
      <c r="R80" s="15">
        <f t="shared" si="10"/>
        <v>-0.1558479544092265</v>
      </c>
      <c r="S80" s="15">
        <f>O80-Benchmark_RF!D80</f>
        <v>-2.9245688684971391E-2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IF(Rankings!C86&lt;=3,1,0)</f>
        <v>1</v>
      </c>
      <c r="D81" s="16">
        <f>IF(Rankings!D86&lt;=3,1,0)</f>
        <v>1</v>
      </c>
      <c r="E81" s="16">
        <f>IF(Rankings!E86&lt;=3,1,0)</f>
        <v>0</v>
      </c>
      <c r="F81" s="16">
        <f>IF(Rankings!F86&lt;=3,1,0)</f>
        <v>0</v>
      </c>
      <c r="G81" s="16">
        <f>IF(Rankings!G86&lt;=3,1,0)</f>
        <v>0</v>
      </c>
      <c r="H81" s="16">
        <f>IF(Rankings!H86&lt;=3,1,0)</f>
        <v>0</v>
      </c>
      <c r="I81" s="16">
        <f>IF(Rankings!I86&lt;=3,1,0)</f>
        <v>1</v>
      </c>
      <c r="J81" s="16">
        <f>IF(Rankings!J86&lt;=3,1,0)</f>
        <v>0</v>
      </c>
      <c r="K81" s="19">
        <f t="shared" si="8"/>
        <v>3</v>
      </c>
      <c r="L81" s="15">
        <f>SUMPRODUCT(C81:J81,Returns!B85:I85)/K81</f>
        <v>-4.5037903824913607E-2</v>
      </c>
      <c r="M81" s="15">
        <v>0</v>
      </c>
      <c r="N81" s="15">
        <v>0</v>
      </c>
      <c r="O81" s="15">
        <f t="shared" si="9"/>
        <v>-4.5037903824913607E-2</v>
      </c>
      <c r="P81" s="20">
        <f t="shared" si="11"/>
        <v>1.4136851276437046</v>
      </c>
      <c r="Q81" s="20">
        <f>MAX($P$5:P81)</f>
        <v>1.7536619450228828</v>
      </c>
      <c r="R81" s="15">
        <f t="shared" si="10"/>
        <v>-0.19386679305214782</v>
      </c>
      <c r="S81" s="15">
        <f>O81-Benchmark_RF!D81</f>
        <v>-5.3307316836276354E-2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IF(Rankings!C86&lt;=3,1,0)</f>
        <v>1</v>
      </c>
      <c r="D82" s="16">
        <f>IF(Rankings!D86&lt;=3,1,0)</f>
        <v>1</v>
      </c>
      <c r="E82" s="16">
        <f>IF(Rankings!E86&lt;=3,1,0)</f>
        <v>0</v>
      </c>
      <c r="F82" s="16">
        <f>IF(Rankings!F86&lt;=3,1,0)</f>
        <v>0</v>
      </c>
      <c r="G82" s="16">
        <f>IF(Rankings!G86&lt;=3,1,0)</f>
        <v>0</v>
      </c>
      <c r="H82" s="16">
        <f>IF(Rankings!H86&lt;=3,1,0)</f>
        <v>0</v>
      </c>
      <c r="I82" s="16">
        <f>IF(Rankings!I86&lt;=3,1,0)</f>
        <v>1</v>
      </c>
      <c r="J82" s="16">
        <f>IF(Rankings!J86&lt;=3,1,0)</f>
        <v>0</v>
      </c>
      <c r="K82" s="19">
        <f t="shared" si="8"/>
        <v>3</v>
      </c>
      <c r="L82" s="15">
        <f>SUMPRODUCT(C82:J82,Returns!B86:I86)/K82</f>
        <v>-5.7385939037366551E-3</v>
      </c>
      <c r="M82" s="15">
        <v>0</v>
      </c>
      <c r="N82" s="15">
        <v>0</v>
      </c>
      <c r="O82" s="15">
        <f t="shared" si="9"/>
        <v>-5.7385939037366551E-3</v>
      </c>
      <c r="P82" s="20">
        <f t="shared" si="11"/>
        <v>1.4055725627884053</v>
      </c>
      <c r="Q82" s="20">
        <f>MAX($P$5:P82)</f>
        <v>1.7536619450228828</v>
      </c>
      <c r="R82" s="15">
        <f t="shared" si="10"/>
        <v>-0.19849286415913836</v>
      </c>
      <c r="S82" s="15">
        <f>O82-Benchmark_RF!D82</f>
        <v>-1.3867617575771929E-2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IF(Rankings!C89&lt;=3,1,0)</f>
        <v>1</v>
      </c>
      <c r="D83" s="16">
        <f>IF(Rankings!D89&lt;=3,1,0)</f>
        <v>1</v>
      </c>
      <c r="E83" s="16">
        <f>IF(Rankings!E89&lt;=3,1,0)</f>
        <v>0</v>
      </c>
      <c r="F83" s="16">
        <f>IF(Rankings!F89&lt;=3,1,0)</f>
        <v>0</v>
      </c>
      <c r="G83" s="16">
        <f>IF(Rankings!G89&lt;=3,1,0)</f>
        <v>0</v>
      </c>
      <c r="H83" s="16">
        <f>IF(Rankings!H89&lt;=3,1,0)</f>
        <v>0</v>
      </c>
      <c r="I83" s="16">
        <f>IF(Rankings!I89&lt;=3,1,0)</f>
        <v>1</v>
      </c>
      <c r="J83" s="16">
        <f>IF(Rankings!J89&lt;=3,1,0)</f>
        <v>0</v>
      </c>
      <c r="K83" s="19">
        <f t="shared" si="8"/>
        <v>3</v>
      </c>
      <c r="L83" s="15">
        <f>SUMPRODUCT(C83:J83,Returns!B87:I87)/K83</f>
        <v>-1.7653326046427331E-2</v>
      </c>
      <c r="M83" s="15">
        <f>-2*Assumptions!$B$13</f>
        <v>-7.0000000000000001E-3</v>
      </c>
      <c r="N83" s="15">
        <f>-Assumptions!$B$16*MAX(0,(1+O80)*(1+O81)*(1+O82)-1)</f>
        <v>0</v>
      </c>
      <c r="O83" s="15">
        <f t="shared" si="9"/>
        <v>-2.465332604642733E-2</v>
      </c>
      <c r="P83" s="20">
        <f t="shared" si="11"/>
        <v>1.3709205241160702</v>
      </c>
      <c r="Q83" s="20">
        <f>MAX($P$5:P83)</f>
        <v>1.7536619450228828</v>
      </c>
      <c r="R83" s="15">
        <f t="shared" si="10"/>
        <v>-0.21825268090756134</v>
      </c>
      <c r="S83" s="15">
        <f>O83-Benchmark_RF!D83</f>
        <v>-3.2919922720719856E-2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IF(Rankings!C89&lt;=3,1,0)</f>
        <v>1</v>
      </c>
      <c r="D84" s="16">
        <f>IF(Rankings!D89&lt;=3,1,0)</f>
        <v>1</v>
      </c>
      <c r="E84" s="16">
        <f>IF(Rankings!E89&lt;=3,1,0)</f>
        <v>0</v>
      </c>
      <c r="F84" s="16">
        <f>IF(Rankings!F89&lt;=3,1,0)</f>
        <v>0</v>
      </c>
      <c r="G84" s="16">
        <f>IF(Rankings!G89&lt;=3,1,0)</f>
        <v>0</v>
      </c>
      <c r="H84" s="16">
        <f>IF(Rankings!H89&lt;=3,1,0)</f>
        <v>0</v>
      </c>
      <c r="I84" s="16">
        <f>IF(Rankings!I89&lt;=3,1,0)</f>
        <v>1</v>
      </c>
      <c r="J84" s="16">
        <f>IF(Rankings!J89&lt;=3,1,0)</f>
        <v>0</v>
      </c>
      <c r="K84" s="19">
        <f t="shared" si="8"/>
        <v>3</v>
      </c>
      <c r="L84" s="15">
        <f>SUMPRODUCT(C84:J84,Returns!B88:I88)/K84</f>
        <v>-7.4090625948096081E-2</v>
      </c>
      <c r="M84" s="15">
        <v>0</v>
      </c>
      <c r="N84" s="15">
        <v>0</v>
      </c>
      <c r="O84" s="15">
        <f t="shared" si="9"/>
        <v>-7.4090625948096081E-2</v>
      </c>
      <c r="P84" s="20">
        <f t="shared" si="11"/>
        <v>1.2693481643592186</v>
      </c>
      <c r="Q84" s="20">
        <f>MAX($P$5:P84)</f>
        <v>1.7536619450228828</v>
      </c>
      <c r="R84" s="15">
        <f t="shared" si="10"/>
        <v>-0.27617282911236607</v>
      </c>
      <c r="S84" s="15">
        <f>O84-Benchmark_RF!D84</f>
        <v>-8.3391901154585682E-2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IF(Rankings!C89&lt;=3,1,0)</f>
        <v>1</v>
      </c>
      <c r="D85" s="16">
        <f>IF(Rankings!D89&lt;=3,1,0)</f>
        <v>1</v>
      </c>
      <c r="E85" s="16">
        <f>IF(Rankings!E89&lt;=3,1,0)</f>
        <v>0</v>
      </c>
      <c r="F85" s="16">
        <f>IF(Rankings!F89&lt;=3,1,0)</f>
        <v>0</v>
      </c>
      <c r="G85" s="16">
        <f>IF(Rankings!G89&lt;=3,1,0)</f>
        <v>0</v>
      </c>
      <c r="H85" s="16">
        <f>IF(Rankings!H89&lt;=3,1,0)</f>
        <v>0</v>
      </c>
      <c r="I85" s="16">
        <f>IF(Rankings!I89&lt;=3,1,0)</f>
        <v>1</v>
      </c>
      <c r="J85" s="16">
        <f>IF(Rankings!J89&lt;=3,1,0)</f>
        <v>0</v>
      </c>
      <c r="K85" s="19">
        <f t="shared" si="8"/>
        <v>3</v>
      </c>
      <c r="L85" s="15">
        <f>SUMPRODUCT(C85:J85,Returns!B89:I89)/K85</f>
        <v>3.0313430753930486E-2</v>
      </c>
      <c r="M85" s="15">
        <v>0</v>
      </c>
      <c r="N85" s="15">
        <v>0</v>
      </c>
      <c r="O85" s="15">
        <f t="shared" si="9"/>
        <v>3.0313430753930486E-2</v>
      </c>
      <c r="P85" s="20">
        <f t="shared" si="11"/>
        <v>1.3078264620421507</v>
      </c>
      <c r="Q85" s="20">
        <f>MAX($P$5:P85)</f>
        <v>1.7536619450228828</v>
      </c>
      <c r="R85" s="15">
        <f t="shared" si="10"/>
        <v>-0.25423114428985027</v>
      </c>
      <c r="S85" s="15">
        <f>O85-Benchmark_RF!D85</f>
        <v>1.919161584657984E-2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IF(Rankings!C92&lt;=3,1,0)</f>
        <v>1</v>
      </c>
      <c r="D86" s="16">
        <f>IF(Rankings!D92&lt;=3,1,0)</f>
        <v>1</v>
      </c>
      <c r="E86" s="16">
        <f>IF(Rankings!E92&lt;=3,1,0)</f>
        <v>0</v>
      </c>
      <c r="F86" s="16">
        <f>IF(Rankings!F92&lt;=3,1,0)</f>
        <v>0</v>
      </c>
      <c r="G86" s="16">
        <f>IF(Rankings!G92&lt;=3,1,0)</f>
        <v>1</v>
      </c>
      <c r="H86" s="16">
        <f>IF(Rankings!H92&lt;=3,1,0)</f>
        <v>0</v>
      </c>
      <c r="I86" s="16">
        <f>IF(Rankings!I92&lt;=3,1,0)</f>
        <v>0</v>
      </c>
      <c r="J86" s="16">
        <f>IF(Rankings!J92&lt;=3,1,0)</f>
        <v>0</v>
      </c>
      <c r="K86" s="19">
        <f t="shared" si="8"/>
        <v>3</v>
      </c>
      <c r="L86" s="15">
        <f>SUMPRODUCT(C86:J86,Returns!B90:I90)/K86</f>
        <v>-9.083052836546035E-2</v>
      </c>
      <c r="M86" s="15">
        <f>-2*Assumptions!$B$13</f>
        <v>-7.0000000000000001E-3</v>
      </c>
      <c r="N86" s="15">
        <f>-Assumptions!$B$16*MAX(0,(1+O83)*(1+O84)*(1+O85)-1)</f>
        <v>0</v>
      </c>
      <c r="O86" s="15">
        <f t="shared" si="9"/>
        <v>-9.7830528365460356E-2</v>
      </c>
      <c r="P86" s="20">
        <f t="shared" si="11"/>
        <v>1.1798811082502365</v>
      </c>
      <c r="Q86" s="20">
        <f>MAX($P$5:P86)</f>
        <v>1.7536619450228828</v>
      </c>
      <c r="R86" s="15">
        <f t="shared" si="10"/>
        <v>-0.32719010548247895</v>
      </c>
      <c r="S86" s="15">
        <f>O86-Benchmark_RF!D86</f>
        <v>-0.1091210869825785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IF(Rankings!C92&lt;=3,1,0)</f>
        <v>1</v>
      </c>
      <c r="D87" s="16">
        <f>IF(Rankings!D92&lt;=3,1,0)</f>
        <v>1</v>
      </c>
      <c r="E87" s="16">
        <f>IF(Rankings!E92&lt;=3,1,0)</f>
        <v>0</v>
      </c>
      <c r="F87" s="16">
        <f>IF(Rankings!F92&lt;=3,1,0)</f>
        <v>0</v>
      </c>
      <c r="G87" s="16">
        <f>IF(Rankings!G92&lt;=3,1,0)</f>
        <v>1</v>
      </c>
      <c r="H87" s="16">
        <f>IF(Rankings!H92&lt;=3,1,0)</f>
        <v>0</v>
      </c>
      <c r="I87" s="16">
        <f>IF(Rankings!I92&lt;=3,1,0)</f>
        <v>0</v>
      </c>
      <c r="J87" s="16">
        <f>IF(Rankings!J92&lt;=3,1,0)</f>
        <v>0</v>
      </c>
      <c r="K87" s="19">
        <f t="shared" si="8"/>
        <v>3</v>
      </c>
      <c r="L87" s="15">
        <f>SUMPRODUCT(C87:J87,Returns!B91:I91)/K87</f>
        <v>-6.6925035385756157E-2</v>
      </c>
      <c r="M87" s="15">
        <v>0</v>
      </c>
      <c r="N87" s="15">
        <v>0</v>
      </c>
      <c r="O87" s="15">
        <f t="shared" si="9"/>
        <v>-6.6925035385756157E-2</v>
      </c>
      <c r="P87" s="20">
        <f t="shared" si="11"/>
        <v>1.1009175233296042</v>
      </c>
      <c r="Q87" s="20">
        <f>MAX($P$5:P87)</f>
        <v>1.7536619450228828</v>
      </c>
      <c r="R87" s="15">
        <f t="shared" si="10"/>
        <v>-0.37221793148095095</v>
      </c>
      <c r="S87" s="15">
        <f>O87-Benchmark_RF!D87</f>
        <v>-7.8698583753983017E-2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IF(Rankings!C92&lt;=3,1,0)</f>
        <v>1</v>
      </c>
      <c r="D88" s="16">
        <f>IF(Rankings!D92&lt;=3,1,0)</f>
        <v>1</v>
      </c>
      <c r="E88" s="16">
        <f>IF(Rankings!E92&lt;=3,1,0)</f>
        <v>0</v>
      </c>
      <c r="F88" s="16">
        <f>IF(Rankings!F92&lt;=3,1,0)</f>
        <v>0</v>
      </c>
      <c r="G88" s="16">
        <f>IF(Rankings!G92&lt;=3,1,0)</f>
        <v>1</v>
      </c>
      <c r="H88" s="16">
        <f>IF(Rankings!H92&lt;=3,1,0)</f>
        <v>0</v>
      </c>
      <c r="I88" s="16">
        <f>IF(Rankings!I92&lt;=3,1,0)</f>
        <v>0</v>
      </c>
      <c r="J88" s="16">
        <f>IF(Rankings!J92&lt;=3,1,0)</f>
        <v>0</v>
      </c>
      <c r="K88" s="19">
        <f t="shared" si="8"/>
        <v>3</v>
      </c>
      <c r="L88" s="15">
        <f>SUMPRODUCT(C88:J88,Returns!B92:I92)/K88</f>
        <v>-8.1602187168694496E-3</v>
      </c>
      <c r="M88" s="15">
        <v>0</v>
      </c>
      <c r="N88" s="15">
        <v>0</v>
      </c>
      <c r="O88" s="15">
        <f t="shared" si="9"/>
        <v>-8.1602187168694496E-3</v>
      </c>
      <c r="P88" s="20">
        <f t="shared" si="11"/>
        <v>1.0919337955500004</v>
      </c>
      <c r="Q88" s="20">
        <f>MAX($P$5:P88)</f>
        <v>1.7536619450228828</v>
      </c>
      <c r="R88" s="15">
        <f t="shared" si="10"/>
        <v>-0.37734077046659509</v>
      </c>
      <c r="S88" s="15">
        <f>O88-Benchmark_RF!D88</f>
        <v>-2.0335849837929132E-2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IF(Rankings!C95&lt;=3,1,0)</f>
        <v>0</v>
      </c>
      <c r="D89" s="16">
        <f>IF(Rankings!D95&lt;=3,1,0)</f>
        <v>1</v>
      </c>
      <c r="E89" s="16">
        <f>IF(Rankings!E95&lt;=3,1,0)</f>
        <v>0</v>
      </c>
      <c r="F89" s="16">
        <f>IF(Rankings!F95&lt;=3,1,0)</f>
        <v>0</v>
      </c>
      <c r="G89" s="16">
        <f>IF(Rankings!G95&lt;=3,1,0)</f>
        <v>1</v>
      </c>
      <c r="H89" s="16">
        <f>IF(Rankings!H95&lt;=3,1,0)</f>
        <v>0</v>
      </c>
      <c r="I89" s="16">
        <f>IF(Rankings!I95&lt;=3,1,0)</f>
        <v>1</v>
      </c>
      <c r="J89" s="16">
        <f>IF(Rankings!J95&lt;=3,1,0)</f>
        <v>0</v>
      </c>
      <c r="K89" s="19">
        <f t="shared" si="8"/>
        <v>3</v>
      </c>
      <c r="L89" s="15">
        <f>SUMPRODUCT(C89:J89,Returns!B93:I93)/K89</f>
        <v>0.15216587181785032</v>
      </c>
      <c r="M89" s="15">
        <f>-2*Assumptions!$B$13</f>
        <v>-7.0000000000000001E-3</v>
      </c>
      <c r="N89" s="15">
        <f>-Assumptions!$B$16*MAX(0,(1+O86)*(1+O87)*(1+O88)-1)</f>
        <v>0</v>
      </c>
      <c r="O89" s="15">
        <f t="shared" si="9"/>
        <v>0.14516587181785032</v>
      </c>
      <c r="P89" s="20">
        <f t="shared" si="11"/>
        <v>1.2504453169483905</v>
      </c>
      <c r="Q89" s="20">
        <f>MAX($P$5:P89)</f>
        <v>1.7536619450228828</v>
      </c>
      <c r="R89" s="15">
        <f t="shared" si="10"/>
        <v>-0.28695190056594744</v>
      </c>
      <c r="S89" s="15">
        <f>O89-Benchmark_RF!D89</f>
        <v>0.13291732315468538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IF(Rankings!C95&lt;=3,1,0)</f>
        <v>0</v>
      </c>
      <c r="D90" s="16">
        <f>IF(Rankings!D95&lt;=3,1,0)</f>
        <v>1</v>
      </c>
      <c r="E90" s="16">
        <f>IF(Rankings!E95&lt;=3,1,0)</f>
        <v>0</v>
      </c>
      <c r="F90" s="16">
        <f>IF(Rankings!F95&lt;=3,1,0)</f>
        <v>0</v>
      </c>
      <c r="G90" s="16">
        <f>IF(Rankings!G95&lt;=3,1,0)</f>
        <v>1</v>
      </c>
      <c r="H90" s="16">
        <f>IF(Rankings!H95&lt;=3,1,0)</f>
        <v>0</v>
      </c>
      <c r="I90" s="16">
        <f>IF(Rankings!I95&lt;=3,1,0)</f>
        <v>1</v>
      </c>
      <c r="J90" s="16">
        <f>IF(Rankings!J95&lt;=3,1,0)</f>
        <v>0</v>
      </c>
      <c r="K90" s="19">
        <f t="shared" si="8"/>
        <v>3</v>
      </c>
      <c r="L90" s="15">
        <f>SUMPRODUCT(C90:J90,Returns!B94:I94)/K90</f>
        <v>-7.3189087357806645E-2</v>
      </c>
      <c r="M90" s="15">
        <v>0</v>
      </c>
      <c r="N90" s="15">
        <v>0</v>
      </c>
      <c r="O90" s="15">
        <f t="shared" si="9"/>
        <v>-7.3189087357806645E-2</v>
      </c>
      <c r="P90" s="20">
        <f t="shared" si="11"/>
        <v>1.1589263654100945</v>
      </c>
      <c r="Q90" s="20">
        <f>MAX($P$5:P90)</f>
        <v>1.7536619450228828</v>
      </c>
      <c r="R90" s="15">
        <f t="shared" si="10"/>
        <v>-0.33913924020574437</v>
      </c>
      <c r="S90" s="15">
        <f>O90-Benchmark_RF!D90</f>
        <v>-8.5612402752360303E-2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IF(Rankings!C95&lt;=3,1,0)</f>
        <v>0</v>
      </c>
      <c r="D91" s="16">
        <f>IF(Rankings!D95&lt;=3,1,0)</f>
        <v>1</v>
      </c>
      <c r="E91" s="16">
        <f>IF(Rankings!E95&lt;=3,1,0)</f>
        <v>0</v>
      </c>
      <c r="F91" s="16">
        <f>IF(Rankings!F95&lt;=3,1,0)</f>
        <v>0</v>
      </c>
      <c r="G91" s="16">
        <f>IF(Rankings!G95&lt;=3,1,0)</f>
        <v>1</v>
      </c>
      <c r="H91" s="16">
        <f>IF(Rankings!H95&lt;=3,1,0)</f>
        <v>0</v>
      </c>
      <c r="I91" s="16">
        <f>IF(Rankings!I95&lt;=3,1,0)</f>
        <v>1</v>
      </c>
      <c r="J91" s="16">
        <f>IF(Rankings!J95&lt;=3,1,0)</f>
        <v>0</v>
      </c>
      <c r="K91" s="19">
        <f t="shared" si="8"/>
        <v>3</v>
      </c>
      <c r="L91" s="15">
        <f>SUMPRODUCT(C91:J91,Returns!B95:I95)/K91</f>
        <v>-6.3022820359933493E-2</v>
      </c>
      <c r="M91" s="15">
        <v>0</v>
      </c>
      <c r="N91" s="15">
        <v>0</v>
      </c>
      <c r="O91" s="15">
        <f t="shared" si="9"/>
        <v>-6.3022820359933493E-2</v>
      </c>
      <c r="P91" s="20">
        <f t="shared" si="11"/>
        <v>1.0858875572724636</v>
      </c>
      <c r="Q91" s="20">
        <f>MAX($P$5:P91)</f>
        <v>1.7536619450228828</v>
      </c>
      <c r="R91" s="15">
        <f t="shared" si="10"/>
        <v>-0.38078854915318683</v>
      </c>
      <c r="S91" s="15">
        <f>O91-Benchmark_RF!D91</f>
        <v>-7.5227625431940656E-2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IF(Rankings!C98&lt;=3,1,0)</f>
        <v>0</v>
      </c>
      <c r="D92" s="16">
        <f>IF(Rankings!D98&lt;=3,1,0)</f>
        <v>0</v>
      </c>
      <c r="E92" s="16">
        <f>IF(Rankings!E98&lt;=3,1,0)</f>
        <v>0</v>
      </c>
      <c r="F92" s="16">
        <f>IF(Rankings!F98&lt;=3,1,0)</f>
        <v>1</v>
      </c>
      <c r="G92" s="16">
        <f>IF(Rankings!G98&lt;=3,1,0)</f>
        <v>0</v>
      </c>
      <c r="H92" s="16">
        <f>IF(Rankings!H98&lt;=3,1,0)</f>
        <v>0</v>
      </c>
      <c r="I92" s="16">
        <f>IF(Rankings!I98&lt;=3,1,0)</f>
        <v>1</v>
      </c>
      <c r="J92" s="16">
        <f>IF(Rankings!J98&lt;=3,1,0)</f>
        <v>1</v>
      </c>
      <c r="K92" s="19">
        <f t="shared" si="8"/>
        <v>3</v>
      </c>
      <c r="L92" s="15">
        <f>SUMPRODUCT(C92:J92,Returns!B96:I96)/K92</f>
        <v>3.6126649271087295E-2</v>
      </c>
      <c r="M92" s="15">
        <f>-2*Assumptions!$B$13</f>
        <v>-7.0000000000000001E-3</v>
      </c>
      <c r="N92" s="15">
        <f>-Assumptions!$B$16*MAX(0,(1+O89)*(1+O90)*(1+O91)-1)</f>
        <v>0</v>
      </c>
      <c r="O92" s="15">
        <f t="shared" si="9"/>
        <v>2.9126649271087296E-2</v>
      </c>
      <c r="P92" s="20">
        <f t="shared" si="11"/>
        <v>1.1175158233009763</v>
      </c>
      <c r="Q92" s="20">
        <f>MAX($P$5:P92)</f>
        <v>1.7536619450228828</v>
      </c>
      <c r="R92" s="15">
        <f t="shared" si="10"/>
        <v>-0.36275299439973063</v>
      </c>
      <c r="S92" s="15">
        <f>O92-Benchmark_RF!D92</f>
        <v>1.6043674566955407E-2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IF(Rankings!C98&lt;=3,1,0)</f>
        <v>0</v>
      </c>
      <c r="D93" s="16">
        <f>IF(Rankings!D98&lt;=3,1,0)</f>
        <v>0</v>
      </c>
      <c r="E93" s="16">
        <f>IF(Rankings!E98&lt;=3,1,0)</f>
        <v>0</v>
      </c>
      <c r="F93" s="16">
        <f>IF(Rankings!F98&lt;=3,1,0)</f>
        <v>1</v>
      </c>
      <c r="G93" s="16">
        <f>IF(Rankings!G98&lt;=3,1,0)</f>
        <v>0</v>
      </c>
      <c r="H93" s="16">
        <f>IF(Rankings!H98&lt;=3,1,0)</f>
        <v>0</v>
      </c>
      <c r="I93" s="16">
        <f>IF(Rankings!I98&lt;=3,1,0)</f>
        <v>1</v>
      </c>
      <c r="J93" s="16">
        <f>IF(Rankings!J98&lt;=3,1,0)</f>
        <v>1</v>
      </c>
      <c r="K93" s="19">
        <f t="shared" si="8"/>
        <v>3</v>
      </c>
      <c r="L93" s="15">
        <f>SUMPRODUCT(C93:J93,Returns!B97:I97)/K93</f>
        <v>-8.9254230427067885E-2</v>
      </c>
      <c r="M93" s="15">
        <v>0</v>
      </c>
      <c r="N93" s="15">
        <v>0</v>
      </c>
      <c r="O93" s="15">
        <f t="shared" si="9"/>
        <v>-8.9254230427067885E-2</v>
      </c>
      <c r="P93" s="20">
        <f t="shared" si="11"/>
        <v>1.0177728085021764</v>
      </c>
      <c r="Q93" s="20">
        <f>MAX($P$5:P93)</f>
        <v>1.7536619450228828</v>
      </c>
      <c r="R93" s="15">
        <f t="shared" si="10"/>
        <v>-0.41962998547653607</v>
      </c>
      <c r="S93" s="15">
        <f>O93-Benchmark_RF!D93</f>
        <v>-0.10239497180341391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IF(Rankings!C98&lt;=3,1,0)</f>
        <v>0</v>
      </c>
      <c r="D94" s="16">
        <f>IF(Rankings!D98&lt;=3,1,0)</f>
        <v>0</v>
      </c>
      <c r="E94" s="16">
        <f>IF(Rankings!E98&lt;=3,1,0)</f>
        <v>0</v>
      </c>
      <c r="F94" s="16">
        <f>IF(Rankings!F98&lt;=3,1,0)</f>
        <v>1</v>
      </c>
      <c r="G94" s="16">
        <f>IF(Rankings!G98&lt;=3,1,0)</f>
        <v>0</v>
      </c>
      <c r="H94" s="16">
        <f>IF(Rankings!H98&lt;=3,1,0)</f>
        <v>0</v>
      </c>
      <c r="I94" s="16">
        <f>IF(Rankings!I98&lt;=3,1,0)</f>
        <v>1</v>
      </c>
      <c r="J94" s="16">
        <f>IF(Rankings!J98&lt;=3,1,0)</f>
        <v>1</v>
      </c>
      <c r="K94" s="19">
        <f t="shared" si="8"/>
        <v>3</v>
      </c>
      <c r="L94" s="15">
        <f>SUMPRODUCT(C94:J94,Returns!B98:I98)/K94</f>
        <v>-1.9574670546245621E-2</v>
      </c>
      <c r="M94" s="15">
        <v>0</v>
      </c>
      <c r="N94" s="15">
        <v>0</v>
      </c>
      <c r="O94" s="15">
        <f t="shared" si="9"/>
        <v>-1.9574670546245621E-2</v>
      </c>
      <c r="P94" s="20">
        <f t="shared" si="11"/>
        <v>0.99785024108481923</v>
      </c>
      <c r="Q94" s="20">
        <f>MAX($P$5:P94)</f>
        <v>1.7536619450228828</v>
      </c>
      <c r="R94" s="15">
        <f t="shared" si="10"/>
        <v>-0.43099053730575265</v>
      </c>
      <c r="S94" s="15">
        <f>O94-Benchmark_RF!D94</f>
        <v>-3.333412657457524E-2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IF(Rankings!C101&lt;=3,1,0)</f>
        <v>0</v>
      </c>
      <c r="D95" s="16">
        <f>IF(Rankings!D101&lt;=3,1,0)</f>
        <v>1</v>
      </c>
      <c r="E95" s="16">
        <f>IF(Rankings!E101&lt;=3,1,0)</f>
        <v>0</v>
      </c>
      <c r="F95" s="16">
        <f>IF(Rankings!F101&lt;=3,1,0)</f>
        <v>0</v>
      </c>
      <c r="G95" s="16">
        <f>IF(Rankings!G101&lt;=3,1,0)</f>
        <v>1</v>
      </c>
      <c r="H95" s="16">
        <f>IF(Rankings!H101&lt;=3,1,0)</f>
        <v>0</v>
      </c>
      <c r="I95" s="16">
        <f>IF(Rankings!I101&lt;=3,1,0)</f>
        <v>0</v>
      </c>
      <c r="J95" s="16">
        <f>IF(Rankings!J101&lt;=3,1,0)</f>
        <v>1</v>
      </c>
      <c r="K95" s="19">
        <f t="shared" si="8"/>
        <v>3</v>
      </c>
      <c r="L95" s="15">
        <f>SUMPRODUCT(C95:J95,Returns!B99:I99)/K95</f>
        <v>-5.4084739990045332E-3</v>
      </c>
      <c r="M95" s="15">
        <f>-2*Assumptions!$B$13</f>
        <v>-7.0000000000000001E-3</v>
      </c>
      <c r="N95" s="15">
        <f>-Assumptions!$B$16*MAX(0,(1+O92)*(1+O93)*(1+O94)-1)</f>
        <v>0</v>
      </c>
      <c r="O95" s="15">
        <f t="shared" si="9"/>
        <v>-1.2408473999004533E-2</v>
      </c>
      <c r="P95" s="20">
        <f t="shared" si="11"/>
        <v>0.98546844231341779</v>
      </c>
      <c r="Q95" s="20">
        <f>MAX($P$5:P95)</f>
        <v>1.7536619450228828</v>
      </c>
      <c r="R95" s="15">
        <f t="shared" si="10"/>
        <v>-0.43805107642878183</v>
      </c>
      <c r="S95" s="15">
        <f>O95-Benchmark_RF!D95</f>
        <v>-2.7201798301792993E-2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IF(Rankings!C101&lt;=3,1,0)</f>
        <v>0</v>
      </c>
      <c r="D96" s="16">
        <f>IF(Rankings!D101&lt;=3,1,0)</f>
        <v>1</v>
      </c>
      <c r="E96" s="16">
        <f>IF(Rankings!E101&lt;=3,1,0)</f>
        <v>0</v>
      </c>
      <c r="F96" s="16">
        <f>IF(Rankings!F101&lt;=3,1,0)</f>
        <v>0</v>
      </c>
      <c r="G96" s="16">
        <f>IF(Rankings!G101&lt;=3,1,0)</f>
        <v>1</v>
      </c>
      <c r="H96" s="16">
        <f>IF(Rankings!H101&lt;=3,1,0)</f>
        <v>0</v>
      </c>
      <c r="I96" s="16">
        <f>IF(Rankings!I101&lt;=3,1,0)</f>
        <v>0</v>
      </c>
      <c r="J96" s="16">
        <f>IF(Rankings!J101&lt;=3,1,0)</f>
        <v>1</v>
      </c>
      <c r="K96" s="19">
        <f t="shared" si="8"/>
        <v>3</v>
      </c>
      <c r="L96" s="15">
        <f>SUMPRODUCT(C96:J96,Returns!B100:I100)/K96</f>
        <v>1.2123240098762866E-2</v>
      </c>
      <c r="M96" s="15">
        <v>0</v>
      </c>
      <c r="N96" s="15">
        <v>0</v>
      </c>
      <c r="O96" s="15">
        <f t="shared" si="9"/>
        <v>1.2123240098762866E-2</v>
      </c>
      <c r="P96" s="20">
        <f t="shared" si="11"/>
        <v>0.99741551284933727</v>
      </c>
      <c r="Q96" s="20">
        <f>MAX($P$5:P96)</f>
        <v>1.7536619450228828</v>
      </c>
      <c r="R96" s="15">
        <f t="shared" si="10"/>
        <v>-0.43123843470508649</v>
      </c>
      <c r="S96" s="15">
        <f>O96-Benchmark_RF!D96</f>
        <v>-3.9306020973149947E-3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IF(Rankings!C101&lt;=3,1,0)</f>
        <v>0</v>
      </c>
      <c r="D97" s="16">
        <f>IF(Rankings!D101&lt;=3,1,0)</f>
        <v>1</v>
      </c>
      <c r="E97" s="16">
        <f>IF(Rankings!E101&lt;=3,1,0)</f>
        <v>0</v>
      </c>
      <c r="F97" s="16">
        <f>IF(Rankings!F101&lt;=3,1,0)</f>
        <v>0</v>
      </c>
      <c r="G97" s="16">
        <f>IF(Rankings!G101&lt;=3,1,0)</f>
        <v>1</v>
      </c>
      <c r="H97" s="16">
        <f>IF(Rankings!H101&lt;=3,1,0)</f>
        <v>0</v>
      </c>
      <c r="I97" s="16">
        <f>IF(Rankings!I101&lt;=3,1,0)</f>
        <v>0</v>
      </c>
      <c r="J97" s="16">
        <f>IF(Rankings!J101&lt;=3,1,0)</f>
        <v>1</v>
      </c>
      <c r="K97" s="19">
        <f t="shared" si="8"/>
        <v>3</v>
      </c>
      <c r="L97" s="15">
        <f>SUMPRODUCT(C97:J97,Returns!B101:I101)/K97</f>
        <v>2.8555539034757865E-2</v>
      </c>
      <c r="M97" s="15">
        <v>0</v>
      </c>
      <c r="N97" s="15">
        <v>0</v>
      </c>
      <c r="O97" s="15">
        <f t="shared" si="9"/>
        <v>2.8555539034757865E-2</v>
      </c>
      <c r="P97" s="20">
        <f t="shared" si="11"/>
        <v>1.0258972504603796</v>
      </c>
      <c r="Q97" s="20">
        <f>MAX($P$5:P97)</f>
        <v>1.7536619450228828</v>
      </c>
      <c r="R97" s="15">
        <f t="shared" si="10"/>
        <v>-0.41499714162583767</v>
      </c>
      <c r="S97" s="15">
        <f>O97-Benchmark_RF!D97</f>
        <v>1.1860465672066039E-2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IF(Rankings!C104&lt;=3,1,0)</f>
        <v>0</v>
      </c>
      <c r="D98" s="16">
        <f>IF(Rankings!D104&lt;=3,1,0)</f>
        <v>1</v>
      </c>
      <c r="E98" s="16">
        <f>IF(Rankings!E104&lt;=3,1,0)</f>
        <v>0</v>
      </c>
      <c r="F98" s="16">
        <f>IF(Rankings!F104&lt;=3,1,0)</f>
        <v>0</v>
      </c>
      <c r="G98" s="16">
        <f>IF(Rankings!G104&lt;=3,1,0)</f>
        <v>0</v>
      </c>
      <c r="H98" s="16">
        <f>IF(Rankings!H104&lt;=3,1,0)</f>
        <v>1</v>
      </c>
      <c r="I98" s="16">
        <f>IF(Rankings!I104&lt;=3,1,0)</f>
        <v>0</v>
      </c>
      <c r="J98" s="16">
        <f>IF(Rankings!J104&lt;=3,1,0)</f>
        <v>1</v>
      </c>
      <c r="K98" s="19">
        <f t="shared" si="8"/>
        <v>3</v>
      </c>
      <c r="L98" s="15">
        <f>SUMPRODUCT(C98:J98,Returns!B102:I102)/K98</f>
        <v>-5.109491401827445E-2</v>
      </c>
      <c r="M98" s="15">
        <f>-2*Assumptions!$B$13</f>
        <v>-7.0000000000000001E-3</v>
      </c>
      <c r="N98" s="15">
        <f>-Assumptions!$B$16*MAX(0,(1+O95)*(1+O96)*(1+O97)-1)</f>
        <v>-4.2161150372227564E-3</v>
      </c>
      <c r="O98" s="15">
        <f t="shared" si="9"/>
        <v>-6.2311029055497208E-2</v>
      </c>
      <c r="P98" s="20">
        <f t="shared" si="11"/>
        <v>0.96197253707898822</v>
      </c>
      <c r="Q98" s="20">
        <f>MAX($P$5:P98)</f>
        <v>1.7536619450228828</v>
      </c>
      <c r="R98" s="15">
        <f t="shared" si="10"/>
        <v>-0.45144927173153893</v>
      </c>
      <c r="S98" s="15">
        <f>O98-Benchmark_RF!D98</f>
        <v>-7.9006102418189034E-2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IF(Rankings!C104&lt;=3,1,0)</f>
        <v>0</v>
      </c>
      <c r="D99" s="16">
        <f>IF(Rankings!D104&lt;=3,1,0)</f>
        <v>1</v>
      </c>
      <c r="E99" s="16">
        <f>IF(Rankings!E104&lt;=3,1,0)</f>
        <v>0</v>
      </c>
      <c r="F99" s="16">
        <f>IF(Rankings!F104&lt;=3,1,0)</f>
        <v>0</v>
      </c>
      <c r="G99" s="16">
        <f>IF(Rankings!G104&lt;=3,1,0)</f>
        <v>0</v>
      </c>
      <c r="H99" s="16">
        <f>IF(Rankings!H104&lt;=3,1,0)</f>
        <v>1</v>
      </c>
      <c r="I99" s="16">
        <f>IF(Rankings!I104&lt;=3,1,0)</f>
        <v>0</v>
      </c>
      <c r="J99" s="16">
        <f>IF(Rankings!J104&lt;=3,1,0)</f>
        <v>1</v>
      </c>
      <c r="K99" s="19">
        <f t="shared" si="8"/>
        <v>3</v>
      </c>
      <c r="L99" s="15">
        <f>SUMPRODUCT(C99:J99,Returns!B103:I103)/K99</f>
        <v>-2.6689151273175542E-2</v>
      </c>
      <c r="M99" s="15">
        <v>0</v>
      </c>
      <c r="N99" s="15">
        <v>0</v>
      </c>
      <c r="O99" s="15">
        <f t="shared" si="9"/>
        <v>-2.6689151273175542E-2</v>
      </c>
      <c r="P99" s="20">
        <f t="shared" si="11"/>
        <v>0.93629830651624668</v>
      </c>
      <c r="Q99" s="20">
        <f>MAX($P$5:P99)</f>
        <v>1.7536619450228828</v>
      </c>
      <c r="R99" s="15">
        <f t="shared" si="10"/>
        <v>-0.46608962509930651</v>
      </c>
      <c r="S99" s="15">
        <f>O99-Benchmark_RF!D99</f>
        <v>-4.3391170152028466E-2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IF(Rankings!C104&lt;=3,1,0)</f>
        <v>0</v>
      </c>
      <c r="D100" s="16">
        <f>IF(Rankings!D104&lt;=3,1,0)</f>
        <v>1</v>
      </c>
      <c r="E100" s="16">
        <f>IF(Rankings!E104&lt;=3,1,0)</f>
        <v>0</v>
      </c>
      <c r="F100" s="16">
        <f>IF(Rankings!F104&lt;=3,1,0)</f>
        <v>0</v>
      </c>
      <c r="G100" s="16">
        <f>IF(Rankings!G104&lt;=3,1,0)</f>
        <v>0</v>
      </c>
      <c r="H100" s="16">
        <f>IF(Rankings!H104&lt;=3,1,0)</f>
        <v>1</v>
      </c>
      <c r="I100" s="16">
        <f>IF(Rankings!I104&lt;=3,1,0)</f>
        <v>0</v>
      </c>
      <c r="J100" s="16">
        <f>IF(Rankings!J104&lt;=3,1,0)</f>
        <v>1</v>
      </c>
      <c r="K100" s="19">
        <f t="shared" si="8"/>
        <v>3</v>
      </c>
      <c r="L100" s="15">
        <f>SUMPRODUCT(C100:J100,Returns!B104:I104)/K100</f>
        <v>0.20767061311212509</v>
      </c>
      <c r="M100" s="15">
        <v>0</v>
      </c>
      <c r="N100" s="15">
        <v>0</v>
      </c>
      <c r="O100" s="15">
        <f t="shared" si="9"/>
        <v>0.20767061311212509</v>
      </c>
      <c r="P100" s="20">
        <f t="shared" si="11"/>
        <v>1.13073994988632</v>
      </c>
      <c r="Q100" s="20">
        <f>MAX($P$5:P100)</f>
        <v>1.7536619450228828</v>
      </c>
      <c r="R100" s="15">
        <f t="shared" si="10"/>
        <v>-0.3552121301967549</v>
      </c>
      <c r="S100" s="15">
        <f>O100-Benchmark_RF!D100</f>
        <v>0.19034052015833081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IF(Rankings!C107&lt;=3,1,0)</f>
        <v>1</v>
      </c>
      <c r="D101" s="16">
        <f>IF(Rankings!D107&lt;=3,1,0)</f>
        <v>0</v>
      </c>
      <c r="E101" s="16">
        <f>IF(Rankings!E107&lt;=3,1,0)</f>
        <v>0</v>
      </c>
      <c r="F101" s="16">
        <f>IF(Rankings!F107&lt;=3,1,0)</f>
        <v>1</v>
      </c>
      <c r="G101" s="16">
        <f>IF(Rankings!G107&lt;=3,1,0)</f>
        <v>0</v>
      </c>
      <c r="H101" s="16">
        <f>IF(Rankings!H107&lt;=3,1,0)</f>
        <v>1</v>
      </c>
      <c r="I101" s="16">
        <f>IF(Rankings!I107&lt;=3,1,0)</f>
        <v>0</v>
      </c>
      <c r="J101" s="16">
        <f>IF(Rankings!J107&lt;=3,1,0)</f>
        <v>0</v>
      </c>
      <c r="K101" s="19">
        <f t="shared" ref="K101:K132" si="12">SUM(C101:J101)</f>
        <v>3</v>
      </c>
      <c r="L101" s="15">
        <f>SUMPRODUCT(C101:J101,Returns!B105:I105)/K101</f>
        <v>-6.6123478279765571E-2</v>
      </c>
      <c r="M101" s="15">
        <f>-2*Assumptions!$B$13</f>
        <v>-7.0000000000000001E-3</v>
      </c>
      <c r="N101" s="15">
        <f>-Assumptions!$B$16*MAX(0,(1+O98)*(1+O99)*(1+O100)-1)</f>
        <v>-1.5329415208817164E-2</v>
      </c>
      <c r="O101" s="15">
        <f t="shared" ref="O101:O132" si="13">L101+M101+N101</f>
        <v>-8.8452893488582734E-2</v>
      </c>
      <c r="P101" s="20">
        <f t="shared" si="11"/>
        <v>1.03072272953574</v>
      </c>
      <c r="Q101" s="20">
        <f>MAX($P$5:P101)</f>
        <v>1.7536619450228828</v>
      </c>
      <c r="R101" s="15">
        <f t="shared" ref="R101:R132" si="14">P101/Q101-1</f>
        <v>-0.41224548296719155</v>
      </c>
      <c r="S101" s="15">
        <f>O101-Benchmark_RF!D101</f>
        <v>-0.1057640833483072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IF(Rankings!C107&lt;=3,1,0)</f>
        <v>1</v>
      </c>
      <c r="D102" s="16">
        <f>IF(Rankings!D107&lt;=3,1,0)</f>
        <v>0</v>
      </c>
      <c r="E102" s="16">
        <f>IF(Rankings!E107&lt;=3,1,0)</f>
        <v>0</v>
      </c>
      <c r="F102" s="16">
        <f>IF(Rankings!F107&lt;=3,1,0)</f>
        <v>1</v>
      </c>
      <c r="G102" s="16">
        <f>IF(Rankings!G107&lt;=3,1,0)</f>
        <v>0</v>
      </c>
      <c r="H102" s="16">
        <f>IF(Rankings!H107&lt;=3,1,0)</f>
        <v>1</v>
      </c>
      <c r="I102" s="16">
        <f>IF(Rankings!I107&lt;=3,1,0)</f>
        <v>0</v>
      </c>
      <c r="J102" s="16">
        <f>IF(Rankings!J107&lt;=3,1,0)</f>
        <v>0</v>
      </c>
      <c r="K102" s="19">
        <f t="shared" si="12"/>
        <v>3</v>
      </c>
      <c r="L102" s="15">
        <f>SUMPRODUCT(C102:J102,Returns!B106:I106)/K102</f>
        <v>2.812524782834521E-3</v>
      </c>
      <c r="M102" s="15">
        <v>0</v>
      </c>
      <c r="N102" s="15">
        <v>0</v>
      </c>
      <c r="O102" s="15">
        <f t="shared" si="13"/>
        <v>2.812524782834521E-3</v>
      </c>
      <c r="P102" s="20">
        <f t="shared" ref="P102:P133" si="15">P101*(1+O102)</f>
        <v>1.03362166275679</v>
      </c>
      <c r="Q102" s="20">
        <f>MAX($P$5:P102)</f>
        <v>1.7536619450228828</v>
      </c>
      <c r="R102" s="15">
        <f t="shared" si="14"/>
        <v>-0.41059240882181391</v>
      </c>
      <c r="S102" s="15">
        <f>O102-Benchmark_RF!D102</f>
        <v>-1.4420251881429183E-2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IF(Rankings!C107&lt;=3,1,0)</f>
        <v>1</v>
      </c>
      <c r="D103" s="16">
        <f>IF(Rankings!D107&lt;=3,1,0)</f>
        <v>0</v>
      </c>
      <c r="E103" s="16">
        <f>IF(Rankings!E107&lt;=3,1,0)</f>
        <v>0</v>
      </c>
      <c r="F103" s="16">
        <f>IF(Rankings!F107&lt;=3,1,0)</f>
        <v>1</v>
      </c>
      <c r="G103" s="16">
        <f>IF(Rankings!G107&lt;=3,1,0)</f>
        <v>0</v>
      </c>
      <c r="H103" s="16">
        <f>IF(Rankings!H107&lt;=3,1,0)</f>
        <v>1</v>
      </c>
      <c r="I103" s="16">
        <f>IF(Rankings!I107&lt;=3,1,0)</f>
        <v>0</v>
      </c>
      <c r="J103" s="16">
        <f>IF(Rankings!J107&lt;=3,1,0)</f>
        <v>0</v>
      </c>
      <c r="K103" s="19">
        <f t="shared" si="12"/>
        <v>3</v>
      </c>
      <c r="L103" s="15">
        <f>SUMPRODUCT(C103:J103,Returns!B107:I107)/K103</f>
        <v>0.11072909396694712</v>
      </c>
      <c r="M103" s="15">
        <v>0</v>
      </c>
      <c r="N103" s="15">
        <v>0</v>
      </c>
      <c r="O103" s="15">
        <f t="shared" si="13"/>
        <v>0.11072909396694712</v>
      </c>
      <c r="P103" s="20">
        <f t="shared" si="15"/>
        <v>1.1480736529784588</v>
      </c>
      <c r="Q103" s="20">
        <f>MAX($P$5:P103)</f>
        <v>1.7536619450228828</v>
      </c>
      <c r="R103" s="15">
        <f t="shared" si="14"/>
        <v>-0.34532784027341257</v>
      </c>
      <c r="S103" s="15">
        <f>O103-Benchmark_RF!D103</f>
        <v>9.3922954926088195E-2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IF(Rankings!C110&lt;=3,1,0)</f>
        <v>1</v>
      </c>
      <c r="D104" s="16">
        <f>IF(Rankings!D110&lt;=3,1,0)</f>
        <v>0</v>
      </c>
      <c r="E104" s="16">
        <f>IF(Rankings!E110&lt;=3,1,0)</f>
        <v>0</v>
      </c>
      <c r="F104" s="16">
        <f>IF(Rankings!F110&lt;=3,1,0)</f>
        <v>1</v>
      </c>
      <c r="G104" s="16">
        <f>IF(Rankings!G110&lt;=3,1,0)</f>
        <v>0</v>
      </c>
      <c r="H104" s="16">
        <f>IF(Rankings!H110&lt;=3,1,0)</f>
        <v>1</v>
      </c>
      <c r="I104" s="16">
        <f>IF(Rankings!I110&lt;=3,1,0)</f>
        <v>0</v>
      </c>
      <c r="J104" s="16">
        <f>IF(Rankings!J110&lt;=3,1,0)</f>
        <v>0</v>
      </c>
      <c r="K104" s="19">
        <f t="shared" si="12"/>
        <v>3</v>
      </c>
      <c r="L104" s="15">
        <f>SUMPRODUCT(C104:J104,Returns!B108:I108)/K104</f>
        <v>8.9413274250456379E-2</v>
      </c>
      <c r="M104" s="15">
        <f>-2*Assumptions!$B$13</f>
        <v>-7.0000000000000001E-3</v>
      </c>
      <c r="N104" s="15">
        <f>-Assumptions!$B$16*MAX(0,(1+O101)*(1+O102)*(1+O103)-1)</f>
        <v>-2.2994283204394229E-3</v>
      </c>
      <c r="O104" s="15">
        <f t="shared" si="13"/>
        <v>8.0113845930016955E-2</v>
      </c>
      <c r="P104" s="20">
        <f t="shared" si="15"/>
        <v>1.2400502487294869</v>
      </c>
      <c r="Q104" s="20">
        <f>MAX($P$5:P104)</f>
        <v>1.7536619450228828</v>
      </c>
      <c r="R104" s="15">
        <f t="shared" si="14"/>
        <v>-0.29287953573440517</v>
      </c>
      <c r="S104" s="15">
        <f>O104-Benchmark_RF!D104</f>
        <v>6.3864374890759842E-2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IF(Rankings!C110&lt;=3,1,0)</f>
        <v>1</v>
      </c>
      <c r="D105" s="16">
        <f>IF(Rankings!D110&lt;=3,1,0)</f>
        <v>0</v>
      </c>
      <c r="E105" s="16">
        <f>IF(Rankings!E110&lt;=3,1,0)</f>
        <v>0</v>
      </c>
      <c r="F105" s="16">
        <f>IF(Rankings!F110&lt;=3,1,0)</f>
        <v>1</v>
      </c>
      <c r="G105" s="16">
        <f>IF(Rankings!G110&lt;=3,1,0)</f>
        <v>0</v>
      </c>
      <c r="H105" s="16">
        <f>IF(Rankings!H110&lt;=3,1,0)</f>
        <v>1</v>
      </c>
      <c r="I105" s="16">
        <f>IF(Rankings!I110&lt;=3,1,0)</f>
        <v>0</v>
      </c>
      <c r="J105" s="16">
        <f>IF(Rankings!J110&lt;=3,1,0)</f>
        <v>0</v>
      </c>
      <c r="K105" s="19">
        <f t="shared" si="12"/>
        <v>3</v>
      </c>
      <c r="L105" s="15">
        <f>SUMPRODUCT(C105:J105,Returns!B109:I109)/K105</f>
        <v>2.2153924220522796E-2</v>
      </c>
      <c r="M105" s="15">
        <v>0</v>
      </c>
      <c r="N105" s="15">
        <v>0</v>
      </c>
      <c r="O105" s="15">
        <f t="shared" si="13"/>
        <v>2.2153924220522796E-2</v>
      </c>
      <c r="P105" s="20">
        <f t="shared" si="15"/>
        <v>1.2675222279694804</v>
      </c>
      <c r="Q105" s="20">
        <f>MAX($P$5:P105)</f>
        <v>1.7536619450228828</v>
      </c>
      <c r="R105" s="15">
        <f t="shared" si="14"/>
        <v>-0.27721404255428428</v>
      </c>
      <c r="S105" s="15">
        <f>O105-Benchmark_RF!D105</f>
        <v>5.9184129396855738E-3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IF(Rankings!C110&lt;=3,1,0)</f>
        <v>1</v>
      </c>
      <c r="D106" s="16">
        <f>IF(Rankings!D110&lt;=3,1,0)</f>
        <v>0</v>
      </c>
      <c r="E106" s="16">
        <f>IF(Rankings!E110&lt;=3,1,0)</f>
        <v>0</v>
      </c>
      <c r="F106" s="16">
        <f>IF(Rankings!F110&lt;=3,1,0)</f>
        <v>1</v>
      </c>
      <c r="G106" s="16">
        <f>IF(Rankings!G110&lt;=3,1,0)</f>
        <v>0</v>
      </c>
      <c r="H106" s="16">
        <f>IF(Rankings!H110&lt;=3,1,0)</f>
        <v>1</v>
      </c>
      <c r="I106" s="16">
        <f>IF(Rankings!I110&lt;=3,1,0)</f>
        <v>0</v>
      </c>
      <c r="J106" s="16">
        <f>IF(Rankings!J110&lt;=3,1,0)</f>
        <v>0</v>
      </c>
      <c r="K106" s="19">
        <f t="shared" si="12"/>
        <v>3</v>
      </c>
      <c r="L106" s="15">
        <f>SUMPRODUCT(C106:J106,Returns!B110:I110)/K106</f>
        <v>8.1999504070986259E-2</v>
      </c>
      <c r="M106" s="15">
        <v>0</v>
      </c>
      <c r="N106" s="15">
        <v>0</v>
      </c>
      <c r="O106" s="15">
        <f t="shared" si="13"/>
        <v>8.1999504070986259E-2</v>
      </c>
      <c r="P106" s="20">
        <f t="shared" si="15"/>
        <v>1.3714584220619295</v>
      </c>
      <c r="Q106" s="20">
        <f>MAX($P$5:P106)</f>
        <v>1.7536619450228828</v>
      </c>
      <c r="R106" s="15">
        <f t="shared" si="14"/>
        <v>-0.21794595249426252</v>
      </c>
      <c r="S106" s="15">
        <f>O106-Benchmark_RF!D106</f>
        <v>6.6010590381884435E-2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IF(Rankings!C113&lt;=3,1,0)</f>
        <v>0</v>
      </c>
      <c r="D107" s="16">
        <f>IF(Rankings!D113&lt;=3,1,0)</f>
        <v>1</v>
      </c>
      <c r="E107" s="16">
        <f>IF(Rankings!E113&lt;=3,1,0)</f>
        <v>0</v>
      </c>
      <c r="F107" s="16">
        <f>IF(Rankings!F113&lt;=3,1,0)</f>
        <v>0</v>
      </c>
      <c r="G107" s="16">
        <f>IF(Rankings!G113&lt;=3,1,0)</f>
        <v>0</v>
      </c>
      <c r="H107" s="16">
        <f>IF(Rankings!H113&lt;=3,1,0)</f>
        <v>1</v>
      </c>
      <c r="I107" s="16">
        <f>IF(Rankings!I113&lt;=3,1,0)</f>
        <v>1</v>
      </c>
      <c r="J107" s="16">
        <f>IF(Rankings!J113&lt;=3,1,0)</f>
        <v>0</v>
      </c>
      <c r="K107" s="19">
        <f t="shared" si="12"/>
        <v>3</v>
      </c>
      <c r="L107" s="15">
        <f>SUMPRODUCT(C107:J107,Returns!B111:I111)/K107</f>
        <v>0.30777495952643452</v>
      </c>
      <c r="M107" s="15">
        <f>-2*Assumptions!$B$13</f>
        <v>-7.0000000000000001E-3</v>
      </c>
      <c r="N107" s="15">
        <f>-Assumptions!$B$16*MAX(0,(1+O104)*(1+O105)*(1+O106)-1)</f>
        <v>-2.9186032860863218E-2</v>
      </c>
      <c r="O107" s="15">
        <f t="shared" si="13"/>
        <v>0.27158892666557127</v>
      </c>
      <c r="P107" s="20">
        <f t="shared" si="15"/>
        <v>1.7439313428761869</v>
      </c>
      <c r="Q107" s="20">
        <f>MAX($P$5:P107)</f>
        <v>1.7536619450228828</v>
      </c>
      <c r="R107" s="15">
        <f t="shared" si="14"/>
        <v>-5.5487331377136462E-3</v>
      </c>
      <c r="S107" s="15">
        <f>O107-Benchmark_RF!D107</f>
        <v>0.25536039605503807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IF(Rankings!C113&lt;=3,1,0)</f>
        <v>0</v>
      </c>
      <c r="D108" s="16">
        <f>IF(Rankings!D113&lt;=3,1,0)</f>
        <v>1</v>
      </c>
      <c r="E108" s="16">
        <f>IF(Rankings!E113&lt;=3,1,0)</f>
        <v>0</v>
      </c>
      <c r="F108" s="16">
        <f>IF(Rankings!F113&lt;=3,1,0)</f>
        <v>0</v>
      </c>
      <c r="G108" s="16">
        <f>IF(Rankings!G113&lt;=3,1,0)</f>
        <v>0</v>
      </c>
      <c r="H108" s="16">
        <f>IF(Rankings!H113&lt;=3,1,0)</f>
        <v>1</v>
      </c>
      <c r="I108" s="16">
        <f>IF(Rankings!I113&lt;=3,1,0)</f>
        <v>1</v>
      </c>
      <c r="J108" s="16">
        <f>IF(Rankings!J113&lt;=3,1,0)</f>
        <v>0</v>
      </c>
      <c r="K108" s="19">
        <f t="shared" si="12"/>
        <v>3</v>
      </c>
      <c r="L108" s="15">
        <f>SUMPRODUCT(C108:J108,Returns!B112:I112)/K108</f>
        <v>9.271652123343703E-2</v>
      </c>
      <c r="M108" s="15">
        <v>0</v>
      </c>
      <c r="N108" s="15">
        <v>0</v>
      </c>
      <c r="O108" s="15">
        <f t="shared" si="13"/>
        <v>9.271652123343703E-2</v>
      </c>
      <c r="P108" s="20">
        <f t="shared" si="15"/>
        <v>1.9056225902576234</v>
      </c>
      <c r="Q108" s="20">
        <f>MAX($P$5:P108)</f>
        <v>1.9056225902576234</v>
      </c>
      <c r="R108" s="15">
        <f t="shared" si="14"/>
        <v>0</v>
      </c>
      <c r="S108" s="15">
        <f>O108-Benchmark_RF!D108</f>
        <v>7.6404257370909986E-2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IF(Rankings!C113&lt;=3,1,0)</f>
        <v>0</v>
      </c>
      <c r="D109" s="16">
        <f>IF(Rankings!D113&lt;=3,1,0)</f>
        <v>1</v>
      </c>
      <c r="E109" s="16">
        <f>IF(Rankings!E113&lt;=3,1,0)</f>
        <v>0</v>
      </c>
      <c r="F109" s="16">
        <f>IF(Rankings!F113&lt;=3,1,0)</f>
        <v>0</v>
      </c>
      <c r="G109" s="16">
        <f>IF(Rankings!G113&lt;=3,1,0)</f>
        <v>0</v>
      </c>
      <c r="H109" s="16">
        <f>IF(Rankings!H113&lt;=3,1,0)</f>
        <v>1</v>
      </c>
      <c r="I109" s="16">
        <f>IF(Rankings!I113&lt;=3,1,0)</f>
        <v>1</v>
      </c>
      <c r="J109" s="16">
        <f>IF(Rankings!J113&lt;=3,1,0)</f>
        <v>0</v>
      </c>
      <c r="K109" s="19">
        <f t="shared" si="12"/>
        <v>3</v>
      </c>
      <c r="L109" s="15">
        <f>SUMPRODUCT(C109:J109,Returns!B113:I113)/K109</f>
        <v>0.31828672132651897</v>
      </c>
      <c r="M109" s="15">
        <v>0</v>
      </c>
      <c r="N109" s="15">
        <v>0</v>
      </c>
      <c r="O109" s="15">
        <f t="shared" si="13"/>
        <v>0.31828672132651897</v>
      </c>
      <c r="P109" s="20">
        <f t="shared" si="15"/>
        <v>2.512156956596471</v>
      </c>
      <c r="Q109" s="20">
        <f>MAX($P$5:P109)</f>
        <v>2.512156956596471</v>
      </c>
      <c r="R109" s="15">
        <f t="shared" si="14"/>
        <v>0</v>
      </c>
      <c r="S109" s="15">
        <f>O109-Benchmark_RF!D109</f>
        <v>0.30186293104115619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IF(Rankings!C116&lt;=3,1,0)</f>
        <v>0</v>
      </c>
      <c r="D110" s="16">
        <f>IF(Rankings!D116&lt;=3,1,0)</f>
        <v>1</v>
      </c>
      <c r="E110" s="16">
        <f>IF(Rankings!E116&lt;=3,1,0)</f>
        <v>0</v>
      </c>
      <c r="F110" s="16">
        <f>IF(Rankings!F116&lt;=3,1,0)</f>
        <v>0</v>
      </c>
      <c r="G110" s="16">
        <f>IF(Rankings!G116&lt;=3,1,0)</f>
        <v>0</v>
      </c>
      <c r="H110" s="16">
        <f>IF(Rankings!H116&lt;=3,1,0)</f>
        <v>1</v>
      </c>
      <c r="I110" s="16">
        <f>IF(Rankings!I116&lt;=3,1,0)</f>
        <v>1</v>
      </c>
      <c r="J110" s="16">
        <f>IF(Rankings!J116&lt;=3,1,0)</f>
        <v>0</v>
      </c>
      <c r="K110" s="19">
        <f t="shared" si="12"/>
        <v>3</v>
      </c>
      <c r="L110" s="15">
        <f>SUMPRODUCT(C110:J110,Returns!B114:I114)/K110</f>
        <v>8.3771121266103532E-2</v>
      </c>
      <c r="M110" s="15">
        <f>-2*Assumptions!$B$13</f>
        <v>-7.0000000000000001E-3</v>
      </c>
      <c r="N110" s="15">
        <f>-Assumptions!$B$16*MAX(0,(1+O107)*(1+O108)*(1+O109)-1)</f>
        <v>-0.12476118665189459</v>
      </c>
      <c r="O110" s="15">
        <f t="shared" si="13"/>
        <v>-4.7990065385791064E-2</v>
      </c>
      <c r="P110" s="20">
        <f t="shared" si="15"/>
        <v>2.3915983799900364</v>
      </c>
      <c r="Q110" s="20">
        <f>MAX($P$5:P110)</f>
        <v>2.512156956596471</v>
      </c>
      <c r="R110" s="15">
        <f t="shared" si="14"/>
        <v>-4.7990065385791092E-2</v>
      </c>
      <c r="S110" s="15">
        <f>O110-Benchmark_RF!D110</f>
        <v>-6.395993965286681E-2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IF(Rankings!C116&lt;=3,1,0)</f>
        <v>0</v>
      </c>
      <c r="D111" s="16">
        <f>IF(Rankings!D116&lt;=3,1,0)</f>
        <v>1</v>
      </c>
      <c r="E111" s="16">
        <f>IF(Rankings!E116&lt;=3,1,0)</f>
        <v>0</v>
      </c>
      <c r="F111" s="16">
        <f>IF(Rankings!F116&lt;=3,1,0)</f>
        <v>0</v>
      </c>
      <c r="G111" s="16">
        <f>IF(Rankings!G116&lt;=3,1,0)</f>
        <v>0</v>
      </c>
      <c r="H111" s="16">
        <f>IF(Rankings!H116&lt;=3,1,0)</f>
        <v>1</v>
      </c>
      <c r="I111" s="16">
        <f>IF(Rankings!I116&lt;=3,1,0)</f>
        <v>1</v>
      </c>
      <c r="J111" s="16">
        <f>IF(Rankings!J116&lt;=3,1,0)</f>
        <v>0</v>
      </c>
      <c r="K111" s="19">
        <f t="shared" si="12"/>
        <v>3</v>
      </c>
      <c r="L111" s="15">
        <f>SUMPRODUCT(C111:J111,Returns!B115:I115)/K111</f>
        <v>5.9871122511347928E-2</v>
      </c>
      <c r="M111" s="15">
        <v>0</v>
      </c>
      <c r="N111" s="15">
        <v>0</v>
      </c>
      <c r="O111" s="15">
        <f t="shared" si="13"/>
        <v>5.9871122511347928E-2</v>
      </c>
      <c r="P111" s="20">
        <f t="shared" si="15"/>
        <v>2.5347860595963612</v>
      </c>
      <c r="Q111" s="20">
        <f>MAX($P$5:P111)</f>
        <v>2.5347860595963612</v>
      </c>
      <c r="R111" s="15">
        <f t="shared" si="14"/>
        <v>0</v>
      </c>
      <c r="S111" s="15">
        <f>O111-Benchmark_RF!D111</f>
        <v>4.4551428975468897E-2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IF(Rankings!C116&lt;=3,1,0)</f>
        <v>0</v>
      </c>
      <c r="D112" s="16">
        <f>IF(Rankings!D116&lt;=3,1,0)</f>
        <v>1</v>
      </c>
      <c r="E112" s="16">
        <f>IF(Rankings!E116&lt;=3,1,0)</f>
        <v>0</v>
      </c>
      <c r="F112" s="16">
        <f>IF(Rankings!F116&lt;=3,1,0)</f>
        <v>0</v>
      </c>
      <c r="G112" s="16">
        <f>IF(Rankings!G116&lt;=3,1,0)</f>
        <v>0</v>
      </c>
      <c r="H112" s="16">
        <f>IF(Rankings!H116&lt;=3,1,0)</f>
        <v>1</v>
      </c>
      <c r="I112" s="16">
        <f>IF(Rankings!I116&lt;=3,1,0)</f>
        <v>1</v>
      </c>
      <c r="J112" s="16">
        <f>IF(Rankings!J116&lt;=3,1,0)</f>
        <v>0</v>
      </c>
      <c r="K112" s="19">
        <f t="shared" si="12"/>
        <v>3</v>
      </c>
      <c r="L112" s="15">
        <f>SUMPRODUCT(C112:J112,Returns!B116:I116)/K112</f>
        <v>0.12689399536373314</v>
      </c>
      <c r="M112" s="15">
        <v>0</v>
      </c>
      <c r="N112" s="15">
        <v>0</v>
      </c>
      <c r="O112" s="15">
        <f t="shared" si="13"/>
        <v>0.12689399536373314</v>
      </c>
      <c r="P112" s="20">
        <f t="shared" si="15"/>
        <v>2.8564351900908371</v>
      </c>
      <c r="Q112" s="20">
        <f>MAX($P$5:P112)</f>
        <v>2.8564351900908371</v>
      </c>
      <c r="R112" s="15">
        <f t="shared" si="14"/>
        <v>0</v>
      </c>
      <c r="S112" s="15">
        <f>O112-Benchmark_RF!D112</f>
        <v>0.11194481599159078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IF(Rankings!C119&lt;=3,1,0)</f>
        <v>1</v>
      </c>
      <c r="D113" s="16">
        <f>IF(Rankings!D119&lt;=3,1,0)</f>
        <v>0</v>
      </c>
      <c r="E113" s="16">
        <f>IF(Rankings!E119&lt;=3,1,0)</f>
        <v>0</v>
      </c>
      <c r="F113" s="16">
        <f>IF(Rankings!F119&lt;=3,1,0)</f>
        <v>0</v>
      </c>
      <c r="G113" s="16">
        <f>IF(Rankings!G119&lt;=3,1,0)</f>
        <v>1</v>
      </c>
      <c r="H113" s="16">
        <f>IF(Rankings!H119&lt;=3,1,0)</f>
        <v>1</v>
      </c>
      <c r="I113" s="16">
        <f>IF(Rankings!I119&lt;=3,1,0)</f>
        <v>0</v>
      </c>
      <c r="J113" s="16">
        <f>IF(Rankings!J119&lt;=3,1,0)</f>
        <v>0</v>
      </c>
      <c r="K113" s="19">
        <f t="shared" si="12"/>
        <v>3</v>
      </c>
      <c r="L113" s="15">
        <f>SUMPRODUCT(C113:J113,Returns!B117:I117)/K113</f>
        <v>-6.7496317429157253E-3</v>
      </c>
      <c r="M113" s="15">
        <f>-2*Assumptions!$B$13</f>
        <v>-7.0000000000000001E-3</v>
      </c>
      <c r="N113" s="15">
        <f>-Assumptions!$B$16*MAX(0,(1+O110)*(1+O111)*(1+O112)-1)</f>
        <v>-2.0556731094589074E-2</v>
      </c>
      <c r="O113" s="15">
        <f t="shared" si="13"/>
        <v>-3.4306362837504802E-2</v>
      </c>
      <c r="P113" s="20">
        <f t="shared" si="15"/>
        <v>2.7584412880377638</v>
      </c>
      <c r="Q113" s="20">
        <f>MAX($P$5:P113)</f>
        <v>2.8564351900908371</v>
      </c>
      <c r="R113" s="15">
        <f t="shared" si="14"/>
        <v>-3.4306362837504878E-2</v>
      </c>
      <c r="S113" s="15">
        <f>O113-Benchmark_RF!D113</f>
        <v>-4.7814517569747229E-2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IF(Rankings!C119&lt;=3,1,0)</f>
        <v>1</v>
      </c>
      <c r="D114" s="16">
        <f>IF(Rankings!D119&lt;=3,1,0)</f>
        <v>0</v>
      </c>
      <c r="E114" s="16">
        <f>IF(Rankings!E119&lt;=3,1,0)</f>
        <v>0</v>
      </c>
      <c r="F114" s="16">
        <f>IF(Rankings!F119&lt;=3,1,0)</f>
        <v>0</v>
      </c>
      <c r="G114" s="16">
        <f>IF(Rankings!G119&lt;=3,1,0)</f>
        <v>1</v>
      </c>
      <c r="H114" s="16">
        <f>IF(Rankings!H119&lt;=3,1,0)</f>
        <v>1</v>
      </c>
      <c r="I114" s="16">
        <f>IF(Rankings!I119&lt;=3,1,0)</f>
        <v>0</v>
      </c>
      <c r="J114" s="16">
        <f>IF(Rankings!J119&lt;=3,1,0)</f>
        <v>0</v>
      </c>
      <c r="K114" s="19">
        <f t="shared" si="12"/>
        <v>3</v>
      </c>
      <c r="L114" s="15">
        <f>SUMPRODUCT(C114:J114,Returns!B118:I118)/K114</f>
        <v>0.12458640830189742</v>
      </c>
      <c r="M114" s="15">
        <v>0</v>
      </c>
      <c r="N114" s="15">
        <v>0</v>
      </c>
      <c r="O114" s="15">
        <f t="shared" si="13"/>
        <v>0.12458640830189742</v>
      </c>
      <c r="P114" s="20">
        <f t="shared" si="15"/>
        <v>3.1021055806260485</v>
      </c>
      <c r="Q114" s="20">
        <f>MAX($P$5:P114)</f>
        <v>3.1021055806260485</v>
      </c>
      <c r="R114" s="15">
        <f t="shared" si="14"/>
        <v>0</v>
      </c>
      <c r="S114" s="15">
        <f>O114-Benchmark_RF!D114</f>
        <v>0.11112140269269914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IF(Rankings!C119&lt;=3,1,0)</f>
        <v>1</v>
      </c>
      <c r="D115" s="16">
        <f>IF(Rankings!D119&lt;=3,1,0)</f>
        <v>0</v>
      </c>
      <c r="E115" s="16">
        <f>IF(Rankings!E119&lt;=3,1,0)</f>
        <v>0</v>
      </c>
      <c r="F115" s="16">
        <f>IF(Rankings!F119&lt;=3,1,0)</f>
        <v>0</v>
      </c>
      <c r="G115" s="16">
        <f>IF(Rankings!G119&lt;=3,1,0)</f>
        <v>1</v>
      </c>
      <c r="H115" s="16">
        <f>IF(Rankings!H119&lt;=3,1,0)</f>
        <v>1</v>
      </c>
      <c r="I115" s="16">
        <f>IF(Rankings!I119&lt;=3,1,0)</f>
        <v>0</v>
      </c>
      <c r="J115" s="16">
        <f>IF(Rankings!J119&lt;=3,1,0)</f>
        <v>0</v>
      </c>
      <c r="K115" s="19">
        <f t="shared" si="12"/>
        <v>3</v>
      </c>
      <c r="L115" s="15">
        <f>SUMPRODUCT(C115:J115,Returns!B119:I119)/K115</f>
        <v>0.15473191693544211</v>
      </c>
      <c r="M115" s="15">
        <v>0</v>
      </c>
      <c r="N115" s="15">
        <v>0</v>
      </c>
      <c r="O115" s="15">
        <f t="shared" si="13"/>
        <v>0.15473191693544211</v>
      </c>
      <c r="P115" s="20">
        <f t="shared" si="15"/>
        <v>3.5821003236524498</v>
      </c>
      <c r="Q115" s="20">
        <f>MAX($P$5:P115)</f>
        <v>3.5821003236524498</v>
      </c>
      <c r="R115" s="15">
        <f t="shared" si="14"/>
        <v>0</v>
      </c>
      <c r="S115" s="15">
        <f>O115-Benchmark_RF!D115</f>
        <v>0.14384918778696135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IF(Rankings!C122&lt;=3,1,0)</f>
        <v>0</v>
      </c>
      <c r="D116" s="16">
        <f>IF(Rankings!D122&lt;=3,1,0)</f>
        <v>0</v>
      </c>
      <c r="E116" s="16">
        <f>IF(Rankings!E122&lt;=3,1,0)</f>
        <v>0</v>
      </c>
      <c r="F116" s="16">
        <f>IF(Rankings!F122&lt;=3,1,0)</f>
        <v>0</v>
      </c>
      <c r="G116" s="16">
        <f>IF(Rankings!G122&lt;=3,1,0)</f>
        <v>1</v>
      </c>
      <c r="H116" s="16">
        <f>IF(Rankings!H122&lt;=3,1,0)</f>
        <v>1</v>
      </c>
      <c r="I116" s="16">
        <f>IF(Rankings!I122&lt;=3,1,0)</f>
        <v>1</v>
      </c>
      <c r="J116" s="16">
        <f>IF(Rankings!J122&lt;=3,1,0)</f>
        <v>0</v>
      </c>
      <c r="K116" s="19">
        <f t="shared" si="12"/>
        <v>3</v>
      </c>
      <c r="L116" s="15">
        <f>SUMPRODUCT(C116:J116,Returns!B120:I120)/K116</f>
        <v>8.9998380177991E-2</v>
      </c>
      <c r="M116" s="15">
        <f>-2*Assumptions!$B$13</f>
        <v>-7.0000000000000001E-3</v>
      </c>
      <c r="N116" s="15">
        <f>-Assumptions!$B$16*MAX(0,(1+O113)*(1+O114)*(1+O115)-1)</f>
        <v>-3.8106857950724403E-2</v>
      </c>
      <c r="O116" s="15">
        <f t="shared" si="13"/>
        <v>4.4891522227266591E-2</v>
      </c>
      <c r="P116" s="20">
        <f t="shared" si="15"/>
        <v>3.7429062599519924</v>
      </c>
      <c r="Q116" s="20">
        <f>MAX($P$5:P116)</f>
        <v>3.7429062599519924</v>
      </c>
      <c r="R116" s="15">
        <f t="shared" si="14"/>
        <v>0</v>
      </c>
      <c r="S116" s="15">
        <f>O116-Benchmark_RF!D116</f>
        <v>3.4008793078785828E-2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IF(Rankings!C122&lt;=3,1,0)</f>
        <v>0</v>
      </c>
      <c r="D117" s="16">
        <f>IF(Rankings!D122&lt;=3,1,0)</f>
        <v>0</v>
      </c>
      <c r="E117" s="16">
        <f>IF(Rankings!E122&lt;=3,1,0)</f>
        <v>0</v>
      </c>
      <c r="F117" s="16">
        <f>IF(Rankings!F122&lt;=3,1,0)</f>
        <v>0</v>
      </c>
      <c r="G117" s="16">
        <f>IF(Rankings!G122&lt;=3,1,0)</f>
        <v>1</v>
      </c>
      <c r="H117" s="16">
        <f>IF(Rankings!H122&lt;=3,1,0)</f>
        <v>1</v>
      </c>
      <c r="I117" s="16">
        <f>IF(Rankings!I122&lt;=3,1,0)</f>
        <v>1</v>
      </c>
      <c r="J117" s="16">
        <f>IF(Rankings!J122&lt;=3,1,0)</f>
        <v>0</v>
      </c>
      <c r="K117" s="19">
        <f t="shared" si="12"/>
        <v>3</v>
      </c>
      <c r="L117" s="15">
        <f>SUMPRODUCT(C117:J117,Returns!B121:I121)/K117</f>
        <v>0.10676298955670734</v>
      </c>
      <c r="M117" s="15">
        <v>0</v>
      </c>
      <c r="N117" s="15">
        <v>0</v>
      </c>
      <c r="O117" s="15">
        <f t="shared" si="13"/>
        <v>0.10676298955670734</v>
      </c>
      <c r="P117" s="20">
        <f t="shared" si="15"/>
        <v>4.1425101218949809</v>
      </c>
      <c r="Q117" s="20">
        <f>MAX($P$5:P117)</f>
        <v>4.1425101218949809</v>
      </c>
      <c r="R117" s="15">
        <f t="shared" si="14"/>
        <v>0</v>
      </c>
      <c r="S117" s="15">
        <f>O117-Benchmark_RF!D117</f>
        <v>9.7386932000199281E-2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85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IF(Rankings!C11&lt;=5,1,0)</f>
        <v>0</v>
      </c>
      <c r="D5" s="16">
        <f>IF(Rankings!D11&lt;=5,1,0)</f>
        <v>1</v>
      </c>
      <c r="E5" s="16">
        <f>IF(Rankings!E11&lt;=5,1,0)</f>
        <v>0</v>
      </c>
      <c r="F5" s="16">
        <f>IF(Rankings!F11&lt;=5,1,0)</f>
        <v>1</v>
      </c>
      <c r="G5" s="16">
        <f>IF(Rankings!G11&lt;=5,1,0)</f>
        <v>1</v>
      </c>
      <c r="H5" s="16">
        <f>IF(Rankings!H11&lt;=5,1,0)</f>
        <v>1</v>
      </c>
      <c r="I5" s="16">
        <f>IF(Rankings!I11&lt;=5,1,0)</f>
        <v>0</v>
      </c>
      <c r="J5" s="16">
        <f>IF(Rankings!J11&lt;=5,1,0)</f>
        <v>1</v>
      </c>
      <c r="K5" s="19">
        <f t="shared" ref="K5:K36" si="0">SUM(C5:J5)</f>
        <v>5</v>
      </c>
      <c r="L5" s="15">
        <f>SUMPRODUCT(C5:J5,Returns!B9:I9)/K5</f>
        <v>-4.5579608902745747E-2</v>
      </c>
      <c r="M5" s="15">
        <f>-2*Assumptions!$B$13</f>
        <v>-7.0000000000000001E-3</v>
      </c>
      <c r="N5" s="15">
        <v>0</v>
      </c>
      <c r="O5" s="15">
        <f t="shared" ref="O5:O36" si="1">L5+M5+N5</f>
        <v>-5.2579608902745746E-2</v>
      </c>
      <c r="P5" s="20">
        <f>1*(1+O5)</f>
        <v>0.94742039109725429</v>
      </c>
      <c r="Q5" s="20">
        <f>MAX($P$5:P5)</f>
        <v>0.94742039109725429</v>
      </c>
      <c r="R5" s="15">
        <f t="shared" ref="R5:R36" si="2">P5/Q5-1</f>
        <v>0</v>
      </c>
      <c r="S5" s="15">
        <f>O5-Benchmark_RF!D5</f>
        <v>-5.8179539412071914E-2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IF(Rankings!C11&lt;=5,1,0)</f>
        <v>0</v>
      </c>
      <c r="D6" s="16">
        <f>IF(Rankings!D11&lt;=5,1,0)</f>
        <v>1</v>
      </c>
      <c r="E6" s="16">
        <f>IF(Rankings!E11&lt;=5,1,0)</f>
        <v>0</v>
      </c>
      <c r="F6" s="16">
        <f>IF(Rankings!F11&lt;=5,1,0)</f>
        <v>1</v>
      </c>
      <c r="G6" s="16">
        <f>IF(Rankings!G11&lt;=5,1,0)</f>
        <v>1</v>
      </c>
      <c r="H6" s="16">
        <f>IF(Rankings!H11&lt;=5,1,0)</f>
        <v>1</v>
      </c>
      <c r="I6" s="16">
        <f>IF(Rankings!I11&lt;=5,1,0)</f>
        <v>0</v>
      </c>
      <c r="J6" s="16">
        <f>IF(Rankings!J11&lt;=5,1,0)</f>
        <v>1</v>
      </c>
      <c r="K6" s="19">
        <f t="shared" si="0"/>
        <v>5</v>
      </c>
      <c r="L6" s="15">
        <f>SUMPRODUCT(C6:J6,Returns!B10:I10)/K6</f>
        <v>-5.8994325846378579E-2</v>
      </c>
      <c r="M6" s="15">
        <v>0</v>
      </c>
      <c r="N6" s="15">
        <v>0</v>
      </c>
      <c r="O6" s="15">
        <f t="shared" si="1"/>
        <v>-5.8994325846378579E-2</v>
      </c>
      <c r="P6" s="20">
        <f t="shared" ref="P6:P37" si="3">P5*(1+O6)</f>
        <v>0.89152796383135946</v>
      </c>
      <c r="Q6" s="20">
        <f>MAX($P$5:P6)</f>
        <v>0.94742039109725429</v>
      </c>
      <c r="R6" s="15">
        <f t="shared" si="2"/>
        <v>-5.8994325846378537E-2</v>
      </c>
      <c r="S6" s="15">
        <f>O6-Benchmark_RF!D6</f>
        <v>-6.4229508203537608E-2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IF(Rankings!C11&lt;=5,1,0)</f>
        <v>0</v>
      </c>
      <c r="D7" s="16">
        <f>IF(Rankings!D11&lt;=5,1,0)</f>
        <v>1</v>
      </c>
      <c r="E7" s="16">
        <f>IF(Rankings!E11&lt;=5,1,0)</f>
        <v>0</v>
      </c>
      <c r="F7" s="16">
        <f>IF(Rankings!F11&lt;=5,1,0)</f>
        <v>1</v>
      </c>
      <c r="G7" s="16">
        <f>IF(Rankings!G11&lt;=5,1,0)</f>
        <v>1</v>
      </c>
      <c r="H7" s="16">
        <f>IF(Rankings!H11&lt;=5,1,0)</f>
        <v>1</v>
      </c>
      <c r="I7" s="16">
        <f>IF(Rankings!I11&lt;=5,1,0)</f>
        <v>0</v>
      </c>
      <c r="J7" s="16">
        <f>IF(Rankings!J11&lt;=5,1,0)</f>
        <v>1</v>
      </c>
      <c r="K7" s="19">
        <f t="shared" si="0"/>
        <v>5</v>
      </c>
      <c r="L7" s="15">
        <f>SUMPRODUCT(C7:J7,Returns!B11:I11)/K7</f>
        <v>4.1968346349029372E-2</v>
      </c>
      <c r="M7" s="15">
        <v>0</v>
      </c>
      <c r="N7" s="15">
        <v>0</v>
      </c>
      <c r="O7" s="15">
        <f t="shared" si="1"/>
        <v>4.1968346349029372E-2</v>
      </c>
      <c r="P7" s="20">
        <f t="shared" si="3"/>
        <v>0.92894391819727895</v>
      </c>
      <c r="Q7" s="20">
        <f>MAX($P$5:P7)</f>
        <v>0.94742039109725429</v>
      </c>
      <c r="R7" s="15">
        <f t="shared" si="2"/>
        <v>-1.9501873797097447E-2</v>
      </c>
      <c r="S7" s="15">
        <f>O7-Benchmark_RF!D7</f>
        <v>3.6861111443870075E-2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IF(Rankings!C11&lt;=5,1,0)</f>
        <v>0</v>
      </c>
      <c r="D8" s="16">
        <f>IF(Rankings!D11&lt;=5,1,0)</f>
        <v>1</v>
      </c>
      <c r="E8" s="16">
        <f>IF(Rankings!E11&lt;=5,1,0)</f>
        <v>0</v>
      </c>
      <c r="F8" s="16">
        <f>IF(Rankings!F11&lt;=5,1,0)</f>
        <v>1</v>
      </c>
      <c r="G8" s="16">
        <f>IF(Rankings!G11&lt;=5,1,0)</f>
        <v>1</v>
      </c>
      <c r="H8" s="16">
        <f>IF(Rankings!H11&lt;=5,1,0)</f>
        <v>1</v>
      </c>
      <c r="I8" s="16">
        <f>IF(Rankings!I11&lt;=5,1,0)</f>
        <v>0</v>
      </c>
      <c r="J8" s="16">
        <f>IF(Rankings!J11&lt;=5,1,0)</f>
        <v>1</v>
      </c>
      <c r="K8" s="19">
        <f t="shared" si="0"/>
        <v>5</v>
      </c>
      <c r="L8" s="15">
        <f>SUMPRODUCT(C8:J8,Returns!B12:I12)/K8</f>
        <v>-2.5470068833624859E-2</v>
      </c>
      <c r="M8" s="15">
        <v>0</v>
      </c>
      <c r="N8" s="15">
        <v>0</v>
      </c>
      <c r="O8" s="15">
        <f t="shared" si="1"/>
        <v>-2.5470068833624859E-2</v>
      </c>
      <c r="P8" s="20">
        <f t="shared" si="3"/>
        <v>0.90528365265821709</v>
      </c>
      <c r="Q8" s="20">
        <f>MAX($P$5:P8)</f>
        <v>0.94742039109725429</v>
      </c>
      <c r="R8" s="15">
        <f t="shared" si="2"/>
        <v>-4.4475228562725566E-2</v>
      </c>
      <c r="S8" s="15">
        <f>O8-Benchmark_RF!D8</f>
        <v>-3.0628740463050041E-2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IF(Rankings!C11&lt;=5,1,0)</f>
        <v>0</v>
      </c>
      <c r="D9" s="16">
        <f>IF(Rankings!D11&lt;=5,1,0)</f>
        <v>1</v>
      </c>
      <c r="E9" s="16">
        <f>IF(Rankings!E11&lt;=5,1,0)</f>
        <v>0</v>
      </c>
      <c r="F9" s="16">
        <f>IF(Rankings!F11&lt;=5,1,0)</f>
        <v>1</v>
      </c>
      <c r="G9" s="16">
        <f>IF(Rankings!G11&lt;=5,1,0)</f>
        <v>1</v>
      </c>
      <c r="H9" s="16">
        <f>IF(Rankings!H11&lt;=5,1,0)</f>
        <v>1</v>
      </c>
      <c r="I9" s="16">
        <f>IF(Rankings!I11&lt;=5,1,0)</f>
        <v>0</v>
      </c>
      <c r="J9" s="16">
        <f>IF(Rankings!J11&lt;=5,1,0)</f>
        <v>1</v>
      </c>
      <c r="K9" s="19">
        <f t="shared" si="0"/>
        <v>5</v>
      </c>
      <c r="L9" s="15">
        <f>SUMPRODUCT(C9:J9,Returns!B13:I13)/K9</f>
        <v>8.5852304803464466E-2</v>
      </c>
      <c r="M9" s="15">
        <v>0</v>
      </c>
      <c r="N9" s="15">
        <v>0</v>
      </c>
      <c r="O9" s="15">
        <f t="shared" si="1"/>
        <v>8.5852304803464466E-2</v>
      </c>
      <c r="P9" s="20">
        <f t="shared" si="3"/>
        <v>0.98300434073982401</v>
      </c>
      <c r="Q9" s="20">
        <f>MAX($P$5:P9)</f>
        <v>0.98300434073982401</v>
      </c>
      <c r="R9" s="15">
        <f t="shared" si="2"/>
        <v>0</v>
      </c>
      <c r="S9" s="15">
        <f>O9-Benchmark_RF!D9</f>
        <v>8.0718599606194277E-2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IF(Rankings!C11&lt;=5,1,0)</f>
        <v>0</v>
      </c>
      <c r="D10" s="16">
        <f>IF(Rankings!D11&lt;=5,1,0)</f>
        <v>1</v>
      </c>
      <c r="E10" s="16">
        <f>IF(Rankings!E11&lt;=5,1,0)</f>
        <v>0</v>
      </c>
      <c r="F10" s="16">
        <f>IF(Rankings!F11&lt;=5,1,0)</f>
        <v>1</v>
      </c>
      <c r="G10" s="16">
        <f>IF(Rankings!G11&lt;=5,1,0)</f>
        <v>1</v>
      </c>
      <c r="H10" s="16">
        <f>IF(Rankings!H11&lt;=5,1,0)</f>
        <v>1</v>
      </c>
      <c r="I10" s="16">
        <f>IF(Rankings!I11&lt;=5,1,0)</f>
        <v>0</v>
      </c>
      <c r="J10" s="16">
        <f>IF(Rankings!J11&lt;=5,1,0)</f>
        <v>1</v>
      </c>
      <c r="K10" s="19">
        <f t="shared" si="0"/>
        <v>5</v>
      </c>
      <c r="L10" s="15">
        <f>SUMPRODUCT(C10:J10,Returns!B14:I14)/K10</f>
        <v>-7.2284286464141673E-2</v>
      </c>
      <c r="M10" s="15">
        <v>0</v>
      </c>
      <c r="N10" s="15">
        <v>0</v>
      </c>
      <c r="O10" s="15">
        <f t="shared" si="1"/>
        <v>-7.2284286464141673E-2</v>
      </c>
      <c r="P10" s="20">
        <f t="shared" si="3"/>
        <v>0.91194857337829183</v>
      </c>
      <c r="Q10" s="20">
        <f>MAX($P$5:P10)</f>
        <v>0.98300434073982401</v>
      </c>
      <c r="R10" s="15">
        <f t="shared" si="2"/>
        <v>-7.2284286464141645E-2</v>
      </c>
      <c r="S10" s="15">
        <f>O10-Benchmark_RF!D10</f>
        <v>-7.7279489220283409E-2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IF(Rankings!C11&lt;=5,1,0)</f>
        <v>0</v>
      </c>
      <c r="D11" s="16">
        <f>IF(Rankings!D11&lt;=5,1,0)</f>
        <v>1</v>
      </c>
      <c r="E11" s="16">
        <f>IF(Rankings!E11&lt;=5,1,0)</f>
        <v>0</v>
      </c>
      <c r="F11" s="16">
        <f>IF(Rankings!F11&lt;=5,1,0)</f>
        <v>1</v>
      </c>
      <c r="G11" s="16">
        <f>IF(Rankings!G11&lt;=5,1,0)</f>
        <v>1</v>
      </c>
      <c r="H11" s="16">
        <f>IF(Rankings!H11&lt;=5,1,0)</f>
        <v>1</v>
      </c>
      <c r="I11" s="16">
        <f>IF(Rankings!I11&lt;=5,1,0)</f>
        <v>0</v>
      </c>
      <c r="J11" s="16">
        <f>IF(Rankings!J11&lt;=5,1,0)</f>
        <v>1</v>
      </c>
      <c r="K11" s="19">
        <f t="shared" si="0"/>
        <v>5</v>
      </c>
      <c r="L11" s="15">
        <f>SUMPRODUCT(C11:J11,Returns!B15:I15)/K11</f>
        <v>-1.7266692772445989E-2</v>
      </c>
      <c r="M11" s="15">
        <v>0</v>
      </c>
      <c r="N11" s="15">
        <v>0</v>
      </c>
      <c r="O11" s="15">
        <f t="shared" si="1"/>
        <v>-1.7266692772445989E-2</v>
      </c>
      <c r="P11" s="20">
        <f t="shared" si="3"/>
        <v>0.8962022375374985</v>
      </c>
      <c r="Q11" s="20">
        <f>MAX($P$5:P11)</f>
        <v>0.98300434073982401</v>
      </c>
      <c r="R11" s="15">
        <f t="shared" si="2"/>
        <v>-8.8302868669935752E-2</v>
      </c>
      <c r="S11" s="15">
        <f>O11-Benchmark_RF!D11</f>
        <v>-2.2303223866129061E-2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IF(Rankings!C11&lt;=5,1,0)</f>
        <v>0</v>
      </c>
      <c r="D12" s="16">
        <f>IF(Rankings!D11&lt;=5,1,0)</f>
        <v>1</v>
      </c>
      <c r="E12" s="16">
        <f>IF(Rankings!E11&lt;=5,1,0)</f>
        <v>0</v>
      </c>
      <c r="F12" s="16">
        <f>IF(Rankings!F11&lt;=5,1,0)</f>
        <v>1</v>
      </c>
      <c r="G12" s="16">
        <f>IF(Rankings!G11&lt;=5,1,0)</f>
        <v>1</v>
      </c>
      <c r="H12" s="16">
        <f>IF(Rankings!H11&lt;=5,1,0)</f>
        <v>1</v>
      </c>
      <c r="I12" s="16">
        <f>IF(Rankings!I11&lt;=5,1,0)</f>
        <v>0</v>
      </c>
      <c r="J12" s="16">
        <f>IF(Rankings!J11&lt;=5,1,0)</f>
        <v>1</v>
      </c>
      <c r="K12" s="19">
        <f t="shared" si="0"/>
        <v>5</v>
      </c>
      <c r="L12" s="15">
        <f>SUMPRODUCT(C12:J12,Returns!B16:I16)/K12</f>
        <v>6.8403808258981777E-2</v>
      </c>
      <c r="M12" s="15">
        <v>0</v>
      </c>
      <c r="N12" s="15">
        <v>0</v>
      </c>
      <c r="O12" s="15">
        <f t="shared" si="1"/>
        <v>6.8403808258981777E-2</v>
      </c>
      <c r="P12" s="20">
        <f t="shared" si="3"/>
        <v>0.95750588355528399</v>
      </c>
      <c r="Q12" s="20">
        <f>MAX($P$5:P12)</f>
        <v>0.98300434073982401</v>
      </c>
      <c r="R12" s="15">
        <f t="shared" si="2"/>
        <v>-2.593931290817042E-2</v>
      </c>
      <c r="S12" s="15">
        <f>O12-Benchmark_RF!D12</f>
        <v>6.3402294623659913E-2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IF(Rankings!C11&lt;=5,1,0)</f>
        <v>0</v>
      </c>
      <c r="D13" s="16">
        <f>IF(Rankings!D11&lt;=5,1,0)</f>
        <v>1</v>
      </c>
      <c r="E13" s="16">
        <f>IF(Rankings!E11&lt;=5,1,0)</f>
        <v>0</v>
      </c>
      <c r="F13" s="16">
        <f>IF(Rankings!F11&lt;=5,1,0)</f>
        <v>1</v>
      </c>
      <c r="G13" s="16">
        <f>IF(Rankings!G11&lt;=5,1,0)</f>
        <v>1</v>
      </c>
      <c r="H13" s="16">
        <f>IF(Rankings!H11&lt;=5,1,0)</f>
        <v>1</v>
      </c>
      <c r="I13" s="16">
        <f>IF(Rankings!I11&lt;=5,1,0)</f>
        <v>0</v>
      </c>
      <c r="J13" s="16">
        <f>IF(Rankings!J11&lt;=5,1,0)</f>
        <v>1</v>
      </c>
      <c r="K13" s="19">
        <f t="shared" si="0"/>
        <v>5</v>
      </c>
      <c r="L13" s="15">
        <f>SUMPRODUCT(C13:J13,Returns!B17:I17)/K13</f>
        <v>2.8113308980716002E-2</v>
      </c>
      <c r="M13" s="15">
        <v>0</v>
      </c>
      <c r="N13" s="15">
        <v>0</v>
      </c>
      <c r="O13" s="15">
        <f t="shared" si="1"/>
        <v>2.8113308980716002E-2</v>
      </c>
      <c r="P13" s="20">
        <f t="shared" si="3"/>
        <v>0.98442454231052712</v>
      </c>
      <c r="Q13" s="20">
        <f>MAX($P$5:P13)</f>
        <v>0.98442454231052712</v>
      </c>
      <c r="R13" s="15">
        <f t="shared" si="2"/>
        <v>0</v>
      </c>
      <c r="S13" s="15">
        <f>O13-Benchmark_RF!D13</f>
        <v>2.3111795345394138E-2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IF(Rankings!C11&lt;=5,1,0)</f>
        <v>0</v>
      </c>
      <c r="D14" s="16">
        <f>IF(Rankings!D11&lt;=5,1,0)</f>
        <v>1</v>
      </c>
      <c r="E14" s="16">
        <f>IF(Rankings!E11&lt;=5,1,0)</f>
        <v>0</v>
      </c>
      <c r="F14" s="16">
        <f>IF(Rankings!F11&lt;=5,1,0)</f>
        <v>1</v>
      </c>
      <c r="G14" s="16">
        <f>IF(Rankings!G11&lt;=5,1,0)</f>
        <v>1</v>
      </c>
      <c r="H14" s="16">
        <f>IF(Rankings!H11&lt;=5,1,0)</f>
        <v>1</v>
      </c>
      <c r="I14" s="16">
        <f>IF(Rankings!I11&lt;=5,1,0)</f>
        <v>0</v>
      </c>
      <c r="J14" s="16">
        <f>IF(Rankings!J11&lt;=5,1,0)</f>
        <v>1</v>
      </c>
      <c r="K14" s="19">
        <f t="shared" si="0"/>
        <v>5</v>
      </c>
      <c r="L14" s="15">
        <f>SUMPRODUCT(C14:J14,Returns!B18:I18)/K14</f>
        <v>5.3140813540989741E-2</v>
      </c>
      <c r="M14" s="15">
        <v>0</v>
      </c>
      <c r="N14" s="15">
        <v>0</v>
      </c>
      <c r="O14" s="15">
        <f t="shared" si="1"/>
        <v>5.3140813540989741E-2</v>
      </c>
      <c r="P14" s="20">
        <f t="shared" si="3"/>
        <v>1.0367376633586249</v>
      </c>
      <c r="Q14" s="20">
        <f>MAX($P$5:P14)</f>
        <v>1.0367376633586249</v>
      </c>
      <c r="R14" s="15">
        <f t="shared" si="2"/>
        <v>0</v>
      </c>
      <c r="S14" s="15">
        <f>O14-Benchmark_RF!D14</f>
        <v>4.8283138387070414E-2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IF(Rankings!C11&lt;=5,1,0)</f>
        <v>0</v>
      </c>
      <c r="D15" s="16">
        <f>IF(Rankings!D11&lt;=5,1,0)</f>
        <v>1</v>
      </c>
      <c r="E15" s="16">
        <f>IF(Rankings!E11&lt;=5,1,0)</f>
        <v>0</v>
      </c>
      <c r="F15" s="16">
        <f>IF(Rankings!F11&lt;=5,1,0)</f>
        <v>1</v>
      </c>
      <c r="G15" s="16">
        <f>IF(Rankings!G11&lt;=5,1,0)</f>
        <v>1</v>
      </c>
      <c r="H15" s="16">
        <f>IF(Rankings!H11&lt;=5,1,0)</f>
        <v>1</v>
      </c>
      <c r="I15" s="16">
        <f>IF(Rankings!I11&lt;=5,1,0)</f>
        <v>0</v>
      </c>
      <c r="J15" s="16">
        <f>IF(Rankings!J11&lt;=5,1,0)</f>
        <v>1</v>
      </c>
      <c r="K15" s="19">
        <f t="shared" si="0"/>
        <v>5</v>
      </c>
      <c r="L15" s="15">
        <f>SUMPRODUCT(C15:J15,Returns!B19:I19)/K15</f>
        <v>4.1603911671865126E-2</v>
      </c>
      <c r="M15" s="15">
        <v>0</v>
      </c>
      <c r="N15" s="15">
        <v>0</v>
      </c>
      <c r="O15" s="15">
        <f t="shared" si="1"/>
        <v>4.1603911671865126E-2</v>
      </c>
      <c r="P15" s="20">
        <f t="shared" si="3"/>
        <v>1.0798700055318931</v>
      </c>
      <c r="Q15" s="20">
        <f>MAX($P$5:P15)</f>
        <v>1.0798700055318931</v>
      </c>
      <c r="R15" s="15">
        <f t="shared" si="2"/>
        <v>0</v>
      </c>
      <c r="S15" s="15">
        <f>O15-Benchmark_RF!D15</f>
        <v>3.6815552441713709E-2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IF(Rankings!C11&lt;=5,1,0)</f>
        <v>0</v>
      </c>
      <c r="D16" s="16">
        <f>IF(Rankings!D11&lt;=5,1,0)</f>
        <v>1</v>
      </c>
      <c r="E16" s="16">
        <f>IF(Rankings!E11&lt;=5,1,0)</f>
        <v>0</v>
      </c>
      <c r="F16" s="16">
        <f>IF(Rankings!F11&lt;=5,1,0)</f>
        <v>1</v>
      </c>
      <c r="G16" s="16">
        <f>IF(Rankings!G11&lt;=5,1,0)</f>
        <v>1</v>
      </c>
      <c r="H16" s="16">
        <f>IF(Rankings!H11&lt;=5,1,0)</f>
        <v>1</v>
      </c>
      <c r="I16" s="16">
        <f>IF(Rankings!I11&lt;=5,1,0)</f>
        <v>0</v>
      </c>
      <c r="J16" s="16">
        <f>IF(Rankings!J11&lt;=5,1,0)</f>
        <v>1</v>
      </c>
      <c r="K16" s="19">
        <f t="shared" si="0"/>
        <v>5</v>
      </c>
      <c r="L16" s="15">
        <f>SUMPRODUCT(C16:J16,Returns!B20:I20)/K16</f>
        <v>6.4530054933957665E-2</v>
      </c>
      <c r="M16" s="15">
        <v>0</v>
      </c>
      <c r="N16" s="15">
        <v>0</v>
      </c>
      <c r="O16" s="15">
        <f t="shared" si="1"/>
        <v>6.4530054933957665E-2</v>
      </c>
      <c r="P16" s="20">
        <f t="shared" si="3"/>
        <v>1.1495540763103993</v>
      </c>
      <c r="Q16" s="20">
        <f>MAX($P$5:P16)</f>
        <v>1.1495540763103993</v>
      </c>
      <c r="R16" s="15">
        <f t="shared" si="2"/>
        <v>0</v>
      </c>
      <c r="S16" s="15">
        <f>O16-Benchmark_RF!D16</f>
        <v>5.9830690022189742E-2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IF(Rankings!C23&lt;=5,1,0)</f>
        <v>0</v>
      </c>
      <c r="D17" s="16">
        <f>IF(Rankings!D23&lt;=5,1,0)</f>
        <v>0</v>
      </c>
      <c r="E17" s="16">
        <f>IF(Rankings!E23&lt;=5,1,0)</f>
        <v>1</v>
      </c>
      <c r="F17" s="16">
        <f>IF(Rankings!F23&lt;=5,1,0)</f>
        <v>1</v>
      </c>
      <c r="G17" s="16">
        <f>IF(Rankings!G23&lt;=5,1,0)</f>
        <v>0</v>
      </c>
      <c r="H17" s="16">
        <f>IF(Rankings!H23&lt;=5,1,0)</f>
        <v>1</v>
      </c>
      <c r="I17" s="16">
        <f>IF(Rankings!I23&lt;=5,1,0)</f>
        <v>1</v>
      </c>
      <c r="J17" s="16">
        <f>IF(Rankings!J23&lt;=5,1,0)</f>
        <v>1</v>
      </c>
      <c r="K17" s="19">
        <f t="shared" si="0"/>
        <v>5</v>
      </c>
      <c r="L17" s="15">
        <f>SUMPRODUCT(C17:J17,Returns!B21:I21)/K17</f>
        <v>7.2934061992625089E-3</v>
      </c>
      <c r="M17" s="15">
        <f>-2*Assumptions!$B$13</f>
        <v>-7.0000000000000001E-3</v>
      </c>
      <c r="N17" s="15">
        <f>-Assumptions!$B$16*MAX(0,(1+O5)*(1+O6)*(1+O7)*(1+O8)*(1+O9)*(1+O10)*(1+O11)*(1+O12)*(1+O13)*(1+O14)*(1+O15)*(1+O16)-1)</f>
        <v>-2.2433111446559895E-2</v>
      </c>
      <c r="O17" s="15">
        <f t="shared" si="1"/>
        <v>-2.2139705247297387E-2</v>
      </c>
      <c r="P17" s="20">
        <f t="shared" si="3"/>
        <v>1.1241032878950579</v>
      </c>
      <c r="Q17" s="20">
        <f>MAX($P$5:P17)</f>
        <v>1.1495540763103993</v>
      </c>
      <c r="R17" s="15">
        <f t="shared" si="2"/>
        <v>-2.2139705247297359E-2</v>
      </c>
      <c r="S17" s="15">
        <f>O17-Benchmark_RF!D17</f>
        <v>-2.6896590175884444E-2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IF(Rankings!C23&lt;=5,1,0)</f>
        <v>0</v>
      </c>
      <c r="D18" s="16">
        <f>IF(Rankings!D23&lt;=5,1,0)</f>
        <v>0</v>
      </c>
      <c r="E18" s="16">
        <f>IF(Rankings!E23&lt;=5,1,0)</f>
        <v>1</v>
      </c>
      <c r="F18" s="16">
        <f>IF(Rankings!F23&lt;=5,1,0)</f>
        <v>1</v>
      </c>
      <c r="G18" s="16">
        <f>IF(Rankings!G23&lt;=5,1,0)</f>
        <v>0</v>
      </c>
      <c r="H18" s="16">
        <f>IF(Rankings!H23&lt;=5,1,0)</f>
        <v>1</v>
      </c>
      <c r="I18" s="16">
        <f>IF(Rankings!I23&lt;=5,1,0)</f>
        <v>1</v>
      </c>
      <c r="J18" s="16">
        <f>IF(Rankings!J23&lt;=5,1,0)</f>
        <v>1</v>
      </c>
      <c r="K18" s="19">
        <f t="shared" si="0"/>
        <v>5</v>
      </c>
      <c r="L18" s="15">
        <f>SUMPRODUCT(C18:J18,Returns!B22:I22)/K18</f>
        <v>8.7712388664117985E-2</v>
      </c>
      <c r="M18" s="15">
        <v>0</v>
      </c>
      <c r="N18" s="15">
        <v>0</v>
      </c>
      <c r="O18" s="15">
        <f t="shared" si="1"/>
        <v>8.7712388664117985E-2</v>
      </c>
      <c r="P18" s="20">
        <f t="shared" si="3"/>
        <v>1.2227010723815221</v>
      </c>
      <c r="Q18" s="20">
        <f>MAX($P$5:P18)</f>
        <v>1.2227010723815221</v>
      </c>
      <c r="R18" s="15">
        <f t="shared" si="2"/>
        <v>0</v>
      </c>
      <c r="S18" s="15">
        <f>O18-Benchmark_RF!D18</f>
        <v>8.2955503735530928E-2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IF(Rankings!C23&lt;=5,1,0)</f>
        <v>0</v>
      </c>
      <c r="D19" s="16">
        <f>IF(Rankings!D23&lt;=5,1,0)</f>
        <v>0</v>
      </c>
      <c r="E19" s="16">
        <f>IF(Rankings!E23&lt;=5,1,0)</f>
        <v>1</v>
      </c>
      <c r="F19" s="16">
        <f>IF(Rankings!F23&lt;=5,1,0)</f>
        <v>1</v>
      </c>
      <c r="G19" s="16">
        <f>IF(Rankings!G23&lt;=5,1,0)</f>
        <v>0</v>
      </c>
      <c r="H19" s="16">
        <f>IF(Rankings!H23&lt;=5,1,0)</f>
        <v>1</v>
      </c>
      <c r="I19" s="16">
        <f>IF(Rankings!I23&lt;=5,1,0)</f>
        <v>1</v>
      </c>
      <c r="J19" s="16">
        <f>IF(Rankings!J23&lt;=5,1,0)</f>
        <v>1</v>
      </c>
      <c r="K19" s="19">
        <f t="shared" si="0"/>
        <v>5</v>
      </c>
      <c r="L19" s="15">
        <f>SUMPRODUCT(C19:J19,Returns!B23:I23)/K19</f>
        <v>5.5321812020397008E-2</v>
      </c>
      <c r="M19" s="15">
        <v>0</v>
      </c>
      <c r="N19" s="15">
        <v>0</v>
      </c>
      <c r="O19" s="15">
        <f t="shared" si="1"/>
        <v>5.5321812020397008E-2</v>
      </c>
      <c r="P19" s="20">
        <f t="shared" si="3"/>
        <v>1.2903431112649506</v>
      </c>
      <c r="Q19" s="20">
        <f>MAX($P$5:P19)</f>
        <v>1.2903431112649506</v>
      </c>
      <c r="R19" s="15">
        <f t="shared" si="2"/>
        <v>0</v>
      </c>
      <c r="S19" s="15">
        <f>O19-Benchmark_RF!D19</f>
        <v>5.0549109504254418E-2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IF(Rankings!C23&lt;=5,1,0)</f>
        <v>0</v>
      </c>
      <c r="D20" s="16">
        <f>IF(Rankings!D23&lt;=5,1,0)</f>
        <v>0</v>
      </c>
      <c r="E20" s="16">
        <f>IF(Rankings!E23&lt;=5,1,0)</f>
        <v>1</v>
      </c>
      <c r="F20" s="16">
        <f>IF(Rankings!F23&lt;=5,1,0)</f>
        <v>1</v>
      </c>
      <c r="G20" s="16">
        <f>IF(Rankings!G23&lt;=5,1,0)</f>
        <v>0</v>
      </c>
      <c r="H20" s="16">
        <f>IF(Rankings!H23&lt;=5,1,0)</f>
        <v>1</v>
      </c>
      <c r="I20" s="16">
        <f>IF(Rankings!I23&lt;=5,1,0)</f>
        <v>1</v>
      </c>
      <c r="J20" s="16">
        <f>IF(Rankings!J23&lt;=5,1,0)</f>
        <v>1</v>
      </c>
      <c r="K20" s="19">
        <f t="shared" si="0"/>
        <v>5</v>
      </c>
      <c r="L20" s="15">
        <f>SUMPRODUCT(C20:J20,Returns!B24:I24)/K20</f>
        <v>0.10618948770816727</v>
      </c>
      <c r="M20" s="15">
        <v>0</v>
      </c>
      <c r="N20" s="15">
        <v>0</v>
      </c>
      <c r="O20" s="15">
        <f t="shared" si="1"/>
        <v>0.10618948770816727</v>
      </c>
      <c r="P20" s="20">
        <f t="shared" si="3"/>
        <v>1.4273639852179385</v>
      </c>
      <c r="Q20" s="20">
        <f>MAX($P$5:P20)</f>
        <v>1.4273639852179385</v>
      </c>
      <c r="R20" s="15">
        <f t="shared" si="2"/>
        <v>0</v>
      </c>
      <c r="S20" s="15">
        <f>O20-Benchmark_RF!D20</f>
        <v>0.10136144519562951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IF(Rankings!C23&lt;=5,1,0)</f>
        <v>0</v>
      </c>
      <c r="D21" s="16">
        <f>IF(Rankings!D23&lt;=5,1,0)</f>
        <v>0</v>
      </c>
      <c r="E21" s="16">
        <f>IF(Rankings!E23&lt;=5,1,0)</f>
        <v>1</v>
      </c>
      <c r="F21" s="16">
        <f>IF(Rankings!F23&lt;=5,1,0)</f>
        <v>1</v>
      </c>
      <c r="G21" s="16">
        <f>IF(Rankings!G23&lt;=5,1,0)</f>
        <v>0</v>
      </c>
      <c r="H21" s="16">
        <f>IF(Rankings!H23&lt;=5,1,0)</f>
        <v>1</v>
      </c>
      <c r="I21" s="16">
        <f>IF(Rankings!I23&lt;=5,1,0)</f>
        <v>1</v>
      </c>
      <c r="J21" s="16">
        <f>IF(Rankings!J23&lt;=5,1,0)</f>
        <v>1</v>
      </c>
      <c r="K21" s="19">
        <f t="shared" si="0"/>
        <v>5</v>
      </c>
      <c r="L21" s="15">
        <f>SUMPRODUCT(C21:J21,Returns!B25:I25)/K21</f>
        <v>7.8725227239706694E-2</v>
      </c>
      <c r="M21" s="15">
        <v>0</v>
      </c>
      <c r="N21" s="15">
        <v>0</v>
      </c>
      <c r="O21" s="15">
        <f t="shared" si="1"/>
        <v>7.8725227239706694E-2</v>
      </c>
      <c r="P21" s="20">
        <f t="shared" si="3"/>
        <v>1.5397335393079941</v>
      </c>
      <c r="Q21" s="20">
        <f>MAX($P$5:P21)</f>
        <v>1.5397335393079941</v>
      </c>
      <c r="R21" s="15">
        <f t="shared" si="2"/>
        <v>0</v>
      </c>
      <c r="S21" s="15">
        <f>O21-Benchmark_RF!D21</f>
        <v>7.3885409540067101E-2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IF(Rankings!C23&lt;=5,1,0)</f>
        <v>0</v>
      </c>
      <c r="D22" s="16">
        <f>IF(Rankings!D23&lt;=5,1,0)</f>
        <v>0</v>
      </c>
      <c r="E22" s="16">
        <f>IF(Rankings!E23&lt;=5,1,0)</f>
        <v>1</v>
      </c>
      <c r="F22" s="16">
        <f>IF(Rankings!F23&lt;=5,1,0)</f>
        <v>1</v>
      </c>
      <c r="G22" s="16">
        <f>IF(Rankings!G23&lt;=5,1,0)</f>
        <v>0</v>
      </c>
      <c r="H22" s="16">
        <f>IF(Rankings!H23&lt;=5,1,0)</f>
        <v>1</v>
      </c>
      <c r="I22" s="16">
        <f>IF(Rankings!I23&lt;=5,1,0)</f>
        <v>1</v>
      </c>
      <c r="J22" s="16">
        <f>IF(Rankings!J23&lt;=5,1,0)</f>
        <v>1</v>
      </c>
      <c r="K22" s="19">
        <f t="shared" si="0"/>
        <v>5</v>
      </c>
      <c r="L22" s="15">
        <f>SUMPRODUCT(C22:J22,Returns!B26:I26)/K22</f>
        <v>1.6096237134066473E-2</v>
      </c>
      <c r="M22" s="15">
        <v>0</v>
      </c>
      <c r="N22" s="15">
        <v>0</v>
      </c>
      <c r="O22" s="15">
        <f t="shared" si="1"/>
        <v>1.6096237134066473E-2</v>
      </c>
      <c r="P22" s="20">
        <f t="shared" si="3"/>
        <v>1.564517455479971</v>
      </c>
      <c r="Q22" s="20">
        <f>MAX($P$5:P22)</f>
        <v>1.564517455479971</v>
      </c>
      <c r="R22" s="15">
        <f t="shared" si="2"/>
        <v>0</v>
      </c>
      <c r="S22" s="15">
        <f>O22-Benchmark_RF!D22</f>
        <v>1.1321873930121497E-2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IF(Rankings!C23&lt;=5,1,0)</f>
        <v>0</v>
      </c>
      <c r="D23" s="16">
        <f>IF(Rankings!D23&lt;=5,1,0)</f>
        <v>0</v>
      </c>
      <c r="E23" s="16">
        <f>IF(Rankings!E23&lt;=5,1,0)</f>
        <v>1</v>
      </c>
      <c r="F23" s="16">
        <f>IF(Rankings!F23&lt;=5,1,0)</f>
        <v>1</v>
      </c>
      <c r="G23" s="16">
        <f>IF(Rankings!G23&lt;=5,1,0)</f>
        <v>0</v>
      </c>
      <c r="H23" s="16">
        <f>IF(Rankings!H23&lt;=5,1,0)</f>
        <v>1</v>
      </c>
      <c r="I23" s="16">
        <f>IF(Rankings!I23&lt;=5,1,0)</f>
        <v>1</v>
      </c>
      <c r="J23" s="16">
        <f>IF(Rankings!J23&lt;=5,1,0)</f>
        <v>1</v>
      </c>
      <c r="K23" s="19">
        <f t="shared" si="0"/>
        <v>5</v>
      </c>
      <c r="L23" s="15">
        <f>SUMPRODUCT(C23:J23,Returns!B27:I27)/K23</f>
        <v>-3.4272151448182006E-2</v>
      </c>
      <c r="M23" s="15">
        <v>0</v>
      </c>
      <c r="N23" s="15">
        <v>0</v>
      </c>
      <c r="O23" s="15">
        <f t="shared" si="1"/>
        <v>-3.4272151448182006E-2</v>
      </c>
      <c r="P23" s="20">
        <f t="shared" si="3"/>
        <v>1.5108980763024371</v>
      </c>
      <c r="Q23" s="20">
        <f>MAX($P$5:P23)</f>
        <v>1.564517455479971</v>
      </c>
      <c r="R23" s="15">
        <f t="shared" si="2"/>
        <v>-3.4272151448181964E-2</v>
      </c>
      <c r="S23" s="15">
        <f>O23-Benchmark_RF!D23</f>
        <v>-3.9093633969984706E-2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IF(Rankings!C23&lt;=5,1,0)</f>
        <v>0</v>
      </c>
      <c r="D24" s="16">
        <f>IF(Rankings!D23&lt;=5,1,0)</f>
        <v>0</v>
      </c>
      <c r="E24" s="16">
        <f>IF(Rankings!E23&lt;=5,1,0)</f>
        <v>1</v>
      </c>
      <c r="F24" s="16">
        <f>IF(Rankings!F23&lt;=5,1,0)</f>
        <v>1</v>
      </c>
      <c r="G24" s="16">
        <f>IF(Rankings!G23&lt;=5,1,0)</f>
        <v>0</v>
      </c>
      <c r="H24" s="16">
        <f>IF(Rankings!H23&lt;=5,1,0)</f>
        <v>1</v>
      </c>
      <c r="I24" s="16">
        <f>IF(Rankings!I23&lt;=5,1,0)</f>
        <v>1</v>
      </c>
      <c r="J24" s="16">
        <f>IF(Rankings!J23&lt;=5,1,0)</f>
        <v>1</v>
      </c>
      <c r="K24" s="19">
        <f t="shared" si="0"/>
        <v>5</v>
      </c>
      <c r="L24" s="15">
        <f>SUMPRODUCT(C24:J24,Returns!B28:I28)/K24</f>
        <v>9.7190121228736721E-3</v>
      </c>
      <c r="M24" s="15">
        <v>0</v>
      </c>
      <c r="N24" s="15">
        <v>0</v>
      </c>
      <c r="O24" s="15">
        <f t="shared" si="1"/>
        <v>9.7190121228736721E-3</v>
      </c>
      <c r="P24" s="20">
        <f t="shared" si="3"/>
        <v>1.525582513022447</v>
      </c>
      <c r="Q24" s="20">
        <f>MAX($P$5:P24)</f>
        <v>1.564517455479971</v>
      </c>
      <c r="R24" s="15">
        <f t="shared" si="2"/>
        <v>-2.4886230780710172E-2</v>
      </c>
      <c r="S24" s="15">
        <f>O24-Benchmark_RF!D24</f>
        <v>4.8737419984020043E-3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IF(Rankings!C23&lt;=5,1,0)</f>
        <v>0</v>
      </c>
      <c r="D25" s="16">
        <f>IF(Rankings!D23&lt;=5,1,0)</f>
        <v>0</v>
      </c>
      <c r="E25" s="16">
        <f>IF(Rankings!E23&lt;=5,1,0)</f>
        <v>1</v>
      </c>
      <c r="F25" s="16">
        <f>IF(Rankings!F23&lt;=5,1,0)</f>
        <v>1</v>
      </c>
      <c r="G25" s="16">
        <f>IF(Rankings!G23&lt;=5,1,0)</f>
        <v>0</v>
      </c>
      <c r="H25" s="16">
        <f>IF(Rankings!H23&lt;=5,1,0)</f>
        <v>1</v>
      </c>
      <c r="I25" s="16">
        <f>IF(Rankings!I23&lt;=5,1,0)</f>
        <v>1</v>
      </c>
      <c r="J25" s="16">
        <f>IF(Rankings!J23&lt;=5,1,0)</f>
        <v>1</v>
      </c>
      <c r="K25" s="19">
        <f t="shared" si="0"/>
        <v>5</v>
      </c>
      <c r="L25" s="15">
        <f>SUMPRODUCT(C25:J25,Returns!B29:I29)/K25</f>
        <v>2.7820310864211086E-2</v>
      </c>
      <c r="M25" s="15">
        <v>0</v>
      </c>
      <c r="N25" s="15">
        <v>0</v>
      </c>
      <c r="O25" s="15">
        <f t="shared" si="1"/>
        <v>2.7820310864211086E-2</v>
      </c>
      <c r="P25" s="20">
        <f t="shared" si="3"/>
        <v>1.5680246927837356</v>
      </c>
      <c r="Q25" s="20">
        <f>MAX($P$5:P25)</f>
        <v>1.5680246927837356</v>
      </c>
      <c r="R25" s="15">
        <f t="shared" si="2"/>
        <v>0</v>
      </c>
      <c r="S25" s="15">
        <f>O25-Benchmark_RF!D25</f>
        <v>2.2964531911455845E-2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IF(Rankings!C23&lt;=5,1,0)</f>
        <v>0</v>
      </c>
      <c r="D26" s="16">
        <f>IF(Rankings!D23&lt;=5,1,0)</f>
        <v>0</v>
      </c>
      <c r="E26" s="16">
        <f>IF(Rankings!E23&lt;=5,1,0)</f>
        <v>1</v>
      </c>
      <c r="F26" s="16">
        <f>IF(Rankings!F23&lt;=5,1,0)</f>
        <v>1</v>
      </c>
      <c r="G26" s="16">
        <f>IF(Rankings!G23&lt;=5,1,0)</f>
        <v>0</v>
      </c>
      <c r="H26" s="16">
        <f>IF(Rankings!H23&lt;=5,1,0)</f>
        <v>1</v>
      </c>
      <c r="I26" s="16">
        <f>IF(Rankings!I23&lt;=5,1,0)</f>
        <v>1</v>
      </c>
      <c r="J26" s="16">
        <f>IF(Rankings!J23&lt;=5,1,0)</f>
        <v>1</v>
      </c>
      <c r="K26" s="19">
        <f t="shared" si="0"/>
        <v>5</v>
      </c>
      <c r="L26" s="15">
        <f>SUMPRODUCT(C26:J26,Returns!B30:I30)/K26</f>
        <v>0.16854660564225293</v>
      </c>
      <c r="M26" s="15">
        <v>0</v>
      </c>
      <c r="N26" s="15">
        <v>0</v>
      </c>
      <c r="O26" s="15">
        <f t="shared" si="1"/>
        <v>0.16854660564225293</v>
      </c>
      <c r="P26" s="20">
        <f t="shared" si="3"/>
        <v>1.8323099323156706</v>
      </c>
      <c r="Q26" s="20">
        <f>MAX($P$5:P26)</f>
        <v>1.8323099323156706</v>
      </c>
      <c r="R26" s="15">
        <f t="shared" si="2"/>
        <v>0</v>
      </c>
      <c r="S26" s="15">
        <f>O26-Benchmark_RF!D26</f>
        <v>0.16369082668949769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IF(Rankings!C23&lt;=5,1,0)</f>
        <v>0</v>
      </c>
      <c r="D27" s="16">
        <f>IF(Rankings!D23&lt;=5,1,0)</f>
        <v>0</v>
      </c>
      <c r="E27" s="16">
        <f>IF(Rankings!E23&lt;=5,1,0)</f>
        <v>1</v>
      </c>
      <c r="F27" s="16">
        <f>IF(Rankings!F23&lt;=5,1,0)</f>
        <v>1</v>
      </c>
      <c r="G27" s="16">
        <f>IF(Rankings!G23&lt;=5,1,0)</f>
        <v>0</v>
      </c>
      <c r="H27" s="16">
        <f>IF(Rankings!H23&lt;=5,1,0)</f>
        <v>1</v>
      </c>
      <c r="I27" s="16">
        <f>IF(Rankings!I23&lt;=5,1,0)</f>
        <v>1</v>
      </c>
      <c r="J27" s="16">
        <f>IF(Rankings!J23&lt;=5,1,0)</f>
        <v>1</v>
      </c>
      <c r="K27" s="19">
        <f t="shared" si="0"/>
        <v>5</v>
      </c>
      <c r="L27" s="15">
        <f>SUMPRODUCT(C27:J27,Returns!B31:I31)/K27</f>
        <v>-1.4896605674063145E-3</v>
      </c>
      <c r="M27" s="15">
        <v>0</v>
      </c>
      <c r="N27" s="15">
        <v>0</v>
      </c>
      <c r="O27" s="15">
        <f t="shared" si="1"/>
        <v>-1.4896605674063145E-3</v>
      </c>
      <c r="P27" s="20">
        <f t="shared" si="3"/>
        <v>1.829580412462233</v>
      </c>
      <c r="Q27" s="20">
        <f>MAX($P$5:P27)</f>
        <v>1.8323099323156706</v>
      </c>
      <c r="R27" s="15">
        <f t="shared" si="2"/>
        <v>-1.4896605674062924E-3</v>
      </c>
      <c r="S27" s="15">
        <f>O27-Benchmark_RF!D27</f>
        <v>-6.3501009441370385E-3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IF(Rankings!C23&lt;=5,1,0)</f>
        <v>0</v>
      </c>
      <c r="D28" s="16">
        <f>IF(Rankings!D23&lt;=5,1,0)</f>
        <v>0</v>
      </c>
      <c r="E28" s="16">
        <f>IF(Rankings!E23&lt;=5,1,0)</f>
        <v>1</v>
      </c>
      <c r="F28" s="16">
        <f>IF(Rankings!F23&lt;=5,1,0)</f>
        <v>1</v>
      </c>
      <c r="G28" s="16">
        <f>IF(Rankings!G23&lt;=5,1,0)</f>
        <v>0</v>
      </c>
      <c r="H28" s="16">
        <f>IF(Rankings!H23&lt;=5,1,0)</f>
        <v>1</v>
      </c>
      <c r="I28" s="16">
        <f>IF(Rankings!I23&lt;=5,1,0)</f>
        <v>1</v>
      </c>
      <c r="J28" s="16">
        <f>IF(Rankings!J23&lt;=5,1,0)</f>
        <v>1</v>
      </c>
      <c r="K28" s="19">
        <f t="shared" si="0"/>
        <v>5</v>
      </c>
      <c r="L28" s="15">
        <f>SUMPRODUCT(C28:J28,Returns!B32:I32)/K28</f>
        <v>-1.151962014563721E-2</v>
      </c>
      <c r="M28" s="15">
        <v>0</v>
      </c>
      <c r="N28" s="15">
        <v>0</v>
      </c>
      <c r="O28" s="15">
        <f t="shared" si="1"/>
        <v>-1.151962014563721E-2</v>
      </c>
      <c r="P28" s="20">
        <f t="shared" si="3"/>
        <v>1.8085043410847699</v>
      </c>
      <c r="Q28" s="20">
        <f>MAX($P$5:P28)</f>
        <v>1.8323099323156706</v>
      </c>
      <c r="R28" s="15">
        <f t="shared" si="2"/>
        <v>-1.2992120389161088E-2</v>
      </c>
      <c r="S28" s="15">
        <f>O28-Benchmark_RF!D28</f>
        <v>-1.6379981517163557E-2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IF(Rankings!C35&lt;=5,1,0)</f>
        <v>1</v>
      </c>
      <c r="D29" s="16">
        <f>IF(Rankings!D35&lt;=5,1,0)</f>
        <v>0</v>
      </c>
      <c r="E29" s="16">
        <f>IF(Rankings!E35&lt;=5,1,0)</f>
        <v>1</v>
      </c>
      <c r="F29" s="16">
        <f>IF(Rankings!F35&lt;=5,1,0)</f>
        <v>0</v>
      </c>
      <c r="G29" s="16">
        <f>IF(Rankings!G35&lt;=5,1,0)</f>
        <v>0</v>
      </c>
      <c r="H29" s="16">
        <f>IF(Rankings!H35&lt;=5,1,0)</f>
        <v>1</v>
      </c>
      <c r="I29" s="16">
        <f>IF(Rankings!I35&lt;=5,1,0)</f>
        <v>1</v>
      </c>
      <c r="J29" s="16">
        <f>IF(Rankings!J35&lt;=5,1,0)</f>
        <v>1</v>
      </c>
      <c r="K29" s="19">
        <f t="shared" si="0"/>
        <v>5</v>
      </c>
      <c r="L29" s="15">
        <f>SUMPRODUCT(C29:J29,Returns!B33:I33)/K29</f>
        <v>-0.1357311445207135</v>
      </c>
      <c r="M29" s="15">
        <f>-2*Assumptions!$B$13</f>
        <v>-7.0000000000000001E-3</v>
      </c>
      <c r="N29" s="15">
        <f>-Assumptions!$B$16*MAX(0,(1+O17)*(1+O18)*(1+O19)*(1+O20)*(1+O21)*(1+O22)*(1+O23)*(1+O24)*(1+O25)*(1+O26)*(1+O27)*(1+O28)-1)</f>
        <v>-8.5983375426234812E-2</v>
      </c>
      <c r="O29" s="15">
        <f t="shared" si="1"/>
        <v>-0.2287145199469483</v>
      </c>
      <c r="P29" s="20">
        <f t="shared" si="3"/>
        <v>1.3948731388915947</v>
      </c>
      <c r="Q29" s="20">
        <f>MAX($P$5:P29)</f>
        <v>1.8323099323156706</v>
      </c>
      <c r="R29" s="15">
        <f t="shared" si="2"/>
        <v>-0.23873515375820942</v>
      </c>
      <c r="S29" s="15">
        <f>O29-Benchmark_RF!D29</f>
        <v>-0.23357432828013042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IF(Rankings!C35&lt;=5,1,0)</f>
        <v>1</v>
      </c>
      <c r="D30" s="16">
        <f>IF(Rankings!D35&lt;=5,1,0)</f>
        <v>0</v>
      </c>
      <c r="E30" s="16">
        <f>IF(Rankings!E35&lt;=5,1,0)</f>
        <v>1</v>
      </c>
      <c r="F30" s="16">
        <f>IF(Rankings!F35&lt;=5,1,0)</f>
        <v>0</v>
      </c>
      <c r="G30" s="16">
        <f>IF(Rankings!G35&lt;=5,1,0)</f>
        <v>0</v>
      </c>
      <c r="H30" s="16">
        <f>IF(Rankings!H35&lt;=5,1,0)</f>
        <v>1</v>
      </c>
      <c r="I30" s="16">
        <f>IF(Rankings!I35&lt;=5,1,0)</f>
        <v>1</v>
      </c>
      <c r="J30" s="16">
        <f>IF(Rankings!J35&lt;=5,1,0)</f>
        <v>1</v>
      </c>
      <c r="K30" s="19">
        <f t="shared" si="0"/>
        <v>5</v>
      </c>
      <c r="L30" s="15">
        <f>SUMPRODUCT(C30:J30,Returns!B34:I34)/K30</f>
        <v>7.0426641481838498E-2</v>
      </c>
      <c r="M30" s="15">
        <v>0</v>
      </c>
      <c r="N30" s="15">
        <v>0</v>
      </c>
      <c r="O30" s="15">
        <f t="shared" si="1"/>
        <v>7.0426641481838498E-2</v>
      </c>
      <c r="P30" s="20">
        <f t="shared" si="3"/>
        <v>1.4931093693569597</v>
      </c>
      <c r="Q30" s="20">
        <f>MAX($P$5:P30)</f>
        <v>1.8323099323156706</v>
      </c>
      <c r="R30" s="15">
        <f t="shared" si="2"/>
        <v>-0.18512182735921201</v>
      </c>
      <c r="S30" s="15">
        <f>O30-Benchmark_RF!D30</f>
        <v>6.5566201105107774E-2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IF(Rankings!C35&lt;=5,1,0)</f>
        <v>1</v>
      </c>
      <c r="D31" s="16">
        <f>IF(Rankings!D35&lt;=5,1,0)</f>
        <v>0</v>
      </c>
      <c r="E31" s="16">
        <f>IF(Rankings!E35&lt;=5,1,0)</f>
        <v>1</v>
      </c>
      <c r="F31" s="16">
        <f>IF(Rankings!F35&lt;=5,1,0)</f>
        <v>0</v>
      </c>
      <c r="G31" s="16">
        <f>IF(Rankings!G35&lt;=5,1,0)</f>
        <v>0</v>
      </c>
      <c r="H31" s="16">
        <f>IF(Rankings!H35&lt;=5,1,0)</f>
        <v>1</v>
      </c>
      <c r="I31" s="16">
        <f>IF(Rankings!I35&lt;=5,1,0)</f>
        <v>1</v>
      </c>
      <c r="J31" s="16">
        <f>IF(Rankings!J35&lt;=5,1,0)</f>
        <v>1</v>
      </c>
      <c r="K31" s="19">
        <f t="shared" si="0"/>
        <v>5</v>
      </c>
      <c r="L31" s="15">
        <f>SUMPRODUCT(C31:J31,Returns!B35:I35)/K31</f>
        <v>-2.4894120903881302E-2</v>
      </c>
      <c r="M31" s="15">
        <v>0</v>
      </c>
      <c r="N31" s="15">
        <v>0</v>
      </c>
      <c r="O31" s="15">
        <f t="shared" si="1"/>
        <v>-2.4894120903881302E-2</v>
      </c>
      <c r="P31" s="20">
        <f t="shared" si="3"/>
        <v>1.4559397241934695</v>
      </c>
      <c r="Q31" s="20">
        <f>MAX($P$5:P31)</f>
        <v>1.8323099323156706</v>
      </c>
      <c r="R31" s="15">
        <f t="shared" si="2"/>
        <v>-0.20540750311086564</v>
      </c>
      <c r="S31" s="15">
        <f>O31-Benchmark_RF!D31</f>
        <v>-2.9754561280612025E-2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IF(Rankings!C35&lt;=5,1,0)</f>
        <v>1</v>
      </c>
      <c r="D32" s="16">
        <f>IF(Rankings!D35&lt;=5,1,0)</f>
        <v>0</v>
      </c>
      <c r="E32" s="16">
        <f>IF(Rankings!E35&lt;=5,1,0)</f>
        <v>1</v>
      </c>
      <c r="F32" s="16">
        <f>IF(Rankings!F35&lt;=5,1,0)</f>
        <v>0</v>
      </c>
      <c r="G32" s="16">
        <f>IF(Rankings!G35&lt;=5,1,0)</f>
        <v>0</v>
      </c>
      <c r="H32" s="16">
        <f>IF(Rankings!H35&lt;=5,1,0)</f>
        <v>1</v>
      </c>
      <c r="I32" s="16">
        <f>IF(Rankings!I35&lt;=5,1,0)</f>
        <v>1</v>
      </c>
      <c r="J32" s="16">
        <f>IF(Rankings!J35&lt;=5,1,0)</f>
        <v>1</v>
      </c>
      <c r="K32" s="19">
        <f t="shared" si="0"/>
        <v>5</v>
      </c>
      <c r="L32" s="15">
        <f>SUMPRODUCT(C32:J32,Returns!B36:I36)/K32</f>
        <v>0.12698787518600926</v>
      </c>
      <c r="M32" s="15">
        <v>0</v>
      </c>
      <c r="N32" s="15">
        <v>0</v>
      </c>
      <c r="O32" s="15">
        <f t="shared" si="1"/>
        <v>0.12698787518600926</v>
      </c>
      <c r="P32" s="20">
        <f t="shared" si="3"/>
        <v>1.6408264161677024</v>
      </c>
      <c r="Q32" s="20">
        <f>MAX($P$5:P32)</f>
        <v>1.8323099323156706</v>
      </c>
      <c r="R32" s="15">
        <f t="shared" si="2"/>
        <v>-0.10450389029216889</v>
      </c>
      <c r="S32" s="15">
        <f>O32-Benchmark_RF!D32</f>
        <v>0.12212751381448292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IF(Rankings!C35&lt;=5,1,0)</f>
        <v>1</v>
      </c>
      <c r="D33" s="16">
        <f>IF(Rankings!D35&lt;=5,1,0)</f>
        <v>0</v>
      </c>
      <c r="E33" s="16">
        <f>IF(Rankings!E35&lt;=5,1,0)</f>
        <v>1</v>
      </c>
      <c r="F33" s="16">
        <f>IF(Rankings!F35&lt;=5,1,0)</f>
        <v>0</v>
      </c>
      <c r="G33" s="16">
        <f>IF(Rankings!G35&lt;=5,1,0)</f>
        <v>0</v>
      </c>
      <c r="H33" s="16">
        <f>IF(Rankings!H35&lt;=5,1,0)</f>
        <v>1</v>
      </c>
      <c r="I33" s="16">
        <f>IF(Rankings!I35&lt;=5,1,0)</f>
        <v>1</v>
      </c>
      <c r="J33" s="16">
        <f>IF(Rankings!J35&lt;=5,1,0)</f>
        <v>1</v>
      </c>
      <c r="K33" s="19">
        <f t="shared" si="0"/>
        <v>5</v>
      </c>
      <c r="L33" s="15">
        <f>SUMPRODUCT(C33:J33,Returns!B37:I37)/K33</f>
        <v>-8.5749942380719535E-4</v>
      </c>
      <c r="M33" s="15">
        <v>0</v>
      </c>
      <c r="N33" s="15">
        <v>0</v>
      </c>
      <c r="O33" s="15">
        <f t="shared" si="1"/>
        <v>-8.5749942380719535E-4</v>
      </c>
      <c r="P33" s="20">
        <f t="shared" si="3"/>
        <v>1.639419408461271</v>
      </c>
      <c r="Q33" s="20">
        <f>MAX($P$5:P33)</f>
        <v>1.8323099323156706</v>
      </c>
      <c r="R33" s="15">
        <f t="shared" si="2"/>
        <v>-0.10527177769026497</v>
      </c>
      <c r="S33" s="15">
        <f>O33-Benchmark_RF!D33</f>
        <v>-5.7179398005379189E-3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IF(Rankings!C35&lt;=5,1,0)</f>
        <v>1</v>
      </c>
      <c r="D34" s="16">
        <f>IF(Rankings!D35&lt;=5,1,0)</f>
        <v>0</v>
      </c>
      <c r="E34" s="16">
        <f>IF(Rankings!E35&lt;=5,1,0)</f>
        <v>1</v>
      </c>
      <c r="F34" s="16">
        <f>IF(Rankings!F35&lt;=5,1,0)</f>
        <v>0</v>
      </c>
      <c r="G34" s="16">
        <f>IF(Rankings!G35&lt;=5,1,0)</f>
        <v>0</v>
      </c>
      <c r="H34" s="16">
        <f>IF(Rankings!H35&lt;=5,1,0)</f>
        <v>1</v>
      </c>
      <c r="I34" s="16">
        <f>IF(Rankings!I35&lt;=5,1,0)</f>
        <v>1</v>
      </c>
      <c r="J34" s="16">
        <f>IF(Rankings!J35&lt;=5,1,0)</f>
        <v>1</v>
      </c>
      <c r="K34" s="19">
        <f t="shared" si="0"/>
        <v>5</v>
      </c>
      <c r="L34" s="15">
        <f>SUMPRODUCT(C34:J34,Returns!B38:I38)/K34</f>
        <v>4.6220993316940982E-2</v>
      </c>
      <c r="M34" s="15">
        <v>0</v>
      </c>
      <c r="N34" s="15">
        <v>0</v>
      </c>
      <c r="O34" s="15">
        <f t="shared" si="1"/>
        <v>4.6220993316940982E-2</v>
      </c>
      <c r="P34" s="20">
        <f t="shared" si="3"/>
        <v>1.7151950019834228</v>
      </c>
      <c r="Q34" s="20">
        <f>MAX($P$5:P34)</f>
        <v>1.8323099323156706</v>
      </c>
      <c r="R34" s="15">
        <f t="shared" si="2"/>
        <v>-6.3916550506408099E-2</v>
      </c>
      <c r="S34" s="15">
        <f>O34-Benchmark_RF!D34</f>
        <v>4.1195581178104755E-2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IF(Rankings!C35&lt;=5,1,0)</f>
        <v>1</v>
      </c>
      <c r="D35" s="16">
        <f>IF(Rankings!D35&lt;=5,1,0)</f>
        <v>0</v>
      </c>
      <c r="E35" s="16">
        <f>IF(Rankings!E35&lt;=5,1,0)</f>
        <v>1</v>
      </c>
      <c r="F35" s="16">
        <f>IF(Rankings!F35&lt;=5,1,0)</f>
        <v>0</v>
      </c>
      <c r="G35" s="16">
        <f>IF(Rankings!G35&lt;=5,1,0)</f>
        <v>0</v>
      </c>
      <c r="H35" s="16">
        <f>IF(Rankings!H35&lt;=5,1,0)</f>
        <v>1</v>
      </c>
      <c r="I35" s="16">
        <f>IF(Rankings!I35&lt;=5,1,0)</f>
        <v>1</v>
      </c>
      <c r="J35" s="16">
        <f>IF(Rankings!J35&lt;=5,1,0)</f>
        <v>1</v>
      </c>
      <c r="K35" s="19">
        <f t="shared" si="0"/>
        <v>5</v>
      </c>
      <c r="L35" s="15">
        <f>SUMPRODUCT(C35:J35,Returns!B39:I39)/K35</f>
        <v>-1.0778238678837515E-2</v>
      </c>
      <c r="M35" s="15">
        <v>0</v>
      </c>
      <c r="N35" s="15">
        <v>0</v>
      </c>
      <c r="O35" s="15">
        <f t="shared" si="1"/>
        <v>-1.0778238678837515E-2</v>
      </c>
      <c r="P35" s="20">
        <f t="shared" si="3"/>
        <v>1.6967082208712962</v>
      </c>
      <c r="Q35" s="20">
        <f>MAX($P$5:P35)</f>
        <v>1.8323099323156706</v>
      </c>
      <c r="R35" s="15">
        <f t="shared" si="2"/>
        <v>-7.4005881348359615E-2</v>
      </c>
      <c r="S35" s="15">
        <f>O35-Benchmark_RF!D35</f>
        <v>-1.5829041057712413E-2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IF(Rankings!C35&lt;=5,1,0)</f>
        <v>1</v>
      </c>
      <c r="D36" s="16">
        <f>IF(Rankings!D35&lt;=5,1,0)</f>
        <v>0</v>
      </c>
      <c r="E36" s="16">
        <f>IF(Rankings!E35&lt;=5,1,0)</f>
        <v>1</v>
      </c>
      <c r="F36" s="16">
        <f>IF(Rankings!F35&lt;=5,1,0)</f>
        <v>0</v>
      </c>
      <c r="G36" s="16">
        <f>IF(Rankings!G35&lt;=5,1,0)</f>
        <v>0</v>
      </c>
      <c r="H36" s="16">
        <f>IF(Rankings!H35&lt;=5,1,0)</f>
        <v>1</v>
      </c>
      <c r="I36" s="16">
        <f>IF(Rankings!I35&lt;=5,1,0)</f>
        <v>1</v>
      </c>
      <c r="J36" s="16">
        <f>IF(Rankings!J35&lt;=5,1,0)</f>
        <v>1</v>
      </c>
      <c r="K36" s="19">
        <f t="shared" si="0"/>
        <v>5</v>
      </c>
      <c r="L36" s="15">
        <f>SUMPRODUCT(C36:J36,Returns!B40:I40)/K36</f>
        <v>0.10094287907571955</v>
      </c>
      <c r="M36" s="15">
        <v>0</v>
      </c>
      <c r="N36" s="15">
        <v>0</v>
      </c>
      <c r="O36" s="15">
        <f t="shared" si="1"/>
        <v>0.10094287907571955</v>
      </c>
      <c r="P36" s="20">
        <f t="shared" si="3"/>
        <v>1.867978833637487</v>
      </c>
      <c r="Q36" s="20">
        <f>MAX($P$5:P36)</f>
        <v>1.867978833637487</v>
      </c>
      <c r="R36" s="15">
        <f t="shared" si="2"/>
        <v>0</v>
      </c>
      <c r="S36" s="15">
        <f>O36-Benchmark_RF!D36</f>
        <v>9.5870871003604391E-2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IF(Rankings!C35&lt;=5,1,0)</f>
        <v>1</v>
      </c>
      <c r="D37" s="16">
        <f>IF(Rankings!D35&lt;=5,1,0)</f>
        <v>0</v>
      </c>
      <c r="E37" s="16">
        <f>IF(Rankings!E35&lt;=5,1,0)</f>
        <v>1</v>
      </c>
      <c r="F37" s="16">
        <f>IF(Rankings!F35&lt;=5,1,0)</f>
        <v>0</v>
      </c>
      <c r="G37" s="16">
        <f>IF(Rankings!G35&lt;=5,1,0)</f>
        <v>0</v>
      </c>
      <c r="H37" s="16">
        <f>IF(Rankings!H35&lt;=5,1,0)</f>
        <v>1</v>
      </c>
      <c r="I37" s="16">
        <f>IF(Rankings!I35&lt;=5,1,0)</f>
        <v>1</v>
      </c>
      <c r="J37" s="16">
        <f>IF(Rankings!J35&lt;=5,1,0)</f>
        <v>1</v>
      </c>
      <c r="K37" s="19">
        <f t="shared" ref="K37:K68" si="4">SUM(C37:J37)</f>
        <v>5</v>
      </c>
      <c r="L37" s="15">
        <f>SUMPRODUCT(C37:J37,Returns!B41:I41)/K37</f>
        <v>1.6223368889512167E-2</v>
      </c>
      <c r="M37" s="15">
        <v>0</v>
      </c>
      <c r="N37" s="15">
        <v>0</v>
      </c>
      <c r="O37" s="15">
        <f t="shared" ref="O37:O68" si="5">L37+M37+N37</f>
        <v>1.6223368889512167E-2</v>
      </c>
      <c r="P37" s="20">
        <f t="shared" si="3"/>
        <v>1.8982837433333886</v>
      </c>
      <c r="Q37" s="20">
        <f>MAX($P$5:P37)</f>
        <v>1.8982837433333886</v>
      </c>
      <c r="R37" s="15">
        <f t="shared" ref="R37:R68" si="6">P37/Q37-1</f>
        <v>0</v>
      </c>
      <c r="S37" s="15">
        <f>O37-Benchmark_RF!D37</f>
        <v>1.1168861071838808E-2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IF(Rankings!C35&lt;=5,1,0)</f>
        <v>1</v>
      </c>
      <c r="D38" s="16">
        <f>IF(Rankings!D35&lt;=5,1,0)</f>
        <v>0</v>
      </c>
      <c r="E38" s="16">
        <f>IF(Rankings!E35&lt;=5,1,0)</f>
        <v>1</v>
      </c>
      <c r="F38" s="16">
        <f>IF(Rankings!F35&lt;=5,1,0)</f>
        <v>0</v>
      </c>
      <c r="G38" s="16">
        <f>IF(Rankings!G35&lt;=5,1,0)</f>
        <v>0</v>
      </c>
      <c r="H38" s="16">
        <f>IF(Rankings!H35&lt;=5,1,0)</f>
        <v>1</v>
      </c>
      <c r="I38" s="16">
        <f>IF(Rankings!I35&lt;=5,1,0)</f>
        <v>1</v>
      </c>
      <c r="J38" s="16">
        <f>IF(Rankings!J35&lt;=5,1,0)</f>
        <v>1</v>
      </c>
      <c r="K38" s="19">
        <f t="shared" si="4"/>
        <v>5</v>
      </c>
      <c r="L38" s="15">
        <f>SUMPRODUCT(C38:J38,Returns!B42:I42)/K38</f>
        <v>6.3690187984760446E-3</v>
      </c>
      <c r="M38" s="15">
        <v>0</v>
      </c>
      <c r="N38" s="15">
        <v>0</v>
      </c>
      <c r="O38" s="15">
        <f t="shared" si="5"/>
        <v>6.3690187984760446E-3</v>
      </c>
      <c r="P38" s="20">
        <f t="shared" ref="P38:P69" si="7">P37*(1+O38)</f>
        <v>1.9103739481795203</v>
      </c>
      <c r="Q38" s="20">
        <f>MAX($P$5:P38)</f>
        <v>1.9103739481795203</v>
      </c>
      <c r="R38" s="15">
        <f t="shared" si="6"/>
        <v>0</v>
      </c>
      <c r="S38" s="15">
        <f>O38-Benchmark_RF!D38</f>
        <v>1.2974836621420845E-3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IF(Rankings!C35&lt;=5,1,0)</f>
        <v>1</v>
      </c>
      <c r="D39" s="16">
        <f>IF(Rankings!D35&lt;=5,1,0)</f>
        <v>0</v>
      </c>
      <c r="E39" s="16">
        <f>IF(Rankings!E35&lt;=5,1,0)</f>
        <v>1</v>
      </c>
      <c r="F39" s="16">
        <f>IF(Rankings!F35&lt;=5,1,0)</f>
        <v>0</v>
      </c>
      <c r="G39" s="16">
        <f>IF(Rankings!G35&lt;=5,1,0)</f>
        <v>0</v>
      </c>
      <c r="H39" s="16">
        <f>IF(Rankings!H35&lt;=5,1,0)</f>
        <v>1</v>
      </c>
      <c r="I39" s="16">
        <f>IF(Rankings!I35&lt;=5,1,0)</f>
        <v>1</v>
      </c>
      <c r="J39" s="16">
        <f>IF(Rankings!J35&lt;=5,1,0)</f>
        <v>1</v>
      </c>
      <c r="K39" s="19">
        <f t="shared" si="4"/>
        <v>5</v>
      </c>
      <c r="L39" s="15">
        <f>SUMPRODUCT(C39:J39,Returns!B43:I43)/K39</f>
        <v>8.5544296514839194E-3</v>
      </c>
      <c r="M39" s="15">
        <v>0</v>
      </c>
      <c r="N39" s="15">
        <v>0</v>
      </c>
      <c r="O39" s="15">
        <f t="shared" si="5"/>
        <v>8.5544296514839194E-3</v>
      </c>
      <c r="P39" s="20">
        <f t="shared" si="7"/>
        <v>1.9267161077272497</v>
      </c>
      <c r="Q39" s="20">
        <f>MAX($P$5:P39)</f>
        <v>1.9267161077272497</v>
      </c>
      <c r="R39" s="15">
        <f t="shared" si="6"/>
        <v>0</v>
      </c>
      <c r="S39" s="15">
        <f>O39-Benchmark_RF!D39</f>
        <v>3.0888429395361742E-3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IF(Rankings!C35&lt;=5,1,0)</f>
        <v>1</v>
      </c>
      <c r="D40" s="16">
        <f>IF(Rankings!D35&lt;=5,1,0)</f>
        <v>0</v>
      </c>
      <c r="E40" s="16">
        <f>IF(Rankings!E35&lt;=5,1,0)</f>
        <v>1</v>
      </c>
      <c r="F40" s="16">
        <f>IF(Rankings!F35&lt;=5,1,0)</f>
        <v>0</v>
      </c>
      <c r="G40" s="16">
        <f>IF(Rankings!G35&lt;=5,1,0)</f>
        <v>0</v>
      </c>
      <c r="H40" s="16">
        <f>IF(Rankings!H35&lt;=5,1,0)</f>
        <v>1</v>
      </c>
      <c r="I40" s="16">
        <f>IF(Rankings!I35&lt;=5,1,0)</f>
        <v>1</v>
      </c>
      <c r="J40" s="16">
        <f>IF(Rankings!J35&lt;=5,1,0)</f>
        <v>1</v>
      </c>
      <c r="K40" s="19">
        <f t="shared" si="4"/>
        <v>5</v>
      </c>
      <c r="L40" s="15">
        <f>SUMPRODUCT(C40:J40,Returns!B44:I44)/K40</f>
        <v>2.5590320284854352E-2</v>
      </c>
      <c r="M40" s="15">
        <v>0</v>
      </c>
      <c r="N40" s="15">
        <v>0</v>
      </c>
      <c r="O40" s="15">
        <f t="shared" si="5"/>
        <v>2.5590320284854352E-2</v>
      </c>
      <c r="P40" s="20">
        <f t="shared" si="7"/>
        <v>1.9760213900219781</v>
      </c>
      <c r="Q40" s="20">
        <f>MAX($P$5:P40)</f>
        <v>1.9760213900219781</v>
      </c>
      <c r="R40" s="15">
        <f t="shared" si="6"/>
        <v>0</v>
      </c>
      <c r="S40" s="15">
        <f>O40-Benchmark_RF!D40</f>
        <v>1.9372976491804184E-2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IF(Rankings!C47&lt;=5,1,0)</f>
        <v>1</v>
      </c>
      <c r="D41" s="16">
        <f>IF(Rankings!D47&lt;=5,1,0)</f>
        <v>1</v>
      </c>
      <c r="E41" s="16">
        <f>IF(Rankings!E47&lt;=5,1,0)</f>
        <v>0</v>
      </c>
      <c r="F41" s="16">
        <f>IF(Rankings!F47&lt;=5,1,0)</f>
        <v>0</v>
      </c>
      <c r="G41" s="16">
        <f>IF(Rankings!G47&lt;=5,1,0)</f>
        <v>1</v>
      </c>
      <c r="H41" s="16">
        <f>IF(Rankings!H47&lt;=5,1,0)</f>
        <v>1</v>
      </c>
      <c r="I41" s="16">
        <f>IF(Rankings!I47&lt;=5,1,0)</f>
        <v>0</v>
      </c>
      <c r="J41" s="16">
        <f>IF(Rankings!J47&lt;=5,1,0)</f>
        <v>1</v>
      </c>
      <c r="K41" s="19">
        <f t="shared" si="4"/>
        <v>5</v>
      </c>
      <c r="L41" s="15">
        <f>SUMPRODUCT(C41:J41,Returns!B45:I45)/K41</f>
        <v>1.4014336998892674E-2</v>
      </c>
      <c r="M41" s="15">
        <f>-2*Assumptions!$B$13</f>
        <v>-7.0000000000000001E-3</v>
      </c>
      <c r="N41" s="15">
        <f>-Assumptions!$B$16*MAX(0,(1+O29)*(1+O30)*(1+O31)*(1+O32)*(1+O33)*(1+O34)*(1+O35)*(1+O36)*(1+O37)*(1+O38)*(1+O39)*(1+O40)-1)</f>
        <v>-1.3894109496861507E-2</v>
      </c>
      <c r="O41" s="15">
        <f t="shared" si="5"/>
        <v>-6.879772497968833E-3</v>
      </c>
      <c r="P41" s="20">
        <f t="shared" si="7"/>
        <v>1.9624268124075068</v>
      </c>
      <c r="Q41" s="20">
        <f>MAX($P$5:P41)</f>
        <v>1.9760213900219781</v>
      </c>
      <c r="R41" s="15">
        <f t="shared" si="6"/>
        <v>-6.8797724979687835E-3</v>
      </c>
      <c r="S41" s="15">
        <f>O41-Benchmark_RF!D41</f>
        <v>-1.3119453959254561E-2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IF(Rankings!C47&lt;=5,1,0)</f>
        <v>1</v>
      </c>
      <c r="D42" s="16">
        <f>IF(Rankings!D47&lt;=5,1,0)</f>
        <v>1</v>
      </c>
      <c r="E42" s="16">
        <f>IF(Rankings!E47&lt;=5,1,0)</f>
        <v>0</v>
      </c>
      <c r="F42" s="16">
        <f>IF(Rankings!F47&lt;=5,1,0)</f>
        <v>0</v>
      </c>
      <c r="G42" s="16">
        <f>IF(Rankings!G47&lt;=5,1,0)</f>
        <v>1</v>
      </c>
      <c r="H42" s="16">
        <f>IF(Rankings!H47&lt;=5,1,0)</f>
        <v>1</v>
      </c>
      <c r="I42" s="16">
        <f>IF(Rankings!I47&lt;=5,1,0)</f>
        <v>0</v>
      </c>
      <c r="J42" s="16">
        <f>IF(Rankings!J47&lt;=5,1,0)</f>
        <v>1</v>
      </c>
      <c r="K42" s="19">
        <f t="shared" si="4"/>
        <v>5</v>
      </c>
      <c r="L42" s="15">
        <f>SUMPRODUCT(C42:J42,Returns!B46:I46)/K42</f>
        <v>3.5621333731049145E-3</v>
      </c>
      <c r="M42" s="15">
        <v>0</v>
      </c>
      <c r="N42" s="15">
        <v>0</v>
      </c>
      <c r="O42" s="15">
        <f t="shared" si="5"/>
        <v>3.5621333731049145E-3</v>
      </c>
      <c r="P42" s="20">
        <f t="shared" si="7"/>
        <v>1.9694172384482593</v>
      </c>
      <c r="Q42" s="20">
        <f>MAX($P$5:P42)</f>
        <v>1.9760213900219781</v>
      </c>
      <c r="R42" s="15">
        <f t="shared" si="6"/>
        <v>-3.3421457920783659E-3</v>
      </c>
      <c r="S42" s="15">
        <f>O42-Benchmark_RF!D42</f>
        <v>-2.6775480881808143E-3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IF(Rankings!C47&lt;=5,1,0)</f>
        <v>1</v>
      </c>
      <c r="D43" s="16">
        <f>IF(Rankings!D47&lt;=5,1,0)</f>
        <v>1</v>
      </c>
      <c r="E43" s="16">
        <f>IF(Rankings!E47&lt;=5,1,0)</f>
        <v>0</v>
      </c>
      <c r="F43" s="16">
        <f>IF(Rankings!F47&lt;=5,1,0)</f>
        <v>0</v>
      </c>
      <c r="G43" s="16">
        <f>IF(Rankings!G47&lt;=5,1,0)</f>
        <v>1</v>
      </c>
      <c r="H43" s="16">
        <f>IF(Rankings!H47&lt;=5,1,0)</f>
        <v>1</v>
      </c>
      <c r="I43" s="16">
        <f>IF(Rankings!I47&lt;=5,1,0)</f>
        <v>0</v>
      </c>
      <c r="J43" s="16">
        <f>IF(Rankings!J47&lt;=5,1,0)</f>
        <v>1</v>
      </c>
      <c r="K43" s="19">
        <f t="shared" si="4"/>
        <v>5</v>
      </c>
      <c r="L43" s="15">
        <f>SUMPRODUCT(C43:J43,Returns!B47:I47)/K43</f>
        <v>3.3192904048122231E-2</v>
      </c>
      <c r="M43" s="15">
        <v>0</v>
      </c>
      <c r="N43" s="15">
        <v>0</v>
      </c>
      <c r="O43" s="15">
        <f t="shared" si="5"/>
        <v>3.3192904048122231E-2</v>
      </c>
      <c r="P43" s="20">
        <f t="shared" si="7"/>
        <v>2.0347879158747904</v>
      </c>
      <c r="Q43" s="20">
        <f>MAX($P$5:P43)</f>
        <v>2.0347879158747904</v>
      </c>
      <c r="R43" s="15">
        <f t="shared" si="6"/>
        <v>0</v>
      </c>
      <c r="S43" s="15">
        <f>O43-Benchmark_RF!D43</f>
        <v>2.6145965652384341E-2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IF(Rankings!C47&lt;=5,1,0)</f>
        <v>1</v>
      </c>
      <c r="D44" s="16">
        <f>IF(Rankings!D47&lt;=5,1,0)</f>
        <v>1</v>
      </c>
      <c r="E44" s="16">
        <f>IF(Rankings!E47&lt;=5,1,0)</f>
        <v>0</v>
      </c>
      <c r="F44" s="16">
        <f>IF(Rankings!F47&lt;=5,1,0)</f>
        <v>0</v>
      </c>
      <c r="G44" s="16">
        <f>IF(Rankings!G47&lt;=5,1,0)</f>
        <v>1</v>
      </c>
      <c r="H44" s="16">
        <f>IF(Rankings!H47&lt;=5,1,0)</f>
        <v>1</v>
      </c>
      <c r="I44" s="16">
        <f>IF(Rankings!I47&lt;=5,1,0)</f>
        <v>0</v>
      </c>
      <c r="J44" s="16">
        <f>IF(Rankings!J47&lt;=5,1,0)</f>
        <v>1</v>
      </c>
      <c r="K44" s="19">
        <f t="shared" si="4"/>
        <v>5</v>
      </c>
      <c r="L44" s="15">
        <f>SUMPRODUCT(C44:J44,Returns!B48:I48)/K44</f>
        <v>-2.7530823877130083E-2</v>
      </c>
      <c r="M44" s="15">
        <v>0</v>
      </c>
      <c r="N44" s="15">
        <v>0</v>
      </c>
      <c r="O44" s="15">
        <f t="shared" si="5"/>
        <v>-2.7530823877130083E-2</v>
      </c>
      <c r="P44" s="20">
        <f t="shared" si="7"/>
        <v>1.9787685281355287</v>
      </c>
      <c r="Q44" s="20">
        <f>MAX($P$5:P44)</f>
        <v>2.0347879158747904</v>
      </c>
      <c r="R44" s="15">
        <f t="shared" si="6"/>
        <v>-2.7530823877130128E-2</v>
      </c>
      <c r="S44" s="15">
        <f>O44-Benchmark_RF!D44</f>
        <v>-3.4582544742838686E-2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IF(Rankings!C47&lt;=5,1,0)</f>
        <v>1</v>
      </c>
      <c r="D45" s="16">
        <f>IF(Rankings!D47&lt;=5,1,0)</f>
        <v>1</v>
      </c>
      <c r="E45" s="16">
        <f>IF(Rankings!E47&lt;=5,1,0)</f>
        <v>0</v>
      </c>
      <c r="F45" s="16">
        <f>IF(Rankings!F47&lt;=5,1,0)</f>
        <v>0</v>
      </c>
      <c r="G45" s="16">
        <f>IF(Rankings!G47&lt;=5,1,0)</f>
        <v>1</v>
      </c>
      <c r="H45" s="16">
        <f>IF(Rankings!H47&lt;=5,1,0)</f>
        <v>1</v>
      </c>
      <c r="I45" s="16">
        <f>IF(Rankings!I47&lt;=5,1,0)</f>
        <v>0</v>
      </c>
      <c r="J45" s="16">
        <f>IF(Rankings!J47&lt;=5,1,0)</f>
        <v>1</v>
      </c>
      <c r="K45" s="19">
        <f t="shared" si="4"/>
        <v>5</v>
      </c>
      <c r="L45" s="15">
        <f>SUMPRODUCT(C45:J45,Returns!B49:I49)/K45</f>
        <v>-0.1053495486488468</v>
      </c>
      <c r="M45" s="15">
        <v>0</v>
      </c>
      <c r="N45" s="15">
        <v>0</v>
      </c>
      <c r="O45" s="15">
        <f t="shared" si="5"/>
        <v>-0.1053495486488468</v>
      </c>
      <c r="P45" s="20">
        <f t="shared" si="7"/>
        <v>1.7703061568159077</v>
      </c>
      <c r="Q45" s="20">
        <f>MAX($P$5:P45)</f>
        <v>2.0347879158747904</v>
      </c>
      <c r="R45" s="15">
        <f t="shared" si="6"/>
        <v>-0.12998001265659043</v>
      </c>
      <c r="S45" s="15">
        <f>O45-Benchmark_RF!D45</f>
        <v>-0.11354989839154492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IF(Rankings!C47&lt;=5,1,0)</f>
        <v>1</v>
      </c>
      <c r="D46" s="16">
        <f>IF(Rankings!D47&lt;=5,1,0)</f>
        <v>1</v>
      </c>
      <c r="E46" s="16">
        <f>IF(Rankings!E47&lt;=5,1,0)</f>
        <v>0</v>
      </c>
      <c r="F46" s="16">
        <f>IF(Rankings!F47&lt;=5,1,0)</f>
        <v>0</v>
      </c>
      <c r="G46" s="16">
        <f>IF(Rankings!G47&lt;=5,1,0)</f>
        <v>1</v>
      </c>
      <c r="H46" s="16">
        <f>IF(Rankings!H47&lt;=5,1,0)</f>
        <v>1</v>
      </c>
      <c r="I46" s="16">
        <f>IF(Rankings!I47&lt;=5,1,0)</f>
        <v>0</v>
      </c>
      <c r="J46" s="16">
        <f>IF(Rankings!J47&lt;=5,1,0)</f>
        <v>1</v>
      </c>
      <c r="K46" s="19">
        <f t="shared" si="4"/>
        <v>5</v>
      </c>
      <c r="L46" s="15">
        <f>SUMPRODUCT(C46:J46,Returns!B50:I50)/K46</f>
        <v>9.5486768839163488E-2</v>
      </c>
      <c r="M46" s="15">
        <v>0</v>
      </c>
      <c r="N46" s="15">
        <v>0</v>
      </c>
      <c r="O46" s="15">
        <f t="shared" si="5"/>
        <v>9.5486768839163488E-2</v>
      </c>
      <c r="P46" s="20">
        <f t="shared" si="7"/>
        <v>1.9393469715863361</v>
      </c>
      <c r="Q46" s="20">
        <f>MAX($P$5:P46)</f>
        <v>2.0347879158747904</v>
      </c>
      <c r="R46" s="15">
        <f t="shared" si="6"/>
        <v>-4.6904615239678482E-2</v>
      </c>
      <c r="S46" s="15">
        <f>O46-Benchmark_RF!D46</f>
        <v>8.728306752712775E-2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IF(Rankings!C47&lt;=5,1,0)</f>
        <v>1</v>
      </c>
      <c r="D47" s="16">
        <f>IF(Rankings!D47&lt;=5,1,0)</f>
        <v>1</v>
      </c>
      <c r="E47" s="16">
        <f>IF(Rankings!E47&lt;=5,1,0)</f>
        <v>0</v>
      </c>
      <c r="F47" s="16">
        <f>IF(Rankings!F47&lt;=5,1,0)</f>
        <v>0</v>
      </c>
      <c r="G47" s="16">
        <f>IF(Rankings!G47&lt;=5,1,0)</f>
        <v>1</v>
      </c>
      <c r="H47" s="16">
        <f>IF(Rankings!H47&lt;=5,1,0)</f>
        <v>1</v>
      </c>
      <c r="I47" s="16">
        <f>IF(Rankings!I47&lt;=5,1,0)</f>
        <v>0</v>
      </c>
      <c r="J47" s="16">
        <f>IF(Rankings!J47&lt;=5,1,0)</f>
        <v>1</v>
      </c>
      <c r="K47" s="19">
        <f t="shared" si="4"/>
        <v>5</v>
      </c>
      <c r="L47" s="15">
        <f>SUMPRODUCT(C47:J47,Returns!B51:I51)/K47</f>
        <v>1.4151526119560142E-2</v>
      </c>
      <c r="M47" s="15">
        <v>0</v>
      </c>
      <c r="N47" s="15">
        <v>0</v>
      </c>
      <c r="O47" s="15">
        <f t="shared" si="5"/>
        <v>1.4151526119560142E-2</v>
      </c>
      <c r="P47" s="20">
        <f t="shared" si="7"/>
        <v>1.9667916909096299</v>
      </c>
      <c r="Q47" s="20">
        <f>MAX($P$5:P47)</f>
        <v>2.0347879158747904</v>
      </c>
      <c r="R47" s="15">
        <f t="shared" si="6"/>
        <v>-3.3416861007810605E-2</v>
      </c>
      <c r="S47" s="15">
        <f>O47-Benchmark_RF!D47</f>
        <v>5.7585079042137052E-3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IF(Rankings!C47&lt;=5,1,0)</f>
        <v>1</v>
      </c>
      <c r="D48" s="16">
        <f>IF(Rankings!D47&lt;=5,1,0)</f>
        <v>1</v>
      </c>
      <c r="E48" s="16">
        <f>IF(Rankings!E47&lt;=5,1,0)</f>
        <v>0</v>
      </c>
      <c r="F48" s="16">
        <f>IF(Rankings!F47&lt;=5,1,0)</f>
        <v>0</v>
      </c>
      <c r="G48" s="16">
        <f>IF(Rankings!G47&lt;=5,1,0)</f>
        <v>1</v>
      </c>
      <c r="H48" s="16">
        <f>IF(Rankings!H47&lt;=5,1,0)</f>
        <v>1</v>
      </c>
      <c r="I48" s="16">
        <f>IF(Rankings!I47&lt;=5,1,0)</f>
        <v>0</v>
      </c>
      <c r="J48" s="16">
        <f>IF(Rankings!J47&lt;=5,1,0)</f>
        <v>1</v>
      </c>
      <c r="K48" s="19">
        <f t="shared" si="4"/>
        <v>5</v>
      </c>
      <c r="L48" s="15">
        <f>SUMPRODUCT(C48:J48,Returns!B52:I52)/K48</f>
        <v>-3.1353389799386643E-2</v>
      </c>
      <c r="M48" s="15">
        <v>0</v>
      </c>
      <c r="N48" s="15">
        <v>0</v>
      </c>
      <c r="O48" s="15">
        <f t="shared" si="5"/>
        <v>-3.1353389799386643E-2</v>
      </c>
      <c r="P48" s="20">
        <f t="shared" si="7"/>
        <v>1.9051261043703456</v>
      </c>
      <c r="Q48" s="20">
        <f>MAX($P$5:P48)</f>
        <v>2.0347879158747904</v>
      </c>
      <c r="R48" s="15">
        <f t="shared" si="6"/>
        <v>-6.3722518938147399E-2</v>
      </c>
      <c r="S48" s="15">
        <f>O48-Benchmark_RF!D48</f>
        <v>-3.9741086916615619E-2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IF(Rankings!C47&lt;=5,1,0)</f>
        <v>1</v>
      </c>
      <c r="D49" s="16">
        <f>IF(Rankings!D47&lt;=5,1,0)</f>
        <v>1</v>
      </c>
      <c r="E49" s="16">
        <f>IF(Rankings!E47&lt;=5,1,0)</f>
        <v>0</v>
      </c>
      <c r="F49" s="16">
        <f>IF(Rankings!F47&lt;=5,1,0)</f>
        <v>0</v>
      </c>
      <c r="G49" s="16">
        <f>IF(Rankings!G47&lt;=5,1,0)</f>
        <v>1</v>
      </c>
      <c r="H49" s="16">
        <f>IF(Rankings!H47&lt;=5,1,0)</f>
        <v>1</v>
      </c>
      <c r="I49" s="16">
        <f>IF(Rankings!I47&lt;=5,1,0)</f>
        <v>0</v>
      </c>
      <c r="J49" s="16">
        <f>IF(Rankings!J47&lt;=5,1,0)</f>
        <v>1</v>
      </c>
      <c r="K49" s="19">
        <f t="shared" si="4"/>
        <v>5</v>
      </c>
      <c r="L49" s="15">
        <f>SUMPRODUCT(C49:J49,Returns!B53:I53)/K49</f>
        <v>-4.8723101634704391E-2</v>
      </c>
      <c r="M49" s="15">
        <v>0</v>
      </c>
      <c r="N49" s="15">
        <v>0</v>
      </c>
      <c r="O49" s="15">
        <f t="shared" si="5"/>
        <v>-4.8723101634704391E-2</v>
      </c>
      <c r="P49" s="20">
        <f t="shared" si="7"/>
        <v>1.8123024515601809</v>
      </c>
      <c r="Q49" s="20">
        <f>MAX($P$5:P49)</f>
        <v>2.0347879158747904</v>
      </c>
      <c r="R49" s="15">
        <f t="shared" si="6"/>
        <v>-0.10934086180620894</v>
      </c>
      <c r="S49" s="15">
        <f>O49-Benchmark_RF!D49</f>
        <v>-5.7420049511811455E-2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IF(Rankings!C47&lt;=5,1,0)</f>
        <v>1</v>
      </c>
      <c r="D50" s="16">
        <f>IF(Rankings!D47&lt;=5,1,0)</f>
        <v>1</v>
      </c>
      <c r="E50" s="16">
        <f>IF(Rankings!E47&lt;=5,1,0)</f>
        <v>0</v>
      </c>
      <c r="F50" s="16">
        <f>IF(Rankings!F47&lt;=5,1,0)</f>
        <v>0</v>
      </c>
      <c r="G50" s="16">
        <f>IF(Rankings!G47&lt;=5,1,0)</f>
        <v>1</v>
      </c>
      <c r="H50" s="16">
        <f>IF(Rankings!H47&lt;=5,1,0)</f>
        <v>1</v>
      </c>
      <c r="I50" s="16">
        <f>IF(Rankings!I47&lt;=5,1,0)</f>
        <v>0</v>
      </c>
      <c r="J50" s="16">
        <f>IF(Rankings!J47&lt;=5,1,0)</f>
        <v>1</v>
      </c>
      <c r="K50" s="19">
        <f t="shared" si="4"/>
        <v>5</v>
      </c>
      <c r="L50" s="15">
        <f>SUMPRODUCT(C50:J50,Returns!B54:I54)/K50</f>
        <v>7.4541145519365862E-3</v>
      </c>
      <c r="M50" s="15">
        <v>0</v>
      </c>
      <c r="N50" s="15">
        <v>0</v>
      </c>
      <c r="O50" s="15">
        <f t="shared" si="5"/>
        <v>7.4541145519365862E-3</v>
      </c>
      <c r="P50" s="20">
        <f t="shared" si="7"/>
        <v>1.8258115616368662</v>
      </c>
      <c r="Q50" s="20">
        <f>MAX($P$5:P50)</f>
        <v>2.0347879158747904</v>
      </c>
      <c r="R50" s="15">
        <f t="shared" si="6"/>
        <v>-0.10270178656338325</v>
      </c>
      <c r="S50" s="15">
        <f>O50-Benchmark_RF!D50</f>
        <v>-2.4653281207315022E-3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IF(Rankings!C47&lt;=5,1,0)</f>
        <v>1</v>
      </c>
      <c r="D51" s="16">
        <f>IF(Rankings!D47&lt;=5,1,0)</f>
        <v>1</v>
      </c>
      <c r="E51" s="16">
        <f>IF(Rankings!E47&lt;=5,1,0)</f>
        <v>0</v>
      </c>
      <c r="F51" s="16">
        <f>IF(Rankings!F47&lt;=5,1,0)</f>
        <v>0</v>
      </c>
      <c r="G51" s="16">
        <f>IF(Rankings!G47&lt;=5,1,0)</f>
        <v>1</v>
      </c>
      <c r="H51" s="16">
        <f>IF(Rankings!H47&lt;=5,1,0)</f>
        <v>1</v>
      </c>
      <c r="I51" s="16">
        <f>IF(Rankings!I47&lt;=5,1,0)</f>
        <v>0</v>
      </c>
      <c r="J51" s="16">
        <f>IF(Rankings!J47&lt;=5,1,0)</f>
        <v>1</v>
      </c>
      <c r="K51" s="19">
        <f t="shared" si="4"/>
        <v>5</v>
      </c>
      <c r="L51" s="15">
        <f>SUMPRODUCT(C51:J51,Returns!B55:I55)/K51</f>
        <v>-7.891489769495405E-2</v>
      </c>
      <c r="M51" s="15">
        <v>0</v>
      </c>
      <c r="N51" s="15">
        <v>0</v>
      </c>
      <c r="O51" s="15">
        <f t="shared" si="5"/>
        <v>-7.891489769495405E-2</v>
      </c>
      <c r="P51" s="20">
        <f t="shared" si="7"/>
        <v>1.6817278290400286</v>
      </c>
      <c r="Q51" s="20">
        <f>MAX($P$5:P51)</f>
        <v>2.0347879158747904</v>
      </c>
      <c r="R51" s="15">
        <f t="shared" si="6"/>
        <v>-0.17351198327859896</v>
      </c>
      <c r="S51" s="15">
        <f>O51-Benchmark_RF!D51</f>
        <v>-8.8956415721840737E-2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IF(Rankings!C47&lt;=5,1,0)</f>
        <v>1</v>
      </c>
      <c r="D52" s="16">
        <f>IF(Rankings!D47&lt;=5,1,0)</f>
        <v>1</v>
      </c>
      <c r="E52" s="16">
        <f>IF(Rankings!E47&lt;=5,1,0)</f>
        <v>0</v>
      </c>
      <c r="F52" s="16">
        <f>IF(Rankings!F47&lt;=5,1,0)</f>
        <v>0</v>
      </c>
      <c r="G52" s="16">
        <f>IF(Rankings!G47&lt;=5,1,0)</f>
        <v>1</v>
      </c>
      <c r="H52" s="16">
        <f>IF(Rankings!H47&lt;=5,1,0)</f>
        <v>1</v>
      </c>
      <c r="I52" s="16">
        <f>IF(Rankings!I47&lt;=5,1,0)</f>
        <v>0</v>
      </c>
      <c r="J52" s="16">
        <f>IF(Rankings!J47&lt;=5,1,0)</f>
        <v>1</v>
      </c>
      <c r="K52" s="19">
        <f t="shared" si="4"/>
        <v>5</v>
      </c>
      <c r="L52" s="15">
        <f>SUMPRODUCT(C52:J52,Returns!B56:I56)/K52</f>
        <v>-1.516700331681169E-2</v>
      </c>
      <c r="M52" s="15">
        <v>0</v>
      </c>
      <c r="N52" s="15">
        <v>0</v>
      </c>
      <c r="O52" s="15">
        <f t="shared" si="5"/>
        <v>-1.516700331681169E-2</v>
      </c>
      <c r="P52" s="20">
        <f t="shared" si="7"/>
        <v>1.6562210574790039</v>
      </c>
      <c r="Q52" s="20">
        <f>MAX($P$5:P52)</f>
        <v>2.0347879158747904</v>
      </c>
      <c r="R52" s="15">
        <f t="shared" si="6"/>
        <v>-0.18604732976951754</v>
      </c>
      <c r="S52" s="15">
        <f>O52-Benchmark_RF!D52</f>
        <v>-2.5957730157826254E-2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IF(Rankings!C59&lt;=5,1,0)</f>
        <v>1</v>
      </c>
      <c r="D53" s="16">
        <f>IF(Rankings!D59&lt;=5,1,0)</f>
        <v>1</v>
      </c>
      <c r="E53" s="16">
        <f>IF(Rankings!E59&lt;=5,1,0)</f>
        <v>1</v>
      </c>
      <c r="F53" s="16">
        <f>IF(Rankings!F59&lt;=5,1,0)</f>
        <v>0</v>
      </c>
      <c r="G53" s="16">
        <f>IF(Rankings!G59&lt;=5,1,0)</f>
        <v>1</v>
      </c>
      <c r="H53" s="16">
        <f>IF(Rankings!H59&lt;=5,1,0)</f>
        <v>1</v>
      </c>
      <c r="I53" s="16">
        <f>IF(Rankings!I59&lt;=5,1,0)</f>
        <v>0</v>
      </c>
      <c r="J53" s="16">
        <f>IF(Rankings!J59&lt;=5,1,0)</f>
        <v>0</v>
      </c>
      <c r="K53" s="19">
        <f t="shared" si="4"/>
        <v>5</v>
      </c>
      <c r="L53" s="15">
        <f>SUMPRODUCT(C53:J53,Returns!B57:I57)/K53</f>
        <v>-6.8956348862975497E-2</v>
      </c>
      <c r="M53" s="15">
        <f>-2*Assumptions!$B$13</f>
        <v>-7.0000000000000001E-3</v>
      </c>
      <c r="N53" s="15">
        <f>-Assumptions!$B$16*MAX(0,(1+O41)*(1+O42)*(1+O43)*(1+O44)*(1+O45)*(1+O46)*(1+O47)*(1+O48)*(1+O49)*(1+O50)*(1+O51)*(1+O52)-1)</f>
        <v>0</v>
      </c>
      <c r="O53" s="15">
        <f t="shared" si="5"/>
        <v>-7.5956348862975503E-2</v>
      </c>
      <c r="P53" s="20">
        <f t="shared" si="7"/>
        <v>1.5304205530429225</v>
      </c>
      <c r="Q53" s="20">
        <f>MAX($P$5:P53)</f>
        <v>2.0347879158747904</v>
      </c>
      <c r="R53" s="15">
        <f t="shared" si="6"/>
        <v>-0.24787220274749455</v>
      </c>
      <c r="S53" s="15">
        <f>O53-Benchmark_RF!D53</f>
        <v>-8.6749519433764161E-2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IF(Rankings!C59&lt;=5,1,0)</f>
        <v>1</v>
      </c>
      <c r="D54" s="16">
        <f>IF(Rankings!D59&lt;=5,1,0)</f>
        <v>1</v>
      </c>
      <c r="E54" s="16">
        <f>IF(Rankings!E59&lt;=5,1,0)</f>
        <v>1</v>
      </c>
      <c r="F54" s="16">
        <f>IF(Rankings!F59&lt;=5,1,0)</f>
        <v>0</v>
      </c>
      <c r="G54" s="16">
        <f>IF(Rankings!G59&lt;=5,1,0)</f>
        <v>1</v>
      </c>
      <c r="H54" s="16">
        <f>IF(Rankings!H59&lt;=5,1,0)</f>
        <v>1</v>
      </c>
      <c r="I54" s="16">
        <f>IF(Rankings!I59&lt;=5,1,0)</f>
        <v>0</v>
      </c>
      <c r="J54" s="16">
        <f>IF(Rankings!J59&lt;=5,1,0)</f>
        <v>0</v>
      </c>
      <c r="K54" s="19">
        <f t="shared" si="4"/>
        <v>5</v>
      </c>
      <c r="L54" s="15">
        <f>SUMPRODUCT(C54:J54,Returns!B58:I58)/K54</f>
        <v>3.5693587153054526E-2</v>
      </c>
      <c r="M54" s="15">
        <v>0</v>
      </c>
      <c r="N54" s="15">
        <v>0</v>
      </c>
      <c r="O54" s="15">
        <f t="shared" si="5"/>
        <v>3.5693587153054526E-2</v>
      </c>
      <c r="P54" s="20">
        <f t="shared" si="7"/>
        <v>1.5850467524337861</v>
      </c>
      <c r="Q54" s="20">
        <f>MAX($P$5:P54)</f>
        <v>2.0347879158747904</v>
      </c>
      <c r="R54" s="15">
        <f t="shared" si="6"/>
        <v>-0.22102606366602717</v>
      </c>
      <c r="S54" s="15">
        <f>O54-Benchmark_RF!D54</f>
        <v>2.4923449464293965E-2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IF(Rankings!C59&lt;=5,1,0)</f>
        <v>1</v>
      </c>
      <c r="D55" s="16">
        <f>IF(Rankings!D59&lt;=5,1,0)</f>
        <v>1</v>
      </c>
      <c r="E55" s="16">
        <f>IF(Rankings!E59&lt;=5,1,0)</f>
        <v>1</v>
      </c>
      <c r="F55" s="16">
        <f>IF(Rankings!F59&lt;=5,1,0)</f>
        <v>0</v>
      </c>
      <c r="G55" s="16">
        <f>IF(Rankings!G59&lt;=5,1,0)</f>
        <v>1</v>
      </c>
      <c r="H55" s="16">
        <f>IF(Rankings!H59&lt;=5,1,0)</f>
        <v>1</v>
      </c>
      <c r="I55" s="16">
        <f>IF(Rankings!I59&lt;=5,1,0)</f>
        <v>0</v>
      </c>
      <c r="J55" s="16">
        <f>IF(Rankings!J59&lt;=5,1,0)</f>
        <v>0</v>
      </c>
      <c r="K55" s="19">
        <f t="shared" si="4"/>
        <v>5</v>
      </c>
      <c r="L55" s="15">
        <f>SUMPRODUCT(C55:J55,Returns!B59:I59)/K55</f>
        <v>3.8881647615670943E-2</v>
      </c>
      <c r="M55" s="15">
        <v>0</v>
      </c>
      <c r="N55" s="15">
        <v>0</v>
      </c>
      <c r="O55" s="15">
        <f t="shared" si="5"/>
        <v>3.8881647615670943E-2</v>
      </c>
      <c r="P55" s="20">
        <f t="shared" si="7"/>
        <v>1.6466759817162804</v>
      </c>
      <c r="Q55" s="20">
        <f>MAX($P$5:P55)</f>
        <v>2.0347879158747904</v>
      </c>
      <c r="R55" s="15">
        <f t="shared" si="6"/>
        <v>-0.19073827357169748</v>
      </c>
      <c r="S55" s="15">
        <f>O55-Benchmark_RF!D55</f>
        <v>2.8458441346890816E-2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IF(Rankings!C59&lt;=5,1,0)</f>
        <v>1</v>
      </c>
      <c r="D56" s="16">
        <f>IF(Rankings!D59&lt;=5,1,0)</f>
        <v>1</v>
      </c>
      <c r="E56" s="16">
        <f>IF(Rankings!E59&lt;=5,1,0)</f>
        <v>1</v>
      </c>
      <c r="F56" s="16">
        <f>IF(Rankings!F59&lt;=5,1,0)</f>
        <v>0</v>
      </c>
      <c r="G56" s="16">
        <f>IF(Rankings!G59&lt;=5,1,0)</f>
        <v>1</v>
      </c>
      <c r="H56" s="16">
        <f>IF(Rankings!H59&lt;=5,1,0)</f>
        <v>1</v>
      </c>
      <c r="I56" s="16">
        <f>IF(Rankings!I59&lt;=5,1,0)</f>
        <v>0</v>
      </c>
      <c r="J56" s="16">
        <f>IF(Rankings!J59&lt;=5,1,0)</f>
        <v>0</v>
      </c>
      <c r="K56" s="19">
        <f t="shared" si="4"/>
        <v>5</v>
      </c>
      <c r="L56" s="15">
        <f>SUMPRODUCT(C56:J56,Returns!B60:I60)/K56</f>
        <v>8.7199396990813582E-2</v>
      </c>
      <c r="M56" s="15">
        <v>0</v>
      </c>
      <c r="N56" s="15">
        <v>0</v>
      </c>
      <c r="O56" s="15">
        <f t="shared" si="5"/>
        <v>8.7199396990813582E-2</v>
      </c>
      <c r="P56" s="20">
        <f t="shared" si="7"/>
        <v>1.7902651343611959</v>
      </c>
      <c r="Q56" s="20">
        <f>MAX($P$5:P56)</f>
        <v>2.0347879158747904</v>
      </c>
      <c r="R56" s="15">
        <f t="shared" si="6"/>
        <v>-0.12017113901940479</v>
      </c>
      <c r="S56" s="15">
        <f>O56-Benchmark_RF!D56</f>
        <v>7.6619890881857167E-2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IF(Rankings!C59&lt;=5,1,0)</f>
        <v>1</v>
      </c>
      <c r="D57" s="16">
        <f>IF(Rankings!D59&lt;=5,1,0)</f>
        <v>1</v>
      </c>
      <c r="E57" s="16">
        <f>IF(Rankings!E59&lt;=5,1,0)</f>
        <v>1</v>
      </c>
      <c r="F57" s="16">
        <f>IF(Rankings!F59&lt;=5,1,0)</f>
        <v>0</v>
      </c>
      <c r="G57" s="16">
        <f>IF(Rankings!G59&lt;=5,1,0)</f>
        <v>1</v>
      </c>
      <c r="H57" s="16">
        <f>IF(Rankings!H59&lt;=5,1,0)</f>
        <v>1</v>
      </c>
      <c r="I57" s="16">
        <f>IF(Rankings!I59&lt;=5,1,0)</f>
        <v>0</v>
      </c>
      <c r="J57" s="16">
        <f>IF(Rankings!J59&lt;=5,1,0)</f>
        <v>0</v>
      </c>
      <c r="K57" s="19">
        <f t="shared" si="4"/>
        <v>5</v>
      </c>
      <c r="L57" s="15">
        <f>SUMPRODUCT(C57:J57,Returns!B61:I61)/K57</f>
        <v>4.0282910831555288E-2</v>
      </c>
      <c r="M57" s="15">
        <v>0</v>
      </c>
      <c r="N57" s="15">
        <v>0</v>
      </c>
      <c r="O57" s="15">
        <f t="shared" si="5"/>
        <v>4.0282910831555288E-2</v>
      </c>
      <c r="P57" s="20">
        <f t="shared" si="7"/>
        <v>1.8623822251335103</v>
      </c>
      <c r="Q57" s="20">
        <f>MAX($P$5:P57)</f>
        <v>2.0347879158747904</v>
      </c>
      <c r="R57" s="15">
        <f t="shared" si="6"/>
        <v>-8.4729071465494687E-2</v>
      </c>
      <c r="S57" s="15">
        <f>O57-Benchmark_RF!D57</f>
        <v>2.9714242041924147E-2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IF(Rankings!C59&lt;=5,1,0)</f>
        <v>1</v>
      </c>
      <c r="D58" s="16">
        <f>IF(Rankings!D59&lt;=5,1,0)</f>
        <v>1</v>
      </c>
      <c r="E58" s="16">
        <f>IF(Rankings!E59&lt;=5,1,0)</f>
        <v>1</v>
      </c>
      <c r="F58" s="16">
        <f>IF(Rankings!F59&lt;=5,1,0)</f>
        <v>0</v>
      </c>
      <c r="G58" s="16">
        <f>IF(Rankings!G59&lt;=5,1,0)</f>
        <v>1</v>
      </c>
      <c r="H58" s="16">
        <f>IF(Rankings!H59&lt;=5,1,0)</f>
        <v>1</v>
      </c>
      <c r="I58" s="16">
        <f>IF(Rankings!I59&lt;=5,1,0)</f>
        <v>0</v>
      </c>
      <c r="J58" s="16">
        <f>IF(Rankings!J59&lt;=5,1,0)</f>
        <v>0</v>
      </c>
      <c r="K58" s="19">
        <f t="shared" si="4"/>
        <v>5</v>
      </c>
      <c r="L58" s="15">
        <f>SUMPRODUCT(C58:J58,Returns!B62:I62)/K58</f>
        <v>2.6703750880819711E-2</v>
      </c>
      <c r="M58" s="15">
        <v>0</v>
      </c>
      <c r="N58" s="15">
        <v>0</v>
      </c>
      <c r="O58" s="15">
        <f t="shared" si="5"/>
        <v>2.6703750880819711E-2</v>
      </c>
      <c r="P58" s="20">
        <f t="shared" si="7"/>
        <v>1.9121148161183421</v>
      </c>
      <c r="Q58" s="20">
        <f>MAX($P$5:P58)</f>
        <v>2.0347879158747904</v>
      </c>
      <c r="R58" s="15">
        <f t="shared" si="6"/>
        <v>-6.0287904601452724E-2</v>
      </c>
      <c r="S58" s="15">
        <f>O58-Benchmark_RF!D58</f>
        <v>1.617792428526248E-2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IF(Rankings!C59&lt;=5,1,0)</f>
        <v>1</v>
      </c>
      <c r="D59" s="16">
        <f>IF(Rankings!D59&lt;=5,1,0)</f>
        <v>1</v>
      </c>
      <c r="E59" s="16">
        <f>IF(Rankings!E59&lt;=5,1,0)</f>
        <v>1</v>
      </c>
      <c r="F59" s="16">
        <f>IF(Rankings!F59&lt;=5,1,0)</f>
        <v>0</v>
      </c>
      <c r="G59" s="16">
        <f>IF(Rankings!G59&lt;=5,1,0)</f>
        <v>1</v>
      </c>
      <c r="H59" s="16">
        <f>IF(Rankings!H59&lt;=5,1,0)</f>
        <v>1</v>
      </c>
      <c r="I59" s="16">
        <f>IF(Rankings!I59&lt;=5,1,0)</f>
        <v>0</v>
      </c>
      <c r="J59" s="16">
        <f>IF(Rankings!J59&lt;=5,1,0)</f>
        <v>0</v>
      </c>
      <c r="K59" s="19">
        <f t="shared" si="4"/>
        <v>5</v>
      </c>
      <c r="L59" s="15">
        <f>SUMPRODUCT(C59:J59,Returns!B63:I63)/K59</f>
        <v>-4.6705742336091149E-2</v>
      </c>
      <c r="M59" s="15">
        <v>0</v>
      </c>
      <c r="N59" s="15">
        <v>0</v>
      </c>
      <c r="O59" s="15">
        <f t="shared" si="5"/>
        <v>-4.6705742336091149E-2</v>
      </c>
      <c r="P59" s="20">
        <f t="shared" si="7"/>
        <v>1.8228080741996966</v>
      </c>
      <c r="Q59" s="20">
        <f>MAX($P$5:P59)</f>
        <v>2.0347879158747904</v>
      </c>
      <c r="R59" s="15">
        <f t="shared" si="6"/>
        <v>-0.10417785559924553</v>
      </c>
      <c r="S59" s="15">
        <f>O59-Benchmark_RF!D59</f>
        <v>-5.7226072993050603E-2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IF(Rankings!C59&lt;=5,1,0)</f>
        <v>1</v>
      </c>
      <c r="D60" s="16">
        <f>IF(Rankings!D59&lt;=5,1,0)</f>
        <v>1</v>
      </c>
      <c r="E60" s="16">
        <f>IF(Rankings!E59&lt;=5,1,0)</f>
        <v>1</v>
      </c>
      <c r="F60" s="16">
        <f>IF(Rankings!F59&lt;=5,1,0)</f>
        <v>0</v>
      </c>
      <c r="G60" s="16">
        <f>IF(Rankings!G59&lt;=5,1,0)</f>
        <v>1</v>
      </c>
      <c r="H60" s="16">
        <f>IF(Rankings!H59&lt;=5,1,0)</f>
        <v>1</v>
      </c>
      <c r="I60" s="16">
        <f>IF(Rankings!I59&lt;=5,1,0)</f>
        <v>0</v>
      </c>
      <c r="J60" s="16">
        <f>IF(Rankings!J59&lt;=5,1,0)</f>
        <v>0</v>
      </c>
      <c r="K60" s="19">
        <f t="shared" si="4"/>
        <v>5</v>
      </c>
      <c r="L60" s="15">
        <f>SUMPRODUCT(C60:J60,Returns!B64:I64)/K60</f>
        <v>-0.22577640773192878</v>
      </c>
      <c r="M60" s="15">
        <v>0</v>
      </c>
      <c r="N60" s="15">
        <v>0</v>
      </c>
      <c r="O60" s="15">
        <f t="shared" si="5"/>
        <v>-0.22577640773192878</v>
      </c>
      <c r="P60" s="20">
        <f t="shared" si="7"/>
        <v>1.4112610152221341</v>
      </c>
      <c r="Q60" s="20">
        <f>MAX($P$5:P60)</f>
        <v>2.0347879158747904</v>
      </c>
      <c r="R60" s="15">
        <f t="shared" si="6"/>
        <v>-0.30643336132876109</v>
      </c>
      <c r="S60" s="15">
        <f>O60-Benchmark_RF!D60</f>
        <v>-0.23467549276272184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IF(Rankings!C59&lt;=5,1,0)</f>
        <v>1</v>
      </c>
      <c r="D61" s="16">
        <f>IF(Rankings!D59&lt;=5,1,0)</f>
        <v>1</v>
      </c>
      <c r="E61" s="16">
        <f>IF(Rankings!E59&lt;=5,1,0)</f>
        <v>1</v>
      </c>
      <c r="F61" s="16">
        <f>IF(Rankings!F59&lt;=5,1,0)</f>
        <v>0</v>
      </c>
      <c r="G61" s="16">
        <f>IF(Rankings!G59&lt;=5,1,0)</f>
        <v>1</v>
      </c>
      <c r="H61" s="16">
        <f>IF(Rankings!H59&lt;=5,1,0)</f>
        <v>1</v>
      </c>
      <c r="I61" s="16">
        <f>IF(Rankings!I59&lt;=5,1,0)</f>
        <v>0</v>
      </c>
      <c r="J61" s="16">
        <f>IF(Rankings!J59&lt;=5,1,0)</f>
        <v>0</v>
      </c>
      <c r="K61" s="19">
        <f t="shared" si="4"/>
        <v>5</v>
      </c>
      <c r="L61" s="15">
        <f>SUMPRODUCT(C61:J61,Returns!B65:I65)/K61</f>
        <v>0.18470087487645173</v>
      </c>
      <c r="M61" s="15">
        <v>0</v>
      </c>
      <c r="N61" s="15">
        <v>0</v>
      </c>
      <c r="O61" s="15">
        <f t="shared" si="5"/>
        <v>0.18470087487645173</v>
      </c>
      <c r="P61" s="20">
        <f t="shared" si="7"/>
        <v>1.6719221594126918</v>
      </c>
      <c r="Q61" s="20">
        <f>MAX($P$5:P61)</f>
        <v>2.0347879158747904</v>
      </c>
      <c r="R61" s="15">
        <f t="shared" si="6"/>
        <v>-0.17833099638106331</v>
      </c>
      <c r="S61" s="15">
        <f>O61-Benchmark_RF!D61</f>
        <v>0.17810080963609179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IF(Rankings!C59&lt;=5,1,0)</f>
        <v>1</v>
      </c>
      <c r="D62" s="16">
        <f>IF(Rankings!D59&lt;=5,1,0)</f>
        <v>1</v>
      </c>
      <c r="E62" s="16">
        <f>IF(Rankings!E59&lt;=5,1,0)</f>
        <v>1</v>
      </c>
      <c r="F62" s="16">
        <f>IF(Rankings!F59&lt;=5,1,0)</f>
        <v>0</v>
      </c>
      <c r="G62" s="16">
        <f>IF(Rankings!G59&lt;=5,1,0)</f>
        <v>1</v>
      </c>
      <c r="H62" s="16">
        <f>IF(Rankings!H59&lt;=5,1,0)</f>
        <v>1</v>
      </c>
      <c r="I62" s="16">
        <f>IF(Rankings!I59&lt;=5,1,0)</f>
        <v>0</v>
      </c>
      <c r="J62" s="16">
        <f>IF(Rankings!J59&lt;=5,1,0)</f>
        <v>0</v>
      </c>
      <c r="K62" s="19">
        <f t="shared" si="4"/>
        <v>5</v>
      </c>
      <c r="L62" s="15">
        <f>SUMPRODUCT(C62:J62,Returns!B66:I66)/K62</f>
        <v>-8.1653664981762956E-3</v>
      </c>
      <c r="M62" s="15">
        <v>0</v>
      </c>
      <c r="N62" s="15">
        <v>0</v>
      </c>
      <c r="O62" s="15">
        <f t="shared" si="5"/>
        <v>-8.1653664981762956E-3</v>
      </c>
      <c r="P62" s="20">
        <f t="shared" si="7"/>
        <v>1.6582703022246648</v>
      </c>
      <c r="Q62" s="20">
        <f>MAX($P$5:P62)</f>
        <v>2.0347879158747904</v>
      </c>
      <c r="R62" s="15">
        <f t="shared" si="6"/>
        <v>-0.1850402249358033</v>
      </c>
      <c r="S62" s="15">
        <f>O62-Benchmark_RF!D62</f>
        <v>-1.4693080564878901E-2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IF(Rankings!C59&lt;=5,1,0)</f>
        <v>1</v>
      </c>
      <c r="D63" s="16">
        <f>IF(Rankings!D59&lt;=5,1,0)</f>
        <v>1</v>
      </c>
      <c r="E63" s="16">
        <f>IF(Rankings!E59&lt;=5,1,0)</f>
        <v>1</v>
      </c>
      <c r="F63" s="16">
        <f>IF(Rankings!F59&lt;=5,1,0)</f>
        <v>0</v>
      </c>
      <c r="G63" s="16">
        <f>IF(Rankings!G59&lt;=5,1,0)</f>
        <v>1</v>
      </c>
      <c r="H63" s="16">
        <f>IF(Rankings!H59&lt;=5,1,0)</f>
        <v>1</v>
      </c>
      <c r="I63" s="16">
        <f>IF(Rankings!I59&lt;=5,1,0)</f>
        <v>0</v>
      </c>
      <c r="J63" s="16">
        <f>IF(Rankings!J59&lt;=5,1,0)</f>
        <v>0</v>
      </c>
      <c r="K63" s="19">
        <f t="shared" si="4"/>
        <v>5</v>
      </c>
      <c r="L63" s="15">
        <f>SUMPRODUCT(C63:J63,Returns!B67:I67)/K63</f>
        <v>2.1246280210063917E-2</v>
      </c>
      <c r="M63" s="15">
        <v>0</v>
      </c>
      <c r="N63" s="15">
        <v>0</v>
      </c>
      <c r="O63" s="15">
        <f t="shared" si="5"/>
        <v>2.1246280210063917E-2</v>
      </c>
      <c r="P63" s="20">
        <f t="shared" si="7"/>
        <v>1.6935023777297573</v>
      </c>
      <c r="Q63" s="20">
        <f>MAX($P$5:P63)</f>
        <v>2.0347879158747904</v>
      </c>
      <c r="R63" s="15">
        <f t="shared" si="6"/>
        <v>-0.1677253611948587</v>
      </c>
      <c r="S63" s="15">
        <f>O63-Benchmark_RF!D63</f>
        <v>1.5710634414717539E-2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IF(Rankings!C59&lt;=5,1,0)</f>
        <v>1</v>
      </c>
      <c r="D64" s="16">
        <f>IF(Rankings!D59&lt;=5,1,0)</f>
        <v>1</v>
      </c>
      <c r="E64" s="16">
        <f>IF(Rankings!E59&lt;=5,1,0)</f>
        <v>1</v>
      </c>
      <c r="F64" s="16">
        <f>IF(Rankings!F59&lt;=5,1,0)</f>
        <v>0</v>
      </c>
      <c r="G64" s="16">
        <f>IF(Rankings!G59&lt;=5,1,0)</f>
        <v>1</v>
      </c>
      <c r="H64" s="16">
        <f>IF(Rankings!H59&lt;=5,1,0)</f>
        <v>1</v>
      </c>
      <c r="I64" s="16">
        <f>IF(Rankings!I59&lt;=5,1,0)</f>
        <v>0</v>
      </c>
      <c r="J64" s="16">
        <f>IF(Rankings!J59&lt;=5,1,0)</f>
        <v>0</v>
      </c>
      <c r="K64" s="19">
        <f t="shared" si="4"/>
        <v>5</v>
      </c>
      <c r="L64" s="15">
        <f>SUMPRODUCT(C64:J64,Returns!B68:I68)/K64</f>
        <v>0.12474362693335719</v>
      </c>
      <c r="M64" s="15">
        <v>0</v>
      </c>
      <c r="N64" s="15">
        <v>0</v>
      </c>
      <c r="O64" s="15">
        <f t="shared" si="5"/>
        <v>0.12474362693335719</v>
      </c>
      <c r="P64" s="20">
        <f t="shared" si="7"/>
        <v>1.9047560065480316</v>
      </c>
      <c r="Q64" s="20">
        <f>MAX($P$5:P64)</f>
        <v>2.0347879158747904</v>
      </c>
      <c r="R64" s="15">
        <f t="shared" si="6"/>
        <v>-6.3904404145655569E-2</v>
      </c>
      <c r="S64" s="15">
        <f>O64-Benchmark_RF!D64</f>
        <v>0.11918869097671428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IF(Rankings!C71&lt;=5,1,0)</f>
        <v>0</v>
      </c>
      <c r="D65" s="16">
        <f>IF(Rankings!D71&lt;=5,1,0)</f>
        <v>1</v>
      </c>
      <c r="E65" s="16">
        <f>IF(Rankings!E71&lt;=5,1,0)</f>
        <v>0</v>
      </c>
      <c r="F65" s="16">
        <f>IF(Rankings!F71&lt;=5,1,0)</f>
        <v>1</v>
      </c>
      <c r="G65" s="16">
        <f>IF(Rankings!G71&lt;=5,1,0)</f>
        <v>1</v>
      </c>
      <c r="H65" s="16">
        <f>IF(Rankings!H71&lt;=5,1,0)</f>
        <v>0</v>
      </c>
      <c r="I65" s="16">
        <f>IF(Rankings!I71&lt;=5,1,0)</f>
        <v>1</v>
      </c>
      <c r="J65" s="16">
        <f>IF(Rankings!J71&lt;=5,1,0)</f>
        <v>1</v>
      </c>
      <c r="K65" s="19">
        <f t="shared" si="4"/>
        <v>5</v>
      </c>
      <c r="L65" s="15">
        <f>SUMPRODUCT(C65:J65,Returns!B69:I69)/K65</f>
        <v>6.8962220090698675E-2</v>
      </c>
      <c r="M65" s="15">
        <f>-2*Assumptions!$B$13</f>
        <v>-7.0000000000000001E-3</v>
      </c>
      <c r="N65" s="15">
        <f>-Assumptions!$B$16*MAX(0,(1+O53)*(1+O54)*(1+O55)*(1+O56)*(1+O57)*(1+O58)*(1+O59)*(1+O60)*(1+O61)*(1+O62)*(1+O63)*(1+O64)-1)</f>
        <v>-2.2509218918578277E-2</v>
      </c>
      <c r="O65" s="15">
        <f t="shared" si="5"/>
        <v>3.9453001172120403E-2</v>
      </c>
      <c r="P65" s="20">
        <f t="shared" si="7"/>
        <v>1.9799043475069744</v>
      </c>
      <c r="Q65" s="20">
        <f>MAX($P$5:P65)</f>
        <v>2.0347879158747904</v>
      </c>
      <c r="R65" s="15">
        <f t="shared" si="6"/>
        <v>-2.6972623505197357E-2</v>
      </c>
      <c r="S65" s="15">
        <f>O65-Benchmark_RF!D65</f>
        <v>3.3727140990800472E-2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IF(Rankings!C71&lt;=5,1,0)</f>
        <v>0</v>
      </c>
      <c r="D66" s="16">
        <f>IF(Rankings!D71&lt;=5,1,0)</f>
        <v>1</v>
      </c>
      <c r="E66" s="16">
        <f>IF(Rankings!E71&lt;=5,1,0)</f>
        <v>0</v>
      </c>
      <c r="F66" s="16">
        <f>IF(Rankings!F71&lt;=5,1,0)</f>
        <v>1</v>
      </c>
      <c r="G66" s="16">
        <f>IF(Rankings!G71&lt;=5,1,0)</f>
        <v>1</v>
      </c>
      <c r="H66" s="16">
        <f>IF(Rankings!H71&lt;=5,1,0)</f>
        <v>0</v>
      </c>
      <c r="I66" s="16">
        <f>IF(Rankings!I71&lt;=5,1,0)</f>
        <v>1</v>
      </c>
      <c r="J66" s="16">
        <f>IF(Rankings!J71&lt;=5,1,0)</f>
        <v>1</v>
      </c>
      <c r="K66" s="19">
        <f t="shared" si="4"/>
        <v>5</v>
      </c>
      <c r="L66" s="15">
        <f>SUMPRODUCT(C66:J66,Returns!B70:I70)/K66</f>
        <v>-2.7460286400208035E-3</v>
      </c>
      <c r="M66" s="15">
        <v>0</v>
      </c>
      <c r="N66" s="15">
        <v>0</v>
      </c>
      <c r="O66" s="15">
        <f t="shared" si="5"/>
        <v>-2.7460286400208035E-3</v>
      </c>
      <c r="P66" s="20">
        <f t="shared" si="7"/>
        <v>1.9744674734642185</v>
      </c>
      <c r="Q66" s="20">
        <f>MAX($P$5:P66)</f>
        <v>2.0347879158747904</v>
      </c>
      <c r="R66" s="15">
        <f t="shared" si="6"/>
        <v>-2.9644584548576436E-2</v>
      </c>
      <c r="S66" s="15">
        <f>O66-Benchmark_RF!D66</f>
        <v>-8.4771321286663866E-3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IF(Rankings!C71&lt;=5,1,0)</f>
        <v>0</v>
      </c>
      <c r="D67" s="16">
        <f>IF(Rankings!D71&lt;=5,1,0)</f>
        <v>1</v>
      </c>
      <c r="E67" s="16">
        <f>IF(Rankings!E71&lt;=5,1,0)</f>
        <v>0</v>
      </c>
      <c r="F67" s="16">
        <f>IF(Rankings!F71&lt;=5,1,0)</f>
        <v>1</v>
      </c>
      <c r="G67" s="16">
        <f>IF(Rankings!G71&lt;=5,1,0)</f>
        <v>1</v>
      </c>
      <c r="H67" s="16">
        <f>IF(Rankings!H71&lt;=5,1,0)</f>
        <v>0</v>
      </c>
      <c r="I67" s="16">
        <f>IF(Rankings!I71&lt;=5,1,0)</f>
        <v>1</v>
      </c>
      <c r="J67" s="16">
        <f>IF(Rankings!J71&lt;=5,1,0)</f>
        <v>1</v>
      </c>
      <c r="K67" s="19">
        <f t="shared" si="4"/>
        <v>5</v>
      </c>
      <c r="L67" s="15">
        <f>SUMPRODUCT(C67:J67,Returns!B71:I71)/K67</f>
        <v>3.1005523385195154E-2</v>
      </c>
      <c r="M67" s="15">
        <v>0</v>
      </c>
      <c r="N67" s="15">
        <v>0</v>
      </c>
      <c r="O67" s="15">
        <f t="shared" si="5"/>
        <v>3.1005523385195154E-2</v>
      </c>
      <c r="P67" s="20">
        <f t="shared" si="7"/>
        <v>2.0356868708860203</v>
      </c>
      <c r="Q67" s="20">
        <f>MAX($P$5:P67)</f>
        <v>2.0356868708860203</v>
      </c>
      <c r="R67" s="15">
        <f t="shared" si="6"/>
        <v>0</v>
      </c>
      <c r="S67" s="15">
        <f>O67-Benchmark_RF!D67</f>
        <v>2.5227712952091273E-2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IF(Rankings!C71&lt;=5,1,0)</f>
        <v>0</v>
      </c>
      <c r="D68" s="16">
        <f>IF(Rankings!D71&lt;=5,1,0)</f>
        <v>1</v>
      </c>
      <c r="E68" s="16">
        <f>IF(Rankings!E71&lt;=5,1,0)</f>
        <v>0</v>
      </c>
      <c r="F68" s="16">
        <f>IF(Rankings!F71&lt;=5,1,0)</f>
        <v>1</v>
      </c>
      <c r="G68" s="16">
        <f>IF(Rankings!G71&lt;=5,1,0)</f>
        <v>1</v>
      </c>
      <c r="H68" s="16">
        <f>IF(Rankings!H71&lt;=5,1,0)</f>
        <v>0</v>
      </c>
      <c r="I68" s="16">
        <f>IF(Rankings!I71&lt;=5,1,0)</f>
        <v>1</v>
      </c>
      <c r="J68" s="16">
        <f>IF(Rankings!J71&lt;=5,1,0)</f>
        <v>1</v>
      </c>
      <c r="K68" s="19">
        <f t="shared" si="4"/>
        <v>5</v>
      </c>
      <c r="L68" s="15">
        <f>SUMPRODUCT(C68:J68,Returns!B72:I72)/K68</f>
        <v>3.8430772165842383E-2</v>
      </c>
      <c r="M68" s="15">
        <v>0</v>
      </c>
      <c r="N68" s="15">
        <v>0</v>
      </c>
      <c r="O68" s="15">
        <f t="shared" si="5"/>
        <v>3.8430772165842383E-2</v>
      </c>
      <c r="P68" s="20">
        <f t="shared" si="7"/>
        <v>2.1139198892220374</v>
      </c>
      <c r="Q68" s="20">
        <f>MAX($P$5:P68)</f>
        <v>2.1139198892220374</v>
      </c>
      <c r="R68" s="15">
        <f t="shared" si="6"/>
        <v>0</v>
      </c>
      <c r="S68" s="15">
        <f>O68-Benchmark_RF!D68</f>
        <v>3.2666885260130882E-2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IF(Rankings!C71&lt;=5,1,0)</f>
        <v>0</v>
      </c>
      <c r="D69" s="16">
        <f>IF(Rankings!D71&lt;=5,1,0)</f>
        <v>1</v>
      </c>
      <c r="E69" s="16">
        <f>IF(Rankings!E71&lt;=5,1,0)</f>
        <v>0</v>
      </c>
      <c r="F69" s="16">
        <f>IF(Rankings!F71&lt;=5,1,0)</f>
        <v>1</v>
      </c>
      <c r="G69" s="16">
        <f>IF(Rankings!G71&lt;=5,1,0)</f>
        <v>1</v>
      </c>
      <c r="H69" s="16">
        <f>IF(Rankings!H71&lt;=5,1,0)</f>
        <v>0</v>
      </c>
      <c r="I69" s="16">
        <f>IF(Rankings!I71&lt;=5,1,0)</f>
        <v>1</v>
      </c>
      <c r="J69" s="16">
        <f>IF(Rankings!J71&lt;=5,1,0)</f>
        <v>1</v>
      </c>
      <c r="K69" s="19">
        <f t="shared" ref="K69:K100" si="8">SUM(C69:J69)</f>
        <v>5</v>
      </c>
      <c r="L69" s="15">
        <f>SUMPRODUCT(C69:J69,Returns!B73:I73)/K69</f>
        <v>8.0446645984507931E-2</v>
      </c>
      <c r="M69" s="15">
        <v>0</v>
      </c>
      <c r="N69" s="15">
        <v>0</v>
      </c>
      <c r="O69" s="15">
        <f t="shared" ref="O69:O100" si="9">L69+M69+N69</f>
        <v>8.0446645984507931E-2</v>
      </c>
      <c r="P69" s="20">
        <f t="shared" si="7"/>
        <v>2.2839776541898931</v>
      </c>
      <c r="Q69" s="20">
        <f>MAX($P$5:P69)</f>
        <v>2.2839776541898931</v>
      </c>
      <c r="R69" s="15">
        <f t="shared" ref="R69:R100" si="10">P69/Q69-1</f>
        <v>0</v>
      </c>
      <c r="S69" s="15">
        <f>O69-Benchmark_RF!D69</f>
        <v>7.470716947930936E-2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IF(Rankings!C71&lt;=5,1,0)</f>
        <v>0</v>
      </c>
      <c r="D70" s="16">
        <f>IF(Rankings!D71&lt;=5,1,0)</f>
        <v>1</v>
      </c>
      <c r="E70" s="16">
        <f>IF(Rankings!E71&lt;=5,1,0)</f>
        <v>0</v>
      </c>
      <c r="F70" s="16">
        <f>IF(Rankings!F71&lt;=5,1,0)</f>
        <v>1</v>
      </c>
      <c r="G70" s="16">
        <f>IF(Rankings!G71&lt;=5,1,0)</f>
        <v>1</v>
      </c>
      <c r="H70" s="16">
        <f>IF(Rankings!H71&lt;=5,1,0)</f>
        <v>0</v>
      </c>
      <c r="I70" s="16">
        <f>IF(Rankings!I71&lt;=5,1,0)</f>
        <v>1</v>
      </c>
      <c r="J70" s="16">
        <f>IF(Rankings!J71&lt;=5,1,0)</f>
        <v>1</v>
      </c>
      <c r="K70" s="19">
        <f t="shared" si="8"/>
        <v>5</v>
      </c>
      <c r="L70" s="15">
        <f>SUMPRODUCT(C70:J70,Returns!B74:I74)/K70</f>
        <v>4.3749785192925252E-2</v>
      </c>
      <c r="M70" s="15">
        <v>0</v>
      </c>
      <c r="N70" s="15">
        <v>0</v>
      </c>
      <c r="O70" s="15">
        <f t="shared" si="9"/>
        <v>4.3749785192925252E-2</v>
      </c>
      <c r="P70" s="20">
        <f t="shared" ref="P70:P101" si="11">P69*(1+O70)</f>
        <v>2.3839011859461419</v>
      </c>
      <c r="Q70" s="20">
        <f>MAX($P$5:P70)</f>
        <v>2.3839011859461419</v>
      </c>
      <c r="R70" s="15">
        <f t="shared" si="10"/>
        <v>0</v>
      </c>
      <c r="S70" s="15">
        <f>O70-Benchmark_RF!D70</f>
        <v>3.7976902507441547E-2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IF(Rankings!C71&lt;=5,1,0)</f>
        <v>0</v>
      </c>
      <c r="D71" s="16">
        <f>IF(Rankings!D71&lt;=5,1,0)</f>
        <v>1</v>
      </c>
      <c r="E71" s="16">
        <f>IF(Rankings!E71&lt;=5,1,0)</f>
        <v>0</v>
      </c>
      <c r="F71" s="16">
        <f>IF(Rankings!F71&lt;=5,1,0)</f>
        <v>1</v>
      </c>
      <c r="G71" s="16">
        <f>IF(Rankings!G71&lt;=5,1,0)</f>
        <v>1</v>
      </c>
      <c r="H71" s="16">
        <f>IF(Rankings!H71&lt;=5,1,0)</f>
        <v>0</v>
      </c>
      <c r="I71" s="16">
        <f>IF(Rankings!I71&lt;=5,1,0)</f>
        <v>1</v>
      </c>
      <c r="J71" s="16">
        <f>IF(Rankings!J71&lt;=5,1,0)</f>
        <v>1</v>
      </c>
      <c r="K71" s="19">
        <f t="shared" si="8"/>
        <v>5</v>
      </c>
      <c r="L71" s="15">
        <f>SUMPRODUCT(C71:J71,Returns!B75:I75)/K71</f>
        <v>5.3054130700348034E-2</v>
      </c>
      <c r="M71" s="15">
        <v>0</v>
      </c>
      <c r="N71" s="15">
        <v>0</v>
      </c>
      <c r="O71" s="15">
        <f t="shared" si="9"/>
        <v>5.3054130700348034E-2</v>
      </c>
      <c r="P71" s="20">
        <f t="shared" si="11"/>
        <v>2.510376991042043</v>
      </c>
      <c r="Q71" s="20">
        <f>MAX($P$5:P71)</f>
        <v>2.510376991042043</v>
      </c>
      <c r="R71" s="15">
        <f t="shared" si="10"/>
        <v>0</v>
      </c>
      <c r="S71" s="15">
        <f>O71-Benchmark_RF!D71</f>
        <v>4.7250825370583449E-2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IF(Rankings!C71&lt;=5,1,0)</f>
        <v>0</v>
      </c>
      <c r="D72" s="16">
        <f>IF(Rankings!D71&lt;=5,1,0)</f>
        <v>1</v>
      </c>
      <c r="E72" s="16">
        <f>IF(Rankings!E71&lt;=5,1,0)</f>
        <v>0</v>
      </c>
      <c r="F72" s="16">
        <f>IF(Rankings!F71&lt;=5,1,0)</f>
        <v>1</v>
      </c>
      <c r="G72" s="16">
        <f>IF(Rankings!G71&lt;=5,1,0)</f>
        <v>1</v>
      </c>
      <c r="H72" s="16">
        <f>IF(Rankings!H71&lt;=5,1,0)</f>
        <v>0</v>
      </c>
      <c r="I72" s="16">
        <f>IF(Rankings!I71&lt;=5,1,0)</f>
        <v>1</v>
      </c>
      <c r="J72" s="16">
        <f>IF(Rankings!J71&lt;=5,1,0)</f>
        <v>1</v>
      </c>
      <c r="K72" s="19">
        <f t="shared" si="8"/>
        <v>5</v>
      </c>
      <c r="L72" s="15">
        <f>SUMPRODUCT(C72:J72,Returns!B76:I76)/K72</f>
        <v>-3.3492936815981492E-2</v>
      </c>
      <c r="M72" s="15">
        <v>0</v>
      </c>
      <c r="N72" s="15">
        <v>0</v>
      </c>
      <c r="O72" s="15">
        <f t="shared" si="9"/>
        <v>-3.3492936815981492E-2</v>
      </c>
      <c r="P72" s="20">
        <f t="shared" si="11"/>
        <v>2.4262970930967782</v>
      </c>
      <c r="Q72" s="20">
        <f>MAX($P$5:P72)</f>
        <v>2.510376991042043</v>
      </c>
      <c r="R72" s="15">
        <f t="shared" si="10"/>
        <v>-3.3492936815981422E-2</v>
      </c>
      <c r="S72" s="15">
        <f>O72-Benchmark_RF!D72</f>
        <v>-3.9483091886651514E-2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IF(Rankings!C71&lt;=5,1,0)</f>
        <v>0</v>
      </c>
      <c r="D73" s="16">
        <f>IF(Rankings!D71&lt;=5,1,0)</f>
        <v>1</v>
      </c>
      <c r="E73" s="16">
        <f>IF(Rankings!E71&lt;=5,1,0)</f>
        <v>0</v>
      </c>
      <c r="F73" s="16">
        <f>IF(Rankings!F71&lt;=5,1,0)</f>
        <v>1</v>
      </c>
      <c r="G73" s="16">
        <f>IF(Rankings!G71&lt;=5,1,0)</f>
        <v>1</v>
      </c>
      <c r="H73" s="16">
        <f>IF(Rankings!H71&lt;=5,1,0)</f>
        <v>0</v>
      </c>
      <c r="I73" s="16">
        <f>IF(Rankings!I71&lt;=5,1,0)</f>
        <v>1</v>
      </c>
      <c r="J73" s="16">
        <f>IF(Rankings!J71&lt;=5,1,0)</f>
        <v>1</v>
      </c>
      <c r="K73" s="19">
        <f t="shared" si="8"/>
        <v>5</v>
      </c>
      <c r="L73" s="15">
        <f>SUMPRODUCT(C73:J73,Returns!B77:I77)/K73</f>
        <v>-4.1575088458052911E-2</v>
      </c>
      <c r="M73" s="15">
        <v>0</v>
      </c>
      <c r="N73" s="15">
        <v>0</v>
      </c>
      <c r="O73" s="15">
        <f t="shared" si="9"/>
        <v>-4.1575088458052911E-2</v>
      </c>
      <c r="P73" s="20">
        <f t="shared" si="11"/>
        <v>2.325423576825763</v>
      </c>
      <c r="Q73" s="20">
        <f>MAX($P$5:P73)</f>
        <v>2.510376991042043</v>
      </c>
      <c r="R73" s="15">
        <f t="shared" si="10"/>
        <v>-7.3675553463189991E-2</v>
      </c>
      <c r="S73" s="15">
        <f>O73-Benchmark_RF!D73</f>
        <v>-4.7523485436678947E-2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IF(Rankings!C71&lt;=5,1,0)</f>
        <v>0</v>
      </c>
      <c r="D74" s="16">
        <f>IF(Rankings!D71&lt;=5,1,0)</f>
        <v>1</v>
      </c>
      <c r="E74" s="16">
        <f>IF(Rankings!E71&lt;=5,1,0)</f>
        <v>0</v>
      </c>
      <c r="F74" s="16">
        <f>IF(Rankings!F71&lt;=5,1,0)</f>
        <v>1</v>
      </c>
      <c r="G74" s="16">
        <f>IF(Rankings!G71&lt;=5,1,0)</f>
        <v>1</v>
      </c>
      <c r="H74" s="16">
        <f>IF(Rankings!H71&lt;=5,1,0)</f>
        <v>0</v>
      </c>
      <c r="I74" s="16">
        <f>IF(Rankings!I71&lt;=5,1,0)</f>
        <v>1</v>
      </c>
      <c r="J74" s="16">
        <f>IF(Rankings!J71&lt;=5,1,0)</f>
        <v>1</v>
      </c>
      <c r="K74" s="19">
        <f t="shared" si="8"/>
        <v>5</v>
      </c>
      <c r="L74" s="15">
        <f>SUMPRODUCT(C74:J74,Returns!B78:I78)/K74</f>
        <v>5.9025331396780789E-2</v>
      </c>
      <c r="M74" s="15">
        <v>0</v>
      </c>
      <c r="N74" s="15">
        <v>0</v>
      </c>
      <c r="O74" s="15">
        <f t="shared" si="9"/>
        <v>5.9025331396780789E-2</v>
      </c>
      <c r="P74" s="20">
        <f t="shared" si="11"/>
        <v>2.4626824740857911</v>
      </c>
      <c r="Q74" s="20">
        <f>MAX($P$5:P74)</f>
        <v>2.510376991042043</v>
      </c>
      <c r="R74" s="15">
        <f t="shared" si="10"/>
        <v>-1.8998946025415187E-2</v>
      </c>
      <c r="S74" s="15">
        <f>O74-Benchmark_RF!D74</f>
        <v>5.3103716463122286E-2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IF(Rankings!C71&lt;=5,1,0)</f>
        <v>0</v>
      </c>
      <c r="D75" s="16">
        <f>IF(Rankings!D71&lt;=5,1,0)</f>
        <v>1</v>
      </c>
      <c r="E75" s="16">
        <f>IF(Rankings!E71&lt;=5,1,0)</f>
        <v>0</v>
      </c>
      <c r="F75" s="16">
        <f>IF(Rankings!F71&lt;=5,1,0)</f>
        <v>1</v>
      </c>
      <c r="G75" s="16">
        <f>IF(Rankings!G71&lt;=5,1,0)</f>
        <v>1</v>
      </c>
      <c r="H75" s="16">
        <f>IF(Rankings!H71&lt;=5,1,0)</f>
        <v>0</v>
      </c>
      <c r="I75" s="16">
        <f>IF(Rankings!I71&lt;=5,1,0)</f>
        <v>1</v>
      </c>
      <c r="J75" s="16">
        <f>IF(Rankings!J71&lt;=5,1,0)</f>
        <v>1</v>
      </c>
      <c r="K75" s="19">
        <f t="shared" si="8"/>
        <v>5</v>
      </c>
      <c r="L75" s="15">
        <f>SUMPRODUCT(C75:J75,Returns!B79:I79)/K75</f>
        <v>-2.6166763924533452E-2</v>
      </c>
      <c r="M75" s="15">
        <v>0</v>
      </c>
      <c r="N75" s="15">
        <v>0</v>
      </c>
      <c r="O75" s="15">
        <f t="shared" si="9"/>
        <v>-2.6166763924533452E-2</v>
      </c>
      <c r="P75" s="20">
        <f t="shared" si="11"/>
        <v>2.3982420431653022</v>
      </c>
      <c r="Q75" s="20">
        <f>MAX($P$5:P75)</f>
        <v>2.510376991042043</v>
      </c>
      <c r="R75" s="15">
        <f t="shared" si="10"/>
        <v>-4.4668569014486681E-2</v>
      </c>
      <c r="S75" s="15">
        <f>O75-Benchmark_RF!D75</f>
        <v>-3.2051902060341052E-2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IF(Rankings!C71&lt;=5,1,0)</f>
        <v>0</v>
      </c>
      <c r="D76" s="16">
        <f>IF(Rankings!D71&lt;=5,1,0)</f>
        <v>1</v>
      </c>
      <c r="E76" s="16">
        <f>IF(Rankings!E71&lt;=5,1,0)</f>
        <v>0</v>
      </c>
      <c r="F76" s="16">
        <f>IF(Rankings!F71&lt;=5,1,0)</f>
        <v>1</v>
      </c>
      <c r="G76" s="16">
        <f>IF(Rankings!G71&lt;=5,1,0)</f>
        <v>1</v>
      </c>
      <c r="H76" s="16">
        <f>IF(Rankings!H71&lt;=5,1,0)</f>
        <v>0</v>
      </c>
      <c r="I76" s="16">
        <f>IF(Rankings!I71&lt;=5,1,0)</f>
        <v>1</v>
      </c>
      <c r="J76" s="16">
        <f>IF(Rankings!J71&lt;=5,1,0)</f>
        <v>1</v>
      </c>
      <c r="K76" s="19">
        <f t="shared" si="8"/>
        <v>5</v>
      </c>
      <c r="L76" s="15">
        <f>SUMPRODUCT(C76:J76,Returns!B80:I80)/K76</f>
        <v>1.0859417871733012E-2</v>
      </c>
      <c r="M76" s="15">
        <v>0</v>
      </c>
      <c r="N76" s="15">
        <v>0</v>
      </c>
      <c r="O76" s="15">
        <f t="shared" si="9"/>
        <v>1.0859417871733012E-2</v>
      </c>
      <c r="P76" s="20">
        <f t="shared" si="11"/>
        <v>2.4242855556695928</v>
      </c>
      <c r="Q76" s="20">
        <f>MAX($P$5:P76)</f>
        <v>2.510376991042043</v>
      </c>
      <c r="R76" s="15">
        <f t="shared" si="10"/>
        <v>-3.4294225799414324E-2</v>
      </c>
      <c r="S76" s="15">
        <f>O76-Benchmark_RF!D76</f>
        <v>5.0233549975802864E-3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IF(Rankings!C83&lt;=5,1,0)</f>
        <v>1</v>
      </c>
      <c r="D77" s="16">
        <f>IF(Rankings!D83&lt;=5,1,0)</f>
        <v>1</v>
      </c>
      <c r="E77" s="16">
        <f>IF(Rankings!E83&lt;=5,1,0)</f>
        <v>0</v>
      </c>
      <c r="F77" s="16">
        <f>IF(Rankings!F83&lt;=5,1,0)</f>
        <v>1</v>
      </c>
      <c r="G77" s="16">
        <f>IF(Rankings!G83&lt;=5,1,0)</f>
        <v>0</v>
      </c>
      <c r="H77" s="16">
        <f>IF(Rankings!H83&lt;=5,1,0)</f>
        <v>0</v>
      </c>
      <c r="I77" s="16">
        <f>IF(Rankings!I83&lt;=5,1,0)</f>
        <v>1</v>
      </c>
      <c r="J77" s="16">
        <f>IF(Rankings!J83&lt;=5,1,0)</f>
        <v>1</v>
      </c>
      <c r="K77" s="19">
        <f t="shared" si="8"/>
        <v>5</v>
      </c>
      <c r="L77" s="15">
        <f>SUMPRODUCT(C77:J77,Returns!B81:I81)/K77</f>
        <v>5.895022429845713E-2</v>
      </c>
      <c r="M77" s="15">
        <f>-2*Assumptions!$B$13</f>
        <v>-7.0000000000000001E-3</v>
      </c>
      <c r="N77" s="15">
        <f>-Assumptions!$B$16*MAX(0,(1+O65)*(1+O66)*(1+O67)*(1+O68)*(1+O69)*(1+O70)*(1+O71)*(1+O72)*(1+O73)*(1+O74)*(1+O75)*(1+O76)-1)</f>
        <v>-4.0913078683219313E-2</v>
      </c>
      <c r="O77" s="15">
        <f t="shared" si="9"/>
        <v>1.1037145615237817E-2</v>
      </c>
      <c r="P77" s="20">
        <f t="shared" si="11"/>
        <v>2.451042748360436</v>
      </c>
      <c r="Q77" s="20">
        <f>MAX($P$5:P77)</f>
        <v>2.510376991042043</v>
      </c>
      <c r="R77" s="15">
        <f t="shared" si="10"/>
        <v>-2.3635590548086505E-2</v>
      </c>
      <c r="S77" s="15">
        <f>O77-Benchmark_RF!D77</f>
        <v>5.2035840967261521E-3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IF(Rankings!C83&lt;=5,1,0)</f>
        <v>1</v>
      </c>
      <c r="D78" s="16">
        <f>IF(Rankings!D83&lt;=5,1,0)</f>
        <v>1</v>
      </c>
      <c r="E78" s="16">
        <f>IF(Rankings!E83&lt;=5,1,0)</f>
        <v>0</v>
      </c>
      <c r="F78" s="16">
        <f>IF(Rankings!F83&lt;=5,1,0)</f>
        <v>1</v>
      </c>
      <c r="G78" s="16">
        <f>IF(Rankings!G83&lt;=5,1,0)</f>
        <v>0</v>
      </c>
      <c r="H78" s="16">
        <f>IF(Rankings!H83&lt;=5,1,0)</f>
        <v>0</v>
      </c>
      <c r="I78" s="16">
        <f>IF(Rankings!I83&lt;=5,1,0)</f>
        <v>1</v>
      </c>
      <c r="J78" s="16">
        <f>IF(Rankings!J83&lt;=5,1,0)</f>
        <v>1</v>
      </c>
      <c r="K78" s="19">
        <f t="shared" si="8"/>
        <v>5</v>
      </c>
      <c r="L78" s="15">
        <f>SUMPRODUCT(C78:J78,Returns!B82:I82)/K78</f>
        <v>-6.3052416433259012E-2</v>
      </c>
      <c r="M78" s="15">
        <v>0</v>
      </c>
      <c r="N78" s="15">
        <v>0</v>
      </c>
      <c r="O78" s="15">
        <f t="shared" si="9"/>
        <v>-6.3052416433259012E-2</v>
      </c>
      <c r="P78" s="20">
        <f t="shared" si="11"/>
        <v>2.2964985802950943</v>
      </c>
      <c r="Q78" s="20">
        <f>MAX($P$5:P78)</f>
        <v>2.510376991042043</v>
      </c>
      <c r="R78" s="15">
        <f t="shared" si="10"/>
        <v>-8.5197725883461417E-2</v>
      </c>
      <c r="S78" s="15">
        <f>O78-Benchmark_RF!D78</f>
        <v>-6.9152768108242363E-2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IF(Rankings!C83&lt;=5,1,0)</f>
        <v>1</v>
      </c>
      <c r="D79" s="16">
        <f>IF(Rankings!D83&lt;=5,1,0)</f>
        <v>1</v>
      </c>
      <c r="E79" s="16">
        <f>IF(Rankings!E83&lt;=5,1,0)</f>
        <v>0</v>
      </c>
      <c r="F79" s="16">
        <f>IF(Rankings!F83&lt;=5,1,0)</f>
        <v>1</v>
      </c>
      <c r="G79" s="16">
        <f>IF(Rankings!G83&lt;=5,1,0)</f>
        <v>0</v>
      </c>
      <c r="H79" s="16">
        <f>IF(Rankings!H83&lt;=5,1,0)</f>
        <v>0</v>
      </c>
      <c r="I79" s="16">
        <f>IF(Rankings!I83&lt;=5,1,0)</f>
        <v>1</v>
      </c>
      <c r="J79" s="16">
        <f>IF(Rankings!J83&lt;=5,1,0)</f>
        <v>1</v>
      </c>
      <c r="K79" s="19">
        <f t="shared" si="8"/>
        <v>5</v>
      </c>
      <c r="L79" s="15">
        <f>SUMPRODUCT(C79:J79,Returns!B83:I83)/K79</f>
        <v>6.167285257564574E-2</v>
      </c>
      <c r="M79" s="15">
        <v>0</v>
      </c>
      <c r="N79" s="15">
        <v>0</v>
      </c>
      <c r="O79" s="15">
        <f t="shared" si="9"/>
        <v>6.167285257564574E-2</v>
      </c>
      <c r="P79" s="20">
        <f t="shared" si="11"/>
        <v>2.4381301986778134</v>
      </c>
      <c r="Q79" s="20">
        <f>MAX($P$5:P79)</f>
        <v>2.510376991042043</v>
      </c>
      <c r="R79" s="15">
        <f t="shared" si="10"/>
        <v>-2.8779260096006731E-2</v>
      </c>
      <c r="S79" s="15">
        <f>O79-Benchmark_RF!D79</f>
        <v>5.510317871669039E-2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IF(Rankings!C83&lt;=5,1,0)</f>
        <v>1</v>
      </c>
      <c r="D80" s="16">
        <f>IF(Rankings!D83&lt;=5,1,0)</f>
        <v>1</v>
      </c>
      <c r="E80" s="16">
        <f>IF(Rankings!E83&lt;=5,1,0)</f>
        <v>0</v>
      </c>
      <c r="F80" s="16">
        <f>IF(Rankings!F83&lt;=5,1,0)</f>
        <v>1</v>
      </c>
      <c r="G80" s="16">
        <f>IF(Rankings!G83&lt;=5,1,0)</f>
        <v>0</v>
      </c>
      <c r="H80" s="16">
        <f>IF(Rankings!H83&lt;=5,1,0)</f>
        <v>0</v>
      </c>
      <c r="I80" s="16">
        <f>IF(Rankings!I83&lt;=5,1,0)</f>
        <v>1</v>
      </c>
      <c r="J80" s="16">
        <f>IF(Rankings!J83&lt;=5,1,0)</f>
        <v>1</v>
      </c>
      <c r="K80" s="19">
        <f t="shared" si="8"/>
        <v>5</v>
      </c>
      <c r="L80" s="15">
        <f>SUMPRODUCT(C80:J80,Returns!B84:I84)/K80</f>
        <v>-1.2561022806728595E-2</v>
      </c>
      <c r="M80" s="15">
        <v>0</v>
      </c>
      <c r="N80" s="15">
        <v>0</v>
      </c>
      <c r="O80" s="15">
        <f t="shared" si="9"/>
        <v>-1.2561022806728595E-2</v>
      </c>
      <c r="P80" s="20">
        <f t="shared" si="11"/>
        <v>2.4075047896464477</v>
      </c>
      <c r="Q80" s="20">
        <f>MAX($P$5:P80)</f>
        <v>2.510376991042043</v>
      </c>
      <c r="R80" s="15">
        <f t="shared" si="10"/>
        <v>-4.0978785960308572E-2</v>
      </c>
      <c r="S80" s="15">
        <f>O80-Benchmark_RF!D80</f>
        <v>-1.9382748158915986E-2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IF(Rankings!C83&lt;=5,1,0)</f>
        <v>1</v>
      </c>
      <c r="D81" s="16">
        <f>IF(Rankings!D83&lt;=5,1,0)</f>
        <v>1</v>
      </c>
      <c r="E81" s="16">
        <f>IF(Rankings!E83&lt;=5,1,0)</f>
        <v>0</v>
      </c>
      <c r="F81" s="16">
        <f>IF(Rankings!F83&lt;=5,1,0)</f>
        <v>1</v>
      </c>
      <c r="G81" s="16">
        <f>IF(Rankings!G83&lt;=5,1,0)</f>
        <v>0</v>
      </c>
      <c r="H81" s="16">
        <f>IF(Rankings!H83&lt;=5,1,0)</f>
        <v>0</v>
      </c>
      <c r="I81" s="16">
        <f>IF(Rankings!I83&lt;=5,1,0)</f>
        <v>1</v>
      </c>
      <c r="J81" s="16">
        <f>IF(Rankings!J83&lt;=5,1,0)</f>
        <v>1</v>
      </c>
      <c r="K81" s="19">
        <f t="shared" si="8"/>
        <v>5</v>
      </c>
      <c r="L81" s="15">
        <f>SUMPRODUCT(C81:J81,Returns!B85:I85)/K81</f>
        <v>-3.8104002770979029E-2</v>
      </c>
      <c r="M81" s="15">
        <v>0</v>
      </c>
      <c r="N81" s="15">
        <v>0</v>
      </c>
      <c r="O81" s="15">
        <f t="shared" si="9"/>
        <v>-3.8104002770979029E-2</v>
      </c>
      <c r="P81" s="20">
        <f t="shared" si="11"/>
        <v>2.3157692204706142</v>
      </c>
      <c r="Q81" s="20">
        <f>MAX($P$5:P81)</f>
        <v>2.510376991042043</v>
      </c>
      <c r="R81" s="15">
        <f t="shared" si="10"/>
        <v>-7.7521332957504629E-2</v>
      </c>
      <c r="S81" s="15">
        <f>O81-Benchmark_RF!D81</f>
        <v>-4.6373415782341776E-2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IF(Rankings!C83&lt;=5,1,0)</f>
        <v>1</v>
      </c>
      <c r="D82" s="16">
        <f>IF(Rankings!D83&lt;=5,1,0)</f>
        <v>1</v>
      </c>
      <c r="E82" s="16">
        <f>IF(Rankings!E83&lt;=5,1,0)</f>
        <v>0</v>
      </c>
      <c r="F82" s="16">
        <f>IF(Rankings!F83&lt;=5,1,0)</f>
        <v>1</v>
      </c>
      <c r="G82" s="16">
        <f>IF(Rankings!G83&lt;=5,1,0)</f>
        <v>0</v>
      </c>
      <c r="H82" s="16">
        <f>IF(Rankings!H83&lt;=5,1,0)</f>
        <v>0</v>
      </c>
      <c r="I82" s="16">
        <f>IF(Rankings!I83&lt;=5,1,0)</f>
        <v>1</v>
      </c>
      <c r="J82" s="16">
        <f>IF(Rankings!J83&lt;=5,1,0)</f>
        <v>1</v>
      </c>
      <c r="K82" s="19">
        <f t="shared" si="8"/>
        <v>5</v>
      </c>
      <c r="L82" s="15">
        <f>SUMPRODUCT(C82:J82,Returns!B86:I86)/K82</f>
        <v>1.2232894871587564E-2</v>
      </c>
      <c r="M82" s="15">
        <v>0</v>
      </c>
      <c r="N82" s="15">
        <v>0</v>
      </c>
      <c r="O82" s="15">
        <f t="shared" si="9"/>
        <v>1.2232894871587564E-2</v>
      </c>
      <c r="P82" s="20">
        <f t="shared" si="11"/>
        <v>2.3440977818914894</v>
      </c>
      <c r="Q82" s="20">
        <f>MAX($P$5:P82)</f>
        <v>2.510376991042043</v>
      </c>
      <c r="R82" s="15">
        <f t="shared" si="10"/>
        <v>-6.6236748402291545E-2</v>
      </c>
      <c r="S82" s="15">
        <f>O82-Benchmark_RF!D82</f>
        <v>4.1038711995522899E-3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IF(Rankings!C83&lt;=5,1,0)</f>
        <v>1</v>
      </c>
      <c r="D83" s="16">
        <f>IF(Rankings!D83&lt;=5,1,0)</f>
        <v>1</v>
      </c>
      <c r="E83" s="16">
        <f>IF(Rankings!E83&lt;=5,1,0)</f>
        <v>0</v>
      </c>
      <c r="F83" s="16">
        <f>IF(Rankings!F83&lt;=5,1,0)</f>
        <v>1</v>
      </c>
      <c r="G83" s="16">
        <f>IF(Rankings!G83&lt;=5,1,0)</f>
        <v>0</v>
      </c>
      <c r="H83" s="16">
        <f>IF(Rankings!H83&lt;=5,1,0)</f>
        <v>0</v>
      </c>
      <c r="I83" s="16">
        <f>IF(Rankings!I83&lt;=5,1,0)</f>
        <v>1</v>
      </c>
      <c r="J83" s="16">
        <f>IF(Rankings!J83&lt;=5,1,0)</f>
        <v>1</v>
      </c>
      <c r="K83" s="19">
        <f t="shared" si="8"/>
        <v>5</v>
      </c>
      <c r="L83" s="15">
        <f>SUMPRODUCT(C83:J83,Returns!B87:I87)/K83</f>
        <v>-4.5323585972582457E-3</v>
      </c>
      <c r="M83" s="15">
        <v>0</v>
      </c>
      <c r="N83" s="15">
        <v>0</v>
      </c>
      <c r="O83" s="15">
        <f t="shared" si="9"/>
        <v>-4.5323585972582457E-3</v>
      </c>
      <c r="P83" s="20">
        <f t="shared" si="11"/>
        <v>2.3334734901569196</v>
      </c>
      <c r="Q83" s="20">
        <f>MAX($P$5:P83)</f>
        <v>2.510376991042043</v>
      </c>
      <c r="R83" s="15">
        <f t="shared" si="10"/>
        <v>-7.0468898303474248E-2</v>
      </c>
      <c r="S83" s="15">
        <f>O83-Benchmark_RF!D83</f>
        <v>-1.2798955271550772E-2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IF(Rankings!C83&lt;=5,1,0)</f>
        <v>1</v>
      </c>
      <c r="D84" s="16">
        <f>IF(Rankings!D83&lt;=5,1,0)</f>
        <v>1</v>
      </c>
      <c r="E84" s="16">
        <f>IF(Rankings!E83&lt;=5,1,0)</f>
        <v>0</v>
      </c>
      <c r="F84" s="16">
        <f>IF(Rankings!F83&lt;=5,1,0)</f>
        <v>1</v>
      </c>
      <c r="G84" s="16">
        <f>IF(Rankings!G83&lt;=5,1,0)</f>
        <v>0</v>
      </c>
      <c r="H84" s="16">
        <f>IF(Rankings!H83&lt;=5,1,0)</f>
        <v>0</v>
      </c>
      <c r="I84" s="16">
        <f>IF(Rankings!I83&lt;=5,1,0)</f>
        <v>1</v>
      </c>
      <c r="J84" s="16">
        <f>IF(Rankings!J83&lt;=5,1,0)</f>
        <v>1</v>
      </c>
      <c r="K84" s="19">
        <f t="shared" si="8"/>
        <v>5</v>
      </c>
      <c r="L84" s="15">
        <f>SUMPRODUCT(C84:J84,Returns!B88:I88)/K84</f>
        <v>-6.2343511750387125E-2</v>
      </c>
      <c r="M84" s="15">
        <v>0</v>
      </c>
      <c r="N84" s="15">
        <v>0</v>
      </c>
      <c r="O84" s="15">
        <f t="shared" si="9"/>
        <v>-6.2343511750387125E-2</v>
      </c>
      <c r="P84" s="20">
        <f t="shared" si="11"/>
        <v>2.1879965582041048</v>
      </c>
      <c r="Q84" s="20">
        <f>MAX($P$5:P84)</f>
        <v>2.510376991042043</v>
      </c>
      <c r="R84" s="15">
        <f t="shared" si="10"/>
        <v>-0.12841913146444195</v>
      </c>
      <c r="S84" s="15">
        <f>O84-Benchmark_RF!D84</f>
        <v>-7.1644786956876733E-2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IF(Rankings!C83&lt;=5,1,0)</f>
        <v>1</v>
      </c>
      <c r="D85" s="16">
        <f>IF(Rankings!D83&lt;=5,1,0)</f>
        <v>1</v>
      </c>
      <c r="E85" s="16">
        <f>IF(Rankings!E83&lt;=5,1,0)</f>
        <v>0</v>
      </c>
      <c r="F85" s="16">
        <f>IF(Rankings!F83&lt;=5,1,0)</f>
        <v>1</v>
      </c>
      <c r="G85" s="16">
        <f>IF(Rankings!G83&lt;=5,1,0)</f>
        <v>0</v>
      </c>
      <c r="H85" s="16">
        <f>IF(Rankings!H83&lt;=5,1,0)</f>
        <v>0</v>
      </c>
      <c r="I85" s="16">
        <f>IF(Rankings!I83&lt;=5,1,0)</f>
        <v>1</v>
      </c>
      <c r="J85" s="16">
        <f>IF(Rankings!J83&lt;=5,1,0)</f>
        <v>1</v>
      </c>
      <c r="K85" s="19">
        <f t="shared" si="8"/>
        <v>5</v>
      </c>
      <c r="L85" s="15">
        <f>SUMPRODUCT(C85:J85,Returns!B89:I89)/K85</f>
        <v>1.9824498637829469E-2</v>
      </c>
      <c r="M85" s="15">
        <v>0</v>
      </c>
      <c r="N85" s="15">
        <v>0</v>
      </c>
      <c r="O85" s="15">
        <f t="shared" si="9"/>
        <v>1.9824498637829469E-2</v>
      </c>
      <c r="P85" s="20">
        <f t="shared" si="11"/>
        <v>2.231372492991798</v>
      </c>
      <c r="Q85" s="20">
        <f>MAX($P$5:P85)</f>
        <v>2.510376991042043</v>
      </c>
      <c r="R85" s="15">
        <f t="shared" si="10"/>
        <v>-0.11114047772340041</v>
      </c>
      <c r="S85" s="15">
        <f>O85-Benchmark_RF!D85</f>
        <v>8.7026837304788225E-3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IF(Rankings!C83&lt;=5,1,0)</f>
        <v>1</v>
      </c>
      <c r="D86" s="16">
        <f>IF(Rankings!D83&lt;=5,1,0)</f>
        <v>1</v>
      </c>
      <c r="E86" s="16">
        <f>IF(Rankings!E83&lt;=5,1,0)</f>
        <v>0</v>
      </c>
      <c r="F86" s="16">
        <f>IF(Rankings!F83&lt;=5,1,0)</f>
        <v>1</v>
      </c>
      <c r="G86" s="16">
        <f>IF(Rankings!G83&lt;=5,1,0)</f>
        <v>0</v>
      </c>
      <c r="H86" s="16">
        <f>IF(Rankings!H83&lt;=5,1,0)</f>
        <v>0</v>
      </c>
      <c r="I86" s="16">
        <f>IF(Rankings!I83&lt;=5,1,0)</f>
        <v>1</v>
      </c>
      <c r="J86" s="16">
        <f>IF(Rankings!J83&lt;=5,1,0)</f>
        <v>1</v>
      </c>
      <c r="K86" s="19">
        <f t="shared" si="8"/>
        <v>5</v>
      </c>
      <c r="L86" s="15">
        <f>SUMPRODUCT(C86:J86,Returns!B90:I90)/K86</f>
        <v>-8.0359883183817787E-2</v>
      </c>
      <c r="M86" s="15">
        <v>0</v>
      </c>
      <c r="N86" s="15">
        <v>0</v>
      </c>
      <c r="O86" s="15">
        <f t="shared" si="9"/>
        <v>-8.0359883183817787E-2</v>
      </c>
      <c r="P86" s="20">
        <f t="shared" si="11"/>
        <v>2.0520596601153929</v>
      </c>
      <c r="Q86" s="20">
        <f>MAX($P$5:P86)</f>
        <v>2.510376991042043</v>
      </c>
      <c r="R86" s="15">
        <f t="shared" si="10"/>
        <v>-0.18256912510037204</v>
      </c>
      <c r="S86" s="15">
        <f>O86-Benchmark_RF!D86</f>
        <v>-9.1650441800935928E-2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IF(Rankings!C83&lt;=5,1,0)</f>
        <v>1</v>
      </c>
      <c r="D87" s="16">
        <f>IF(Rankings!D83&lt;=5,1,0)</f>
        <v>1</v>
      </c>
      <c r="E87" s="16">
        <f>IF(Rankings!E83&lt;=5,1,0)</f>
        <v>0</v>
      </c>
      <c r="F87" s="16">
        <f>IF(Rankings!F83&lt;=5,1,0)</f>
        <v>1</v>
      </c>
      <c r="G87" s="16">
        <f>IF(Rankings!G83&lt;=5,1,0)</f>
        <v>0</v>
      </c>
      <c r="H87" s="16">
        <f>IF(Rankings!H83&lt;=5,1,0)</f>
        <v>0</v>
      </c>
      <c r="I87" s="16">
        <f>IF(Rankings!I83&lt;=5,1,0)</f>
        <v>1</v>
      </c>
      <c r="J87" s="16">
        <f>IF(Rankings!J83&lt;=5,1,0)</f>
        <v>1</v>
      </c>
      <c r="K87" s="19">
        <f t="shared" si="8"/>
        <v>5</v>
      </c>
      <c r="L87" s="15">
        <f>SUMPRODUCT(C87:J87,Returns!B91:I91)/K87</f>
        <v>-4.8331396363481473E-2</v>
      </c>
      <c r="M87" s="15">
        <v>0</v>
      </c>
      <c r="N87" s="15">
        <v>0</v>
      </c>
      <c r="O87" s="15">
        <f t="shared" si="9"/>
        <v>-4.8331396363481473E-2</v>
      </c>
      <c r="P87" s="20">
        <f t="shared" si="11"/>
        <v>1.9528807513208446</v>
      </c>
      <c r="Q87" s="20">
        <f>MAX($P$5:P87)</f>
        <v>2.510376991042043</v>
      </c>
      <c r="R87" s="15">
        <f t="shared" si="10"/>
        <v>-0.22207670071489338</v>
      </c>
      <c r="S87" s="15">
        <f>O87-Benchmark_RF!D87</f>
        <v>-6.0104944731708333E-2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IF(Rankings!C83&lt;=5,1,0)</f>
        <v>1</v>
      </c>
      <c r="D88" s="16">
        <f>IF(Rankings!D83&lt;=5,1,0)</f>
        <v>1</v>
      </c>
      <c r="E88" s="16">
        <f>IF(Rankings!E83&lt;=5,1,0)</f>
        <v>0</v>
      </c>
      <c r="F88" s="16">
        <f>IF(Rankings!F83&lt;=5,1,0)</f>
        <v>1</v>
      </c>
      <c r="G88" s="16">
        <f>IF(Rankings!G83&lt;=5,1,0)</f>
        <v>0</v>
      </c>
      <c r="H88" s="16">
        <f>IF(Rankings!H83&lt;=5,1,0)</f>
        <v>0</v>
      </c>
      <c r="I88" s="16">
        <f>IF(Rankings!I83&lt;=5,1,0)</f>
        <v>1</v>
      </c>
      <c r="J88" s="16">
        <f>IF(Rankings!J83&lt;=5,1,0)</f>
        <v>1</v>
      </c>
      <c r="K88" s="19">
        <f t="shared" si="8"/>
        <v>5</v>
      </c>
      <c r="L88" s="15">
        <f>SUMPRODUCT(C88:J88,Returns!B92:I92)/K88</f>
        <v>3.0213053868518138E-3</v>
      </c>
      <c r="M88" s="15">
        <v>0</v>
      </c>
      <c r="N88" s="15">
        <v>0</v>
      </c>
      <c r="O88" s="15">
        <f t="shared" si="9"/>
        <v>3.0213053868518138E-3</v>
      </c>
      <c r="P88" s="20">
        <f t="shared" si="11"/>
        <v>1.9587810004546893</v>
      </c>
      <c r="Q88" s="20">
        <f>MAX($P$5:P88)</f>
        <v>2.510376991042043</v>
      </c>
      <c r="R88" s="15">
        <f t="shared" si="10"/>
        <v>-0.21972635686020581</v>
      </c>
      <c r="S88" s="15">
        <f>O88-Benchmark_RF!D88</f>
        <v>-9.1543257342078695E-3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IF(Rankings!C95&lt;=5,1,0)</f>
        <v>1</v>
      </c>
      <c r="D89" s="16">
        <f>IF(Rankings!D95&lt;=5,1,0)</f>
        <v>1</v>
      </c>
      <c r="E89" s="16">
        <f>IF(Rankings!E95&lt;=5,1,0)</f>
        <v>0</v>
      </c>
      <c r="F89" s="16">
        <f>IF(Rankings!F95&lt;=5,1,0)</f>
        <v>0</v>
      </c>
      <c r="G89" s="16">
        <f>IF(Rankings!G95&lt;=5,1,0)</f>
        <v>1</v>
      </c>
      <c r="H89" s="16">
        <f>IF(Rankings!H95&lt;=5,1,0)</f>
        <v>0</v>
      </c>
      <c r="I89" s="16">
        <f>IF(Rankings!I95&lt;=5,1,0)</f>
        <v>1</v>
      </c>
      <c r="J89" s="16">
        <f>IF(Rankings!J95&lt;=5,1,0)</f>
        <v>1</v>
      </c>
      <c r="K89" s="19">
        <f t="shared" si="8"/>
        <v>5</v>
      </c>
      <c r="L89" s="15">
        <f>SUMPRODUCT(C89:J89,Returns!B93:I93)/K89</f>
        <v>9.6626563566317603E-2</v>
      </c>
      <c r="M89" s="15">
        <f>-2*Assumptions!$B$13</f>
        <v>-7.0000000000000001E-3</v>
      </c>
      <c r="N89" s="15">
        <f>-Assumptions!$B$16*MAX(0,(1+O77)*(1+O78)*(1+O79)*(1+O80)*(1+O81)*(1+O82)*(1+O83)*(1+O84)*(1+O85)*(1+O86)*(1+O87)*(1+O88)-1)</f>
        <v>0</v>
      </c>
      <c r="O89" s="15">
        <f t="shared" si="9"/>
        <v>8.9626563566317596E-2</v>
      </c>
      <c r="P89" s="20">
        <f t="shared" si="11"/>
        <v>2.1343398103044366</v>
      </c>
      <c r="Q89" s="20">
        <f>MAX($P$5:P89)</f>
        <v>2.510376991042043</v>
      </c>
      <c r="R89" s="15">
        <f t="shared" si="10"/>
        <v>-0.14979311158421493</v>
      </c>
      <c r="S89" s="15">
        <f>O89-Benchmark_RF!D89</f>
        <v>7.7378014903152659E-2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IF(Rankings!C95&lt;=5,1,0)</f>
        <v>1</v>
      </c>
      <c r="D90" s="16">
        <f>IF(Rankings!D95&lt;=5,1,0)</f>
        <v>1</v>
      </c>
      <c r="E90" s="16">
        <f>IF(Rankings!E95&lt;=5,1,0)</f>
        <v>0</v>
      </c>
      <c r="F90" s="16">
        <f>IF(Rankings!F95&lt;=5,1,0)</f>
        <v>0</v>
      </c>
      <c r="G90" s="16">
        <f>IF(Rankings!G95&lt;=5,1,0)</f>
        <v>1</v>
      </c>
      <c r="H90" s="16">
        <f>IF(Rankings!H95&lt;=5,1,0)</f>
        <v>0</v>
      </c>
      <c r="I90" s="16">
        <f>IF(Rankings!I95&lt;=5,1,0)</f>
        <v>1</v>
      </c>
      <c r="J90" s="16">
        <f>IF(Rankings!J95&lt;=5,1,0)</f>
        <v>1</v>
      </c>
      <c r="K90" s="19">
        <f t="shared" si="8"/>
        <v>5</v>
      </c>
      <c r="L90" s="15">
        <f>SUMPRODUCT(C90:J90,Returns!B94:I94)/K90</f>
        <v>-7.511250485086067E-2</v>
      </c>
      <c r="M90" s="15">
        <v>0</v>
      </c>
      <c r="N90" s="15">
        <v>0</v>
      </c>
      <c r="O90" s="15">
        <f t="shared" si="9"/>
        <v>-7.511250485086067E-2</v>
      </c>
      <c r="P90" s="20">
        <f t="shared" si="11"/>
        <v>1.9740242009495597</v>
      </c>
      <c r="Q90" s="20">
        <f>MAX($P$5:P90)</f>
        <v>2.510376991042043</v>
      </c>
      <c r="R90" s="15">
        <f t="shared" si="10"/>
        <v>-0.21365428061458069</v>
      </c>
      <c r="S90" s="15">
        <f>O90-Benchmark_RF!D90</f>
        <v>-8.7535820245414328E-2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IF(Rankings!C95&lt;=5,1,0)</f>
        <v>1</v>
      </c>
      <c r="D91" s="16">
        <f>IF(Rankings!D95&lt;=5,1,0)</f>
        <v>1</v>
      </c>
      <c r="E91" s="16">
        <f>IF(Rankings!E95&lt;=5,1,0)</f>
        <v>0</v>
      </c>
      <c r="F91" s="16">
        <f>IF(Rankings!F95&lt;=5,1,0)</f>
        <v>0</v>
      </c>
      <c r="G91" s="16">
        <f>IF(Rankings!G95&lt;=5,1,0)</f>
        <v>1</v>
      </c>
      <c r="H91" s="16">
        <f>IF(Rankings!H95&lt;=5,1,0)</f>
        <v>0</v>
      </c>
      <c r="I91" s="16">
        <f>IF(Rankings!I95&lt;=5,1,0)</f>
        <v>1</v>
      </c>
      <c r="J91" s="16">
        <f>IF(Rankings!J95&lt;=5,1,0)</f>
        <v>1</v>
      </c>
      <c r="K91" s="19">
        <f t="shared" si="8"/>
        <v>5</v>
      </c>
      <c r="L91" s="15">
        <f>SUMPRODUCT(C91:J91,Returns!B95:I95)/K91</f>
        <v>-3.8979211932634317E-2</v>
      </c>
      <c r="M91" s="15">
        <v>0</v>
      </c>
      <c r="N91" s="15">
        <v>0</v>
      </c>
      <c r="O91" s="15">
        <f t="shared" si="9"/>
        <v>-3.8979211932634317E-2</v>
      </c>
      <c r="P91" s="20">
        <f t="shared" si="11"/>
        <v>1.8970782932605976</v>
      </c>
      <c r="Q91" s="20">
        <f>MAX($P$5:P91)</f>
        <v>2.510376991042043</v>
      </c>
      <c r="R91" s="15">
        <f t="shared" si="10"/>
        <v>-0.24430541706282471</v>
      </c>
      <c r="S91" s="15">
        <f>O91-Benchmark_RF!D91</f>
        <v>-5.118401700464148E-2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IF(Rankings!C95&lt;=5,1,0)</f>
        <v>1</v>
      </c>
      <c r="D92" s="16">
        <f>IF(Rankings!D95&lt;=5,1,0)</f>
        <v>1</v>
      </c>
      <c r="E92" s="16">
        <f>IF(Rankings!E95&lt;=5,1,0)</f>
        <v>0</v>
      </c>
      <c r="F92" s="16">
        <f>IF(Rankings!F95&lt;=5,1,0)</f>
        <v>0</v>
      </c>
      <c r="G92" s="16">
        <f>IF(Rankings!G95&lt;=5,1,0)</f>
        <v>1</v>
      </c>
      <c r="H92" s="16">
        <f>IF(Rankings!H95&lt;=5,1,0)</f>
        <v>0</v>
      </c>
      <c r="I92" s="16">
        <f>IF(Rankings!I95&lt;=5,1,0)</f>
        <v>1</v>
      </c>
      <c r="J92" s="16">
        <f>IF(Rankings!J95&lt;=5,1,0)</f>
        <v>1</v>
      </c>
      <c r="K92" s="19">
        <f t="shared" si="8"/>
        <v>5</v>
      </c>
      <c r="L92" s="15">
        <f>SUMPRODUCT(C92:J92,Returns!B96:I96)/K92</f>
        <v>3.4229945154701638E-2</v>
      </c>
      <c r="M92" s="15">
        <v>0</v>
      </c>
      <c r="N92" s="15">
        <v>0</v>
      </c>
      <c r="O92" s="15">
        <f t="shared" si="9"/>
        <v>3.4229945154701638E-2</v>
      </c>
      <c r="P92" s="20">
        <f t="shared" si="11"/>
        <v>1.9620151791930829</v>
      </c>
      <c r="Q92" s="20">
        <f>MAX($P$5:P92)</f>
        <v>2.510376991042043</v>
      </c>
      <c r="R92" s="15">
        <f t="shared" si="10"/>
        <v>-0.21843803293518016</v>
      </c>
      <c r="S92" s="15">
        <f>O92-Benchmark_RF!D92</f>
        <v>2.1146970450569749E-2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IF(Rankings!C95&lt;=5,1,0)</f>
        <v>1</v>
      </c>
      <c r="D93" s="16">
        <f>IF(Rankings!D95&lt;=5,1,0)</f>
        <v>1</v>
      </c>
      <c r="E93" s="16">
        <f>IF(Rankings!E95&lt;=5,1,0)</f>
        <v>0</v>
      </c>
      <c r="F93" s="16">
        <f>IF(Rankings!F95&lt;=5,1,0)</f>
        <v>0</v>
      </c>
      <c r="G93" s="16">
        <f>IF(Rankings!G95&lt;=5,1,0)</f>
        <v>1</v>
      </c>
      <c r="H93" s="16">
        <f>IF(Rankings!H95&lt;=5,1,0)</f>
        <v>0</v>
      </c>
      <c r="I93" s="16">
        <f>IF(Rankings!I95&lt;=5,1,0)</f>
        <v>1</v>
      </c>
      <c r="J93" s="16">
        <f>IF(Rankings!J95&lt;=5,1,0)</f>
        <v>1</v>
      </c>
      <c r="K93" s="19">
        <f t="shared" si="8"/>
        <v>5</v>
      </c>
      <c r="L93" s="15">
        <f>SUMPRODUCT(C93:J93,Returns!B97:I97)/K93</f>
        <v>-5.5764522327888463E-2</v>
      </c>
      <c r="M93" s="15">
        <v>0</v>
      </c>
      <c r="N93" s="15">
        <v>0</v>
      </c>
      <c r="O93" s="15">
        <f t="shared" si="9"/>
        <v>-5.5764522327888463E-2</v>
      </c>
      <c r="P93" s="20">
        <f t="shared" si="11"/>
        <v>1.8526043399253143</v>
      </c>
      <c r="Q93" s="20">
        <f>MAX($P$5:P93)</f>
        <v>2.510376991042043</v>
      </c>
      <c r="R93" s="15">
        <f t="shared" si="10"/>
        <v>-0.2620214626981946</v>
      </c>
      <c r="S93" s="15">
        <f>O93-Benchmark_RF!D93</f>
        <v>-6.8905263704234485E-2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IF(Rankings!C95&lt;=5,1,0)</f>
        <v>1</v>
      </c>
      <c r="D94" s="16">
        <f>IF(Rankings!D95&lt;=5,1,0)</f>
        <v>1</v>
      </c>
      <c r="E94" s="16">
        <f>IF(Rankings!E95&lt;=5,1,0)</f>
        <v>0</v>
      </c>
      <c r="F94" s="16">
        <f>IF(Rankings!F95&lt;=5,1,0)</f>
        <v>0</v>
      </c>
      <c r="G94" s="16">
        <f>IF(Rankings!G95&lt;=5,1,0)</f>
        <v>1</v>
      </c>
      <c r="H94" s="16">
        <f>IF(Rankings!H95&lt;=5,1,0)</f>
        <v>0</v>
      </c>
      <c r="I94" s="16">
        <f>IF(Rankings!I95&lt;=5,1,0)</f>
        <v>1</v>
      </c>
      <c r="J94" s="16">
        <f>IF(Rankings!J95&lt;=5,1,0)</f>
        <v>1</v>
      </c>
      <c r="K94" s="19">
        <f t="shared" si="8"/>
        <v>5</v>
      </c>
      <c r="L94" s="15">
        <f>SUMPRODUCT(C94:J94,Returns!B98:I98)/K94</f>
        <v>-1.8423882181520711E-2</v>
      </c>
      <c r="M94" s="15">
        <v>0</v>
      </c>
      <c r="N94" s="15">
        <v>0</v>
      </c>
      <c r="O94" s="15">
        <f t="shared" si="9"/>
        <v>-1.8423882181520711E-2</v>
      </c>
      <c r="P94" s="20">
        <f t="shared" si="11"/>
        <v>1.8184721758375564</v>
      </c>
      <c r="Q94" s="20">
        <f>MAX($P$5:P94)</f>
        <v>2.510376991042043</v>
      </c>
      <c r="R94" s="15">
        <f t="shared" si="10"/>
        <v>-0.27561789232193401</v>
      </c>
      <c r="S94" s="15">
        <f>O94-Benchmark_RF!D94</f>
        <v>-3.218333820985033E-2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IF(Rankings!C95&lt;=5,1,0)</f>
        <v>1</v>
      </c>
      <c r="D95" s="16">
        <f>IF(Rankings!D95&lt;=5,1,0)</f>
        <v>1</v>
      </c>
      <c r="E95" s="16">
        <f>IF(Rankings!E95&lt;=5,1,0)</f>
        <v>0</v>
      </c>
      <c r="F95" s="16">
        <f>IF(Rankings!F95&lt;=5,1,0)</f>
        <v>0</v>
      </c>
      <c r="G95" s="16">
        <f>IF(Rankings!G95&lt;=5,1,0)</f>
        <v>1</v>
      </c>
      <c r="H95" s="16">
        <f>IF(Rankings!H95&lt;=5,1,0)</f>
        <v>0</v>
      </c>
      <c r="I95" s="16">
        <f>IF(Rankings!I95&lt;=5,1,0)</f>
        <v>1</v>
      </c>
      <c r="J95" s="16">
        <f>IF(Rankings!J95&lt;=5,1,0)</f>
        <v>1</v>
      </c>
      <c r="K95" s="19">
        <f t="shared" si="8"/>
        <v>5</v>
      </c>
      <c r="L95" s="15">
        <f>SUMPRODUCT(C95:J95,Returns!B99:I99)/K95</f>
        <v>7.2749457732368406E-4</v>
      </c>
      <c r="M95" s="15">
        <v>0</v>
      </c>
      <c r="N95" s="15">
        <v>0</v>
      </c>
      <c r="O95" s="15">
        <f t="shared" si="9"/>
        <v>7.2749457732368406E-4</v>
      </c>
      <c r="P95" s="20">
        <f t="shared" si="11"/>
        <v>1.8197951044844922</v>
      </c>
      <c r="Q95" s="20">
        <f>MAX($P$5:P95)</f>
        <v>2.510376991042043</v>
      </c>
      <c r="R95" s="15">
        <f t="shared" si="10"/>
        <v>-0.27509090826668792</v>
      </c>
      <c r="S95" s="15">
        <f>O95-Benchmark_RF!D95</f>
        <v>-1.4065829725464774E-2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IF(Rankings!C95&lt;=5,1,0)</f>
        <v>1</v>
      </c>
      <c r="D96" s="16">
        <f>IF(Rankings!D95&lt;=5,1,0)</f>
        <v>1</v>
      </c>
      <c r="E96" s="16">
        <f>IF(Rankings!E95&lt;=5,1,0)</f>
        <v>0</v>
      </c>
      <c r="F96" s="16">
        <f>IF(Rankings!F95&lt;=5,1,0)</f>
        <v>0</v>
      </c>
      <c r="G96" s="16">
        <f>IF(Rankings!G95&lt;=5,1,0)</f>
        <v>1</v>
      </c>
      <c r="H96" s="16">
        <f>IF(Rankings!H95&lt;=5,1,0)</f>
        <v>0</v>
      </c>
      <c r="I96" s="16">
        <f>IF(Rankings!I95&lt;=5,1,0)</f>
        <v>1</v>
      </c>
      <c r="J96" s="16">
        <f>IF(Rankings!J95&lt;=5,1,0)</f>
        <v>1</v>
      </c>
      <c r="K96" s="19">
        <f t="shared" si="8"/>
        <v>5</v>
      </c>
      <c r="L96" s="15">
        <f>SUMPRODUCT(C96:J96,Returns!B100:I100)/K96</f>
        <v>-1.6734108222222054E-2</v>
      </c>
      <c r="M96" s="15">
        <v>0</v>
      </c>
      <c r="N96" s="15">
        <v>0</v>
      </c>
      <c r="O96" s="15">
        <f t="shared" si="9"/>
        <v>-1.6734108222222054E-2</v>
      </c>
      <c r="P96" s="20">
        <f t="shared" si="11"/>
        <v>1.7893424562637787</v>
      </c>
      <c r="Q96" s="20">
        <f>MAX($P$5:P96)</f>
        <v>2.510376991042043</v>
      </c>
      <c r="R96" s="15">
        <f t="shared" si="10"/>
        <v>-0.28722161545902591</v>
      </c>
      <c r="S96" s="15">
        <f>O96-Benchmark_RF!D96</f>
        <v>-3.2787950418299919E-2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IF(Rankings!C95&lt;=5,1,0)</f>
        <v>1</v>
      </c>
      <c r="D97" s="16">
        <f>IF(Rankings!D95&lt;=5,1,0)</f>
        <v>1</v>
      </c>
      <c r="E97" s="16">
        <f>IF(Rankings!E95&lt;=5,1,0)</f>
        <v>0</v>
      </c>
      <c r="F97" s="16">
        <f>IF(Rankings!F95&lt;=5,1,0)</f>
        <v>0</v>
      </c>
      <c r="G97" s="16">
        <f>IF(Rankings!G95&lt;=5,1,0)</f>
        <v>1</v>
      </c>
      <c r="H97" s="16">
        <f>IF(Rankings!H95&lt;=5,1,0)</f>
        <v>0</v>
      </c>
      <c r="I97" s="16">
        <f>IF(Rankings!I95&lt;=5,1,0)</f>
        <v>1</v>
      </c>
      <c r="J97" s="16">
        <f>IF(Rankings!J95&lt;=5,1,0)</f>
        <v>1</v>
      </c>
      <c r="K97" s="19">
        <f t="shared" si="8"/>
        <v>5</v>
      </c>
      <c r="L97" s="15">
        <f>SUMPRODUCT(C97:J97,Returns!B101:I101)/K97</f>
        <v>6.0080635927079594E-2</v>
      </c>
      <c r="M97" s="15">
        <v>0</v>
      </c>
      <c r="N97" s="15">
        <v>0</v>
      </c>
      <c r="O97" s="15">
        <f t="shared" si="9"/>
        <v>6.0080635927079594E-2</v>
      </c>
      <c r="P97" s="20">
        <f t="shared" si="11"/>
        <v>1.896847288927429</v>
      </c>
      <c r="Q97" s="20">
        <f>MAX($P$5:P97)</f>
        <v>2.510376991042043</v>
      </c>
      <c r="R97" s="15">
        <f t="shared" si="10"/>
        <v>-0.24439743684072779</v>
      </c>
      <c r="S97" s="15">
        <f>O97-Benchmark_RF!D97</f>
        <v>4.3385562564387768E-2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IF(Rankings!C95&lt;=5,1,0)</f>
        <v>1</v>
      </c>
      <c r="D98" s="16">
        <f>IF(Rankings!D95&lt;=5,1,0)</f>
        <v>1</v>
      </c>
      <c r="E98" s="16">
        <f>IF(Rankings!E95&lt;=5,1,0)</f>
        <v>0</v>
      </c>
      <c r="F98" s="16">
        <f>IF(Rankings!F95&lt;=5,1,0)</f>
        <v>0</v>
      </c>
      <c r="G98" s="16">
        <f>IF(Rankings!G95&lt;=5,1,0)</f>
        <v>1</v>
      </c>
      <c r="H98" s="16">
        <f>IF(Rankings!H95&lt;=5,1,0)</f>
        <v>0</v>
      </c>
      <c r="I98" s="16">
        <f>IF(Rankings!I95&lt;=5,1,0)</f>
        <v>1</v>
      </c>
      <c r="J98" s="16">
        <f>IF(Rankings!J95&lt;=5,1,0)</f>
        <v>1</v>
      </c>
      <c r="K98" s="19">
        <f t="shared" si="8"/>
        <v>5</v>
      </c>
      <c r="L98" s="15">
        <f>SUMPRODUCT(C98:J98,Returns!B102:I102)/K98</f>
        <v>-1.4374650439914548E-2</v>
      </c>
      <c r="M98" s="15">
        <v>0</v>
      </c>
      <c r="N98" s="15">
        <v>0</v>
      </c>
      <c r="O98" s="15">
        <f t="shared" si="9"/>
        <v>-1.4374650439914548E-2</v>
      </c>
      <c r="P98" s="20">
        <f t="shared" si="11"/>
        <v>1.8695807722111977</v>
      </c>
      <c r="Q98" s="20">
        <f>MAX($P$5:P98)</f>
        <v>2.510376991042043</v>
      </c>
      <c r="R98" s="15">
        <f t="shared" si="10"/>
        <v>-0.25525895955764577</v>
      </c>
      <c r="S98" s="15">
        <f>O98-Benchmark_RF!D98</f>
        <v>-3.1069723802606374E-2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IF(Rankings!C95&lt;=5,1,0)</f>
        <v>1</v>
      </c>
      <c r="D99" s="16">
        <f>IF(Rankings!D95&lt;=5,1,0)</f>
        <v>1</v>
      </c>
      <c r="E99" s="16">
        <f>IF(Rankings!E95&lt;=5,1,0)</f>
        <v>0</v>
      </c>
      <c r="F99" s="16">
        <f>IF(Rankings!F95&lt;=5,1,0)</f>
        <v>0</v>
      </c>
      <c r="G99" s="16">
        <f>IF(Rankings!G95&lt;=5,1,0)</f>
        <v>1</v>
      </c>
      <c r="H99" s="16">
        <f>IF(Rankings!H95&lt;=5,1,0)</f>
        <v>0</v>
      </c>
      <c r="I99" s="16">
        <f>IF(Rankings!I95&lt;=5,1,0)</f>
        <v>1</v>
      </c>
      <c r="J99" s="16">
        <f>IF(Rankings!J95&lt;=5,1,0)</f>
        <v>1</v>
      </c>
      <c r="K99" s="19">
        <f t="shared" si="8"/>
        <v>5</v>
      </c>
      <c r="L99" s="15">
        <f>SUMPRODUCT(C99:J99,Returns!B103:I103)/K99</f>
        <v>8.4509253817282911E-3</v>
      </c>
      <c r="M99" s="15">
        <v>0</v>
      </c>
      <c r="N99" s="15">
        <v>0</v>
      </c>
      <c r="O99" s="15">
        <f t="shared" si="9"/>
        <v>8.4509253817282911E-3</v>
      </c>
      <c r="P99" s="20">
        <f t="shared" si="11"/>
        <v>1.8853804598122683</v>
      </c>
      <c r="Q99" s="20">
        <f>MAX($P$5:P99)</f>
        <v>2.510376991042043</v>
      </c>
      <c r="R99" s="15">
        <f t="shared" si="10"/>
        <v>-0.24896520859615678</v>
      </c>
      <c r="S99" s="15">
        <f>O99-Benchmark_RF!D99</f>
        <v>-8.2510934971246289E-3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IF(Rankings!C95&lt;=5,1,0)</f>
        <v>1</v>
      </c>
      <c r="D100" s="16">
        <f>IF(Rankings!D95&lt;=5,1,0)</f>
        <v>1</v>
      </c>
      <c r="E100" s="16">
        <f>IF(Rankings!E95&lt;=5,1,0)</f>
        <v>0</v>
      </c>
      <c r="F100" s="16">
        <f>IF(Rankings!F95&lt;=5,1,0)</f>
        <v>0</v>
      </c>
      <c r="G100" s="16">
        <f>IF(Rankings!G95&lt;=5,1,0)</f>
        <v>1</v>
      </c>
      <c r="H100" s="16">
        <f>IF(Rankings!H95&lt;=5,1,0)</f>
        <v>0</v>
      </c>
      <c r="I100" s="16">
        <f>IF(Rankings!I95&lt;=5,1,0)</f>
        <v>1</v>
      </c>
      <c r="J100" s="16">
        <f>IF(Rankings!J95&lt;=5,1,0)</f>
        <v>1</v>
      </c>
      <c r="K100" s="19">
        <f t="shared" si="8"/>
        <v>5</v>
      </c>
      <c r="L100" s="15">
        <f>SUMPRODUCT(C100:J100,Returns!B104:I104)/K100</f>
        <v>0.26936547420110613</v>
      </c>
      <c r="M100" s="15">
        <v>0</v>
      </c>
      <c r="N100" s="15">
        <v>0</v>
      </c>
      <c r="O100" s="15">
        <f t="shared" si="9"/>
        <v>0.26936547420110613</v>
      </c>
      <c r="P100" s="20">
        <f t="shared" si="11"/>
        <v>2.3932368614190991</v>
      </c>
      <c r="Q100" s="20">
        <f>MAX($P$5:P100)</f>
        <v>2.510376991042043</v>
      </c>
      <c r="R100" s="15">
        <f t="shared" si="10"/>
        <v>-4.6662365868131883E-2</v>
      </c>
      <c r="S100" s="15">
        <f>O100-Benchmark_RF!D100</f>
        <v>0.25203538124731184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IF(Rankings!C107&lt;=5,1,0)</f>
        <v>1</v>
      </c>
      <c r="D101" s="16">
        <f>IF(Rankings!D107&lt;=5,1,0)</f>
        <v>0</v>
      </c>
      <c r="E101" s="16">
        <f>IF(Rankings!E107&lt;=5,1,0)</f>
        <v>1</v>
      </c>
      <c r="F101" s="16">
        <f>IF(Rankings!F107&lt;=5,1,0)</f>
        <v>1</v>
      </c>
      <c r="G101" s="16">
        <f>IF(Rankings!G107&lt;=5,1,0)</f>
        <v>0</v>
      </c>
      <c r="H101" s="16">
        <f>IF(Rankings!H107&lt;=5,1,0)</f>
        <v>1</v>
      </c>
      <c r="I101" s="16">
        <f>IF(Rankings!I107&lt;=5,1,0)</f>
        <v>0</v>
      </c>
      <c r="J101" s="16">
        <f>IF(Rankings!J107&lt;=5,1,0)</f>
        <v>1</v>
      </c>
      <c r="K101" s="19">
        <f t="shared" ref="K101:K132" si="12">SUM(C101:J101)</f>
        <v>5</v>
      </c>
      <c r="L101" s="15">
        <f>SUMPRODUCT(C101:J101,Returns!B105:I105)/K101</f>
        <v>-5.2482404056168087E-2</v>
      </c>
      <c r="M101" s="15">
        <f>-2*Assumptions!$B$13</f>
        <v>-7.0000000000000001E-3</v>
      </c>
      <c r="N101" s="15">
        <f>-Assumptions!$B$16*MAX(0,(1+O89)*(1+O90)*(1+O91)*(1+O92)*(1+O93)*(1+O94)*(1+O95)*(1+O96)*(1+O97)*(1+O98)*(1+O99)*(1+O100)-1)</f>
        <v>-3.3269864844275118E-2</v>
      </c>
      <c r="O101" s="15">
        <f t="shared" ref="O101:O132" si="13">L101+M101+N101</f>
        <v>-9.2752268900443205E-2</v>
      </c>
      <c r="P101" s="20">
        <f t="shared" si="11"/>
        <v>2.1712587125063023</v>
      </c>
      <c r="Q101" s="20">
        <f>MAX($P$5:P101)</f>
        <v>2.510376991042043</v>
      </c>
      <c r="R101" s="15">
        <f t="shared" ref="R101:R132" si="14">P101/Q101-1</f>
        <v>-0.13508659446204319</v>
      </c>
      <c r="S101" s="15">
        <f>O101-Benchmark_RF!D101</f>
        <v>-0.11006345876016767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IF(Rankings!C107&lt;=5,1,0)</f>
        <v>1</v>
      </c>
      <c r="D102" s="16">
        <f>IF(Rankings!D107&lt;=5,1,0)</f>
        <v>0</v>
      </c>
      <c r="E102" s="16">
        <f>IF(Rankings!E107&lt;=5,1,0)</f>
        <v>1</v>
      </c>
      <c r="F102" s="16">
        <f>IF(Rankings!F107&lt;=5,1,0)</f>
        <v>1</v>
      </c>
      <c r="G102" s="16">
        <f>IF(Rankings!G107&lt;=5,1,0)</f>
        <v>0</v>
      </c>
      <c r="H102" s="16">
        <f>IF(Rankings!H107&lt;=5,1,0)</f>
        <v>1</v>
      </c>
      <c r="I102" s="16">
        <f>IF(Rankings!I107&lt;=5,1,0)</f>
        <v>0</v>
      </c>
      <c r="J102" s="16">
        <f>IF(Rankings!J107&lt;=5,1,0)</f>
        <v>1</v>
      </c>
      <c r="K102" s="19">
        <f t="shared" si="12"/>
        <v>5</v>
      </c>
      <c r="L102" s="15">
        <f>SUMPRODUCT(C102:J102,Returns!B106:I106)/K102</f>
        <v>-5.9248804294029789E-3</v>
      </c>
      <c r="M102" s="15">
        <v>0</v>
      </c>
      <c r="N102" s="15">
        <v>0</v>
      </c>
      <c r="O102" s="15">
        <f t="shared" si="13"/>
        <v>-5.9248804294029789E-3</v>
      </c>
      <c r="P102" s="20">
        <f t="shared" ref="P102:P133" si="15">P101*(1+O102)</f>
        <v>2.1583942642534031</v>
      </c>
      <c r="Q102" s="20">
        <f>MAX($P$5:P102)</f>
        <v>2.510376991042043</v>
      </c>
      <c r="R102" s="15">
        <f t="shared" si="14"/>
        <v>-0.1402111029716433</v>
      </c>
      <c r="S102" s="15">
        <f>O102-Benchmark_RF!D102</f>
        <v>-2.3157657093666684E-2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IF(Rankings!C107&lt;=5,1,0)</f>
        <v>1</v>
      </c>
      <c r="D103" s="16">
        <f>IF(Rankings!D107&lt;=5,1,0)</f>
        <v>0</v>
      </c>
      <c r="E103" s="16">
        <f>IF(Rankings!E107&lt;=5,1,0)</f>
        <v>1</v>
      </c>
      <c r="F103" s="16">
        <f>IF(Rankings!F107&lt;=5,1,0)</f>
        <v>1</v>
      </c>
      <c r="G103" s="16">
        <f>IF(Rankings!G107&lt;=5,1,0)</f>
        <v>0</v>
      </c>
      <c r="H103" s="16">
        <f>IF(Rankings!H107&lt;=5,1,0)</f>
        <v>1</v>
      </c>
      <c r="I103" s="16">
        <f>IF(Rankings!I107&lt;=5,1,0)</f>
        <v>0</v>
      </c>
      <c r="J103" s="16">
        <f>IF(Rankings!J107&lt;=5,1,0)</f>
        <v>1</v>
      </c>
      <c r="K103" s="19">
        <f t="shared" si="12"/>
        <v>5</v>
      </c>
      <c r="L103" s="15">
        <f>SUMPRODUCT(C103:J103,Returns!B107:I107)/K103</f>
        <v>9.6391296841642354E-2</v>
      </c>
      <c r="M103" s="15">
        <v>0</v>
      </c>
      <c r="N103" s="15">
        <v>0</v>
      </c>
      <c r="O103" s="15">
        <f t="shared" si="13"/>
        <v>9.6391296841642354E-2</v>
      </c>
      <c r="P103" s="20">
        <f t="shared" si="15"/>
        <v>2.3664446864803508</v>
      </c>
      <c r="Q103" s="20">
        <f>MAX($P$5:P103)</f>
        <v>2.510376991042043</v>
      </c>
      <c r="R103" s="15">
        <f t="shared" si="14"/>
        <v>-5.7334936177034779E-2</v>
      </c>
      <c r="S103" s="15">
        <f>O103-Benchmark_RF!D103</f>
        <v>7.9585157800783429E-2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IF(Rankings!C107&lt;=5,1,0)</f>
        <v>1</v>
      </c>
      <c r="D104" s="16">
        <f>IF(Rankings!D107&lt;=5,1,0)</f>
        <v>0</v>
      </c>
      <c r="E104" s="16">
        <f>IF(Rankings!E107&lt;=5,1,0)</f>
        <v>1</v>
      </c>
      <c r="F104" s="16">
        <f>IF(Rankings!F107&lt;=5,1,0)</f>
        <v>1</v>
      </c>
      <c r="G104" s="16">
        <f>IF(Rankings!G107&lt;=5,1,0)</f>
        <v>0</v>
      </c>
      <c r="H104" s="16">
        <f>IF(Rankings!H107&lt;=5,1,0)</f>
        <v>1</v>
      </c>
      <c r="I104" s="16">
        <f>IF(Rankings!I107&lt;=5,1,0)</f>
        <v>0</v>
      </c>
      <c r="J104" s="16">
        <f>IF(Rankings!J107&lt;=5,1,0)</f>
        <v>1</v>
      </c>
      <c r="K104" s="19">
        <f t="shared" si="12"/>
        <v>5</v>
      </c>
      <c r="L104" s="15">
        <f>SUMPRODUCT(C104:J104,Returns!B108:I108)/K104</f>
        <v>0.10309878634574057</v>
      </c>
      <c r="M104" s="15">
        <v>0</v>
      </c>
      <c r="N104" s="15">
        <v>0</v>
      </c>
      <c r="O104" s="15">
        <f t="shared" si="13"/>
        <v>0.10309878634574057</v>
      </c>
      <c r="P104" s="20">
        <f t="shared" si="15"/>
        <v>2.6104222616108017</v>
      </c>
      <c r="Q104" s="20">
        <f>MAX($P$5:P104)</f>
        <v>2.6104222616108017</v>
      </c>
      <c r="R104" s="15">
        <f t="shared" si="14"/>
        <v>0</v>
      </c>
      <c r="S104" s="15">
        <f>O104-Benchmark_RF!D104</f>
        <v>8.684931530648346E-2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IF(Rankings!C107&lt;=5,1,0)</f>
        <v>1</v>
      </c>
      <c r="D105" s="16">
        <f>IF(Rankings!D107&lt;=5,1,0)</f>
        <v>0</v>
      </c>
      <c r="E105" s="16">
        <f>IF(Rankings!E107&lt;=5,1,0)</f>
        <v>1</v>
      </c>
      <c r="F105" s="16">
        <f>IF(Rankings!F107&lt;=5,1,0)</f>
        <v>1</v>
      </c>
      <c r="G105" s="16">
        <f>IF(Rankings!G107&lt;=5,1,0)</f>
        <v>0</v>
      </c>
      <c r="H105" s="16">
        <f>IF(Rankings!H107&lt;=5,1,0)</f>
        <v>1</v>
      </c>
      <c r="I105" s="16">
        <f>IF(Rankings!I107&lt;=5,1,0)</f>
        <v>0</v>
      </c>
      <c r="J105" s="16">
        <f>IF(Rankings!J107&lt;=5,1,0)</f>
        <v>1</v>
      </c>
      <c r="K105" s="19">
        <f t="shared" si="12"/>
        <v>5</v>
      </c>
      <c r="L105" s="15">
        <f>SUMPRODUCT(C105:J105,Returns!B109:I109)/K105</f>
        <v>8.074415980341651E-2</v>
      </c>
      <c r="M105" s="15">
        <v>0</v>
      </c>
      <c r="N105" s="15">
        <v>0</v>
      </c>
      <c r="O105" s="15">
        <f t="shared" si="13"/>
        <v>8.074415980341651E-2</v>
      </c>
      <c r="P105" s="20">
        <f t="shared" si="15"/>
        <v>2.8211986138567</v>
      </c>
      <c r="Q105" s="20">
        <f>MAX($P$5:P105)</f>
        <v>2.8211986138567</v>
      </c>
      <c r="R105" s="15">
        <f t="shared" si="14"/>
        <v>0</v>
      </c>
      <c r="S105" s="15">
        <f>O105-Benchmark_RF!D105</f>
        <v>6.4508648522579287E-2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IF(Rankings!C107&lt;=5,1,0)</f>
        <v>1</v>
      </c>
      <c r="D106" s="16">
        <f>IF(Rankings!D107&lt;=5,1,0)</f>
        <v>0</v>
      </c>
      <c r="E106" s="16">
        <f>IF(Rankings!E107&lt;=5,1,0)</f>
        <v>1</v>
      </c>
      <c r="F106" s="16">
        <f>IF(Rankings!F107&lt;=5,1,0)</f>
        <v>1</v>
      </c>
      <c r="G106" s="16">
        <f>IF(Rankings!G107&lt;=5,1,0)</f>
        <v>0</v>
      </c>
      <c r="H106" s="16">
        <f>IF(Rankings!H107&lt;=5,1,0)</f>
        <v>1</v>
      </c>
      <c r="I106" s="16">
        <f>IF(Rankings!I107&lt;=5,1,0)</f>
        <v>0</v>
      </c>
      <c r="J106" s="16">
        <f>IF(Rankings!J107&lt;=5,1,0)</f>
        <v>1</v>
      </c>
      <c r="K106" s="19">
        <f t="shared" si="12"/>
        <v>5</v>
      </c>
      <c r="L106" s="15">
        <f>SUMPRODUCT(C106:J106,Returns!B110:I110)/K106</f>
        <v>8.1805148517194962E-2</v>
      </c>
      <c r="M106" s="15">
        <v>0</v>
      </c>
      <c r="N106" s="15">
        <v>0</v>
      </c>
      <c r="O106" s="15">
        <f t="shared" si="13"/>
        <v>8.1805148517194962E-2</v>
      </c>
      <c r="P106" s="20">
        <f t="shared" si="15"/>
        <v>3.0519871854597516</v>
      </c>
      <c r="Q106" s="20">
        <f>MAX($P$5:P106)</f>
        <v>3.0519871854597516</v>
      </c>
      <c r="R106" s="15">
        <f t="shared" si="14"/>
        <v>0</v>
      </c>
      <c r="S106" s="15">
        <f>O106-Benchmark_RF!D106</f>
        <v>6.5816234828093137E-2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IF(Rankings!C107&lt;=5,1,0)</f>
        <v>1</v>
      </c>
      <c r="D107" s="16">
        <f>IF(Rankings!D107&lt;=5,1,0)</f>
        <v>0</v>
      </c>
      <c r="E107" s="16">
        <f>IF(Rankings!E107&lt;=5,1,0)</f>
        <v>1</v>
      </c>
      <c r="F107" s="16">
        <f>IF(Rankings!F107&lt;=5,1,0)</f>
        <v>1</v>
      </c>
      <c r="G107" s="16">
        <f>IF(Rankings!G107&lt;=5,1,0)</f>
        <v>0</v>
      </c>
      <c r="H107" s="16">
        <f>IF(Rankings!H107&lt;=5,1,0)</f>
        <v>1</v>
      </c>
      <c r="I107" s="16">
        <f>IF(Rankings!I107&lt;=5,1,0)</f>
        <v>0</v>
      </c>
      <c r="J107" s="16">
        <f>IF(Rankings!J107&lt;=5,1,0)</f>
        <v>1</v>
      </c>
      <c r="K107" s="19">
        <f t="shared" si="12"/>
        <v>5</v>
      </c>
      <c r="L107" s="15">
        <f>SUMPRODUCT(C107:J107,Returns!B111:I111)/K107</f>
        <v>6.8179254167817935E-2</v>
      </c>
      <c r="M107" s="15">
        <v>0</v>
      </c>
      <c r="N107" s="15">
        <v>0</v>
      </c>
      <c r="O107" s="15">
        <f t="shared" si="13"/>
        <v>6.8179254167817935E-2</v>
      </c>
      <c r="P107" s="20">
        <f t="shared" si="15"/>
        <v>3.2600693954941353</v>
      </c>
      <c r="Q107" s="20">
        <f>MAX($P$5:P107)</f>
        <v>3.2600693954941353</v>
      </c>
      <c r="R107" s="15">
        <f t="shared" si="14"/>
        <v>0</v>
      </c>
      <c r="S107" s="15">
        <f>O107-Benchmark_RF!D107</f>
        <v>5.1950723557284736E-2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IF(Rankings!C107&lt;=5,1,0)</f>
        <v>1</v>
      </c>
      <c r="D108" s="16">
        <f>IF(Rankings!D107&lt;=5,1,0)</f>
        <v>0</v>
      </c>
      <c r="E108" s="16">
        <f>IF(Rankings!E107&lt;=5,1,0)</f>
        <v>1</v>
      </c>
      <c r="F108" s="16">
        <f>IF(Rankings!F107&lt;=5,1,0)</f>
        <v>1</v>
      </c>
      <c r="G108" s="16">
        <f>IF(Rankings!G107&lt;=5,1,0)</f>
        <v>0</v>
      </c>
      <c r="H108" s="16">
        <f>IF(Rankings!H107&lt;=5,1,0)</f>
        <v>1</v>
      </c>
      <c r="I108" s="16">
        <f>IF(Rankings!I107&lt;=5,1,0)</f>
        <v>0</v>
      </c>
      <c r="J108" s="16">
        <f>IF(Rankings!J107&lt;=5,1,0)</f>
        <v>1</v>
      </c>
      <c r="K108" s="19">
        <f t="shared" si="12"/>
        <v>5</v>
      </c>
      <c r="L108" s="15">
        <f>SUMPRODUCT(C108:J108,Returns!B112:I112)/K108</f>
        <v>2.6211006052440266E-2</v>
      </c>
      <c r="M108" s="15">
        <v>0</v>
      </c>
      <c r="N108" s="15">
        <v>0</v>
      </c>
      <c r="O108" s="15">
        <f t="shared" si="13"/>
        <v>2.6211006052440266E-2</v>
      </c>
      <c r="P108" s="20">
        <f t="shared" si="15"/>
        <v>3.3455190941508075</v>
      </c>
      <c r="Q108" s="20">
        <f>MAX($P$5:P108)</f>
        <v>3.3455190941508075</v>
      </c>
      <c r="R108" s="15">
        <f t="shared" si="14"/>
        <v>0</v>
      </c>
      <c r="S108" s="15">
        <f>O108-Benchmark_RF!D108</f>
        <v>9.8987421899132226E-3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IF(Rankings!C107&lt;=5,1,0)</f>
        <v>1</v>
      </c>
      <c r="D109" s="16">
        <f>IF(Rankings!D107&lt;=5,1,0)</f>
        <v>0</v>
      </c>
      <c r="E109" s="16">
        <f>IF(Rankings!E107&lt;=5,1,0)</f>
        <v>1</v>
      </c>
      <c r="F109" s="16">
        <f>IF(Rankings!F107&lt;=5,1,0)</f>
        <v>1</v>
      </c>
      <c r="G109" s="16">
        <f>IF(Rankings!G107&lt;=5,1,0)</f>
        <v>0</v>
      </c>
      <c r="H109" s="16">
        <f>IF(Rankings!H107&lt;=5,1,0)</f>
        <v>1</v>
      </c>
      <c r="I109" s="16">
        <f>IF(Rankings!I107&lt;=5,1,0)</f>
        <v>0</v>
      </c>
      <c r="J109" s="16">
        <f>IF(Rankings!J107&lt;=5,1,0)</f>
        <v>1</v>
      </c>
      <c r="K109" s="19">
        <f t="shared" si="12"/>
        <v>5</v>
      </c>
      <c r="L109" s="15">
        <f>SUMPRODUCT(C109:J109,Returns!B113:I113)/K109</f>
        <v>8.5042978106889947E-2</v>
      </c>
      <c r="M109" s="15">
        <v>0</v>
      </c>
      <c r="N109" s="15">
        <v>0</v>
      </c>
      <c r="O109" s="15">
        <f t="shared" si="13"/>
        <v>8.5042978106889947E-2</v>
      </c>
      <c r="P109" s="20">
        <f t="shared" si="15"/>
        <v>3.6300320012308571</v>
      </c>
      <c r="Q109" s="20">
        <f>MAX($P$5:P109)</f>
        <v>3.6300320012308571</v>
      </c>
      <c r="R109" s="15">
        <f t="shared" si="14"/>
        <v>0</v>
      </c>
      <c r="S109" s="15">
        <f>O109-Benchmark_RF!D109</f>
        <v>6.8619187821527164E-2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IF(Rankings!C107&lt;=5,1,0)</f>
        <v>1</v>
      </c>
      <c r="D110" s="16">
        <f>IF(Rankings!D107&lt;=5,1,0)</f>
        <v>0</v>
      </c>
      <c r="E110" s="16">
        <f>IF(Rankings!E107&lt;=5,1,0)</f>
        <v>1</v>
      </c>
      <c r="F110" s="16">
        <f>IF(Rankings!F107&lt;=5,1,0)</f>
        <v>1</v>
      </c>
      <c r="G110" s="16">
        <f>IF(Rankings!G107&lt;=5,1,0)</f>
        <v>0</v>
      </c>
      <c r="H110" s="16">
        <f>IF(Rankings!H107&lt;=5,1,0)</f>
        <v>1</v>
      </c>
      <c r="I110" s="16">
        <f>IF(Rankings!I107&lt;=5,1,0)</f>
        <v>0</v>
      </c>
      <c r="J110" s="16">
        <f>IF(Rankings!J107&lt;=5,1,0)</f>
        <v>1</v>
      </c>
      <c r="K110" s="19">
        <f t="shared" si="12"/>
        <v>5</v>
      </c>
      <c r="L110" s="15">
        <f>SUMPRODUCT(C110:J110,Returns!B114:I114)/K110</f>
        <v>1.0850304516755171E-3</v>
      </c>
      <c r="M110" s="15">
        <v>0</v>
      </c>
      <c r="N110" s="15">
        <v>0</v>
      </c>
      <c r="O110" s="15">
        <f t="shared" si="13"/>
        <v>1.0850304516755171E-3</v>
      </c>
      <c r="P110" s="20">
        <f t="shared" si="15"/>
        <v>3.6339706964927498</v>
      </c>
      <c r="Q110" s="20">
        <f>MAX($P$5:P110)</f>
        <v>3.6339706964927498</v>
      </c>
      <c r="R110" s="15">
        <f t="shared" si="14"/>
        <v>0</v>
      </c>
      <c r="S110" s="15">
        <f>O110-Benchmark_RF!D110</f>
        <v>-1.4884843815400228E-2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IF(Rankings!C107&lt;=5,1,0)</f>
        <v>1</v>
      </c>
      <c r="D111" s="16">
        <f>IF(Rankings!D107&lt;=5,1,0)</f>
        <v>0</v>
      </c>
      <c r="E111" s="16">
        <f>IF(Rankings!E107&lt;=5,1,0)</f>
        <v>1</v>
      </c>
      <c r="F111" s="16">
        <f>IF(Rankings!F107&lt;=5,1,0)</f>
        <v>1</v>
      </c>
      <c r="G111" s="16">
        <f>IF(Rankings!G107&lt;=5,1,0)</f>
        <v>0</v>
      </c>
      <c r="H111" s="16">
        <f>IF(Rankings!H107&lt;=5,1,0)</f>
        <v>1</v>
      </c>
      <c r="I111" s="16">
        <f>IF(Rankings!I107&lt;=5,1,0)</f>
        <v>0</v>
      </c>
      <c r="J111" s="16">
        <f>IF(Rankings!J107&lt;=5,1,0)</f>
        <v>1</v>
      </c>
      <c r="K111" s="19">
        <f t="shared" si="12"/>
        <v>5</v>
      </c>
      <c r="L111" s="15">
        <f>SUMPRODUCT(C111:J111,Returns!B115:I115)/K111</f>
        <v>5.2577308203376825E-2</v>
      </c>
      <c r="M111" s="15">
        <v>0</v>
      </c>
      <c r="N111" s="15">
        <v>0</v>
      </c>
      <c r="O111" s="15">
        <f t="shared" si="13"/>
        <v>5.2577308203376825E-2</v>
      </c>
      <c r="P111" s="20">
        <f t="shared" si="15"/>
        <v>3.8250350938042894</v>
      </c>
      <c r="Q111" s="20">
        <f>MAX($P$5:P111)</f>
        <v>3.8250350938042894</v>
      </c>
      <c r="R111" s="15">
        <f t="shared" si="14"/>
        <v>0</v>
      </c>
      <c r="S111" s="15">
        <f>O111-Benchmark_RF!D111</f>
        <v>3.7257614667497795E-2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IF(Rankings!C107&lt;=5,1,0)</f>
        <v>1</v>
      </c>
      <c r="D112" s="16">
        <f>IF(Rankings!D107&lt;=5,1,0)</f>
        <v>0</v>
      </c>
      <c r="E112" s="16">
        <f>IF(Rankings!E107&lt;=5,1,0)</f>
        <v>1</v>
      </c>
      <c r="F112" s="16">
        <f>IF(Rankings!F107&lt;=5,1,0)</f>
        <v>1</v>
      </c>
      <c r="G112" s="16">
        <f>IF(Rankings!G107&lt;=5,1,0)</f>
        <v>0</v>
      </c>
      <c r="H112" s="16">
        <f>IF(Rankings!H107&lt;=5,1,0)</f>
        <v>1</v>
      </c>
      <c r="I112" s="16">
        <f>IF(Rankings!I107&lt;=5,1,0)</f>
        <v>0</v>
      </c>
      <c r="J112" s="16">
        <f>IF(Rankings!J107&lt;=5,1,0)</f>
        <v>1</v>
      </c>
      <c r="K112" s="19">
        <f t="shared" si="12"/>
        <v>5</v>
      </c>
      <c r="L112" s="15">
        <f>SUMPRODUCT(C112:J112,Returns!B116:I116)/K112</f>
        <v>1.1268631437419407E-2</v>
      </c>
      <c r="M112" s="15">
        <v>0</v>
      </c>
      <c r="N112" s="15">
        <v>0</v>
      </c>
      <c r="O112" s="15">
        <f t="shared" si="13"/>
        <v>1.1268631437419407E-2</v>
      </c>
      <c r="P112" s="20">
        <f t="shared" si="15"/>
        <v>3.8681380045115654</v>
      </c>
      <c r="Q112" s="20">
        <f>MAX($P$5:P112)</f>
        <v>3.8681380045115654</v>
      </c>
      <c r="R112" s="15">
        <f t="shared" si="14"/>
        <v>0</v>
      </c>
      <c r="S112" s="15">
        <f>O112-Benchmark_RF!D112</f>
        <v>-3.6805479347229442E-3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IF(Rankings!C119&lt;=5,1,0)</f>
        <v>1</v>
      </c>
      <c r="D113" s="16">
        <f>IF(Rankings!D119&lt;=5,1,0)</f>
        <v>1</v>
      </c>
      <c r="E113" s="16">
        <f>IF(Rankings!E119&lt;=5,1,0)</f>
        <v>1</v>
      </c>
      <c r="F113" s="16">
        <f>IF(Rankings!F119&lt;=5,1,0)</f>
        <v>0</v>
      </c>
      <c r="G113" s="16">
        <f>IF(Rankings!G119&lt;=5,1,0)</f>
        <v>1</v>
      </c>
      <c r="H113" s="16">
        <f>IF(Rankings!H119&lt;=5,1,0)</f>
        <v>1</v>
      </c>
      <c r="I113" s="16">
        <f>IF(Rankings!I119&lt;=5,1,0)</f>
        <v>0</v>
      </c>
      <c r="J113" s="16">
        <f>IF(Rankings!J119&lt;=5,1,0)</f>
        <v>0</v>
      </c>
      <c r="K113" s="19">
        <f t="shared" si="12"/>
        <v>5</v>
      </c>
      <c r="L113" s="15">
        <f>SUMPRODUCT(C113:J113,Returns!B117:I117)/K113</f>
        <v>-1.4414920996641744E-2</v>
      </c>
      <c r="M113" s="15">
        <f>-2*Assumptions!$B$13</f>
        <v>-7.0000000000000001E-3</v>
      </c>
      <c r="N113" s="15">
        <f>-Assumptions!$B$16*MAX(0,(1+O101)*(1+O102)*(1+O103)*(1+O104)*(1+O105)*(1+O106)*(1+O107)*(1+O108)*(1+O109)*(1+O110)*(1+O111)*(1+O112)-1)</f>
        <v>-9.2441820126690569E-2</v>
      </c>
      <c r="O113" s="15">
        <f t="shared" si="13"/>
        <v>-0.11385674112333231</v>
      </c>
      <c r="P113" s="20">
        <f t="shared" si="15"/>
        <v>3.4277244171025689</v>
      </c>
      <c r="Q113" s="20">
        <f>MAX($P$5:P113)</f>
        <v>3.8681380045115654</v>
      </c>
      <c r="R113" s="15">
        <f t="shared" si="14"/>
        <v>-0.11385674112333233</v>
      </c>
      <c r="S113" s="15">
        <f>O113-Benchmark_RF!D113</f>
        <v>-0.12736489585557476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IF(Rankings!C119&lt;=5,1,0)</f>
        <v>1</v>
      </c>
      <c r="D114" s="16">
        <f>IF(Rankings!D119&lt;=5,1,0)</f>
        <v>1</v>
      </c>
      <c r="E114" s="16">
        <f>IF(Rankings!E119&lt;=5,1,0)</f>
        <v>1</v>
      </c>
      <c r="F114" s="16">
        <f>IF(Rankings!F119&lt;=5,1,0)</f>
        <v>0</v>
      </c>
      <c r="G114" s="16">
        <f>IF(Rankings!G119&lt;=5,1,0)</f>
        <v>1</v>
      </c>
      <c r="H114" s="16">
        <f>IF(Rankings!H119&lt;=5,1,0)</f>
        <v>1</v>
      </c>
      <c r="I114" s="16">
        <f>IF(Rankings!I119&lt;=5,1,0)</f>
        <v>0</v>
      </c>
      <c r="J114" s="16">
        <f>IF(Rankings!J119&lt;=5,1,0)</f>
        <v>0</v>
      </c>
      <c r="K114" s="19">
        <f t="shared" si="12"/>
        <v>5</v>
      </c>
      <c r="L114" s="15">
        <f>SUMPRODUCT(C114:J114,Returns!B118:I118)/K114</f>
        <v>0.10526988383405242</v>
      </c>
      <c r="M114" s="15">
        <v>0</v>
      </c>
      <c r="N114" s="15">
        <v>0</v>
      </c>
      <c r="O114" s="15">
        <f t="shared" si="13"/>
        <v>0.10526988383405242</v>
      </c>
      <c r="P114" s="20">
        <f t="shared" si="15"/>
        <v>3.7885605683061017</v>
      </c>
      <c r="Q114" s="20">
        <f>MAX($P$5:P114)</f>
        <v>3.8681380045115654</v>
      </c>
      <c r="R114" s="15">
        <f t="shared" si="14"/>
        <v>-2.0572543201056837E-2</v>
      </c>
      <c r="S114" s="15">
        <f>O114-Benchmark_RF!D114</f>
        <v>9.1804878224854142E-2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IF(Rankings!C119&lt;=5,1,0)</f>
        <v>1</v>
      </c>
      <c r="D115" s="16">
        <f>IF(Rankings!D119&lt;=5,1,0)</f>
        <v>1</v>
      </c>
      <c r="E115" s="16">
        <f>IF(Rankings!E119&lt;=5,1,0)</f>
        <v>1</v>
      </c>
      <c r="F115" s="16">
        <f>IF(Rankings!F119&lt;=5,1,0)</f>
        <v>0</v>
      </c>
      <c r="G115" s="16">
        <f>IF(Rankings!G119&lt;=5,1,0)</f>
        <v>1</v>
      </c>
      <c r="H115" s="16">
        <f>IF(Rankings!H119&lt;=5,1,0)</f>
        <v>1</v>
      </c>
      <c r="I115" s="16">
        <f>IF(Rankings!I119&lt;=5,1,0)</f>
        <v>0</v>
      </c>
      <c r="J115" s="16">
        <f>IF(Rankings!J119&lt;=5,1,0)</f>
        <v>0</v>
      </c>
      <c r="K115" s="19">
        <f t="shared" si="12"/>
        <v>5</v>
      </c>
      <c r="L115" s="15">
        <f>SUMPRODUCT(C115:J115,Returns!B119:I119)/K115</f>
        <v>9.9924759783808173E-2</v>
      </c>
      <c r="M115" s="15">
        <v>0</v>
      </c>
      <c r="N115" s="15">
        <v>0</v>
      </c>
      <c r="O115" s="15">
        <f t="shared" si="13"/>
        <v>9.9924759783808173E-2</v>
      </c>
      <c r="P115" s="20">
        <f t="shared" si="15"/>
        <v>4.1671315730204972</v>
      </c>
      <c r="Q115" s="20">
        <f>MAX($P$5:P115)</f>
        <v>4.1671315730204972</v>
      </c>
      <c r="R115" s="15">
        <f t="shared" si="14"/>
        <v>0</v>
      </c>
      <c r="S115" s="15">
        <f>O115-Benchmark_RF!D115</f>
        <v>8.904203063532741E-2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IF(Rankings!C119&lt;=5,1,0)</f>
        <v>1</v>
      </c>
      <c r="D116" s="16">
        <f>IF(Rankings!D119&lt;=5,1,0)</f>
        <v>1</v>
      </c>
      <c r="E116" s="16">
        <f>IF(Rankings!E119&lt;=5,1,0)</f>
        <v>1</v>
      </c>
      <c r="F116" s="16">
        <f>IF(Rankings!F119&lt;=5,1,0)</f>
        <v>0</v>
      </c>
      <c r="G116" s="16">
        <f>IF(Rankings!G119&lt;=5,1,0)</f>
        <v>1</v>
      </c>
      <c r="H116" s="16">
        <f>IF(Rankings!H119&lt;=5,1,0)</f>
        <v>1</v>
      </c>
      <c r="I116" s="16">
        <f>IF(Rankings!I119&lt;=5,1,0)</f>
        <v>0</v>
      </c>
      <c r="J116" s="16">
        <f>IF(Rankings!J119&lt;=5,1,0)</f>
        <v>0</v>
      </c>
      <c r="K116" s="19">
        <f t="shared" si="12"/>
        <v>5</v>
      </c>
      <c r="L116" s="15">
        <f>SUMPRODUCT(C116:J116,Returns!B120:I120)/K116</f>
        <v>9.1279149879075289E-2</v>
      </c>
      <c r="M116" s="15">
        <v>0</v>
      </c>
      <c r="N116" s="15">
        <v>0</v>
      </c>
      <c r="O116" s="15">
        <f t="shared" si="13"/>
        <v>9.1279149879075289E-2</v>
      </c>
      <c r="P116" s="20">
        <f t="shared" si="15"/>
        <v>4.5475038004400616</v>
      </c>
      <c r="Q116" s="20">
        <f>MAX($P$5:P116)</f>
        <v>4.5475038004400616</v>
      </c>
      <c r="R116" s="15">
        <f t="shared" si="14"/>
        <v>0</v>
      </c>
      <c r="S116" s="15">
        <f>O116-Benchmark_RF!D116</f>
        <v>8.0396420730594526E-2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IF(Rankings!C119&lt;=5,1,0)</f>
        <v>1</v>
      </c>
      <c r="D117" s="16">
        <f>IF(Rankings!D119&lt;=5,1,0)</f>
        <v>1</v>
      </c>
      <c r="E117" s="16">
        <f>IF(Rankings!E119&lt;=5,1,0)</f>
        <v>1</v>
      </c>
      <c r="F117" s="16">
        <f>IF(Rankings!F119&lt;=5,1,0)</f>
        <v>0</v>
      </c>
      <c r="G117" s="16">
        <f>IF(Rankings!G119&lt;=5,1,0)</f>
        <v>1</v>
      </c>
      <c r="H117" s="16">
        <f>IF(Rankings!H119&lt;=5,1,0)</f>
        <v>1</v>
      </c>
      <c r="I117" s="16">
        <f>IF(Rankings!I119&lt;=5,1,0)</f>
        <v>0</v>
      </c>
      <c r="J117" s="16">
        <f>IF(Rankings!J119&lt;=5,1,0)</f>
        <v>0</v>
      </c>
      <c r="K117" s="19">
        <f t="shared" si="12"/>
        <v>5</v>
      </c>
      <c r="L117" s="15">
        <f>SUMPRODUCT(C117:J117,Returns!B121:I121)/K117</f>
        <v>9.0979310334221172E-2</v>
      </c>
      <c r="M117" s="15">
        <v>0</v>
      </c>
      <c r="N117" s="15">
        <v>0</v>
      </c>
      <c r="O117" s="15">
        <f t="shared" si="13"/>
        <v>9.0979310334221172E-2</v>
      </c>
      <c r="P117" s="20">
        <f t="shared" si="15"/>
        <v>4.9612325599463478</v>
      </c>
      <c r="Q117" s="20">
        <f>MAX($P$5:P117)</f>
        <v>4.9612325599463478</v>
      </c>
      <c r="R117" s="15">
        <f t="shared" si="14"/>
        <v>0</v>
      </c>
      <c r="S117" s="15">
        <f>O117-Benchmark_RF!D117</f>
        <v>8.1603252777713117E-2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86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IF(Rankings!C11&lt;=5,1,0)</f>
        <v>0</v>
      </c>
      <c r="D5" s="16">
        <f>IF(Rankings!D11&lt;=5,1,0)</f>
        <v>1</v>
      </c>
      <c r="E5" s="16">
        <f>IF(Rankings!E11&lt;=5,1,0)</f>
        <v>0</v>
      </c>
      <c r="F5" s="16">
        <f>IF(Rankings!F11&lt;=5,1,0)</f>
        <v>1</v>
      </c>
      <c r="G5" s="16">
        <f>IF(Rankings!G11&lt;=5,1,0)</f>
        <v>1</v>
      </c>
      <c r="H5" s="16">
        <f>IF(Rankings!H11&lt;=5,1,0)</f>
        <v>1</v>
      </c>
      <c r="I5" s="16">
        <f>IF(Rankings!I11&lt;=5,1,0)</f>
        <v>0</v>
      </c>
      <c r="J5" s="16">
        <f>IF(Rankings!J11&lt;=5,1,0)</f>
        <v>1</v>
      </c>
      <c r="K5" s="19">
        <f t="shared" ref="K5:K36" si="0">SUM(C5:J5)</f>
        <v>5</v>
      </c>
      <c r="L5" s="15">
        <f>SUMPRODUCT(C5:J5,Returns!B9:I9)/K5</f>
        <v>-4.5579608902745747E-2</v>
      </c>
      <c r="M5" s="15">
        <f>-2*Assumptions!$B$13</f>
        <v>-7.0000000000000001E-3</v>
      </c>
      <c r="N5" s="15">
        <v>0</v>
      </c>
      <c r="O5" s="15">
        <f t="shared" ref="O5:O36" si="1">L5+M5+N5</f>
        <v>-5.2579608902745746E-2</v>
      </c>
      <c r="P5" s="20">
        <f>1*(1+O5)</f>
        <v>0.94742039109725429</v>
      </c>
      <c r="Q5" s="20">
        <f>MAX($P$5:P5)</f>
        <v>0.94742039109725429</v>
      </c>
      <c r="R5" s="15">
        <f t="shared" ref="R5:R36" si="2">P5/Q5-1</f>
        <v>0</v>
      </c>
      <c r="S5" s="15">
        <f>O5-Benchmark_RF!D5</f>
        <v>-5.8179539412071914E-2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IF(Rankings!C11&lt;=5,1,0)</f>
        <v>0</v>
      </c>
      <c r="D6" s="16">
        <f>IF(Rankings!D11&lt;=5,1,0)</f>
        <v>1</v>
      </c>
      <c r="E6" s="16">
        <f>IF(Rankings!E11&lt;=5,1,0)</f>
        <v>0</v>
      </c>
      <c r="F6" s="16">
        <f>IF(Rankings!F11&lt;=5,1,0)</f>
        <v>1</v>
      </c>
      <c r="G6" s="16">
        <f>IF(Rankings!G11&lt;=5,1,0)</f>
        <v>1</v>
      </c>
      <c r="H6" s="16">
        <f>IF(Rankings!H11&lt;=5,1,0)</f>
        <v>1</v>
      </c>
      <c r="I6" s="16">
        <f>IF(Rankings!I11&lt;=5,1,0)</f>
        <v>0</v>
      </c>
      <c r="J6" s="16">
        <f>IF(Rankings!J11&lt;=5,1,0)</f>
        <v>1</v>
      </c>
      <c r="K6" s="19">
        <f t="shared" si="0"/>
        <v>5</v>
      </c>
      <c r="L6" s="15">
        <f>SUMPRODUCT(C6:J6,Returns!B10:I10)/K6</f>
        <v>-5.8994325846378579E-2</v>
      </c>
      <c r="M6" s="15">
        <v>0</v>
      </c>
      <c r="N6" s="15">
        <v>0</v>
      </c>
      <c r="O6" s="15">
        <f t="shared" si="1"/>
        <v>-5.8994325846378579E-2</v>
      </c>
      <c r="P6" s="20">
        <f t="shared" ref="P6:P37" si="3">P5*(1+O6)</f>
        <v>0.89152796383135946</v>
      </c>
      <c r="Q6" s="20">
        <f>MAX($P$5:P6)</f>
        <v>0.94742039109725429</v>
      </c>
      <c r="R6" s="15">
        <f t="shared" si="2"/>
        <v>-5.8994325846378537E-2</v>
      </c>
      <c r="S6" s="15">
        <f>O6-Benchmark_RF!D6</f>
        <v>-6.4229508203537608E-2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IF(Rankings!C11&lt;=5,1,0)</f>
        <v>0</v>
      </c>
      <c r="D7" s="16">
        <f>IF(Rankings!D11&lt;=5,1,0)</f>
        <v>1</v>
      </c>
      <c r="E7" s="16">
        <f>IF(Rankings!E11&lt;=5,1,0)</f>
        <v>0</v>
      </c>
      <c r="F7" s="16">
        <f>IF(Rankings!F11&lt;=5,1,0)</f>
        <v>1</v>
      </c>
      <c r="G7" s="16">
        <f>IF(Rankings!G11&lt;=5,1,0)</f>
        <v>1</v>
      </c>
      <c r="H7" s="16">
        <f>IF(Rankings!H11&lt;=5,1,0)</f>
        <v>1</v>
      </c>
      <c r="I7" s="16">
        <f>IF(Rankings!I11&lt;=5,1,0)</f>
        <v>0</v>
      </c>
      <c r="J7" s="16">
        <f>IF(Rankings!J11&lt;=5,1,0)</f>
        <v>1</v>
      </c>
      <c r="K7" s="19">
        <f t="shared" si="0"/>
        <v>5</v>
      </c>
      <c r="L7" s="15">
        <f>SUMPRODUCT(C7:J7,Returns!B11:I11)/K7</f>
        <v>4.1968346349029372E-2</v>
      </c>
      <c r="M7" s="15">
        <v>0</v>
      </c>
      <c r="N7" s="15">
        <v>0</v>
      </c>
      <c r="O7" s="15">
        <f t="shared" si="1"/>
        <v>4.1968346349029372E-2</v>
      </c>
      <c r="P7" s="20">
        <f t="shared" si="3"/>
        <v>0.92894391819727895</v>
      </c>
      <c r="Q7" s="20">
        <f>MAX($P$5:P7)</f>
        <v>0.94742039109725429</v>
      </c>
      <c r="R7" s="15">
        <f t="shared" si="2"/>
        <v>-1.9501873797097447E-2</v>
      </c>
      <c r="S7" s="15">
        <f>O7-Benchmark_RF!D7</f>
        <v>3.6861111443870075E-2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IF(Rankings!C11&lt;=5,1,0)</f>
        <v>0</v>
      </c>
      <c r="D8" s="16">
        <f>IF(Rankings!D11&lt;=5,1,0)</f>
        <v>1</v>
      </c>
      <c r="E8" s="16">
        <f>IF(Rankings!E11&lt;=5,1,0)</f>
        <v>0</v>
      </c>
      <c r="F8" s="16">
        <f>IF(Rankings!F11&lt;=5,1,0)</f>
        <v>1</v>
      </c>
      <c r="G8" s="16">
        <f>IF(Rankings!G11&lt;=5,1,0)</f>
        <v>1</v>
      </c>
      <c r="H8" s="16">
        <f>IF(Rankings!H11&lt;=5,1,0)</f>
        <v>1</v>
      </c>
      <c r="I8" s="16">
        <f>IF(Rankings!I11&lt;=5,1,0)</f>
        <v>0</v>
      </c>
      <c r="J8" s="16">
        <f>IF(Rankings!J11&lt;=5,1,0)</f>
        <v>1</v>
      </c>
      <c r="K8" s="19">
        <f t="shared" si="0"/>
        <v>5</v>
      </c>
      <c r="L8" s="15">
        <f>SUMPRODUCT(C8:J8,Returns!B12:I12)/K8</f>
        <v>-2.5470068833624859E-2</v>
      </c>
      <c r="M8" s="15">
        <v>0</v>
      </c>
      <c r="N8" s="15">
        <v>0</v>
      </c>
      <c r="O8" s="15">
        <f t="shared" si="1"/>
        <v>-2.5470068833624859E-2</v>
      </c>
      <c r="P8" s="20">
        <f t="shared" si="3"/>
        <v>0.90528365265821709</v>
      </c>
      <c r="Q8" s="20">
        <f>MAX($P$5:P8)</f>
        <v>0.94742039109725429</v>
      </c>
      <c r="R8" s="15">
        <f t="shared" si="2"/>
        <v>-4.4475228562725566E-2</v>
      </c>
      <c r="S8" s="15">
        <f>O8-Benchmark_RF!D8</f>
        <v>-3.0628740463050041E-2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IF(Rankings!C11&lt;=5,1,0)</f>
        <v>0</v>
      </c>
      <c r="D9" s="16">
        <f>IF(Rankings!D11&lt;=5,1,0)</f>
        <v>1</v>
      </c>
      <c r="E9" s="16">
        <f>IF(Rankings!E11&lt;=5,1,0)</f>
        <v>0</v>
      </c>
      <c r="F9" s="16">
        <f>IF(Rankings!F11&lt;=5,1,0)</f>
        <v>1</v>
      </c>
      <c r="G9" s="16">
        <f>IF(Rankings!G11&lt;=5,1,0)</f>
        <v>1</v>
      </c>
      <c r="H9" s="16">
        <f>IF(Rankings!H11&lt;=5,1,0)</f>
        <v>1</v>
      </c>
      <c r="I9" s="16">
        <f>IF(Rankings!I11&lt;=5,1,0)</f>
        <v>0</v>
      </c>
      <c r="J9" s="16">
        <f>IF(Rankings!J11&lt;=5,1,0)</f>
        <v>1</v>
      </c>
      <c r="K9" s="19">
        <f t="shared" si="0"/>
        <v>5</v>
      </c>
      <c r="L9" s="15">
        <f>SUMPRODUCT(C9:J9,Returns!B13:I13)/K9</f>
        <v>8.5852304803464466E-2</v>
      </c>
      <c r="M9" s="15">
        <v>0</v>
      </c>
      <c r="N9" s="15">
        <v>0</v>
      </c>
      <c r="O9" s="15">
        <f t="shared" si="1"/>
        <v>8.5852304803464466E-2</v>
      </c>
      <c r="P9" s="20">
        <f t="shared" si="3"/>
        <v>0.98300434073982401</v>
      </c>
      <c r="Q9" s="20">
        <f>MAX($P$5:P9)</f>
        <v>0.98300434073982401</v>
      </c>
      <c r="R9" s="15">
        <f t="shared" si="2"/>
        <v>0</v>
      </c>
      <c r="S9" s="15">
        <f>O9-Benchmark_RF!D9</f>
        <v>8.0718599606194277E-2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IF(Rankings!C11&lt;=5,1,0)</f>
        <v>0</v>
      </c>
      <c r="D10" s="16">
        <f>IF(Rankings!D11&lt;=5,1,0)</f>
        <v>1</v>
      </c>
      <c r="E10" s="16">
        <f>IF(Rankings!E11&lt;=5,1,0)</f>
        <v>0</v>
      </c>
      <c r="F10" s="16">
        <f>IF(Rankings!F11&lt;=5,1,0)</f>
        <v>1</v>
      </c>
      <c r="G10" s="16">
        <f>IF(Rankings!G11&lt;=5,1,0)</f>
        <v>1</v>
      </c>
      <c r="H10" s="16">
        <f>IF(Rankings!H11&lt;=5,1,0)</f>
        <v>1</v>
      </c>
      <c r="I10" s="16">
        <f>IF(Rankings!I11&lt;=5,1,0)</f>
        <v>0</v>
      </c>
      <c r="J10" s="16">
        <f>IF(Rankings!J11&lt;=5,1,0)</f>
        <v>1</v>
      </c>
      <c r="K10" s="19">
        <f t="shared" si="0"/>
        <v>5</v>
      </c>
      <c r="L10" s="15">
        <f>SUMPRODUCT(C10:J10,Returns!B14:I14)/K10</f>
        <v>-7.2284286464141673E-2</v>
      </c>
      <c r="M10" s="15">
        <v>0</v>
      </c>
      <c r="N10" s="15">
        <v>0</v>
      </c>
      <c r="O10" s="15">
        <f t="shared" si="1"/>
        <v>-7.2284286464141673E-2</v>
      </c>
      <c r="P10" s="20">
        <f t="shared" si="3"/>
        <v>0.91194857337829183</v>
      </c>
      <c r="Q10" s="20">
        <f>MAX($P$5:P10)</f>
        <v>0.98300434073982401</v>
      </c>
      <c r="R10" s="15">
        <f t="shared" si="2"/>
        <v>-7.2284286464141645E-2</v>
      </c>
      <c r="S10" s="15">
        <f>O10-Benchmark_RF!D10</f>
        <v>-7.7279489220283409E-2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IF(Rankings!C17&lt;=5,1,0)</f>
        <v>1</v>
      </c>
      <c r="D11" s="16">
        <f>IF(Rankings!D17&lt;=5,1,0)</f>
        <v>1</v>
      </c>
      <c r="E11" s="16">
        <f>IF(Rankings!E17&lt;=5,1,0)</f>
        <v>0</v>
      </c>
      <c r="F11" s="16">
        <f>IF(Rankings!F17&lt;=5,1,0)</f>
        <v>1</v>
      </c>
      <c r="G11" s="16">
        <f>IF(Rankings!G17&lt;=5,1,0)</f>
        <v>0</v>
      </c>
      <c r="H11" s="16">
        <f>IF(Rankings!H17&lt;=5,1,0)</f>
        <v>0</v>
      </c>
      <c r="I11" s="16">
        <f>IF(Rankings!I17&lt;=5,1,0)</f>
        <v>1</v>
      </c>
      <c r="J11" s="16">
        <f>IF(Rankings!J17&lt;=5,1,0)</f>
        <v>1</v>
      </c>
      <c r="K11" s="19">
        <f t="shared" si="0"/>
        <v>5</v>
      </c>
      <c r="L11" s="15">
        <f>SUMPRODUCT(C11:J11,Returns!B15:I15)/K11</f>
        <v>-2.6048808710788296E-2</v>
      </c>
      <c r="M11" s="15">
        <f>-2*Assumptions!$B$13</f>
        <v>-7.0000000000000001E-3</v>
      </c>
      <c r="N11" s="15">
        <f>-Assumptions!$B$16*MAX(0,(1+O5)*(1+O6)*(1+O7)*(1+O8)*(1+O9)*(1+O10)-1)</f>
        <v>0</v>
      </c>
      <c r="O11" s="15">
        <f t="shared" si="1"/>
        <v>-3.3048808710788295E-2</v>
      </c>
      <c r="P11" s="20">
        <f t="shared" si="3"/>
        <v>0.8818097594226364</v>
      </c>
      <c r="Q11" s="20">
        <f>MAX($P$5:P11)</f>
        <v>0.98300434073982401</v>
      </c>
      <c r="R11" s="15">
        <f t="shared" si="2"/>
        <v>-0.10294418561878071</v>
      </c>
      <c r="S11" s="15">
        <f>O11-Benchmark_RF!D11</f>
        <v>-3.8085339804471367E-2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IF(Rankings!C17&lt;=5,1,0)</f>
        <v>1</v>
      </c>
      <c r="D12" s="16">
        <f>IF(Rankings!D17&lt;=5,1,0)</f>
        <v>1</v>
      </c>
      <c r="E12" s="16">
        <f>IF(Rankings!E17&lt;=5,1,0)</f>
        <v>0</v>
      </c>
      <c r="F12" s="16">
        <f>IF(Rankings!F17&lt;=5,1,0)</f>
        <v>1</v>
      </c>
      <c r="G12" s="16">
        <f>IF(Rankings!G17&lt;=5,1,0)</f>
        <v>0</v>
      </c>
      <c r="H12" s="16">
        <f>IF(Rankings!H17&lt;=5,1,0)</f>
        <v>0</v>
      </c>
      <c r="I12" s="16">
        <f>IF(Rankings!I17&lt;=5,1,0)</f>
        <v>1</v>
      </c>
      <c r="J12" s="16">
        <f>IF(Rankings!J17&lt;=5,1,0)</f>
        <v>1</v>
      </c>
      <c r="K12" s="19">
        <f t="shared" si="0"/>
        <v>5</v>
      </c>
      <c r="L12" s="15">
        <f>SUMPRODUCT(C12:J12,Returns!B16:I16)/K12</f>
        <v>8.3250935447273605E-2</v>
      </c>
      <c r="M12" s="15">
        <v>0</v>
      </c>
      <c r="N12" s="15">
        <v>0</v>
      </c>
      <c r="O12" s="15">
        <f t="shared" si="1"/>
        <v>8.3250935447273605E-2</v>
      </c>
      <c r="P12" s="20">
        <f t="shared" si="3"/>
        <v>0.9552212467811062</v>
      </c>
      <c r="Q12" s="20">
        <f>MAX($P$5:P12)</f>
        <v>0.98300434073982401</v>
      </c>
      <c r="R12" s="15">
        <f t="shared" si="2"/>
        <v>-2.8263449923128348E-2</v>
      </c>
      <c r="S12" s="15">
        <f>O12-Benchmark_RF!D12</f>
        <v>7.8249421811951742E-2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IF(Rankings!C17&lt;=5,1,0)</f>
        <v>1</v>
      </c>
      <c r="D13" s="16">
        <f>IF(Rankings!D17&lt;=5,1,0)</f>
        <v>1</v>
      </c>
      <c r="E13" s="16">
        <f>IF(Rankings!E17&lt;=5,1,0)</f>
        <v>0</v>
      </c>
      <c r="F13" s="16">
        <f>IF(Rankings!F17&lt;=5,1,0)</f>
        <v>1</v>
      </c>
      <c r="G13" s="16">
        <f>IF(Rankings!G17&lt;=5,1,0)</f>
        <v>0</v>
      </c>
      <c r="H13" s="16">
        <f>IF(Rankings!H17&lt;=5,1,0)</f>
        <v>0</v>
      </c>
      <c r="I13" s="16">
        <f>IF(Rankings!I17&lt;=5,1,0)</f>
        <v>1</v>
      </c>
      <c r="J13" s="16">
        <f>IF(Rankings!J17&lt;=5,1,0)</f>
        <v>1</v>
      </c>
      <c r="K13" s="19">
        <f t="shared" si="0"/>
        <v>5</v>
      </c>
      <c r="L13" s="15">
        <f>SUMPRODUCT(C13:J13,Returns!B17:I17)/K13</f>
        <v>7.1748455842833264E-2</v>
      </c>
      <c r="M13" s="15">
        <v>0</v>
      </c>
      <c r="N13" s="15">
        <v>0</v>
      </c>
      <c r="O13" s="15">
        <f t="shared" si="1"/>
        <v>7.1748455842833264E-2</v>
      </c>
      <c r="P13" s="20">
        <f t="shared" si="3"/>
        <v>1.0237568962259165</v>
      </c>
      <c r="Q13" s="20">
        <f>MAX($P$5:P13)</f>
        <v>1.0237568962259165</v>
      </c>
      <c r="R13" s="15">
        <f t="shared" si="2"/>
        <v>0</v>
      </c>
      <c r="S13" s="15">
        <f>O13-Benchmark_RF!D13</f>
        <v>6.6746942207511401E-2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IF(Rankings!C17&lt;=5,1,0)</f>
        <v>1</v>
      </c>
      <c r="D14" s="16">
        <f>IF(Rankings!D17&lt;=5,1,0)</f>
        <v>1</v>
      </c>
      <c r="E14" s="16">
        <f>IF(Rankings!E17&lt;=5,1,0)</f>
        <v>0</v>
      </c>
      <c r="F14" s="16">
        <f>IF(Rankings!F17&lt;=5,1,0)</f>
        <v>1</v>
      </c>
      <c r="G14" s="16">
        <f>IF(Rankings!G17&lt;=5,1,0)</f>
        <v>0</v>
      </c>
      <c r="H14" s="16">
        <f>IF(Rankings!H17&lt;=5,1,0)</f>
        <v>0</v>
      </c>
      <c r="I14" s="16">
        <f>IF(Rankings!I17&lt;=5,1,0)</f>
        <v>1</v>
      </c>
      <c r="J14" s="16">
        <f>IF(Rankings!J17&lt;=5,1,0)</f>
        <v>1</v>
      </c>
      <c r="K14" s="19">
        <f t="shared" si="0"/>
        <v>5</v>
      </c>
      <c r="L14" s="15">
        <f>SUMPRODUCT(C14:J14,Returns!B18:I18)/K14</f>
        <v>2.229056211470528E-2</v>
      </c>
      <c r="M14" s="15">
        <v>0</v>
      </c>
      <c r="N14" s="15">
        <v>0</v>
      </c>
      <c r="O14" s="15">
        <f t="shared" si="1"/>
        <v>2.229056211470528E-2</v>
      </c>
      <c r="P14" s="20">
        <f t="shared" si="3"/>
        <v>1.0465770129115983</v>
      </c>
      <c r="Q14" s="20">
        <f>MAX($P$5:P14)</f>
        <v>1.0465770129115983</v>
      </c>
      <c r="R14" s="15">
        <f t="shared" si="2"/>
        <v>0</v>
      </c>
      <c r="S14" s="15">
        <f>O14-Benchmark_RF!D14</f>
        <v>1.7432886960785952E-2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IF(Rankings!C17&lt;=5,1,0)</f>
        <v>1</v>
      </c>
      <c r="D15" s="16">
        <f>IF(Rankings!D17&lt;=5,1,0)</f>
        <v>1</v>
      </c>
      <c r="E15" s="16">
        <f>IF(Rankings!E17&lt;=5,1,0)</f>
        <v>0</v>
      </c>
      <c r="F15" s="16">
        <f>IF(Rankings!F17&lt;=5,1,0)</f>
        <v>1</v>
      </c>
      <c r="G15" s="16">
        <f>IF(Rankings!G17&lt;=5,1,0)</f>
        <v>0</v>
      </c>
      <c r="H15" s="16">
        <f>IF(Rankings!H17&lt;=5,1,0)</f>
        <v>0</v>
      </c>
      <c r="I15" s="16">
        <f>IF(Rankings!I17&lt;=5,1,0)</f>
        <v>1</v>
      </c>
      <c r="J15" s="16">
        <f>IF(Rankings!J17&lt;=5,1,0)</f>
        <v>1</v>
      </c>
      <c r="K15" s="19">
        <f t="shared" si="0"/>
        <v>5</v>
      </c>
      <c r="L15" s="15">
        <f>SUMPRODUCT(C15:J15,Returns!B19:I19)/K15</f>
        <v>1.9369006033810109E-2</v>
      </c>
      <c r="M15" s="15">
        <v>0</v>
      </c>
      <c r="N15" s="15">
        <v>0</v>
      </c>
      <c r="O15" s="15">
        <f t="shared" si="1"/>
        <v>1.9369006033810109E-2</v>
      </c>
      <c r="P15" s="20">
        <f t="shared" si="3"/>
        <v>1.06684816938953</v>
      </c>
      <c r="Q15" s="20">
        <f>MAX($P$5:P15)</f>
        <v>1.06684816938953</v>
      </c>
      <c r="R15" s="15">
        <f t="shared" si="2"/>
        <v>0</v>
      </c>
      <c r="S15" s="15">
        <f>O15-Benchmark_RF!D15</f>
        <v>1.4580646803658691E-2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IF(Rankings!C17&lt;=5,1,0)</f>
        <v>1</v>
      </c>
      <c r="D16" s="16">
        <f>IF(Rankings!D17&lt;=5,1,0)</f>
        <v>1</v>
      </c>
      <c r="E16" s="16">
        <f>IF(Rankings!E17&lt;=5,1,0)</f>
        <v>0</v>
      </c>
      <c r="F16" s="16">
        <f>IF(Rankings!F17&lt;=5,1,0)</f>
        <v>1</v>
      </c>
      <c r="G16" s="16">
        <f>IF(Rankings!G17&lt;=5,1,0)</f>
        <v>0</v>
      </c>
      <c r="H16" s="16">
        <f>IF(Rankings!H17&lt;=5,1,0)</f>
        <v>0</v>
      </c>
      <c r="I16" s="16">
        <f>IF(Rankings!I17&lt;=5,1,0)</f>
        <v>1</v>
      </c>
      <c r="J16" s="16">
        <f>IF(Rankings!J17&lt;=5,1,0)</f>
        <v>1</v>
      </c>
      <c r="K16" s="19">
        <f t="shared" si="0"/>
        <v>5</v>
      </c>
      <c r="L16" s="15">
        <f>SUMPRODUCT(C16:J16,Returns!B20:I20)/K16</f>
        <v>4.6249995926975693E-2</v>
      </c>
      <c r="M16" s="15">
        <v>0</v>
      </c>
      <c r="N16" s="15">
        <v>0</v>
      </c>
      <c r="O16" s="15">
        <f t="shared" si="1"/>
        <v>4.6249995926975693E-2</v>
      </c>
      <c r="P16" s="20">
        <f t="shared" si="3"/>
        <v>1.1161898928784972</v>
      </c>
      <c r="Q16" s="20">
        <f>MAX($P$5:P16)</f>
        <v>1.1161898928784972</v>
      </c>
      <c r="R16" s="15">
        <f t="shared" si="2"/>
        <v>0</v>
      </c>
      <c r="S16" s="15">
        <f>O16-Benchmark_RF!D16</f>
        <v>4.155063101520777E-2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IF(Rankings!C23&lt;=5,1,0)</f>
        <v>0</v>
      </c>
      <c r="D17" s="16">
        <f>IF(Rankings!D23&lt;=5,1,0)</f>
        <v>0</v>
      </c>
      <c r="E17" s="16">
        <f>IF(Rankings!E23&lt;=5,1,0)</f>
        <v>1</v>
      </c>
      <c r="F17" s="16">
        <f>IF(Rankings!F23&lt;=5,1,0)</f>
        <v>1</v>
      </c>
      <c r="G17" s="16">
        <f>IF(Rankings!G23&lt;=5,1,0)</f>
        <v>0</v>
      </c>
      <c r="H17" s="16">
        <f>IF(Rankings!H23&lt;=5,1,0)</f>
        <v>1</v>
      </c>
      <c r="I17" s="16">
        <f>IF(Rankings!I23&lt;=5,1,0)</f>
        <v>1</v>
      </c>
      <c r="J17" s="16">
        <f>IF(Rankings!J23&lt;=5,1,0)</f>
        <v>1</v>
      </c>
      <c r="K17" s="19">
        <f t="shared" si="0"/>
        <v>5</v>
      </c>
      <c r="L17" s="15">
        <f>SUMPRODUCT(C17:J17,Returns!B21:I21)/K17</f>
        <v>7.2934061992625089E-3</v>
      </c>
      <c r="M17" s="15">
        <f>-2*Assumptions!$B$13</f>
        <v>-7.0000000000000001E-3</v>
      </c>
      <c r="N17" s="15">
        <f>-Assumptions!$B$16*MAX(0,(1+O11)*(1+O12)*(1+O13)*(1+O14)*(1+O15)*(1+O16)-1)</f>
        <v>-3.3594216625110508E-2</v>
      </c>
      <c r="O17" s="15">
        <f t="shared" si="1"/>
        <v>-3.3300810425847996E-2</v>
      </c>
      <c r="P17" s="20">
        <f t="shared" si="3"/>
        <v>1.0790198648565028</v>
      </c>
      <c r="Q17" s="20">
        <f>MAX($P$5:P17)</f>
        <v>1.1161898928784972</v>
      </c>
      <c r="R17" s="15">
        <f t="shared" si="2"/>
        <v>-3.3300810425847982E-2</v>
      </c>
      <c r="S17" s="15">
        <f>O17-Benchmark_RF!D17</f>
        <v>-3.8057695354435053E-2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IF(Rankings!C23&lt;=5,1,0)</f>
        <v>0</v>
      </c>
      <c r="D18" s="16">
        <f>IF(Rankings!D23&lt;=5,1,0)</f>
        <v>0</v>
      </c>
      <c r="E18" s="16">
        <f>IF(Rankings!E23&lt;=5,1,0)</f>
        <v>1</v>
      </c>
      <c r="F18" s="16">
        <f>IF(Rankings!F23&lt;=5,1,0)</f>
        <v>1</v>
      </c>
      <c r="G18" s="16">
        <f>IF(Rankings!G23&lt;=5,1,0)</f>
        <v>0</v>
      </c>
      <c r="H18" s="16">
        <f>IF(Rankings!H23&lt;=5,1,0)</f>
        <v>1</v>
      </c>
      <c r="I18" s="16">
        <f>IF(Rankings!I23&lt;=5,1,0)</f>
        <v>1</v>
      </c>
      <c r="J18" s="16">
        <f>IF(Rankings!J23&lt;=5,1,0)</f>
        <v>1</v>
      </c>
      <c r="K18" s="19">
        <f t="shared" si="0"/>
        <v>5</v>
      </c>
      <c r="L18" s="15">
        <f>SUMPRODUCT(C18:J18,Returns!B22:I22)/K18</f>
        <v>8.7712388664117985E-2</v>
      </c>
      <c r="M18" s="15">
        <v>0</v>
      </c>
      <c r="N18" s="15">
        <v>0</v>
      </c>
      <c r="O18" s="15">
        <f t="shared" si="1"/>
        <v>8.7712388664117985E-2</v>
      </c>
      <c r="P18" s="20">
        <f t="shared" si="3"/>
        <v>1.1736632746191005</v>
      </c>
      <c r="Q18" s="20">
        <f>MAX($P$5:P18)</f>
        <v>1.1736632746191005</v>
      </c>
      <c r="R18" s="15">
        <f t="shared" si="2"/>
        <v>0</v>
      </c>
      <c r="S18" s="15">
        <f>O18-Benchmark_RF!D18</f>
        <v>8.2955503735530928E-2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IF(Rankings!C23&lt;=5,1,0)</f>
        <v>0</v>
      </c>
      <c r="D19" s="16">
        <f>IF(Rankings!D23&lt;=5,1,0)</f>
        <v>0</v>
      </c>
      <c r="E19" s="16">
        <f>IF(Rankings!E23&lt;=5,1,0)</f>
        <v>1</v>
      </c>
      <c r="F19" s="16">
        <f>IF(Rankings!F23&lt;=5,1,0)</f>
        <v>1</v>
      </c>
      <c r="G19" s="16">
        <f>IF(Rankings!G23&lt;=5,1,0)</f>
        <v>0</v>
      </c>
      <c r="H19" s="16">
        <f>IF(Rankings!H23&lt;=5,1,0)</f>
        <v>1</v>
      </c>
      <c r="I19" s="16">
        <f>IF(Rankings!I23&lt;=5,1,0)</f>
        <v>1</v>
      </c>
      <c r="J19" s="16">
        <f>IF(Rankings!J23&lt;=5,1,0)</f>
        <v>1</v>
      </c>
      <c r="K19" s="19">
        <f t="shared" si="0"/>
        <v>5</v>
      </c>
      <c r="L19" s="15">
        <f>SUMPRODUCT(C19:J19,Returns!B23:I23)/K19</f>
        <v>5.5321812020397008E-2</v>
      </c>
      <c r="M19" s="15">
        <v>0</v>
      </c>
      <c r="N19" s="15">
        <v>0</v>
      </c>
      <c r="O19" s="15">
        <f t="shared" si="1"/>
        <v>5.5321812020397008E-2</v>
      </c>
      <c r="P19" s="20">
        <f t="shared" si="3"/>
        <v>1.2385924536728221</v>
      </c>
      <c r="Q19" s="20">
        <f>MAX($P$5:P19)</f>
        <v>1.2385924536728221</v>
      </c>
      <c r="R19" s="15">
        <f t="shared" si="2"/>
        <v>0</v>
      </c>
      <c r="S19" s="15">
        <f>O19-Benchmark_RF!D19</f>
        <v>5.0549109504254418E-2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IF(Rankings!C23&lt;=5,1,0)</f>
        <v>0</v>
      </c>
      <c r="D20" s="16">
        <f>IF(Rankings!D23&lt;=5,1,0)</f>
        <v>0</v>
      </c>
      <c r="E20" s="16">
        <f>IF(Rankings!E23&lt;=5,1,0)</f>
        <v>1</v>
      </c>
      <c r="F20" s="16">
        <f>IF(Rankings!F23&lt;=5,1,0)</f>
        <v>1</v>
      </c>
      <c r="G20" s="16">
        <f>IF(Rankings!G23&lt;=5,1,0)</f>
        <v>0</v>
      </c>
      <c r="H20" s="16">
        <f>IF(Rankings!H23&lt;=5,1,0)</f>
        <v>1</v>
      </c>
      <c r="I20" s="16">
        <f>IF(Rankings!I23&lt;=5,1,0)</f>
        <v>1</v>
      </c>
      <c r="J20" s="16">
        <f>IF(Rankings!J23&lt;=5,1,0)</f>
        <v>1</v>
      </c>
      <c r="K20" s="19">
        <f t="shared" si="0"/>
        <v>5</v>
      </c>
      <c r="L20" s="15">
        <f>SUMPRODUCT(C20:J20,Returns!B24:I24)/K20</f>
        <v>0.10618948770816727</v>
      </c>
      <c r="M20" s="15">
        <v>0</v>
      </c>
      <c r="N20" s="15">
        <v>0</v>
      </c>
      <c r="O20" s="15">
        <f t="shared" si="1"/>
        <v>0.10618948770816727</v>
      </c>
      <c r="P20" s="20">
        <f t="shared" si="3"/>
        <v>1.370117951807541</v>
      </c>
      <c r="Q20" s="20">
        <f>MAX($P$5:P20)</f>
        <v>1.370117951807541</v>
      </c>
      <c r="R20" s="15">
        <f t="shared" si="2"/>
        <v>0</v>
      </c>
      <c r="S20" s="15">
        <f>O20-Benchmark_RF!D20</f>
        <v>0.10136144519562951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IF(Rankings!C23&lt;=5,1,0)</f>
        <v>0</v>
      </c>
      <c r="D21" s="16">
        <f>IF(Rankings!D23&lt;=5,1,0)</f>
        <v>0</v>
      </c>
      <c r="E21" s="16">
        <f>IF(Rankings!E23&lt;=5,1,0)</f>
        <v>1</v>
      </c>
      <c r="F21" s="16">
        <f>IF(Rankings!F23&lt;=5,1,0)</f>
        <v>1</v>
      </c>
      <c r="G21" s="16">
        <f>IF(Rankings!G23&lt;=5,1,0)</f>
        <v>0</v>
      </c>
      <c r="H21" s="16">
        <f>IF(Rankings!H23&lt;=5,1,0)</f>
        <v>1</v>
      </c>
      <c r="I21" s="16">
        <f>IF(Rankings!I23&lt;=5,1,0)</f>
        <v>1</v>
      </c>
      <c r="J21" s="16">
        <f>IF(Rankings!J23&lt;=5,1,0)</f>
        <v>1</v>
      </c>
      <c r="K21" s="19">
        <f t="shared" si="0"/>
        <v>5</v>
      </c>
      <c r="L21" s="15">
        <f>SUMPRODUCT(C21:J21,Returns!B25:I25)/K21</f>
        <v>7.8725227239706694E-2</v>
      </c>
      <c r="M21" s="15">
        <v>0</v>
      </c>
      <c r="N21" s="15">
        <v>0</v>
      </c>
      <c r="O21" s="15">
        <f t="shared" si="1"/>
        <v>7.8725227239706694E-2</v>
      </c>
      <c r="P21" s="20">
        <f t="shared" si="3"/>
        <v>1.4779807989087912</v>
      </c>
      <c r="Q21" s="20">
        <f>MAX($P$5:P21)</f>
        <v>1.4779807989087912</v>
      </c>
      <c r="R21" s="15">
        <f t="shared" si="2"/>
        <v>0</v>
      </c>
      <c r="S21" s="15">
        <f>O21-Benchmark_RF!D21</f>
        <v>7.3885409540067101E-2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IF(Rankings!C23&lt;=5,1,0)</f>
        <v>0</v>
      </c>
      <c r="D22" s="16">
        <f>IF(Rankings!D23&lt;=5,1,0)</f>
        <v>0</v>
      </c>
      <c r="E22" s="16">
        <f>IF(Rankings!E23&lt;=5,1,0)</f>
        <v>1</v>
      </c>
      <c r="F22" s="16">
        <f>IF(Rankings!F23&lt;=5,1,0)</f>
        <v>1</v>
      </c>
      <c r="G22" s="16">
        <f>IF(Rankings!G23&lt;=5,1,0)</f>
        <v>0</v>
      </c>
      <c r="H22" s="16">
        <f>IF(Rankings!H23&lt;=5,1,0)</f>
        <v>1</v>
      </c>
      <c r="I22" s="16">
        <f>IF(Rankings!I23&lt;=5,1,0)</f>
        <v>1</v>
      </c>
      <c r="J22" s="16">
        <f>IF(Rankings!J23&lt;=5,1,0)</f>
        <v>1</v>
      </c>
      <c r="K22" s="19">
        <f t="shared" si="0"/>
        <v>5</v>
      </c>
      <c r="L22" s="15">
        <f>SUMPRODUCT(C22:J22,Returns!B26:I26)/K22</f>
        <v>1.6096237134066473E-2</v>
      </c>
      <c r="M22" s="15">
        <v>0</v>
      </c>
      <c r="N22" s="15">
        <v>0</v>
      </c>
      <c r="O22" s="15">
        <f t="shared" si="1"/>
        <v>1.6096237134066473E-2</v>
      </c>
      <c r="P22" s="20">
        <f t="shared" si="3"/>
        <v>1.501770728327624</v>
      </c>
      <c r="Q22" s="20">
        <f>MAX($P$5:P22)</f>
        <v>1.501770728327624</v>
      </c>
      <c r="R22" s="15">
        <f t="shared" si="2"/>
        <v>0</v>
      </c>
      <c r="S22" s="15">
        <f>O22-Benchmark_RF!D22</f>
        <v>1.1321873930121497E-2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IF(Rankings!C29&lt;=5,1,0)</f>
        <v>1</v>
      </c>
      <c r="D23" s="16">
        <f>IF(Rankings!D29&lt;=5,1,0)</f>
        <v>0</v>
      </c>
      <c r="E23" s="16">
        <f>IF(Rankings!E29&lt;=5,1,0)</f>
        <v>0</v>
      </c>
      <c r="F23" s="16">
        <f>IF(Rankings!F29&lt;=5,1,0)</f>
        <v>1</v>
      </c>
      <c r="G23" s="16">
        <f>IF(Rankings!G29&lt;=5,1,0)</f>
        <v>0</v>
      </c>
      <c r="H23" s="16">
        <f>IF(Rankings!H29&lt;=5,1,0)</f>
        <v>1</v>
      </c>
      <c r="I23" s="16">
        <f>IF(Rankings!I29&lt;=5,1,0)</f>
        <v>1</v>
      </c>
      <c r="J23" s="16">
        <f>IF(Rankings!J29&lt;=5,1,0)</f>
        <v>1</v>
      </c>
      <c r="K23" s="19">
        <f t="shared" si="0"/>
        <v>5</v>
      </c>
      <c r="L23" s="15">
        <f>SUMPRODUCT(C23:J23,Returns!B27:I27)/K23</f>
        <v>-2.8896532797037612E-2</v>
      </c>
      <c r="M23" s="15">
        <f>-2*Assumptions!$B$13</f>
        <v>-7.0000000000000001E-3</v>
      </c>
      <c r="N23" s="15">
        <f>-Assumptions!$B$16*MAX(0,(1+O17)*(1+O18)*(1+O19)*(1+O20)*(1+O21)*(1+O22)-1)</f>
        <v>-5.1816564265973739E-2</v>
      </c>
      <c r="O23" s="15">
        <f t="shared" si="1"/>
        <v>-8.771309706301135E-2</v>
      </c>
      <c r="P23" s="20">
        <f t="shared" si="3"/>
        <v>1.3700457666674339</v>
      </c>
      <c r="Q23" s="20">
        <f>MAX($P$5:P23)</f>
        <v>1.501770728327624</v>
      </c>
      <c r="R23" s="15">
        <f t="shared" si="2"/>
        <v>-8.7713097063011336E-2</v>
      </c>
      <c r="S23" s="15">
        <f>O23-Benchmark_RF!D23</f>
        <v>-9.253457958481405E-2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IF(Rankings!C29&lt;=5,1,0)</f>
        <v>1</v>
      </c>
      <c r="D24" s="16">
        <f>IF(Rankings!D29&lt;=5,1,0)</f>
        <v>0</v>
      </c>
      <c r="E24" s="16">
        <f>IF(Rankings!E29&lt;=5,1,0)</f>
        <v>0</v>
      </c>
      <c r="F24" s="16">
        <f>IF(Rankings!F29&lt;=5,1,0)</f>
        <v>1</v>
      </c>
      <c r="G24" s="16">
        <f>IF(Rankings!G29&lt;=5,1,0)</f>
        <v>0</v>
      </c>
      <c r="H24" s="16">
        <f>IF(Rankings!H29&lt;=5,1,0)</f>
        <v>1</v>
      </c>
      <c r="I24" s="16">
        <f>IF(Rankings!I29&lt;=5,1,0)</f>
        <v>1</v>
      </c>
      <c r="J24" s="16">
        <f>IF(Rankings!J29&lt;=5,1,0)</f>
        <v>1</v>
      </c>
      <c r="K24" s="19">
        <f t="shared" si="0"/>
        <v>5</v>
      </c>
      <c r="L24" s="15">
        <f>SUMPRODUCT(C24:J24,Returns!B28:I28)/K24</f>
        <v>1.5082069447714442E-2</v>
      </c>
      <c r="M24" s="15">
        <v>0</v>
      </c>
      <c r="N24" s="15">
        <v>0</v>
      </c>
      <c r="O24" s="15">
        <f t="shared" si="1"/>
        <v>1.5082069447714442E-2</v>
      </c>
      <c r="P24" s="20">
        <f t="shared" si="3"/>
        <v>1.3907088920668595</v>
      </c>
      <c r="Q24" s="20">
        <f>MAX($P$5:P24)</f>
        <v>1.501770728327624</v>
      </c>
      <c r="R24" s="15">
        <f t="shared" si="2"/>
        <v>-7.3953922636675218E-2</v>
      </c>
      <c r="S24" s="15">
        <f>O24-Benchmark_RF!D24</f>
        <v>1.0236799323242774E-2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IF(Rankings!C29&lt;=5,1,0)</f>
        <v>1</v>
      </c>
      <c r="D25" s="16">
        <f>IF(Rankings!D29&lt;=5,1,0)</f>
        <v>0</v>
      </c>
      <c r="E25" s="16">
        <f>IF(Rankings!E29&lt;=5,1,0)</f>
        <v>0</v>
      </c>
      <c r="F25" s="16">
        <f>IF(Rankings!F29&lt;=5,1,0)</f>
        <v>1</v>
      </c>
      <c r="G25" s="16">
        <f>IF(Rankings!G29&lt;=5,1,0)</f>
        <v>0</v>
      </c>
      <c r="H25" s="16">
        <f>IF(Rankings!H29&lt;=5,1,0)</f>
        <v>1</v>
      </c>
      <c r="I25" s="16">
        <f>IF(Rankings!I29&lt;=5,1,0)</f>
        <v>1</v>
      </c>
      <c r="J25" s="16">
        <f>IF(Rankings!J29&lt;=5,1,0)</f>
        <v>1</v>
      </c>
      <c r="K25" s="19">
        <f t="shared" si="0"/>
        <v>5</v>
      </c>
      <c r="L25" s="15">
        <f>SUMPRODUCT(C25:J25,Returns!B29:I29)/K25</f>
        <v>4.7265404085986271E-2</v>
      </c>
      <c r="M25" s="15">
        <v>0</v>
      </c>
      <c r="N25" s="15">
        <v>0</v>
      </c>
      <c r="O25" s="15">
        <f t="shared" si="1"/>
        <v>4.7265404085986271E-2</v>
      </c>
      <c r="P25" s="20">
        <f t="shared" si="3"/>
        <v>1.456441309816374</v>
      </c>
      <c r="Q25" s="20">
        <f>MAX($P$5:P25)</f>
        <v>1.501770728327624</v>
      </c>
      <c r="R25" s="15">
        <f t="shared" si="2"/>
        <v>-3.0183980587855097E-2</v>
      </c>
      <c r="S25" s="15">
        <f>O25-Benchmark_RF!D25</f>
        <v>4.240962513323103E-2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IF(Rankings!C29&lt;=5,1,0)</f>
        <v>1</v>
      </c>
      <c r="D26" s="16">
        <f>IF(Rankings!D29&lt;=5,1,0)</f>
        <v>0</v>
      </c>
      <c r="E26" s="16">
        <f>IF(Rankings!E29&lt;=5,1,0)</f>
        <v>0</v>
      </c>
      <c r="F26" s="16">
        <f>IF(Rankings!F29&lt;=5,1,0)</f>
        <v>1</v>
      </c>
      <c r="G26" s="16">
        <f>IF(Rankings!G29&lt;=5,1,0)</f>
        <v>0</v>
      </c>
      <c r="H26" s="16">
        <f>IF(Rankings!H29&lt;=5,1,0)</f>
        <v>1</v>
      </c>
      <c r="I26" s="16">
        <f>IF(Rankings!I29&lt;=5,1,0)</f>
        <v>1</v>
      </c>
      <c r="J26" s="16">
        <f>IF(Rankings!J29&lt;=5,1,0)</f>
        <v>1</v>
      </c>
      <c r="K26" s="19">
        <f t="shared" si="0"/>
        <v>5</v>
      </c>
      <c r="L26" s="15">
        <f>SUMPRODUCT(C26:J26,Returns!B30:I30)/K26</f>
        <v>0.19113531122946972</v>
      </c>
      <c r="M26" s="15">
        <v>0</v>
      </c>
      <c r="N26" s="15">
        <v>0</v>
      </c>
      <c r="O26" s="15">
        <f t="shared" si="1"/>
        <v>0.19113531122946972</v>
      </c>
      <c r="P26" s="20">
        <f t="shared" si="3"/>
        <v>1.7348186728555832</v>
      </c>
      <c r="Q26" s="20">
        <f>MAX($P$5:P26)</f>
        <v>1.7348186728555832</v>
      </c>
      <c r="R26" s="15">
        <f t="shared" si="2"/>
        <v>0</v>
      </c>
      <c r="S26" s="15">
        <f>O26-Benchmark_RF!D26</f>
        <v>0.18627953227671448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IF(Rankings!C29&lt;=5,1,0)</f>
        <v>1</v>
      </c>
      <c r="D27" s="16">
        <f>IF(Rankings!D29&lt;=5,1,0)</f>
        <v>0</v>
      </c>
      <c r="E27" s="16">
        <f>IF(Rankings!E29&lt;=5,1,0)</f>
        <v>0</v>
      </c>
      <c r="F27" s="16">
        <f>IF(Rankings!F29&lt;=5,1,0)</f>
        <v>1</v>
      </c>
      <c r="G27" s="16">
        <f>IF(Rankings!G29&lt;=5,1,0)</f>
        <v>0</v>
      </c>
      <c r="H27" s="16">
        <f>IF(Rankings!H29&lt;=5,1,0)</f>
        <v>1</v>
      </c>
      <c r="I27" s="16">
        <f>IF(Rankings!I29&lt;=5,1,0)</f>
        <v>1</v>
      </c>
      <c r="J27" s="16">
        <f>IF(Rankings!J29&lt;=5,1,0)</f>
        <v>1</v>
      </c>
      <c r="K27" s="19">
        <f t="shared" si="0"/>
        <v>5</v>
      </c>
      <c r="L27" s="15">
        <f>SUMPRODUCT(C27:J27,Returns!B31:I31)/K27</f>
        <v>-2.3779551318856583E-2</v>
      </c>
      <c r="M27" s="15">
        <v>0</v>
      </c>
      <c r="N27" s="15">
        <v>0</v>
      </c>
      <c r="O27" s="15">
        <f t="shared" si="1"/>
        <v>-2.3779551318856583E-2</v>
      </c>
      <c r="P27" s="20">
        <f t="shared" si="3"/>
        <v>1.6935654631955033</v>
      </c>
      <c r="Q27" s="20">
        <f>MAX($P$5:P27)</f>
        <v>1.7348186728555832</v>
      </c>
      <c r="R27" s="15">
        <f t="shared" si="2"/>
        <v>-2.3779551318856562E-2</v>
      </c>
      <c r="S27" s="15">
        <f>O27-Benchmark_RF!D27</f>
        <v>-2.8639991695587307E-2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IF(Rankings!C29&lt;=5,1,0)</f>
        <v>1</v>
      </c>
      <c r="D28" s="16">
        <f>IF(Rankings!D29&lt;=5,1,0)</f>
        <v>0</v>
      </c>
      <c r="E28" s="16">
        <f>IF(Rankings!E29&lt;=5,1,0)</f>
        <v>0</v>
      </c>
      <c r="F28" s="16">
        <f>IF(Rankings!F29&lt;=5,1,0)</f>
        <v>1</v>
      </c>
      <c r="G28" s="16">
        <f>IF(Rankings!G29&lt;=5,1,0)</f>
        <v>0</v>
      </c>
      <c r="H28" s="16">
        <f>IF(Rankings!H29&lt;=5,1,0)</f>
        <v>1</v>
      </c>
      <c r="I28" s="16">
        <f>IF(Rankings!I29&lt;=5,1,0)</f>
        <v>1</v>
      </c>
      <c r="J28" s="16">
        <f>IF(Rankings!J29&lt;=5,1,0)</f>
        <v>1</v>
      </c>
      <c r="K28" s="19">
        <f t="shared" si="0"/>
        <v>5</v>
      </c>
      <c r="L28" s="15">
        <f>SUMPRODUCT(C28:J28,Returns!B32:I32)/K28</f>
        <v>-1.2021169974882895E-4</v>
      </c>
      <c r="M28" s="15">
        <v>0</v>
      </c>
      <c r="N28" s="15">
        <v>0</v>
      </c>
      <c r="O28" s="15">
        <f t="shared" si="1"/>
        <v>-1.2021169974882895E-4</v>
      </c>
      <c r="P28" s="20">
        <f t="shared" si="3"/>
        <v>1.6933618768125367</v>
      </c>
      <c r="Q28" s="20">
        <f>MAX($P$5:P28)</f>
        <v>1.7348186728555832</v>
      </c>
      <c r="R28" s="15">
        <f t="shared" si="2"/>
        <v>-2.3896904438322042E-2</v>
      </c>
      <c r="S28" s="15">
        <f>O28-Benchmark_RF!D28</f>
        <v>-4.9805730712751736E-3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IF(Rankings!C35&lt;=5,1,0)</f>
        <v>1</v>
      </c>
      <c r="D29" s="16">
        <f>IF(Rankings!D35&lt;=5,1,0)</f>
        <v>0</v>
      </c>
      <c r="E29" s="16">
        <f>IF(Rankings!E35&lt;=5,1,0)</f>
        <v>1</v>
      </c>
      <c r="F29" s="16">
        <f>IF(Rankings!F35&lt;=5,1,0)</f>
        <v>0</v>
      </c>
      <c r="G29" s="16">
        <f>IF(Rankings!G35&lt;=5,1,0)</f>
        <v>0</v>
      </c>
      <c r="H29" s="16">
        <f>IF(Rankings!H35&lt;=5,1,0)</f>
        <v>1</v>
      </c>
      <c r="I29" s="16">
        <f>IF(Rankings!I35&lt;=5,1,0)</f>
        <v>1</v>
      </c>
      <c r="J29" s="16">
        <f>IF(Rankings!J35&lt;=5,1,0)</f>
        <v>1</v>
      </c>
      <c r="K29" s="19">
        <f t="shared" si="0"/>
        <v>5</v>
      </c>
      <c r="L29" s="15">
        <f>SUMPRODUCT(C29:J29,Returns!B33:I33)/K29</f>
        <v>-0.1357311445207135</v>
      </c>
      <c r="M29" s="15">
        <f>-2*Assumptions!$B$13</f>
        <v>-7.0000000000000001E-3</v>
      </c>
      <c r="N29" s="15">
        <f>-Assumptions!$B$16*MAX(0,(1+O23)*(1+O24)*(1+O25)*(1+O26)*(1+O27)*(1+O28)-1)</f>
        <v>-1.9136524457858038E-2</v>
      </c>
      <c r="O29" s="15">
        <f t="shared" si="1"/>
        <v>-0.16186766897857155</v>
      </c>
      <c r="P29" s="20">
        <f t="shared" si="3"/>
        <v>1.4192613370757123</v>
      </c>
      <c r="Q29" s="20">
        <f>MAX($P$5:P29)</f>
        <v>1.7348186728555832</v>
      </c>
      <c r="R29" s="15">
        <f t="shared" si="2"/>
        <v>-0.18189643719965876</v>
      </c>
      <c r="S29" s="15">
        <f>O29-Benchmark_RF!D29</f>
        <v>-0.16672747731175366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IF(Rankings!C35&lt;=5,1,0)</f>
        <v>1</v>
      </c>
      <c r="D30" s="16">
        <f>IF(Rankings!D35&lt;=5,1,0)</f>
        <v>0</v>
      </c>
      <c r="E30" s="16">
        <f>IF(Rankings!E35&lt;=5,1,0)</f>
        <v>1</v>
      </c>
      <c r="F30" s="16">
        <f>IF(Rankings!F35&lt;=5,1,0)</f>
        <v>0</v>
      </c>
      <c r="G30" s="16">
        <f>IF(Rankings!G35&lt;=5,1,0)</f>
        <v>0</v>
      </c>
      <c r="H30" s="16">
        <f>IF(Rankings!H35&lt;=5,1,0)</f>
        <v>1</v>
      </c>
      <c r="I30" s="16">
        <f>IF(Rankings!I35&lt;=5,1,0)</f>
        <v>1</v>
      </c>
      <c r="J30" s="16">
        <f>IF(Rankings!J35&lt;=5,1,0)</f>
        <v>1</v>
      </c>
      <c r="K30" s="19">
        <f t="shared" si="0"/>
        <v>5</v>
      </c>
      <c r="L30" s="15">
        <f>SUMPRODUCT(C30:J30,Returns!B34:I34)/K30</f>
        <v>7.0426641481838498E-2</v>
      </c>
      <c r="M30" s="15">
        <v>0</v>
      </c>
      <c r="N30" s="15">
        <v>0</v>
      </c>
      <c r="O30" s="15">
        <f t="shared" si="1"/>
        <v>7.0426641481838498E-2</v>
      </c>
      <c r="P30" s="20">
        <f t="shared" si="3"/>
        <v>1.5192151464309782</v>
      </c>
      <c r="Q30" s="20">
        <f>MAX($P$5:P30)</f>
        <v>1.7348186728555832</v>
      </c>
      <c r="R30" s="15">
        <f t="shared" si="2"/>
        <v>-0.12428015088730437</v>
      </c>
      <c r="S30" s="15">
        <f>O30-Benchmark_RF!D30</f>
        <v>6.5566201105107774E-2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IF(Rankings!C35&lt;=5,1,0)</f>
        <v>1</v>
      </c>
      <c r="D31" s="16">
        <f>IF(Rankings!D35&lt;=5,1,0)</f>
        <v>0</v>
      </c>
      <c r="E31" s="16">
        <f>IF(Rankings!E35&lt;=5,1,0)</f>
        <v>1</v>
      </c>
      <c r="F31" s="16">
        <f>IF(Rankings!F35&lt;=5,1,0)</f>
        <v>0</v>
      </c>
      <c r="G31" s="16">
        <f>IF(Rankings!G35&lt;=5,1,0)</f>
        <v>0</v>
      </c>
      <c r="H31" s="16">
        <f>IF(Rankings!H35&lt;=5,1,0)</f>
        <v>1</v>
      </c>
      <c r="I31" s="16">
        <f>IF(Rankings!I35&lt;=5,1,0)</f>
        <v>1</v>
      </c>
      <c r="J31" s="16">
        <f>IF(Rankings!J35&lt;=5,1,0)</f>
        <v>1</v>
      </c>
      <c r="K31" s="19">
        <f t="shared" si="0"/>
        <v>5</v>
      </c>
      <c r="L31" s="15">
        <f>SUMPRODUCT(C31:J31,Returns!B35:I35)/K31</f>
        <v>-2.4894120903881302E-2</v>
      </c>
      <c r="M31" s="15">
        <v>0</v>
      </c>
      <c r="N31" s="15">
        <v>0</v>
      </c>
      <c r="O31" s="15">
        <f t="shared" si="1"/>
        <v>-2.4894120903881302E-2</v>
      </c>
      <c r="P31" s="20">
        <f t="shared" si="3"/>
        <v>1.4813956208967176</v>
      </c>
      <c r="Q31" s="20">
        <f>MAX($P$5:P31)</f>
        <v>1.7348186728555832</v>
      </c>
      <c r="R31" s="15">
        <f t="shared" si="2"/>
        <v>-0.14608042668904453</v>
      </c>
      <c r="S31" s="15">
        <f>O31-Benchmark_RF!D31</f>
        <v>-2.9754561280612025E-2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IF(Rankings!C35&lt;=5,1,0)</f>
        <v>1</v>
      </c>
      <c r="D32" s="16">
        <f>IF(Rankings!D35&lt;=5,1,0)</f>
        <v>0</v>
      </c>
      <c r="E32" s="16">
        <f>IF(Rankings!E35&lt;=5,1,0)</f>
        <v>1</v>
      </c>
      <c r="F32" s="16">
        <f>IF(Rankings!F35&lt;=5,1,0)</f>
        <v>0</v>
      </c>
      <c r="G32" s="16">
        <f>IF(Rankings!G35&lt;=5,1,0)</f>
        <v>0</v>
      </c>
      <c r="H32" s="16">
        <f>IF(Rankings!H35&lt;=5,1,0)</f>
        <v>1</v>
      </c>
      <c r="I32" s="16">
        <f>IF(Rankings!I35&lt;=5,1,0)</f>
        <v>1</v>
      </c>
      <c r="J32" s="16">
        <f>IF(Rankings!J35&lt;=5,1,0)</f>
        <v>1</v>
      </c>
      <c r="K32" s="19">
        <f t="shared" si="0"/>
        <v>5</v>
      </c>
      <c r="L32" s="15">
        <f>SUMPRODUCT(C32:J32,Returns!B36:I36)/K32</f>
        <v>0.12698787518600926</v>
      </c>
      <c r="M32" s="15">
        <v>0</v>
      </c>
      <c r="N32" s="15">
        <v>0</v>
      </c>
      <c r="O32" s="15">
        <f t="shared" si="1"/>
        <v>0.12698787518600926</v>
      </c>
      <c r="P32" s="20">
        <f t="shared" si="3"/>
        <v>1.6695149031042507</v>
      </c>
      <c r="Q32" s="20">
        <f>MAX($P$5:P32)</f>
        <v>1.7348186728555832</v>
      </c>
      <c r="R32" s="15">
        <f t="shared" si="2"/>
        <v>-3.764299449454267E-2</v>
      </c>
      <c r="S32" s="15">
        <f>O32-Benchmark_RF!D32</f>
        <v>0.12212751381448292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IF(Rankings!C35&lt;=5,1,0)</f>
        <v>1</v>
      </c>
      <c r="D33" s="16">
        <f>IF(Rankings!D35&lt;=5,1,0)</f>
        <v>0</v>
      </c>
      <c r="E33" s="16">
        <f>IF(Rankings!E35&lt;=5,1,0)</f>
        <v>1</v>
      </c>
      <c r="F33" s="16">
        <f>IF(Rankings!F35&lt;=5,1,0)</f>
        <v>0</v>
      </c>
      <c r="G33" s="16">
        <f>IF(Rankings!G35&lt;=5,1,0)</f>
        <v>0</v>
      </c>
      <c r="H33" s="16">
        <f>IF(Rankings!H35&lt;=5,1,0)</f>
        <v>1</v>
      </c>
      <c r="I33" s="16">
        <f>IF(Rankings!I35&lt;=5,1,0)</f>
        <v>1</v>
      </c>
      <c r="J33" s="16">
        <f>IF(Rankings!J35&lt;=5,1,0)</f>
        <v>1</v>
      </c>
      <c r="K33" s="19">
        <f t="shared" si="0"/>
        <v>5</v>
      </c>
      <c r="L33" s="15">
        <f>SUMPRODUCT(C33:J33,Returns!B37:I37)/K33</f>
        <v>-8.5749942380719535E-4</v>
      </c>
      <c r="M33" s="15">
        <v>0</v>
      </c>
      <c r="N33" s="15">
        <v>0</v>
      </c>
      <c r="O33" s="15">
        <f t="shared" si="1"/>
        <v>-8.5749942380719535E-4</v>
      </c>
      <c r="P33" s="20">
        <f t="shared" si="3"/>
        <v>1.6680832950368012</v>
      </c>
      <c r="Q33" s="20">
        <f>MAX($P$5:P33)</f>
        <v>1.7348186728555832</v>
      </c>
      <c r="R33" s="15">
        <f t="shared" si="2"/>
        <v>-3.8468215072260503E-2</v>
      </c>
      <c r="S33" s="15">
        <f>O33-Benchmark_RF!D33</f>
        <v>-5.7179398005379189E-3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IF(Rankings!C35&lt;=5,1,0)</f>
        <v>1</v>
      </c>
      <c r="D34" s="16">
        <f>IF(Rankings!D35&lt;=5,1,0)</f>
        <v>0</v>
      </c>
      <c r="E34" s="16">
        <f>IF(Rankings!E35&lt;=5,1,0)</f>
        <v>1</v>
      </c>
      <c r="F34" s="16">
        <f>IF(Rankings!F35&lt;=5,1,0)</f>
        <v>0</v>
      </c>
      <c r="G34" s="16">
        <f>IF(Rankings!G35&lt;=5,1,0)</f>
        <v>0</v>
      </c>
      <c r="H34" s="16">
        <f>IF(Rankings!H35&lt;=5,1,0)</f>
        <v>1</v>
      </c>
      <c r="I34" s="16">
        <f>IF(Rankings!I35&lt;=5,1,0)</f>
        <v>1</v>
      </c>
      <c r="J34" s="16">
        <f>IF(Rankings!J35&lt;=5,1,0)</f>
        <v>1</v>
      </c>
      <c r="K34" s="19">
        <f t="shared" si="0"/>
        <v>5</v>
      </c>
      <c r="L34" s="15">
        <f>SUMPRODUCT(C34:J34,Returns!B38:I38)/K34</f>
        <v>4.6220993316940982E-2</v>
      </c>
      <c r="M34" s="15">
        <v>0</v>
      </c>
      <c r="N34" s="15">
        <v>0</v>
      </c>
      <c r="O34" s="15">
        <f t="shared" si="1"/>
        <v>4.6220993316940982E-2</v>
      </c>
      <c r="P34" s="20">
        <f t="shared" si="3"/>
        <v>1.7451837618687982</v>
      </c>
      <c r="Q34" s="20">
        <f>MAX($P$5:P34)</f>
        <v>1.7451837618687982</v>
      </c>
      <c r="R34" s="15">
        <f t="shared" si="2"/>
        <v>0</v>
      </c>
      <c r="S34" s="15">
        <f>O34-Benchmark_RF!D34</f>
        <v>4.1195581178104755E-2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IF(Rankings!C41&lt;=5,1,0)</f>
        <v>1</v>
      </c>
      <c r="D35" s="16">
        <f>IF(Rankings!D41&lt;=5,1,0)</f>
        <v>1</v>
      </c>
      <c r="E35" s="16">
        <f>IF(Rankings!E41&lt;=5,1,0)</f>
        <v>1</v>
      </c>
      <c r="F35" s="16">
        <f>IF(Rankings!F41&lt;=5,1,0)</f>
        <v>0</v>
      </c>
      <c r="G35" s="16">
        <f>IF(Rankings!G41&lt;=5,1,0)</f>
        <v>1</v>
      </c>
      <c r="H35" s="16">
        <f>IF(Rankings!H41&lt;=5,1,0)</f>
        <v>0</v>
      </c>
      <c r="I35" s="16">
        <f>IF(Rankings!I41&lt;=5,1,0)</f>
        <v>0</v>
      </c>
      <c r="J35" s="16">
        <f>IF(Rankings!J41&lt;=5,1,0)</f>
        <v>1</v>
      </c>
      <c r="K35" s="19">
        <f t="shared" si="0"/>
        <v>5</v>
      </c>
      <c r="L35" s="15">
        <f>SUMPRODUCT(C35:J35,Returns!B39:I39)/K35</f>
        <v>-2.4876734335518423E-2</v>
      </c>
      <c r="M35" s="15">
        <f>-2*Assumptions!$B$13</f>
        <v>-7.0000000000000001E-3</v>
      </c>
      <c r="N35" s="15">
        <f>-Assumptions!$B$16*MAX(0,(1+O29)*(1+O30)*(1+O31)*(1+O32)*(1+O33)*(1+O34)-1)</f>
        <v>-4.5904439357469908E-3</v>
      </c>
      <c r="O35" s="15">
        <f t="shared" si="1"/>
        <v>-3.6467178271265416E-2</v>
      </c>
      <c r="P35" s="20">
        <f t="shared" si="3"/>
        <v>1.6815418345086111</v>
      </c>
      <c r="Q35" s="20">
        <f>MAX($P$5:P35)</f>
        <v>1.7451837618687982</v>
      </c>
      <c r="R35" s="15">
        <f t="shared" si="2"/>
        <v>-3.6467178271265444E-2</v>
      </c>
      <c r="S35" s="15">
        <f>O35-Benchmark_RF!D35</f>
        <v>-4.1517980650140313E-2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IF(Rankings!C41&lt;=5,1,0)</f>
        <v>1</v>
      </c>
      <c r="D36" s="16">
        <f>IF(Rankings!D41&lt;=5,1,0)</f>
        <v>1</v>
      </c>
      <c r="E36" s="16">
        <f>IF(Rankings!E41&lt;=5,1,0)</f>
        <v>1</v>
      </c>
      <c r="F36" s="16">
        <f>IF(Rankings!F41&lt;=5,1,0)</f>
        <v>0</v>
      </c>
      <c r="G36" s="16">
        <f>IF(Rankings!G41&lt;=5,1,0)</f>
        <v>1</v>
      </c>
      <c r="H36" s="16">
        <f>IF(Rankings!H41&lt;=5,1,0)</f>
        <v>0</v>
      </c>
      <c r="I36" s="16">
        <f>IF(Rankings!I41&lt;=5,1,0)</f>
        <v>0</v>
      </c>
      <c r="J36" s="16">
        <f>IF(Rankings!J41&lt;=5,1,0)</f>
        <v>1</v>
      </c>
      <c r="K36" s="19">
        <f t="shared" si="0"/>
        <v>5</v>
      </c>
      <c r="L36" s="15">
        <f>SUMPRODUCT(C36:J36,Returns!B40:I40)/K36</f>
        <v>5.695139930389144E-2</v>
      </c>
      <c r="M36" s="15">
        <v>0</v>
      </c>
      <c r="N36" s="15">
        <v>0</v>
      </c>
      <c r="O36" s="15">
        <f t="shared" si="1"/>
        <v>5.695139930389144E-2</v>
      </c>
      <c r="P36" s="20">
        <f t="shared" si="3"/>
        <v>1.7773079949719093</v>
      </c>
      <c r="Q36" s="20">
        <f>MAX($P$5:P36)</f>
        <v>1.7773079949719093</v>
      </c>
      <c r="R36" s="15">
        <f t="shared" si="2"/>
        <v>0</v>
      </c>
      <c r="S36" s="15">
        <f>O36-Benchmark_RF!D36</f>
        <v>5.1879391231776276E-2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IF(Rankings!C41&lt;=5,1,0)</f>
        <v>1</v>
      </c>
      <c r="D37" s="16">
        <f>IF(Rankings!D41&lt;=5,1,0)</f>
        <v>1</v>
      </c>
      <c r="E37" s="16">
        <f>IF(Rankings!E41&lt;=5,1,0)</f>
        <v>1</v>
      </c>
      <c r="F37" s="16">
        <f>IF(Rankings!F41&lt;=5,1,0)</f>
        <v>0</v>
      </c>
      <c r="G37" s="16">
        <f>IF(Rankings!G41&lt;=5,1,0)</f>
        <v>1</v>
      </c>
      <c r="H37" s="16">
        <f>IF(Rankings!H41&lt;=5,1,0)</f>
        <v>0</v>
      </c>
      <c r="I37" s="16">
        <f>IF(Rankings!I41&lt;=5,1,0)</f>
        <v>0</v>
      </c>
      <c r="J37" s="16">
        <f>IF(Rankings!J41&lt;=5,1,0)</f>
        <v>1</v>
      </c>
      <c r="K37" s="19">
        <f t="shared" ref="K37:K68" si="4">SUM(C37:J37)</f>
        <v>5</v>
      </c>
      <c r="L37" s="15">
        <f>SUMPRODUCT(C37:J37,Returns!B41:I41)/K37</f>
        <v>-3.9269010178817785E-3</v>
      </c>
      <c r="M37" s="15">
        <v>0</v>
      </c>
      <c r="N37" s="15">
        <v>0</v>
      </c>
      <c r="O37" s="15">
        <f t="shared" ref="O37:O68" si="5">L37+M37+N37</f>
        <v>-3.9269010178817785E-3</v>
      </c>
      <c r="P37" s="20">
        <f t="shared" si="3"/>
        <v>1.7703286823973647</v>
      </c>
      <c r="Q37" s="20">
        <f>MAX($P$5:P37)</f>
        <v>1.7773079949719093</v>
      </c>
      <c r="R37" s="15">
        <f t="shared" ref="R37:R68" si="6">P37/Q37-1</f>
        <v>-3.9269010178817343E-3</v>
      </c>
      <c r="S37" s="15">
        <f>O37-Benchmark_RF!D37</f>
        <v>-8.9814088355551387E-3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IF(Rankings!C41&lt;=5,1,0)</f>
        <v>1</v>
      </c>
      <c r="D38" s="16">
        <f>IF(Rankings!D41&lt;=5,1,0)</f>
        <v>1</v>
      </c>
      <c r="E38" s="16">
        <f>IF(Rankings!E41&lt;=5,1,0)</f>
        <v>1</v>
      </c>
      <c r="F38" s="16">
        <f>IF(Rankings!F41&lt;=5,1,0)</f>
        <v>0</v>
      </c>
      <c r="G38" s="16">
        <f>IF(Rankings!G41&lt;=5,1,0)</f>
        <v>1</v>
      </c>
      <c r="H38" s="16">
        <f>IF(Rankings!H41&lt;=5,1,0)</f>
        <v>0</v>
      </c>
      <c r="I38" s="16">
        <f>IF(Rankings!I41&lt;=5,1,0)</f>
        <v>0</v>
      </c>
      <c r="J38" s="16">
        <f>IF(Rankings!J41&lt;=5,1,0)</f>
        <v>1</v>
      </c>
      <c r="K38" s="19">
        <f t="shared" si="4"/>
        <v>5</v>
      </c>
      <c r="L38" s="15">
        <f>SUMPRODUCT(C38:J38,Returns!B42:I42)/K38</f>
        <v>-4.4929985619399426E-2</v>
      </c>
      <c r="M38" s="15">
        <v>0</v>
      </c>
      <c r="N38" s="15">
        <v>0</v>
      </c>
      <c r="O38" s="15">
        <f t="shared" si="5"/>
        <v>-4.4929985619399426E-2</v>
      </c>
      <c r="P38" s="20">
        <f t="shared" ref="P38:P69" si="7">P37*(1+O38)</f>
        <v>1.6907878401556409</v>
      </c>
      <c r="Q38" s="20">
        <f>MAX($P$5:P38)</f>
        <v>1.7773079949719093</v>
      </c>
      <c r="R38" s="15">
        <f t="shared" si="6"/>
        <v>-4.8680451031018923E-2</v>
      </c>
      <c r="S38" s="15">
        <f>O38-Benchmark_RF!D38</f>
        <v>-5.0001520755733386E-2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IF(Rankings!C41&lt;=5,1,0)</f>
        <v>1</v>
      </c>
      <c r="D39" s="16">
        <f>IF(Rankings!D41&lt;=5,1,0)</f>
        <v>1</v>
      </c>
      <c r="E39" s="16">
        <f>IF(Rankings!E41&lt;=5,1,0)</f>
        <v>1</v>
      </c>
      <c r="F39" s="16">
        <f>IF(Rankings!F41&lt;=5,1,0)</f>
        <v>0</v>
      </c>
      <c r="G39" s="16">
        <f>IF(Rankings!G41&lt;=5,1,0)</f>
        <v>1</v>
      </c>
      <c r="H39" s="16">
        <f>IF(Rankings!H41&lt;=5,1,0)</f>
        <v>0</v>
      </c>
      <c r="I39" s="16">
        <f>IF(Rankings!I41&lt;=5,1,0)</f>
        <v>0</v>
      </c>
      <c r="J39" s="16">
        <f>IF(Rankings!J41&lt;=5,1,0)</f>
        <v>1</v>
      </c>
      <c r="K39" s="19">
        <f t="shared" si="4"/>
        <v>5</v>
      </c>
      <c r="L39" s="15">
        <f>SUMPRODUCT(C39:J39,Returns!B43:I43)/K39</f>
        <v>-4.587612579561107E-3</v>
      </c>
      <c r="M39" s="15">
        <v>0</v>
      </c>
      <c r="N39" s="15">
        <v>0</v>
      </c>
      <c r="O39" s="15">
        <f t="shared" si="5"/>
        <v>-4.587612579561107E-3</v>
      </c>
      <c r="P39" s="20">
        <f t="shared" si="7"/>
        <v>1.683031160590774</v>
      </c>
      <c r="Q39" s="20">
        <f>MAX($P$5:P39)</f>
        <v>1.7773079949719093</v>
      </c>
      <c r="R39" s="15">
        <f t="shared" si="6"/>
        <v>-5.3044736561051353E-2</v>
      </c>
      <c r="S39" s="15">
        <f>O39-Benchmark_RF!D39</f>
        <v>-1.0053199291508852E-2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IF(Rankings!C41&lt;=5,1,0)</f>
        <v>1</v>
      </c>
      <c r="D40" s="16">
        <f>IF(Rankings!D41&lt;=5,1,0)</f>
        <v>1</v>
      </c>
      <c r="E40" s="16">
        <f>IF(Rankings!E41&lt;=5,1,0)</f>
        <v>1</v>
      </c>
      <c r="F40" s="16">
        <f>IF(Rankings!F41&lt;=5,1,0)</f>
        <v>0</v>
      </c>
      <c r="G40" s="16">
        <f>IF(Rankings!G41&lt;=5,1,0)</f>
        <v>1</v>
      </c>
      <c r="H40" s="16">
        <f>IF(Rankings!H41&lt;=5,1,0)</f>
        <v>0</v>
      </c>
      <c r="I40" s="16">
        <f>IF(Rankings!I41&lt;=5,1,0)</f>
        <v>0</v>
      </c>
      <c r="J40" s="16">
        <f>IF(Rankings!J41&lt;=5,1,0)</f>
        <v>1</v>
      </c>
      <c r="K40" s="19">
        <f t="shared" si="4"/>
        <v>5</v>
      </c>
      <c r="L40" s="15">
        <f>SUMPRODUCT(C40:J40,Returns!B44:I44)/K40</f>
        <v>3.4606331530181778E-2</v>
      </c>
      <c r="M40" s="15">
        <v>0</v>
      </c>
      <c r="N40" s="15">
        <v>0</v>
      </c>
      <c r="O40" s="15">
        <f t="shared" si="5"/>
        <v>3.4606331530181778E-2</v>
      </c>
      <c r="P40" s="20">
        <f t="shared" si="7"/>
        <v>1.7412746949098048</v>
      </c>
      <c r="Q40" s="20">
        <f>MAX($P$5:P40)</f>
        <v>1.7773079949719093</v>
      </c>
      <c r="R40" s="15">
        <f t="shared" si="6"/>
        <v>-2.0274088770232512E-2</v>
      </c>
      <c r="S40" s="15">
        <f>O40-Benchmark_RF!D40</f>
        <v>2.838898773713161E-2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IF(Rankings!C47&lt;=5,1,0)</f>
        <v>1</v>
      </c>
      <c r="D41" s="16">
        <f>IF(Rankings!D47&lt;=5,1,0)</f>
        <v>1</v>
      </c>
      <c r="E41" s="16">
        <f>IF(Rankings!E47&lt;=5,1,0)</f>
        <v>0</v>
      </c>
      <c r="F41" s="16">
        <f>IF(Rankings!F47&lt;=5,1,0)</f>
        <v>0</v>
      </c>
      <c r="G41" s="16">
        <f>IF(Rankings!G47&lt;=5,1,0)</f>
        <v>1</v>
      </c>
      <c r="H41" s="16">
        <f>IF(Rankings!H47&lt;=5,1,0)</f>
        <v>1</v>
      </c>
      <c r="I41" s="16">
        <f>IF(Rankings!I47&lt;=5,1,0)</f>
        <v>0</v>
      </c>
      <c r="J41" s="16">
        <f>IF(Rankings!J47&lt;=5,1,0)</f>
        <v>1</v>
      </c>
      <c r="K41" s="19">
        <f t="shared" si="4"/>
        <v>5</v>
      </c>
      <c r="L41" s="15">
        <f>SUMPRODUCT(C41:J41,Returns!B45:I45)/K41</f>
        <v>1.4014336998892674E-2</v>
      </c>
      <c r="M41" s="15">
        <f>-2*Assumptions!$B$13</f>
        <v>-7.0000000000000001E-3</v>
      </c>
      <c r="N41" s="15">
        <f>-Assumptions!$B$16*MAX(0,(1+O35)*(1+O36)*(1+O37)*(1+O38)*(1+O39)*(1+O40)-1)</f>
        <v>0</v>
      </c>
      <c r="O41" s="15">
        <f t="shared" si="5"/>
        <v>7.0143369988926738E-3</v>
      </c>
      <c r="P41" s="20">
        <f t="shared" si="7"/>
        <v>1.7534885824275461</v>
      </c>
      <c r="Q41" s="20">
        <f>MAX($P$5:P41)</f>
        <v>1.7773079949719093</v>
      </c>
      <c r="R41" s="15">
        <f t="shared" si="6"/>
        <v>-1.3401961062319723E-2</v>
      </c>
      <c r="S41" s="15">
        <f>O41-Benchmark_RF!D41</f>
        <v>7.7465553760694503E-4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IF(Rankings!C47&lt;=5,1,0)</f>
        <v>1</v>
      </c>
      <c r="D42" s="16">
        <f>IF(Rankings!D47&lt;=5,1,0)</f>
        <v>1</v>
      </c>
      <c r="E42" s="16">
        <f>IF(Rankings!E47&lt;=5,1,0)</f>
        <v>0</v>
      </c>
      <c r="F42" s="16">
        <f>IF(Rankings!F47&lt;=5,1,0)</f>
        <v>0</v>
      </c>
      <c r="G42" s="16">
        <f>IF(Rankings!G47&lt;=5,1,0)</f>
        <v>1</v>
      </c>
      <c r="H42" s="16">
        <f>IF(Rankings!H47&lt;=5,1,0)</f>
        <v>1</v>
      </c>
      <c r="I42" s="16">
        <f>IF(Rankings!I47&lt;=5,1,0)</f>
        <v>0</v>
      </c>
      <c r="J42" s="16">
        <f>IF(Rankings!J47&lt;=5,1,0)</f>
        <v>1</v>
      </c>
      <c r="K42" s="19">
        <f t="shared" si="4"/>
        <v>5</v>
      </c>
      <c r="L42" s="15">
        <f>SUMPRODUCT(C42:J42,Returns!B46:I46)/K42</f>
        <v>3.5621333731049145E-3</v>
      </c>
      <c r="M42" s="15">
        <v>0</v>
      </c>
      <c r="N42" s="15">
        <v>0</v>
      </c>
      <c r="O42" s="15">
        <f t="shared" si="5"/>
        <v>3.5621333731049145E-3</v>
      </c>
      <c r="P42" s="20">
        <f t="shared" si="7"/>
        <v>1.7597347426263696</v>
      </c>
      <c r="Q42" s="20">
        <f>MAX($P$5:P42)</f>
        <v>1.7773079949719093</v>
      </c>
      <c r="R42" s="15">
        <f t="shared" si="6"/>
        <v>-9.8875672619800348E-3</v>
      </c>
      <c r="S42" s="15">
        <f>O42-Benchmark_RF!D42</f>
        <v>-2.6775480881808143E-3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IF(Rankings!C47&lt;=5,1,0)</f>
        <v>1</v>
      </c>
      <c r="D43" s="16">
        <f>IF(Rankings!D47&lt;=5,1,0)</f>
        <v>1</v>
      </c>
      <c r="E43" s="16">
        <f>IF(Rankings!E47&lt;=5,1,0)</f>
        <v>0</v>
      </c>
      <c r="F43" s="16">
        <f>IF(Rankings!F47&lt;=5,1,0)</f>
        <v>0</v>
      </c>
      <c r="G43" s="16">
        <f>IF(Rankings!G47&lt;=5,1,0)</f>
        <v>1</v>
      </c>
      <c r="H43" s="16">
        <f>IF(Rankings!H47&lt;=5,1,0)</f>
        <v>1</v>
      </c>
      <c r="I43" s="16">
        <f>IF(Rankings!I47&lt;=5,1,0)</f>
        <v>0</v>
      </c>
      <c r="J43" s="16">
        <f>IF(Rankings!J47&lt;=5,1,0)</f>
        <v>1</v>
      </c>
      <c r="K43" s="19">
        <f t="shared" si="4"/>
        <v>5</v>
      </c>
      <c r="L43" s="15">
        <f>SUMPRODUCT(C43:J43,Returns!B47:I47)/K43</f>
        <v>3.3192904048122231E-2</v>
      </c>
      <c r="M43" s="15">
        <v>0</v>
      </c>
      <c r="N43" s="15">
        <v>0</v>
      </c>
      <c r="O43" s="15">
        <f t="shared" si="5"/>
        <v>3.3192904048122231E-2</v>
      </c>
      <c r="P43" s="20">
        <f t="shared" si="7"/>
        <v>1.8181454490885138</v>
      </c>
      <c r="Q43" s="20">
        <f>MAX($P$5:P43)</f>
        <v>1.8181454490885138</v>
      </c>
      <c r="R43" s="15">
        <f t="shared" si="6"/>
        <v>0</v>
      </c>
      <c r="S43" s="15">
        <f>O43-Benchmark_RF!D43</f>
        <v>2.6145965652384341E-2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IF(Rankings!C47&lt;=5,1,0)</f>
        <v>1</v>
      </c>
      <c r="D44" s="16">
        <f>IF(Rankings!D47&lt;=5,1,0)</f>
        <v>1</v>
      </c>
      <c r="E44" s="16">
        <f>IF(Rankings!E47&lt;=5,1,0)</f>
        <v>0</v>
      </c>
      <c r="F44" s="16">
        <f>IF(Rankings!F47&lt;=5,1,0)</f>
        <v>0</v>
      </c>
      <c r="G44" s="16">
        <f>IF(Rankings!G47&lt;=5,1,0)</f>
        <v>1</v>
      </c>
      <c r="H44" s="16">
        <f>IF(Rankings!H47&lt;=5,1,0)</f>
        <v>1</v>
      </c>
      <c r="I44" s="16">
        <f>IF(Rankings!I47&lt;=5,1,0)</f>
        <v>0</v>
      </c>
      <c r="J44" s="16">
        <f>IF(Rankings!J47&lt;=5,1,0)</f>
        <v>1</v>
      </c>
      <c r="K44" s="19">
        <f t="shared" si="4"/>
        <v>5</v>
      </c>
      <c r="L44" s="15">
        <f>SUMPRODUCT(C44:J44,Returns!B48:I48)/K44</f>
        <v>-2.7530823877130083E-2</v>
      </c>
      <c r="M44" s="15">
        <v>0</v>
      </c>
      <c r="N44" s="15">
        <v>0</v>
      </c>
      <c r="O44" s="15">
        <f t="shared" si="5"/>
        <v>-2.7530823877130083E-2</v>
      </c>
      <c r="P44" s="20">
        <f t="shared" si="7"/>
        <v>1.7680904069466523</v>
      </c>
      <c r="Q44" s="20">
        <f>MAX($P$5:P44)</f>
        <v>1.8181454490885138</v>
      </c>
      <c r="R44" s="15">
        <f t="shared" si="6"/>
        <v>-2.7530823877130128E-2</v>
      </c>
      <c r="S44" s="15">
        <f>O44-Benchmark_RF!D44</f>
        <v>-3.4582544742838686E-2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IF(Rankings!C47&lt;=5,1,0)</f>
        <v>1</v>
      </c>
      <c r="D45" s="16">
        <f>IF(Rankings!D47&lt;=5,1,0)</f>
        <v>1</v>
      </c>
      <c r="E45" s="16">
        <f>IF(Rankings!E47&lt;=5,1,0)</f>
        <v>0</v>
      </c>
      <c r="F45" s="16">
        <f>IF(Rankings!F47&lt;=5,1,0)</f>
        <v>0</v>
      </c>
      <c r="G45" s="16">
        <f>IF(Rankings!G47&lt;=5,1,0)</f>
        <v>1</v>
      </c>
      <c r="H45" s="16">
        <f>IF(Rankings!H47&lt;=5,1,0)</f>
        <v>1</v>
      </c>
      <c r="I45" s="16">
        <f>IF(Rankings!I47&lt;=5,1,0)</f>
        <v>0</v>
      </c>
      <c r="J45" s="16">
        <f>IF(Rankings!J47&lt;=5,1,0)</f>
        <v>1</v>
      </c>
      <c r="K45" s="19">
        <f t="shared" si="4"/>
        <v>5</v>
      </c>
      <c r="L45" s="15">
        <f>SUMPRODUCT(C45:J45,Returns!B49:I49)/K45</f>
        <v>-0.1053495486488468</v>
      </c>
      <c r="M45" s="15">
        <v>0</v>
      </c>
      <c r="N45" s="15">
        <v>0</v>
      </c>
      <c r="O45" s="15">
        <f t="shared" si="5"/>
        <v>-0.1053495486488468</v>
      </c>
      <c r="P45" s="20">
        <f t="shared" si="7"/>
        <v>1.5818228806044665</v>
      </c>
      <c r="Q45" s="20">
        <f>MAX($P$5:P45)</f>
        <v>1.8181454490885138</v>
      </c>
      <c r="R45" s="15">
        <f t="shared" si="6"/>
        <v>-0.12998001265659043</v>
      </c>
      <c r="S45" s="15">
        <f>O45-Benchmark_RF!D45</f>
        <v>-0.11354989839154492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IF(Rankings!C47&lt;=5,1,0)</f>
        <v>1</v>
      </c>
      <c r="D46" s="16">
        <f>IF(Rankings!D47&lt;=5,1,0)</f>
        <v>1</v>
      </c>
      <c r="E46" s="16">
        <f>IF(Rankings!E47&lt;=5,1,0)</f>
        <v>0</v>
      </c>
      <c r="F46" s="16">
        <f>IF(Rankings!F47&lt;=5,1,0)</f>
        <v>0</v>
      </c>
      <c r="G46" s="16">
        <f>IF(Rankings!G47&lt;=5,1,0)</f>
        <v>1</v>
      </c>
      <c r="H46" s="16">
        <f>IF(Rankings!H47&lt;=5,1,0)</f>
        <v>1</v>
      </c>
      <c r="I46" s="16">
        <f>IF(Rankings!I47&lt;=5,1,0)</f>
        <v>0</v>
      </c>
      <c r="J46" s="16">
        <f>IF(Rankings!J47&lt;=5,1,0)</f>
        <v>1</v>
      </c>
      <c r="K46" s="19">
        <f t="shared" si="4"/>
        <v>5</v>
      </c>
      <c r="L46" s="15">
        <f>SUMPRODUCT(C46:J46,Returns!B50:I50)/K46</f>
        <v>9.5486768839163488E-2</v>
      </c>
      <c r="M46" s="15">
        <v>0</v>
      </c>
      <c r="N46" s="15">
        <v>0</v>
      </c>
      <c r="O46" s="15">
        <f t="shared" si="5"/>
        <v>9.5486768839163488E-2</v>
      </c>
      <c r="P46" s="20">
        <f t="shared" si="7"/>
        <v>1.7328660363492447</v>
      </c>
      <c r="Q46" s="20">
        <f>MAX($P$5:P46)</f>
        <v>1.8181454490885138</v>
      </c>
      <c r="R46" s="15">
        <f t="shared" si="6"/>
        <v>-4.6904615239678482E-2</v>
      </c>
      <c r="S46" s="15">
        <f>O46-Benchmark_RF!D46</f>
        <v>8.728306752712775E-2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IF(Rankings!C53&lt;=5,1,0)</f>
        <v>1</v>
      </c>
      <c r="D47" s="16">
        <f>IF(Rankings!D53&lt;=5,1,0)</f>
        <v>1</v>
      </c>
      <c r="E47" s="16">
        <f>IF(Rankings!E53&lt;=5,1,0)</f>
        <v>1</v>
      </c>
      <c r="F47" s="16">
        <f>IF(Rankings!F53&lt;=5,1,0)</f>
        <v>0</v>
      </c>
      <c r="G47" s="16">
        <f>IF(Rankings!G53&lt;=5,1,0)</f>
        <v>1</v>
      </c>
      <c r="H47" s="16">
        <f>IF(Rankings!H53&lt;=5,1,0)</f>
        <v>0</v>
      </c>
      <c r="I47" s="16">
        <f>IF(Rankings!I53&lt;=5,1,0)</f>
        <v>1</v>
      </c>
      <c r="J47" s="16">
        <f>IF(Rankings!J53&lt;=5,1,0)</f>
        <v>0</v>
      </c>
      <c r="K47" s="19">
        <f t="shared" si="4"/>
        <v>5</v>
      </c>
      <c r="L47" s="15">
        <f>SUMPRODUCT(C47:J47,Returns!B51:I51)/K47</f>
        <v>5.6967059847827127E-3</v>
      </c>
      <c r="M47" s="15">
        <f>-2*Assumptions!$B$13</f>
        <v>-7.0000000000000001E-3</v>
      </c>
      <c r="N47" s="15">
        <f>-Assumptions!$B$16*MAX(0,(1+O41)*(1+O42)*(1+O43)*(1+O44)*(1+O45)*(1+O46)-1)</f>
        <v>0</v>
      </c>
      <c r="O47" s="15">
        <f t="shared" si="5"/>
        <v>-1.3032940152172875E-3</v>
      </c>
      <c r="P47" s="20">
        <f t="shared" si="7"/>
        <v>1.7306076024148973</v>
      </c>
      <c r="Q47" s="20">
        <f>MAX($P$5:P47)</f>
        <v>1.8181454490885138</v>
      </c>
      <c r="R47" s="15">
        <f t="shared" si="6"/>
        <v>-4.8146778750567831E-2</v>
      </c>
      <c r="S47" s="15">
        <f>O47-Benchmark_RF!D47</f>
        <v>-9.6963122305637247E-3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IF(Rankings!C53&lt;=5,1,0)</f>
        <v>1</v>
      </c>
      <c r="D48" s="16">
        <f>IF(Rankings!D53&lt;=5,1,0)</f>
        <v>1</v>
      </c>
      <c r="E48" s="16">
        <f>IF(Rankings!E53&lt;=5,1,0)</f>
        <v>1</v>
      </c>
      <c r="F48" s="16">
        <f>IF(Rankings!F53&lt;=5,1,0)</f>
        <v>0</v>
      </c>
      <c r="G48" s="16">
        <f>IF(Rankings!G53&lt;=5,1,0)</f>
        <v>1</v>
      </c>
      <c r="H48" s="16">
        <f>IF(Rankings!H53&lt;=5,1,0)</f>
        <v>0</v>
      </c>
      <c r="I48" s="16">
        <f>IF(Rankings!I53&lt;=5,1,0)</f>
        <v>1</v>
      </c>
      <c r="J48" s="16">
        <f>IF(Rankings!J53&lt;=5,1,0)</f>
        <v>0</v>
      </c>
      <c r="K48" s="19">
        <f t="shared" si="4"/>
        <v>5</v>
      </c>
      <c r="L48" s="15">
        <f>SUMPRODUCT(C48:J48,Returns!B52:I52)/K48</f>
        <v>-1.5489568508455264E-2</v>
      </c>
      <c r="M48" s="15">
        <v>0</v>
      </c>
      <c r="N48" s="15">
        <v>0</v>
      </c>
      <c r="O48" s="15">
        <f t="shared" si="5"/>
        <v>-1.5489568508455264E-2</v>
      </c>
      <c r="P48" s="20">
        <f t="shared" si="7"/>
        <v>1.7038012373960383</v>
      </c>
      <c r="Q48" s="20">
        <f>MAX($P$5:P48)</f>
        <v>1.8181454490885138</v>
      </c>
      <c r="R48" s="15">
        <f t="shared" si="6"/>
        <v>-6.2890574431104795E-2</v>
      </c>
      <c r="S48" s="15">
        <f>O48-Benchmark_RF!D48</f>
        <v>-2.3877265625684242E-2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IF(Rankings!C53&lt;=5,1,0)</f>
        <v>1</v>
      </c>
      <c r="D49" s="16">
        <f>IF(Rankings!D53&lt;=5,1,0)</f>
        <v>1</v>
      </c>
      <c r="E49" s="16">
        <f>IF(Rankings!E53&lt;=5,1,0)</f>
        <v>1</v>
      </c>
      <c r="F49" s="16">
        <f>IF(Rankings!F53&lt;=5,1,0)</f>
        <v>0</v>
      </c>
      <c r="G49" s="16">
        <f>IF(Rankings!G53&lt;=5,1,0)</f>
        <v>1</v>
      </c>
      <c r="H49" s="16">
        <f>IF(Rankings!H53&lt;=5,1,0)</f>
        <v>0</v>
      </c>
      <c r="I49" s="16">
        <f>IF(Rankings!I53&lt;=5,1,0)</f>
        <v>1</v>
      </c>
      <c r="J49" s="16">
        <f>IF(Rankings!J53&lt;=5,1,0)</f>
        <v>0</v>
      </c>
      <c r="K49" s="19">
        <f t="shared" si="4"/>
        <v>5</v>
      </c>
      <c r="L49" s="15">
        <f>SUMPRODUCT(C49:J49,Returns!B53:I53)/K49</f>
        <v>-4.1342191474523005E-2</v>
      </c>
      <c r="M49" s="15">
        <v>0</v>
      </c>
      <c r="N49" s="15">
        <v>0</v>
      </c>
      <c r="O49" s="15">
        <f t="shared" si="5"/>
        <v>-4.1342191474523005E-2</v>
      </c>
      <c r="P49" s="20">
        <f t="shared" si="7"/>
        <v>1.633362360405082</v>
      </c>
      <c r="Q49" s="20">
        <f>MAX($P$5:P49)</f>
        <v>1.8181454490885138</v>
      </c>
      <c r="R49" s="15">
        <f t="shared" si="6"/>
        <v>-0.10163273173555432</v>
      </c>
      <c r="S49" s="15">
        <f>O49-Benchmark_RF!D49</f>
        <v>-5.0039139351630069E-2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IF(Rankings!C53&lt;=5,1,0)</f>
        <v>1</v>
      </c>
      <c r="D50" s="16">
        <f>IF(Rankings!D53&lt;=5,1,0)</f>
        <v>1</v>
      </c>
      <c r="E50" s="16">
        <f>IF(Rankings!E53&lt;=5,1,0)</f>
        <v>1</v>
      </c>
      <c r="F50" s="16">
        <f>IF(Rankings!F53&lt;=5,1,0)</f>
        <v>0</v>
      </c>
      <c r="G50" s="16">
        <f>IF(Rankings!G53&lt;=5,1,0)</f>
        <v>1</v>
      </c>
      <c r="H50" s="16">
        <f>IF(Rankings!H53&lt;=5,1,0)</f>
        <v>0</v>
      </c>
      <c r="I50" s="16">
        <f>IF(Rankings!I53&lt;=5,1,0)</f>
        <v>1</v>
      </c>
      <c r="J50" s="16">
        <f>IF(Rankings!J53&lt;=5,1,0)</f>
        <v>0</v>
      </c>
      <c r="K50" s="19">
        <f t="shared" si="4"/>
        <v>5</v>
      </c>
      <c r="L50" s="15">
        <f>SUMPRODUCT(C50:J50,Returns!B54:I54)/K50</f>
        <v>2.8248004103211398E-2</v>
      </c>
      <c r="M50" s="15">
        <v>0</v>
      </c>
      <c r="N50" s="15">
        <v>0</v>
      </c>
      <c r="O50" s="15">
        <f t="shared" si="5"/>
        <v>2.8248004103211398E-2</v>
      </c>
      <c r="P50" s="20">
        <f t="shared" si="7"/>
        <v>1.6795015870638357</v>
      </c>
      <c r="Q50" s="20">
        <f>MAX($P$5:P50)</f>
        <v>1.8181454490885138</v>
      </c>
      <c r="R50" s="15">
        <f t="shared" si="6"/>
        <v>-7.6255649455429508E-2</v>
      </c>
      <c r="S50" s="15">
        <f>O50-Benchmark_RF!D50</f>
        <v>1.8328561430543309E-2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IF(Rankings!C53&lt;=5,1,0)</f>
        <v>1</v>
      </c>
      <c r="D51" s="16">
        <f>IF(Rankings!D53&lt;=5,1,0)</f>
        <v>1</v>
      </c>
      <c r="E51" s="16">
        <f>IF(Rankings!E53&lt;=5,1,0)</f>
        <v>1</v>
      </c>
      <c r="F51" s="16">
        <f>IF(Rankings!F53&lt;=5,1,0)</f>
        <v>0</v>
      </c>
      <c r="G51" s="16">
        <f>IF(Rankings!G53&lt;=5,1,0)</f>
        <v>1</v>
      </c>
      <c r="H51" s="16">
        <f>IF(Rankings!H53&lt;=5,1,0)</f>
        <v>0</v>
      </c>
      <c r="I51" s="16">
        <f>IF(Rankings!I53&lt;=5,1,0)</f>
        <v>1</v>
      </c>
      <c r="J51" s="16">
        <f>IF(Rankings!J53&lt;=5,1,0)</f>
        <v>0</v>
      </c>
      <c r="K51" s="19">
        <f t="shared" si="4"/>
        <v>5</v>
      </c>
      <c r="L51" s="15">
        <f>SUMPRODUCT(C51:J51,Returns!B55:I55)/K51</f>
        <v>-7.4478556950312649E-2</v>
      </c>
      <c r="M51" s="15">
        <v>0</v>
      </c>
      <c r="N51" s="15">
        <v>0</v>
      </c>
      <c r="O51" s="15">
        <f t="shared" si="5"/>
        <v>-7.4478556950312649E-2</v>
      </c>
      <c r="P51" s="20">
        <f t="shared" si="7"/>
        <v>1.5544147324635613</v>
      </c>
      <c r="Q51" s="20">
        <f>MAX($P$5:P51)</f>
        <v>1.8181454490885138</v>
      </c>
      <c r="R51" s="15">
        <f t="shared" si="6"/>
        <v>-0.14505479567499291</v>
      </c>
      <c r="S51" s="15">
        <f>O51-Benchmark_RF!D51</f>
        <v>-8.4520074977199336E-2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IF(Rankings!C53&lt;=5,1,0)</f>
        <v>1</v>
      </c>
      <c r="D52" s="16">
        <f>IF(Rankings!D53&lt;=5,1,0)</f>
        <v>1</v>
      </c>
      <c r="E52" s="16">
        <f>IF(Rankings!E53&lt;=5,1,0)</f>
        <v>1</v>
      </c>
      <c r="F52" s="16">
        <f>IF(Rankings!F53&lt;=5,1,0)</f>
        <v>0</v>
      </c>
      <c r="G52" s="16">
        <f>IF(Rankings!G53&lt;=5,1,0)</f>
        <v>1</v>
      </c>
      <c r="H52" s="16">
        <f>IF(Rankings!H53&lt;=5,1,0)</f>
        <v>0</v>
      </c>
      <c r="I52" s="16">
        <f>IF(Rankings!I53&lt;=5,1,0)</f>
        <v>1</v>
      </c>
      <c r="J52" s="16">
        <f>IF(Rankings!J53&lt;=5,1,0)</f>
        <v>0</v>
      </c>
      <c r="K52" s="19">
        <f t="shared" si="4"/>
        <v>5</v>
      </c>
      <c r="L52" s="15">
        <f>SUMPRODUCT(C52:J52,Returns!B56:I56)/K52</f>
        <v>-3.9495324082821373E-2</v>
      </c>
      <c r="M52" s="15">
        <v>0</v>
      </c>
      <c r="N52" s="15">
        <v>0</v>
      </c>
      <c r="O52" s="15">
        <f t="shared" si="5"/>
        <v>-3.9495324082821373E-2</v>
      </c>
      <c r="P52" s="20">
        <f t="shared" si="7"/>
        <v>1.4930226188458009</v>
      </c>
      <c r="Q52" s="20">
        <f>MAX($P$5:P52)</f>
        <v>1.8181454490885138</v>
      </c>
      <c r="R52" s="15">
        <f t="shared" si="6"/>
        <v>-0.178821133592863</v>
      </c>
      <c r="S52" s="15">
        <f>O52-Benchmark_RF!D52</f>
        <v>-5.0286050923835937E-2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IF(Rankings!C59&lt;=5,1,0)</f>
        <v>1</v>
      </c>
      <c r="D53" s="16">
        <f>IF(Rankings!D59&lt;=5,1,0)</f>
        <v>1</v>
      </c>
      <c r="E53" s="16">
        <f>IF(Rankings!E59&lt;=5,1,0)</f>
        <v>1</v>
      </c>
      <c r="F53" s="16">
        <f>IF(Rankings!F59&lt;=5,1,0)</f>
        <v>0</v>
      </c>
      <c r="G53" s="16">
        <f>IF(Rankings!G59&lt;=5,1,0)</f>
        <v>1</v>
      </c>
      <c r="H53" s="16">
        <f>IF(Rankings!H59&lt;=5,1,0)</f>
        <v>1</v>
      </c>
      <c r="I53" s="16">
        <f>IF(Rankings!I59&lt;=5,1,0)</f>
        <v>0</v>
      </c>
      <c r="J53" s="16">
        <f>IF(Rankings!J59&lt;=5,1,0)</f>
        <v>0</v>
      </c>
      <c r="K53" s="19">
        <f t="shared" si="4"/>
        <v>5</v>
      </c>
      <c r="L53" s="15">
        <f>SUMPRODUCT(C53:J53,Returns!B57:I57)/K53</f>
        <v>-6.8956348862975497E-2</v>
      </c>
      <c r="M53" s="15">
        <f>-2*Assumptions!$B$13</f>
        <v>-7.0000000000000001E-3</v>
      </c>
      <c r="N53" s="15">
        <f>-Assumptions!$B$16*MAX(0,(1+O47)*(1+O48)*(1+O49)*(1+O50)*(1+O51)*(1+O52)-1)</f>
        <v>0</v>
      </c>
      <c r="O53" s="15">
        <f t="shared" si="5"/>
        <v>-7.5956348862975503E-2</v>
      </c>
      <c r="P53" s="20">
        <f t="shared" si="7"/>
        <v>1.3796180719484359</v>
      </c>
      <c r="Q53" s="20">
        <f>MAX($P$5:P53)</f>
        <v>1.8181454490885138</v>
      </c>
      <c r="R53" s="15">
        <f t="shared" si="6"/>
        <v>-0.24119488204858619</v>
      </c>
      <c r="S53" s="15">
        <f>O53-Benchmark_RF!D53</f>
        <v>-8.6749519433764161E-2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IF(Rankings!C59&lt;=5,1,0)</f>
        <v>1</v>
      </c>
      <c r="D54" s="16">
        <f>IF(Rankings!D59&lt;=5,1,0)</f>
        <v>1</v>
      </c>
      <c r="E54" s="16">
        <f>IF(Rankings!E59&lt;=5,1,0)</f>
        <v>1</v>
      </c>
      <c r="F54" s="16">
        <f>IF(Rankings!F59&lt;=5,1,0)</f>
        <v>0</v>
      </c>
      <c r="G54" s="16">
        <f>IF(Rankings!G59&lt;=5,1,0)</f>
        <v>1</v>
      </c>
      <c r="H54" s="16">
        <f>IF(Rankings!H59&lt;=5,1,0)</f>
        <v>1</v>
      </c>
      <c r="I54" s="16">
        <f>IF(Rankings!I59&lt;=5,1,0)</f>
        <v>0</v>
      </c>
      <c r="J54" s="16">
        <f>IF(Rankings!J59&lt;=5,1,0)</f>
        <v>0</v>
      </c>
      <c r="K54" s="19">
        <f t="shared" si="4"/>
        <v>5</v>
      </c>
      <c r="L54" s="15">
        <f>SUMPRODUCT(C54:J54,Returns!B58:I58)/K54</f>
        <v>3.5693587153054526E-2</v>
      </c>
      <c r="M54" s="15">
        <v>0</v>
      </c>
      <c r="N54" s="15">
        <v>0</v>
      </c>
      <c r="O54" s="15">
        <f t="shared" si="5"/>
        <v>3.5693587153054526E-2</v>
      </c>
      <c r="P54" s="20">
        <f t="shared" si="7"/>
        <v>1.4288615898374566</v>
      </c>
      <c r="Q54" s="20">
        <f>MAX($P$5:P54)</f>
        <v>1.8181454490885138</v>
      </c>
      <c r="R54" s="15">
        <f t="shared" si="6"/>
        <v>-0.21411040543880355</v>
      </c>
      <c r="S54" s="15">
        <f>O54-Benchmark_RF!D54</f>
        <v>2.4923449464293965E-2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IF(Rankings!C59&lt;=5,1,0)</f>
        <v>1</v>
      </c>
      <c r="D55" s="16">
        <f>IF(Rankings!D59&lt;=5,1,0)</f>
        <v>1</v>
      </c>
      <c r="E55" s="16">
        <f>IF(Rankings!E59&lt;=5,1,0)</f>
        <v>1</v>
      </c>
      <c r="F55" s="16">
        <f>IF(Rankings!F59&lt;=5,1,0)</f>
        <v>0</v>
      </c>
      <c r="G55" s="16">
        <f>IF(Rankings!G59&lt;=5,1,0)</f>
        <v>1</v>
      </c>
      <c r="H55" s="16">
        <f>IF(Rankings!H59&lt;=5,1,0)</f>
        <v>1</v>
      </c>
      <c r="I55" s="16">
        <f>IF(Rankings!I59&lt;=5,1,0)</f>
        <v>0</v>
      </c>
      <c r="J55" s="16">
        <f>IF(Rankings!J59&lt;=5,1,0)</f>
        <v>0</v>
      </c>
      <c r="K55" s="19">
        <f t="shared" si="4"/>
        <v>5</v>
      </c>
      <c r="L55" s="15">
        <f>SUMPRODUCT(C55:J55,Returns!B59:I59)/K55</f>
        <v>3.8881647615670943E-2</v>
      </c>
      <c r="M55" s="15">
        <v>0</v>
      </c>
      <c r="N55" s="15">
        <v>0</v>
      </c>
      <c r="O55" s="15">
        <f t="shared" si="5"/>
        <v>3.8881647615670943E-2</v>
      </c>
      <c r="P55" s="20">
        <f t="shared" si="7"/>
        <v>1.4844180826650841</v>
      </c>
      <c r="Q55" s="20">
        <f>MAX($P$5:P55)</f>
        <v>1.8181454490885138</v>
      </c>
      <c r="R55" s="15">
        <f t="shared" si="6"/>
        <v>-0.18355372315825247</v>
      </c>
      <c r="S55" s="15">
        <f>O55-Benchmark_RF!D55</f>
        <v>2.8458441346890816E-2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IF(Rankings!C59&lt;=5,1,0)</f>
        <v>1</v>
      </c>
      <c r="D56" s="16">
        <f>IF(Rankings!D59&lt;=5,1,0)</f>
        <v>1</v>
      </c>
      <c r="E56" s="16">
        <f>IF(Rankings!E59&lt;=5,1,0)</f>
        <v>1</v>
      </c>
      <c r="F56" s="16">
        <f>IF(Rankings!F59&lt;=5,1,0)</f>
        <v>0</v>
      </c>
      <c r="G56" s="16">
        <f>IF(Rankings!G59&lt;=5,1,0)</f>
        <v>1</v>
      </c>
      <c r="H56" s="16">
        <f>IF(Rankings!H59&lt;=5,1,0)</f>
        <v>1</v>
      </c>
      <c r="I56" s="16">
        <f>IF(Rankings!I59&lt;=5,1,0)</f>
        <v>0</v>
      </c>
      <c r="J56" s="16">
        <f>IF(Rankings!J59&lt;=5,1,0)</f>
        <v>0</v>
      </c>
      <c r="K56" s="19">
        <f t="shared" si="4"/>
        <v>5</v>
      </c>
      <c r="L56" s="15">
        <f>SUMPRODUCT(C56:J56,Returns!B60:I60)/K56</f>
        <v>8.7199396990813582E-2</v>
      </c>
      <c r="M56" s="15">
        <v>0</v>
      </c>
      <c r="N56" s="15">
        <v>0</v>
      </c>
      <c r="O56" s="15">
        <f t="shared" si="5"/>
        <v>8.7199396990813582E-2</v>
      </c>
      <c r="P56" s="20">
        <f t="shared" si="7"/>
        <v>1.6138584443557391</v>
      </c>
      <c r="Q56" s="20">
        <f>MAX($P$5:P56)</f>
        <v>1.8181454490885138</v>
      </c>
      <c r="R56" s="15">
        <f t="shared" si="6"/>
        <v>-0.11236010014225728</v>
      </c>
      <c r="S56" s="15">
        <f>O56-Benchmark_RF!D56</f>
        <v>7.6619890881857167E-2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IF(Rankings!C59&lt;=5,1,0)</f>
        <v>1</v>
      </c>
      <c r="D57" s="16">
        <f>IF(Rankings!D59&lt;=5,1,0)</f>
        <v>1</v>
      </c>
      <c r="E57" s="16">
        <f>IF(Rankings!E59&lt;=5,1,0)</f>
        <v>1</v>
      </c>
      <c r="F57" s="16">
        <f>IF(Rankings!F59&lt;=5,1,0)</f>
        <v>0</v>
      </c>
      <c r="G57" s="16">
        <f>IF(Rankings!G59&lt;=5,1,0)</f>
        <v>1</v>
      </c>
      <c r="H57" s="16">
        <f>IF(Rankings!H59&lt;=5,1,0)</f>
        <v>1</v>
      </c>
      <c r="I57" s="16">
        <f>IF(Rankings!I59&lt;=5,1,0)</f>
        <v>0</v>
      </c>
      <c r="J57" s="16">
        <f>IF(Rankings!J59&lt;=5,1,0)</f>
        <v>0</v>
      </c>
      <c r="K57" s="19">
        <f t="shared" si="4"/>
        <v>5</v>
      </c>
      <c r="L57" s="15">
        <f>SUMPRODUCT(C57:J57,Returns!B61:I61)/K57</f>
        <v>4.0282910831555288E-2</v>
      </c>
      <c r="M57" s="15">
        <v>0</v>
      </c>
      <c r="N57" s="15">
        <v>0</v>
      </c>
      <c r="O57" s="15">
        <f t="shared" si="5"/>
        <v>4.0282910831555288E-2</v>
      </c>
      <c r="P57" s="20">
        <f t="shared" si="7"/>
        <v>1.6788693601644737</v>
      </c>
      <c r="Q57" s="20">
        <f>MAX($P$5:P57)</f>
        <v>1.8181454490885138</v>
      </c>
      <c r="R57" s="15">
        <f t="shared" si="6"/>
        <v>-7.6603381205757271E-2</v>
      </c>
      <c r="S57" s="15">
        <f>O57-Benchmark_RF!D57</f>
        <v>2.9714242041924147E-2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IF(Rankings!C59&lt;=5,1,0)</f>
        <v>1</v>
      </c>
      <c r="D58" s="16">
        <f>IF(Rankings!D59&lt;=5,1,0)</f>
        <v>1</v>
      </c>
      <c r="E58" s="16">
        <f>IF(Rankings!E59&lt;=5,1,0)</f>
        <v>1</v>
      </c>
      <c r="F58" s="16">
        <f>IF(Rankings!F59&lt;=5,1,0)</f>
        <v>0</v>
      </c>
      <c r="G58" s="16">
        <f>IF(Rankings!G59&lt;=5,1,0)</f>
        <v>1</v>
      </c>
      <c r="H58" s="16">
        <f>IF(Rankings!H59&lt;=5,1,0)</f>
        <v>1</v>
      </c>
      <c r="I58" s="16">
        <f>IF(Rankings!I59&lt;=5,1,0)</f>
        <v>0</v>
      </c>
      <c r="J58" s="16">
        <f>IF(Rankings!J59&lt;=5,1,0)</f>
        <v>0</v>
      </c>
      <c r="K58" s="19">
        <f t="shared" si="4"/>
        <v>5</v>
      </c>
      <c r="L58" s="15">
        <f>SUMPRODUCT(C58:J58,Returns!B62:I62)/K58</f>
        <v>2.6703750880819711E-2</v>
      </c>
      <c r="M58" s="15">
        <v>0</v>
      </c>
      <c r="N58" s="15">
        <v>0</v>
      </c>
      <c r="O58" s="15">
        <f t="shared" si="5"/>
        <v>2.6703750880819711E-2</v>
      </c>
      <c r="P58" s="20">
        <f t="shared" si="7"/>
        <v>1.723701469319747</v>
      </c>
      <c r="Q58" s="20">
        <f>MAX($P$5:P58)</f>
        <v>1.8181454490885138</v>
      </c>
      <c r="R58" s="15">
        <f t="shared" si="6"/>
        <v>-5.1945227933284488E-2</v>
      </c>
      <c r="S58" s="15">
        <f>O58-Benchmark_RF!D58</f>
        <v>1.617792428526248E-2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IF(Rankings!C65&lt;=5,1,0)</f>
        <v>1</v>
      </c>
      <c r="D59" s="16">
        <f>IF(Rankings!D65&lt;=5,1,0)</f>
        <v>0</v>
      </c>
      <c r="E59" s="16">
        <f>IF(Rankings!E65&lt;=5,1,0)</f>
        <v>0</v>
      </c>
      <c r="F59" s="16">
        <f>IF(Rankings!F65&lt;=5,1,0)</f>
        <v>1</v>
      </c>
      <c r="G59" s="16">
        <f>IF(Rankings!G65&lt;=5,1,0)</f>
        <v>0</v>
      </c>
      <c r="H59" s="16">
        <f>IF(Rankings!H65&lt;=5,1,0)</f>
        <v>1</v>
      </c>
      <c r="I59" s="16">
        <f>IF(Rankings!I65&lt;=5,1,0)</f>
        <v>1</v>
      </c>
      <c r="J59" s="16">
        <f>IF(Rankings!J65&lt;=5,1,0)</f>
        <v>1</v>
      </c>
      <c r="K59" s="19">
        <f t="shared" si="4"/>
        <v>5</v>
      </c>
      <c r="L59" s="15">
        <f>SUMPRODUCT(C59:J59,Returns!B63:I63)/K59</f>
        <v>-4.844332175682993E-2</v>
      </c>
      <c r="M59" s="15">
        <f>-2*Assumptions!$B$13</f>
        <v>-7.0000000000000001E-3</v>
      </c>
      <c r="N59" s="15">
        <f>-Assumptions!$B$16*MAX(0,(1+O53)*(1+O54)*(1+O55)*(1+O56)*(1+O57)*(1+O58)-1)</f>
        <v>-2.3175688790194791E-2</v>
      </c>
      <c r="O59" s="15">
        <f t="shared" si="5"/>
        <v>-7.861901054702472E-2</v>
      </c>
      <c r="P59" s="20">
        <f t="shared" si="7"/>
        <v>1.5881857653233757</v>
      </c>
      <c r="Q59" s="20">
        <f>MAX($P$5:P59)</f>
        <v>1.8181454490885138</v>
      </c>
      <c r="R59" s="15">
        <f t="shared" si="6"/>
        <v>-0.12648035605755481</v>
      </c>
      <c r="S59" s="15">
        <f>O59-Benchmark_RF!D59</f>
        <v>-8.9139341203984174E-2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IF(Rankings!C65&lt;=5,1,0)</f>
        <v>1</v>
      </c>
      <c r="D60" s="16">
        <f>IF(Rankings!D65&lt;=5,1,0)</f>
        <v>0</v>
      </c>
      <c r="E60" s="16">
        <f>IF(Rankings!E65&lt;=5,1,0)</f>
        <v>0</v>
      </c>
      <c r="F60" s="16">
        <f>IF(Rankings!F65&lt;=5,1,0)</f>
        <v>1</v>
      </c>
      <c r="G60" s="16">
        <f>IF(Rankings!G65&lt;=5,1,0)</f>
        <v>0</v>
      </c>
      <c r="H60" s="16">
        <f>IF(Rankings!H65&lt;=5,1,0)</f>
        <v>1</v>
      </c>
      <c r="I60" s="16">
        <f>IF(Rankings!I65&lt;=5,1,0)</f>
        <v>1</v>
      </c>
      <c r="J60" s="16">
        <f>IF(Rankings!J65&lt;=5,1,0)</f>
        <v>1</v>
      </c>
      <c r="K60" s="19">
        <f t="shared" si="4"/>
        <v>5</v>
      </c>
      <c r="L60" s="15">
        <f>SUMPRODUCT(C60:J60,Returns!B64:I64)/K60</f>
        <v>-0.27811295930383384</v>
      </c>
      <c r="M60" s="15">
        <v>0</v>
      </c>
      <c r="N60" s="15">
        <v>0</v>
      </c>
      <c r="O60" s="15">
        <f t="shared" si="5"/>
        <v>-0.27811295930383384</v>
      </c>
      <c r="P60" s="20">
        <f t="shared" si="7"/>
        <v>1.1464907222050675</v>
      </c>
      <c r="Q60" s="20">
        <f>MAX($P$5:P60)</f>
        <v>1.8181454490885138</v>
      </c>
      <c r="R60" s="15">
        <f t="shared" si="6"/>
        <v>-0.36941748924441953</v>
      </c>
      <c r="S60" s="15">
        <f>O60-Benchmark_RF!D60</f>
        <v>-0.2870120443346269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IF(Rankings!C65&lt;=5,1,0)</f>
        <v>1</v>
      </c>
      <c r="D61" s="16">
        <f>IF(Rankings!D65&lt;=5,1,0)</f>
        <v>0</v>
      </c>
      <c r="E61" s="16">
        <f>IF(Rankings!E65&lt;=5,1,0)</f>
        <v>0</v>
      </c>
      <c r="F61" s="16">
        <f>IF(Rankings!F65&lt;=5,1,0)</f>
        <v>1</v>
      </c>
      <c r="G61" s="16">
        <f>IF(Rankings!G65&lt;=5,1,0)</f>
        <v>0</v>
      </c>
      <c r="H61" s="16">
        <f>IF(Rankings!H65&lt;=5,1,0)</f>
        <v>1</v>
      </c>
      <c r="I61" s="16">
        <f>IF(Rankings!I65&lt;=5,1,0)</f>
        <v>1</v>
      </c>
      <c r="J61" s="16">
        <f>IF(Rankings!J65&lt;=5,1,0)</f>
        <v>1</v>
      </c>
      <c r="K61" s="19">
        <f t="shared" si="4"/>
        <v>5</v>
      </c>
      <c r="L61" s="15">
        <f>SUMPRODUCT(C61:J61,Returns!B65:I65)/K61</f>
        <v>0.16147947438213234</v>
      </c>
      <c r="M61" s="15">
        <v>0</v>
      </c>
      <c r="N61" s="15">
        <v>0</v>
      </c>
      <c r="O61" s="15">
        <f t="shared" si="5"/>
        <v>0.16147947438213234</v>
      </c>
      <c r="P61" s="20">
        <f t="shared" si="7"/>
        <v>1.3316254414107331</v>
      </c>
      <c r="Q61" s="20">
        <f>MAX($P$5:P61)</f>
        <v>1.8181454490885138</v>
      </c>
      <c r="R61" s="15">
        <f t="shared" si="6"/>
        <v>-0.26759135685304303</v>
      </c>
      <c r="S61" s="15">
        <f>O61-Benchmark_RF!D61</f>
        <v>0.1548794091417724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IF(Rankings!C65&lt;=5,1,0)</f>
        <v>1</v>
      </c>
      <c r="D62" s="16">
        <f>IF(Rankings!D65&lt;=5,1,0)</f>
        <v>0</v>
      </c>
      <c r="E62" s="16">
        <f>IF(Rankings!E65&lt;=5,1,0)</f>
        <v>0</v>
      </c>
      <c r="F62" s="16">
        <f>IF(Rankings!F65&lt;=5,1,0)</f>
        <v>1</v>
      </c>
      <c r="G62" s="16">
        <f>IF(Rankings!G65&lt;=5,1,0)</f>
        <v>0</v>
      </c>
      <c r="H62" s="16">
        <f>IF(Rankings!H65&lt;=5,1,0)</f>
        <v>1</v>
      </c>
      <c r="I62" s="16">
        <f>IF(Rankings!I65&lt;=5,1,0)</f>
        <v>1</v>
      </c>
      <c r="J62" s="16">
        <f>IF(Rankings!J65&lt;=5,1,0)</f>
        <v>1</v>
      </c>
      <c r="K62" s="19">
        <f t="shared" si="4"/>
        <v>5</v>
      </c>
      <c r="L62" s="15">
        <f>SUMPRODUCT(C62:J62,Returns!B66:I66)/K62</f>
        <v>8.0722479823899768E-2</v>
      </c>
      <c r="M62" s="15">
        <v>0</v>
      </c>
      <c r="N62" s="15">
        <v>0</v>
      </c>
      <c r="O62" s="15">
        <f t="shared" si="5"/>
        <v>8.0722479823899768E-2</v>
      </c>
      <c r="P62" s="20">
        <f t="shared" si="7"/>
        <v>1.4391175492380026</v>
      </c>
      <c r="Q62" s="20">
        <f>MAX($P$5:P62)</f>
        <v>1.8181454490885138</v>
      </c>
      <c r="R62" s="15">
        <f t="shared" si="6"/>
        <v>-0.20846951493376298</v>
      </c>
      <c r="S62" s="15">
        <f>O62-Benchmark_RF!D62</f>
        <v>7.4194765757197162E-2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IF(Rankings!C65&lt;=5,1,0)</f>
        <v>1</v>
      </c>
      <c r="D63" s="16">
        <f>IF(Rankings!D65&lt;=5,1,0)</f>
        <v>0</v>
      </c>
      <c r="E63" s="16">
        <f>IF(Rankings!E65&lt;=5,1,0)</f>
        <v>0</v>
      </c>
      <c r="F63" s="16">
        <f>IF(Rankings!F65&lt;=5,1,0)</f>
        <v>1</v>
      </c>
      <c r="G63" s="16">
        <f>IF(Rankings!G65&lt;=5,1,0)</f>
        <v>0</v>
      </c>
      <c r="H63" s="16">
        <f>IF(Rankings!H65&lt;=5,1,0)</f>
        <v>1</v>
      </c>
      <c r="I63" s="16">
        <f>IF(Rankings!I65&lt;=5,1,0)</f>
        <v>1</v>
      </c>
      <c r="J63" s="16">
        <f>IF(Rankings!J65&lt;=5,1,0)</f>
        <v>1</v>
      </c>
      <c r="K63" s="19">
        <f t="shared" si="4"/>
        <v>5</v>
      </c>
      <c r="L63" s="15">
        <f>SUMPRODUCT(C63:J63,Returns!B67:I67)/K63</f>
        <v>3.5554000775772289E-2</v>
      </c>
      <c r="M63" s="15">
        <v>0</v>
      </c>
      <c r="N63" s="15">
        <v>0</v>
      </c>
      <c r="O63" s="15">
        <f t="shared" si="5"/>
        <v>3.5554000775772289E-2</v>
      </c>
      <c r="P63" s="20">
        <f t="shared" si="7"/>
        <v>1.4902839357000379</v>
      </c>
      <c r="Q63" s="20">
        <f>MAX($P$5:P63)</f>
        <v>1.8181454490885138</v>
      </c>
      <c r="R63" s="15">
        <f t="shared" si="6"/>
        <v>-0.18032743945367069</v>
      </c>
      <c r="S63" s="15">
        <f>O63-Benchmark_RF!D63</f>
        <v>3.0018354980425911E-2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IF(Rankings!C65&lt;=5,1,0)</f>
        <v>1</v>
      </c>
      <c r="D64" s="16">
        <f>IF(Rankings!D65&lt;=5,1,0)</f>
        <v>0</v>
      </c>
      <c r="E64" s="16">
        <f>IF(Rankings!E65&lt;=5,1,0)</f>
        <v>0</v>
      </c>
      <c r="F64" s="16">
        <f>IF(Rankings!F65&lt;=5,1,0)</f>
        <v>1</v>
      </c>
      <c r="G64" s="16">
        <f>IF(Rankings!G65&lt;=5,1,0)</f>
        <v>0</v>
      </c>
      <c r="H64" s="16">
        <f>IF(Rankings!H65&lt;=5,1,0)</f>
        <v>1</v>
      </c>
      <c r="I64" s="16">
        <f>IF(Rankings!I65&lt;=5,1,0)</f>
        <v>1</v>
      </c>
      <c r="J64" s="16">
        <f>IF(Rankings!J65&lt;=5,1,0)</f>
        <v>1</v>
      </c>
      <c r="K64" s="19">
        <f t="shared" si="4"/>
        <v>5</v>
      </c>
      <c r="L64" s="15">
        <f>SUMPRODUCT(C64:J64,Returns!B68:I68)/K64</f>
        <v>8.1591561839575014E-2</v>
      </c>
      <c r="M64" s="15">
        <v>0</v>
      </c>
      <c r="N64" s="15">
        <v>0</v>
      </c>
      <c r="O64" s="15">
        <f t="shared" si="5"/>
        <v>8.1591561839575014E-2</v>
      </c>
      <c r="P64" s="20">
        <f t="shared" si="7"/>
        <v>1.611878529598233</v>
      </c>
      <c r="Q64" s="20">
        <f>MAX($P$5:P64)</f>
        <v>1.8181454490885138</v>
      </c>
      <c r="R64" s="15">
        <f t="shared" si="6"/>
        <v>-0.11344907504165203</v>
      </c>
      <c r="S64" s="15">
        <f>O64-Benchmark_RF!D64</f>
        <v>7.6036625882932099E-2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IF(Rankings!C71&lt;=5,1,0)</f>
        <v>0</v>
      </c>
      <c r="D65" s="16">
        <f>IF(Rankings!D71&lt;=5,1,0)</f>
        <v>1</v>
      </c>
      <c r="E65" s="16">
        <f>IF(Rankings!E71&lt;=5,1,0)</f>
        <v>0</v>
      </c>
      <c r="F65" s="16">
        <f>IF(Rankings!F71&lt;=5,1,0)</f>
        <v>1</v>
      </c>
      <c r="G65" s="16">
        <f>IF(Rankings!G71&lt;=5,1,0)</f>
        <v>1</v>
      </c>
      <c r="H65" s="16">
        <f>IF(Rankings!H71&lt;=5,1,0)</f>
        <v>0</v>
      </c>
      <c r="I65" s="16">
        <f>IF(Rankings!I71&lt;=5,1,0)</f>
        <v>1</v>
      </c>
      <c r="J65" s="16">
        <f>IF(Rankings!J71&lt;=5,1,0)</f>
        <v>1</v>
      </c>
      <c r="K65" s="19">
        <f t="shared" si="4"/>
        <v>5</v>
      </c>
      <c r="L65" s="15">
        <f>SUMPRODUCT(C65:J65,Returns!B69:I69)/K65</f>
        <v>6.8962220090698675E-2</v>
      </c>
      <c r="M65" s="15">
        <f>-2*Assumptions!$B$13</f>
        <v>-7.0000000000000001E-3</v>
      </c>
      <c r="N65" s="15">
        <f>-Assumptions!$B$16*MAX(0,(1+O59)*(1+O60)*(1+O61)*(1+O62)*(1+O63)*(1+O64)-1)</f>
        <v>0</v>
      </c>
      <c r="O65" s="15">
        <f t="shared" si="5"/>
        <v>6.1962220090698676E-2</v>
      </c>
      <c r="P65" s="20">
        <f t="shared" si="7"/>
        <v>1.7117541018086704</v>
      </c>
      <c r="Q65" s="20">
        <f>MAX($P$5:P65)</f>
        <v>1.8181454490885138</v>
      </c>
      <c r="R65" s="15">
        <f t="shared" si="6"/>
        <v>-5.8516411507770427E-2</v>
      </c>
      <c r="S65" s="15">
        <f>O65-Benchmark_RF!D65</f>
        <v>5.6236359909378746E-2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IF(Rankings!C71&lt;=5,1,0)</f>
        <v>0</v>
      </c>
      <c r="D66" s="16">
        <f>IF(Rankings!D71&lt;=5,1,0)</f>
        <v>1</v>
      </c>
      <c r="E66" s="16">
        <f>IF(Rankings!E71&lt;=5,1,0)</f>
        <v>0</v>
      </c>
      <c r="F66" s="16">
        <f>IF(Rankings!F71&lt;=5,1,0)</f>
        <v>1</v>
      </c>
      <c r="G66" s="16">
        <f>IF(Rankings!G71&lt;=5,1,0)</f>
        <v>1</v>
      </c>
      <c r="H66" s="16">
        <f>IF(Rankings!H71&lt;=5,1,0)</f>
        <v>0</v>
      </c>
      <c r="I66" s="16">
        <f>IF(Rankings!I71&lt;=5,1,0)</f>
        <v>1</v>
      </c>
      <c r="J66" s="16">
        <f>IF(Rankings!J71&lt;=5,1,0)</f>
        <v>1</v>
      </c>
      <c r="K66" s="19">
        <f t="shared" si="4"/>
        <v>5</v>
      </c>
      <c r="L66" s="15">
        <f>SUMPRODUCT(C66:J66,Returns!B70:I70)/K66</f>
        <v>-2.7460286400208035E-3</v>
      </c>
      <c r="M66" s="15">
        <v>0</v>
      </c>
      <c r="N66" s="15">
        <v>0</v>
      </c>
      <c r="O66" s="15">
        <f t="shared" si="5"/>
        <v>-2.7460286400208035E-3</v>
      </c>
      <c r="P66" s="20">
        <f t="shared" si="7"/>
        <v>1.7070535760204306</v>
      </c>
      <c r="Q66" s="20">
        <f>MAX($P$5:P66)</f>
        <v>1.8181454490885138</v>
      </c>
      <c r="R66" s="15">
        <f t="shared" si="6"/>
        <v>-6.1101752405879672E-2</v>
      </c>
      <c r="S66" s="15">
        <f>O66-Benchmark_RF!D66</f>
        <v>-8.4771321286663866E-3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IF(Rankings!C71&lt;=5,1,0)</f>
        <v>0</v>
      </c>
      <c r="D67" s="16">
        <f>IF(Rankings!D71&lt;=5,1,0)</f>
        <v>1</v>
      </c>
      <c r="E67" s="16">
        <f>IF(Rankings!E71&lt;=5,1,0)</f>
        <v>0</v>
      </c>
      <c r="F67" s="16">
        <f>IF(Rankings!F71&lt;=5,1,0)</f>
        <v>1</v>
      </c>
      <c r="G67" s="16">
        <f>IF(Rankings!G71&lt;=5,1,0)</f>
        <v>1</v>
      </c>
      <c r="H67" s="16">
        <f>IF(Rankings!H71&lt;=5,1,0)</f>
        <v>0</v>
      </c>
      <c r="I67" s="16">
        <f>IF(Rankings!I71&lt;=5,1,0)</f>
        <v>1</v>
      </c>
      <c r="J67" s="16">
        <f>IF(Rankings!J71&lt;=5,1,0)</f>
        <v>1</v>
      </c>
      <c r="K67" s="19">
        <f t="shared" si="4"/>
        <v>5</v>
      </c>
      <c r="L67" s="15">
        <f>SUMPRODUCT(C67:J67,Returns!B71:I71)/K67</f>
        <v>3.1005523385195154E-2</v>
      </c>
      <c r="M67" s="15">
        <v>0</v>
      </c>
      <c r="N67" s="15">
        <v>0</v>
      </c>
      <c r="O67" s="15">
        <f t="shared" si="5"/>
        <v>3.1005523385195154E-2</v>
      </c>
      <c r="P67" s="20">
        <f t="shared" si="7"/>
        <v>1.759981665591513</v>
      </c>
      <c r="Q67" s="20">
        <f>MAX($P$5:P67)</f>
        <v>1.8181454490885138</v>
      </c>
      <c r="R67" s="15">
        <f t="shared" si="6"/>
        <v>-3.1990720833781405E-2</v>
      </c>
      <c r="S67" s="15">
        <f>O67-Benchmark_RF!D67</f>
        <v>2.5227712952091273E-2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IF(Rankings!C71&lt;=5,1,0)</f>
        <v>0</v>
      </c>
      <c r="D68" s="16">
        <f>IF(Rankings!D71&lt;=5,1,0)</f>
        <v>1</v>
      </c>
      <c r="E68" s="16">
        <f>IF(Rankings!E71&lt;=5,1,0)</f>
        <v>0</v>
      </c>
      <c r="F68" s="16">
        <f>IF(Rankings!F71&lt;=5,1,0)</f>
        <v>1</v>
      </c>
      <c r="G68" s="16">
        <f>IF(Rankings!G71&lt;=5,1,0)</f>
        <v>1</v>
      </c>
      <c r="H68" s="16">
        <f>IF(Rankings!H71&lt;=5,1,0)</f>
        <v>0</v>
      </c>
      <c r="I68" s="16">
        <f>IF(Rankings!I71&lt;=5,1,0)</f>
        <v>1</v>
      </c>
      <c r="J68" s="16">
        <f>IF(Rankings!J71&lt;=5,1,0)</f>
        <v>1</v>
      </c>
      <c r="K68" s="19">
        <f t="shared" si="4"/>
        <v>5</v>
      </c>
      <c r="L68" s="15">
        <f>SUMPRODUCT(C68:J68,Returns!B72:I72)/K68</f>
        <v>3.8430772165842383E-2</v>
      </c>
      <c r="M68" s="15">
        <v>0</v>
      </c>
      <c r="N68" s="15">
        <v>0</v>
      </c>
      <c r="O68" s="15">
        <f t="shared" si="5"/>
        <v>3.8430772165842383E-2</v>
      </c>
      <c r="P68" s="20">
        <f t="shared" si="7"/>
        <v>1.8276191199979201</v>
      </c>
      <c r="Q68" s="20">
        <f>MAX($P$5:P68)</f>
        <v>1.8276191199979201</v>
      </c>
      <c r="R68" s="15">
        <f t="shared" si="6"/>
        <v>0</v>
      </c>
      <c r="S68" s="15">
        <f>O68-Benchmark_RF!D68</f>
        <v>3.2666885260130882E-2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IF(Rankings!C71&lt;=5,1,0)</f>
        <v>0</v>
      </c>
      <c r="D69" s="16">
        <f>IF(Rankings!D71&lt;=5,1,0)</f>
        <v>1</v>
      </c>
      <c r="E69" s="16">
        <f>IF(Rankings!E71&lt;=5,1,0)</f>
        <v>0</v>
      </c>
      <c r="F69" s="16">
        <f>IF(Rankings!F71&lt;=5,1,0)</f>
        <v>1</v>
      </c>
      <c r="G69" s="16">
        <f>IF(Rankings!G71&lt;=5,1,0)</f>
        <v>1</v>
      </c>
      <c r="H69" s="16">
        <f>IF(Rankings!H71&lt;=5,1,0)</f>
        <v>0</v>
      </c>
      <c r="I69" s="16">
        <f>IF(Rankings!I71&lt;=5,1,0)</f>
        <v>1</v>
      </c>
      <c r="J69" s="16">
        <f>IF(Rankings!J71&lt;=5,1,0)</f>
        <v>1</v>
      </c>
      <c r="K69" s="19">
        <f t="shared" ref="K69:K100" si="8">SUM(C69:J69)</f>
        <v>5</v>
      </c>
      <c r="L69" s="15">
        <f>SUMPRODUCT(C69:J69,Returns!B73:I73)/K69</f>
        <v>8.0446645984507931E-2</v>
      </c>
      <c r="M69" s="15">
        <v>0</v>
      </c>
      <c r="N69" s="15">
        <v>0</v>
      </c>
      <c r="O69" s="15">
        <f t="shared" ref="O69:O100" si="9">L69+M69+N69</f>
        <v>8.0446645984507931E-2</v>
      </c>
      <c r="P69" s="20">
        <f t="shared" si="7"/>
        <v>1.9746449483389108</v>
      </c>
      <c r="Q69" s="20">
        <f>MAX($P$5:P69)</f>
        <v>1.9746449483389108</v>
      </c>
      <c r="R69" s="15">
        <f t="shared" ref="R69:R100" si="10">P69/Q69-1</f>
        <v>0</v>
      </c>
      <c r="S69" s="15">
        <f>O69-Benchmark_RF!D69</f>
        <v>7.470716947930936E-2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IF(Rankings!C71&lt;=5,1,0)</f>
        <v>0</v>
      </c>
      <c r="D70" s="16">
        <f>IF(Rankings!D71&lt;=5,1,0)</f>
        <v>1</v>
      </c>
      <c r="E70" s="16">
        <f>IF(Rankings!E71&lt;=5,1,0)</f>
        <v>0</v>
      </c>
      <c r="F70" s="16">
        <f>IF(Rankings!F71&lt;=5,1,0)</f>
        <v>1</v>
      </c>
      <c r="G70" s="16">
        <f>IF(Rankings!G71&lt;=5,1,0)</f>
        <v>1</v>
      </c>
      <c r="H70" s="16">
        <f>IF(Rankings!H71&lt;=5,1,0)</f>
        <v>0</v>
      </c>
      <c r="I70" s="16">
        <f>IF(Rankings!I71&lt;=5,1,0)</f>
        <v>1</v>
      </c>
      <c r="J70" s="16">
        <f>IF(Rankings!J71&lt;=5,1,0)</f>
        <v>1</v>
      </c>
      <c r="K70" s="19">
        <f t="shared" si="8"/>
        <v>5</v>
      </c>
      <c r="L70" s="15">
        <f>SUMPRODUCT(C70:J70,Returns!B74:I74)/K70</f>
        <v>4.3749785192925252E-2</v>
      </c>
      <c r="M70" s="15">
        <v>0</v>
      </c>
      <c r="N70" s="15">
        <v>0</v>
      </c>
      <c r="O70" s="15">
        <f t="shared" si="9"/>
        <v>4.3749785192925252E-2</v>
      </c>
      <c r="P70" s="20">
        <f t="shared" ref="P70:P101" si="11">P69*(1+O70)</f>
        <v>2.0610352406610328</v>
      </c>
      <c r="Q70" s="20">
        <f>MAX($P$5:P70)</f>
        <v>2.0610352406610328</v>
      </c>
      <c r="R70" s="15">
        <f t="shared" si="10"/>
        <v>0</v>
      </c>
      <c r="S70" s="15">
        <f>O70-Benchmark_RF!D70</f>
        <v>3.7976902507441547E-2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IF(Rankings!C77&lt;=5,1,0)</f>
        <v>1</v>
      </c>
      <c r="D71" s="16">
        <f>IF(Rankings!D77&lt;=5,1,0)</f>
        <v>0</v>
      </c>
      <c r="E71" s="16">
        <f>IF(Rankings!E77&lt;=5,1,0)</f>
        <v>1</v>
      </c>
      <c r="F71" s="16">
        <f>IF(Rankings!F77&lt;=5,1,0)</f>
        <v>1</v>
      </c>
      <c r="G71" s="16">
        <f>IF(Rankings!G77&lt;=5,1,0)</f>
        <v>0</v>
      </c>
      <c r="H71" s="16">
        <f>IF(Rankings!H77&lt;=5,1,0)</f>
        <v>1</v>
      </c>
      <c r="I71" s="16">
        <f>IF(Rankings!I77&lt;=5,1,0)</f>
        <v>0</v>
      </c>
      <c r="J71" s="16">
        <f>IF(Rankings!J77&lt;=5,1,0)</f>
        <v>1</v>
      </c>
      <c r="K71" s="19">
        <f t="shared" si="8"/>
        <v>5</v>
      </c>
      <c r="L71" s="15">
        <f>SUMPRODUCT(C71:J71,Returns!B75:I75)/K71</f>
        <v>1.4995330875352052E-2</v>
      </c>
      <c r="M71" s="15">
        <f>-2*Assumptions!$B$13</f>
        <v>-7.0000000000000001E-3</v>
      </c>
      <c r="N71" s="15">
        <f>-Assumptions!$B$16*MAX(0,(1+O65)*(1+O66)*(1+O67)*(1+O68)*(1+O69)*(1+O70)-1)</f>
        <v>-4.1798128967083556E-2</v>
      </c>
      <c r="O71" s="15">
        <f t="shared" si="9"/>
        <v>-3.3802798091731506E-2</v>
      </c>
      <c r="P71" s="20">
        <f t="shared" si="11"/>
        <v>1.9913664825610247</v>
      </c>
      <c r="Q71" s="20">
        <f>MAX($P$5:P71)</f>
        <v>2.0610352406610328</v>
      </c>
      <c r="R71" s="15">
        <f t="shared" si="10"/>
        <v>-3.3802798091731479E-2</v>
      </c>
      <c r="S71" s="15">
        <f>O71-Benchmark_RF!D71</f>
        <v>-3.9606103421496092E-2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IF(Rankings!C77&lt;=5,1,0)</f>
        <v>1</v>
      </c>
      <c r="D72" s="16">
        <f>IF(Rankings!D77&lt;=5,1,0)</f>
        <v>0</v>
      </c>
      <c r="E72" s="16">
        <f>IF(Rankings!E77&lt;=5,1,0)</f>
        <v>1</v>
      </c>
      <c r="F72" s="16">
        <f>IF(Rankings!F77&lt;=5,1,0)</f>
        <v>1</v>
      </c>
      <c r="G72" s="16">
        <f>IF(Rankings!G77&lt;=5,1,0)</f>
        <v>0</v>
      </c>
      <c r="H72" s="16">
        <f>IF(Rankings!H77&lt;=5,1,0)</f>
        <v>1</v>
      </c>
      <c r="I72" s="16">
        <f>IF(Rankings!I77&lt;=5,1,0)</f>
        <v>0</v>
      </c>
      <c r="J72" s="16">
        <f>IF(Rankings!J77&lt;=5,1,0)</f>
        <v>1</v>
      </c>
      <c r="K72" s="19">
        <f t="shared" si="8"/>
        <v>5</v>
      </c>
      <c r="L72" s="15">
        <f>SUMPRODUCT(C72:J72,Returns!B76:I76)/K72</f>
        <v>-4.6285513691282622E-2</v>
      </c>
      <c r="M72" s="15">
        <v>0</v>
      </c>
      <c r="N72" s="15">
        <v>0</v>
      </c>
      <c r="O72" s="15">
        <f t="shared" si="9"/>
        <v>-4.6285513691282622E-2</v>
      </c>
      <c r="P72" s="20">
        <f t="shared" si="11"/>
        <v>1.8991950619680851</v>
      </c>
      <c r="Q72" s="20">
        <f>MAX($P$5:P72)</f>
        <v>2.0610352406610328</v>
      </c>
      <c r="R72" s="15">
        <f t="shared" si="10"/>
        <v>-7.8523731909135641E-2</v>
      </c>
      <c r="S72" s="15">
        <f>O72-Benchmark_RF!D72</f>
        <v>-5.2275668761952644E-2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IF(Rankings!C77&lt;=5,1,0)</f>
        <v>1</v>
      </c>
      <c r="D73" s="16">
        <f>IF(Rankings!D77&lt;=5,1,0)</f>
        <v>0</v>
      </c>
      <c r="E73" s="16">
        <f>IF(Rankings!E77&lt;=5,1,0)</f>
        <v>1</v>
      </c>
      <c r="F73" s="16">
        <f>IF(Rankings!F77&lt;=5,1,0)</f>
        <v>1</v>
      </c>
      <c r="G73" s="16">
        <f>IF(Rankings!G77&lt;=5,1,0)</f>
        <v>0</v>
      </c>
      <c r="H73" s="16">
        <f>IF(Rankings!H77&lt;=5,1,0)</f>
        <v>1</v>
      </c>
      <c r="I73" s="16">
        <f>IF(Rankings!I77&lt;=5,1,0)</f>
        <v>0</v>
      </c>
      <c r="J73" s="16">
        <f>IF(Rankings!J77&lt;=5,1,0)</f>
        <v>1</v>
      </c>
      <c r="K73" s="19">
        <f t="shared" si="8"/>
        <v>5</v>
      </c>
      <c r="L73" s="15">
        <f>SUMPRODUCT(C73:J73,Returns!B77:I77)/K73</f>
        <v>-1.7909408951713134E-2</v>
      </c>
      <c r="M73" s="15">
        <v>0</v>
      </c>
      <c r="N73" s="15">
        <v>0</v>
      </c>
      <c r="O73" s="15">
        <f t="shared" si="9"/>
        <v>-1.7909408951713134E-2</v>
      </c>
      <c r="P73" s="20">
        <f t="shared" si="11"/>
        <v>1.8651816009242246</v>
      </c>
      <c r="Q73" s="20">
        <f>MAX($P$5:P73)</f>
        <v>2.0610352406610328</v>
      </c>
      <c r="R73" s="15">
        <f t="shared" si="10"/>
        <v>-9.5026827233673283E-2</v>
      </c>
      <c r="S73" s="15">
        <f>O73-Benchmark_RF!D73</f>
        <v>-2.385780593033917E-2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IF(Rankings!C77&lt;=5,1,0)</f>
        <v>1</v>
      </c>
      <c r="D74" s="16">
        <f>IF(Rankings!D77&lt;=5,1,0)</f>
        <v>0</v>
      </c>
      <c r="E74" s="16">
        <f>IF(Rankings!E77&lt;=5,1,0)</f>
        <v>1</v>
      </c>
      <c r="F74" s="16">
        <f>IF(Rankings!F77&lt;=5,1,0)</f>
        <v>1</v>
      </c>
      <c r="G74" s="16">
        <f>IF(Rankings!G77&lt;=5,1,0)</f>
        <v>0</v>
      </c>
      <c r="H74" s="16">
        <f>IF(Rankings!H77&lt;=5,1,0)</f>
        <v>1</v>
      </c>
      <c r="I74" s="16">
        <f>IF(Rankings!I77&lt;=5,1,0)</f>
        <v>0</v>
      </c>
      <c r="J74" s="16">
        <f>IF(Rankings!J77&lt;=5,1,0)</f>
        <v>1</v>
      </c>
      <c r="K74" s="19">
        <f t="shared" si="8"/>
        <v>5</v>
      </c>
      <c r="L74" s="15">
        <f>SUMPRODUCT(C74:J74,Returns!B78:I78)/K74</f>
        <v>4.0926575474847439E-2</v>
      </c>
      <c r="M74" s="15">
        <v>0</v>
      </c>
      <c r="N74" s="15">
        <v>0</v>
      </c>
      <c r="O74" s="15">
        <f t="shared" si="9"/>
        <v>4.0926575474847439E-2</v>
      </c>
      <c r="P74" s="20">
        <f t="shared" si="11"/>
        <v>1.9415170964887465</v>
      </c>
      <c r="Q74" s="20">
        <f>MAX($P$5:P74)</f>
        <v>2.0610352406610328</v>
      </c>
      <c r="R74" s="15">
        <f t="shared" si="10"/>
        <v>-5.7989374375740144E-2</v>
      </c>
      <c r="S74" s="15">
        <f>O74-Benchmark_RF!D74</f>
        <v>3.5004960541188936E-2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IF(Rankings!C77&lt;=5,1,0)</f>
        <v>1</v>
      </c>
      <c r="D75" s="16">
        <f>IF(Rankings!D77&lt;=5,1,0)</f>
        <v>0</v>
      </c>
      <c r="E75" s="16">
        <f>IF(Rankings!E77&lt;=5,1,0)</f>
        <v>1</v>
      </c>
      <c r="F75" s="16">
        <f>IF(Rankings!F77&lt;=5,1,0)</f>
        <v>1</v>
      </c>
      <c r="G75" s="16">
        <f>IF(Rankings!G77&lt;=5,1,0)</f>
        <v>0</v>
      </c>
      <c r="H75" s="16">
        <f>IF(Rankings!H77&lt;=5,1,0)</f>
        <v>1</v>
      </c>
      <c r="I75" s="16">
        <f>IF(Rankings!I77&lt;=5,1,0)</f>
        <v>0</v>
      </c>
      <c r="J75" s="16">
        <f>IF(Rankings!J77&lt;=5,1,0)</f>
        <v>1</v>
      </c>
      <c r="K75" s="19">
        <f t="shared" si="8"/>
        <v>5</v>
      </c>
      <c r="L75" s="15">
        <f>SUMPRODUCT(C75:J75,Returns!B79:I79)/K75</f>
        <v>-2.0547972220043075E-2</v>
      </c>
      <c r="M75" s="15">
        <v>0</v>
      </c>
      <c r="N75" s="15">
        <v>0</v>
      </c>
      <c r="O75" s="15">
        <f t="shared" si="9"/>
        <v>-2.0547972220043075E-2</v>
      </c>
      <c r="P75" s="20">
        <f t="shared" si="11"/>
        <v>1.9016228571253568</v>
      </c>
      <c r="Q75" s="20">
        <f>MAX($P$5:P75)</f>
        <v>2.0610352406610328</v>
      </c>
      <c r="R75" s="15">
        <f t="shared" si="10"/>
        <v>-7.7345782542052932E-2</v>
      </c>
      <c r="S75" s="15">
        <f>O75-Benchmark_RF!D75</f>
        <v>-2.6433110355850675E-2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IF(Rankings!C77&lt;=5,1,0)</f>
        <v>1</v>
      </c>
      <c r="D76" s="16">
        <f>IF(Rankings!D77&lt;=5,1,0)</f>
        <v>0</v>
      </c>
      <c r="E76" s="16">
        <f>IF(Rankings!E77&lt;=5,1,0)</f>
        <v>1</v>
      </c>
      <c r="F76" s="16">
        <f>IF(Rankings!F77&lt;=5,1,0)</f>
        <v>1</v>
      </c>
      <c r="G76" s="16">
        <f>IF(Rankings!G77&lt;=5,1,0)</f>
        <v>0</v>
      </c>
      <c r="H76" s="16">
        <f>IF(Rankings!H77&lt;=5,1,0)</f>
        <v>1</v>
      </c>
      <c r="I76" s="16">
        <f>IF(Rankings!I77&lt;=5,1,0)</f>
        <v>0</v>
      </c>
      <c r="J76" s="16">
        <f>IF(Rankings!J77&lt;=5,1,0)</f>
        <v>1</v>
      </c>
      <c r="K76" s="19">
        <f t="shared" si="8"/>
        <v>5</v>
      </c>
      <c r="L76" s="15">
        <f>SUMPRODUCT(C76:J76,Returns!B80:I80)/K76</f>
        <v>1.302195516975806E-2</v>
      </c>
      <c r="M76" s="15">
        <v>0</v>
      </c>
      <c r="N76" s="15">
        <v>0</v>
      </c>
      <c r="O76" s="15">
        <f t="shared" si="9"/>
        <v>1.302195516975806E-2</v>
      </c>
      <c r="P76" s="20">
        <f t="shared" si="11"/>
        <v>1.9263857047206305</v>
      </c>
      <c r="Q76" s="20">
        <f>MAX($P$5:P76)</f>
        <v>2.0610352406610328</v>
      </c>
      <c r="R76" s="15">
        <f t="shared" si="10"/>
        <v>-6.5331020685127306E-2</v>
      </c>
      <c r="S76" s="15">
        <f>O76-Benchmark_RF!D76</f>
        <v>7.1858922956053346E-3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IF(Rankings!C83&lt;=5,1,0)</f>
        <v>1</v>
      </c>
      <c r="D77" s="16">
        <f>IF(Rankings!D83&lt;=5,1,0)</f>
        <v>1</v>
      </c>
      <c r="E77" s="16">
        <f>IF(Rankings!E83&lt;=5,1,0)</f>
        <v>0</v>
      </c>
      <c r="F77" s="16">
        <f>IF(Rankings!F83&lt;=5,1,0)</f>
        <v>1</v>
      </c>
      <c r="G77" s="16">
        <f>IF(Rankings!G83&lt;=5,1,0)</f>
        <v>0</v>
      </c>
      <c r="H77" s="16">
        <f>IF(Rankings!H83&lt;=5,1,0)</f>
        <v>0</v>
      </c>
      <c r="I77" s="16">
        <f>IF(Rankings!I83&lt;=5,1,0)</f>
        <v>1</v>
      </c>
      <c r="J77" s="16">
        <f>IF(Rankings!J83&lt;=5,1,0)</f>
        <v>1</v>
      </c>
      <c r="K77" s="19">
        <f t="shared" si="8"/>
        <v>5</v>
      </c>
      <c r="L77" s="15">
        <f>SUMPRODUCT(C77:J77,Returns!B81:I81)/K77</f>
        <v>5.895022429845713E-2</v>
      </c>
      <c r="M77" s="15">
        <f>-2*Assumptions!$B$13</f>
        <v>-7.0000000000000001E-3</v>
      </c>
      <c r="N77" s="15">
        <f>-Assumptions!$B$16*MAX(0,(1+O71)*(1+O72)*(1+O73)*(1+O74)*(1+O75)*(1+O76)-1)</f>
        <v>0</v>
      </c>
      <c r="O77" s="15">
        <f t="shared" si="9"/>
        <v>5.195022429845713E-2</v>
      </c>
      <c r="P77" s="20">
        <f t="shared" si="11"/>
        <v>2.0264618741662086</v>
      </c>
      <c r="Q77" s="20">
        <f>MAX($P$5:P77)</f>
        <v>2.0610352406610328</v>
      </c>
      <c r="R77" s="15">
        <f t="shared" si="10"/>
        <v>-1.6774757564909759E-2</v>
      </c>
      <c r="S77" s="15">
        <f>O77-Benchmark_RF!D77</f>
        <v>4.6116662779945465E-2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IF(Rankings!C83&lt;=5,1,0)</f>
        <v>1</v>
      </c>
      <c r="D78" s="16">
        <f>IF(Rankings!D83&lt;=5,1,0)</f>
        <v>1</v>
      </c>
      <c r="E78" s="16">
        <f>IF(Rankings!E83&lt;=5,1,0)</f>
        <v>0</v>
      </c>
      <c r="F78" s="16">
        <f>IF(Rankings!F83&lt;=5,1,0)</f>
        <v>1</v>
      </c>
      <c r="G78" s="16">
        <f>IF(Rankings!G83&lt;=5,1,0)</f>
        <v>0</v>
      </c>
      <c r="H78" s="16">
        <f>IF(Rankings!H83&lt;=5,1,0)</f>
        <v>0</v>
      </c>
      <c r="I78" s="16">
        <f>IF(Rankings!I83&lt;=5,1,0)</f>
        <v>1</v>
      </c>
      <c r="J78" s="16">
        <f>IF(Rankings!J83&lt;=5,1,0)</f>
        <v>1</v>
      </c>
      <c r="K78" s="19">
        <f t="shared" si="8"/>
        <v>5</v>
      </c>
      <c r="L78" s="15">
        <f>SUMPRODUCT(C78:J78,Returns!B82:I82)/K78</f>
        <v>-6.3052416433259012E-2</v>
      </c>
      <c r="M78" s="15">
        <v>0</v>
      </c>
      <c r="N78" s="15">
        <v>0</v>
      </c>
      <c r="O78" s="15">
        <f t="shared" si="9"/>
        <v>-6.3052416433259012E-2</v>
      </c>
      <c r="P78" s="20">
        <f t="shared" si="11"/>
        <v>1.8986885561901583</v>
      </c>
      <c r="Q78" s="20">
        <f>MAX($P$5:P78)</f>
        <v>2.0610352406610328</v>
      </c>
      <c r="R78" s="15">
        <f t="shared" si="10"/>
        <v>-7.8769484998619133E-2</v>
      </c>
      <c r="S78" s="15">
        <f>O78-Benchmark_RF!D78</f>
        <v>-6.9152768108242363E-2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IF(Rankings!C83&lt;=5,1,0)</f>
        <v>1</v>
      </c>
      <c r="D79" s="16">
        <f>IF(Rankings!D83&lt;=5,1,0)</f>
        <v>1</v>
      </c>
      <c r="E79" s="16">
        <f>IF(Rankings!E83&lt;=5,1,0)</f>
        <v>0</v>
      </c>
      <c r="F79" s="16">
        <f>IF(Rankings!F83&lt;=5,1,0)</f>
        <v>1</v>
      </c>
      <c r="G79" s="16">
        <f>IF(Rankings!G83&lt;=5,1,0)</f>
        <v>0</v>
      </c>
      <c r="H79" s="16">
        <f>IF(Rankings!H83&lt;=5,1,0)</f>
        <v>0</v>
      </c>
      <c r="I79" s="16">
        <f>IF(Rankings!I83&lt;=5,1,0)</f>
        <v>1</v>
      </c>
      <c r="J79" s="16">
        <f>IF(Rankings!J83&lt;=5,1,0)</f>
        <v>1</v>
      </c>
      <c r="K79" s="19">
        <f t="shared" si="8"/>
        <v>5</v>
      </c>
      <c r="L79" s="15">
        <f>SUMPRODUCT(C79:J79,Returns!B83:I83)/K79</f>
        <v>6.167285257564574E-2</v>
      </c>
      <c r="M79" s="15">
        <v>0</v>
      </c>
      <c r="N79" s="15">
        <v>0</v>
      </c>
      <c r="O79" s="15">
        <f t="shared" si="9"/>
        <v>6.167285257564574E-2</v>
      </c>
      <c r="P79" s="20">
        <f t="shared" si="11"/>
        <v>2.0157860956031399</v>
      </c>
      <c r="Q79" s="20">
        <f>MAX($P$5:P79)</f>
        <v>2.0610352406610328</v>
      </c>
      <c r="R79" s="15">
        <f t="shared" si="10"/>
        <v>-2.1954571258752553E-2</v>
      </c>
      <c r="S79" s="15">
        <f>O79-Benchmark_RF!D79</f>
        <v>5.510317871669039E-2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IF(Rankings!C83&lt;=5,1,0)</f>
        <v>1</v>
      </c>
      <c r="D80" s="16">
        <f>IF(Rankings!D83&lt;=5,1,0)</f>
        <v>1</v>
      </c>
      <c r="E80" s="16">
        <f>IF(Rankings!E83&lt;=5,1,0)</f>
        <v>0</v>
      </c>
      <c r="F80" s="16">
        <f>IF(Rankings!F83&lt;=5,1,0)</f>
        <v>1</v>
      </c>
      <c r="G80" s="16">
        <f>IF(Rankings!G83&lt;=5,1,0)</f>
        <v>0</v>
      </c>
      <c r="H80" s="16">
        <f>IF(Rankings!H83&lt;=5,1,0)</f>
        <v>0</v>
      </c>
      <c r="I80" s="16">
        <f>IF(Rankings!I83&lt;=5,1,0)</f>
        <v>1</v>
      </c>
      <c r="J80" s="16">
        <f>IF(Rankings!J83&lt;=5,1,0)</f>
        <v>1</v>
      </c>
      <c r="K80" s="19">
        <f t="shared" si="8"/>
        <v>5</v>
      </c>
      <c r="L80" s="15">
        <f>SUMPRODUCT(C80:J80,Returns!B84:I84)/K80</f>
        <v>-1.2561022806728595E-2</v>
      </c>
      <c r="M80" s="15">
        <v>0</v>
      </c>
      <c r="N80" s="15">
        <v>0</v>
      </c>
      <c r="O80" s="15">
        <f t="shared" si="9"/>
        <v>-1.2561022806728595E-2</v>
      </c>
      <c r="P80" s="20">
        <f t="shared" si="11"/>
        <v>1.9904657604827827</v>
      </c>
      <c r="Q80" s="20">
        <f>MAX($P$5:P80)</f>
        <v>2.0610352406610328</v>
      </c>
      <c r="R80" s="15">
        <f t="shared" si="10"/>
        <v>-3.4239822195187952E-2</v>
      </c>
      <c r="S80" s="15">
        <f>O80-Benchmark_RF!D80</f>
        <v>-1.9382748158915986E-2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IF(Rankings!C83&lt;=5,1,0)</f>
        <v>1</v>
      </c>
      <c r="D81" s="16">
        <f>IF(Rankings!D83&lt;=5,1,0)</f>
        <v>1</v>
      </c>
      <c r="E81" s="16">
        <f>IF(Rankings!E83&lt;=5,1,0)</f>
        <v>0</v>
      </c>
      <c r="F81" s="16">
        <f>IF(Rankings!F83&lt;=5,1,0)</f>
        <v>1</v>
      </c>
      <c r="G81" s="16">
        <f>IF(Rankings!G83&lt;=5,1,0)</f>
        <v>0</v>
      </c>
      <c r="H81" s="16">
        <f>IF(Rankings!H83&lt;=5,1,0)</f>
        <v>0</v>
      </c>
      <c r="I81" s="16">
        <f>IF(Rankings!I83&lt;=5,1,0)</f>
        <v>1</v>
      </c>
      <c r="J81" s="16">
        <f>IF(Rankings!J83&lt;=5,1,0)</f>
        <v>1</v>
      </c>
      <c r="K81" s="19">
        <f t="shared" si="8"/>
        <v>5</v>
      </c>
      <c r="L81" s="15">
        <f>SUMPRODUCT(C81:J81,Returns!B85:I85)/K81</f>
        <v>-3.8104002770979029E-2</v>
      </c>
      <c r="M81" s="15">
        <v>0</v>
      </c>
      <c r="N81" s="15">
        <v>0</v>
      </c>
      <c r="O81" s="15">
        <f t="shared" si="9"/>
        <v>-3.8104002770979029E-2</v>
      </c>
      <c r="P81" s="20">
        <f t="shared" si="11"/>
        <v>1.9146210476298078</v>
      </c>
      <c r="Q81" s="20">
        <f>MAX($P$5:P81)</f>
        <v>2.0610352406610328</v>
      </c>
      <c r="R81" s="15">
        <f t="shared" si="10"/>
        <v>-7.1039150686363683E-2</v>
      </c>
      <c r="S81" s="15">
        <f>O81-Benchmark_RF!D81</f>
        <v>-4.6373415782341776E-2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IF(Rankings!C83&lt;=5,1,0)</f>
        <v>1</v>
      </c>
      <c r="D82" s="16">
        <f>IF(Rankings!D83&lt;=5,1,0)</f>
        <v>1</v>
      </c>
      <c r="E82" s="16">
        <f>IF(Rankings!E83&lt;=5,1,0)</f>
        <v>0</v>
      </c>
      <c r="F82" s="16">
        <f>IF(Rankings!F83&lt;=5,1,0)</f>
        <v>1</v>
      </c>
      <c r="G82" s="16">
        <f>IF(Rankings!G83&lt;=5,1,0)</f>
        <v>0</v>
      </c>
      <c r="H82" s="16">
        <f>IF(Rankings!H83&lt;=5,1,0)</f>
        <v>0</v>
      </c>
      <c r="I82" s="16">
        <f>IF(Rankings!I83&lt;=5,1,0)</f>
        <v>1</v>
      </c>
      <c r="J82" s="16">
        <f>IF(Rankings!J83&lt;=5,1,0)</f>
        <v>1</v>
      </c>
      <c r="K82" s="19">
        <f t="shared" si="8"/>
        <v>5</v>
      </c>
      <c r="L82" s="15">
        <f>SUMPRODUCT(C82:J82,Returns!B86:I86)/K82</f>
        <v>1.2232894871587564E-2</v>
      </c>
      <c r="M82" s="15">
        <v>0</v>
      </c>
      <c r="N82" s="15">
        <v>0</v>
      </c>
      <c r="O82" s="15">
        <f t="shared" si="9"/>
        <v>1.2232894871587564E-2</v>
      </c>
      <c r="P82" s="20">
        <f t="shared" si="11"/>
        <v>1.9380424056243919</v>
      </c>
      <c r="Q82" s="20">
        <f>MAX($P$5:P82)</f>
        <v>2.0610352406610328</v>
      </c>
      <c r="R82" s="15">
        <f t="shared" si="10"/>
        <v>-5.9675270276889458E-2</v>
      </c>
      <c r="S82" s="15">
        <f>O82-Benchmark_RF!D82</f>
        <v>4.1038711995522899E-3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IF(Rankings!C89&lt;=5,1,0)</f>
        <v>1</v>
      </c>
      <c r="D83" s="16">
        <f>IF(Rankings!D89&lt;=5,1,0)</f>
        <v>1</v>
      </c>
      <c r="E83" s="16">
        <f>IF(Rankings!E89&lt;=5,1,0)</f>
        <v>1</v>
      </c>
      <c r="F83" s="16">
        <f>IF(Rankings!F89&lt;=5,1,0)</f>
        <v>0</v>
      </c>
      <c r="G83" s="16">
        <f>IF(Rankings!G89&lt;=5,1,0)</f>
        <v>1</v>
      </c>
      <c r="H83" s="16">
        <f>IF(Rankings!H89&lt;=5,1,0)</f>
        <v>0</v>
      </c>
      <c r="I83" s="16">
        <f>IF(Rankings!I89&lt;=5,1,0)</f>
        <v>1</v>
      </c>
      <c r="J83" s="16">
        <f>IF(Rankings!J89&lt;=5,1,0)</f>
        <v>0</v>
      </c>
      <c r="K83" s="19">
        <f t="shared" si="8"/>
        <v>5</v>
      </c>
      <c r="L83" s="15">
        <f>SUMPRODUCT(C83:J83,Returns!B87:I87)/K83</f>
        <v>-1.886361875483611E-3</v>
      </c>
      <c r="M83" s="15">
        <f>-2*Assumptions!$B$13</f>
        <v>-7.0000000000000001E-3</v>
      </c>
      <c r="N83" s="15">
        <f>-Assumptions!$B$16*MAX(0,(1+O77)*(1+O78)*(1+O79)*(1+O80)*(1+O81)*(1+O82)-1)</f>
        <v>-9.076609794598455E-4</v>
      </c>
      <c r="O83" s="15">
        <f t="shared" si="9"/>
        <v>-9.7940228549434575E-3</v>
      </c>
      <c r="P83" s="20">
        <f t="shared" si="11"/>
        <v>1.9190611740098571</v>
      </c>
      <c r="Q83" s="20">
        <f>MAX($P$5:P83)</f>
        <v>2.0610352406610328</v>
      </c>
      <c r="R83" s="15">
        <f t="shared" si="10"/>
        <v>-6.888483217086605E-2</v>
      </c>
      <c r="S83" s="15">
        <f>O83-Benchmark_RF!D83</f>
        <v>-1.8060619529235981E-2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IF(Rankings!C89&lt;=5,1,0)</f>
        <v>1</v>
      </c>
      <c r="D84" s="16">
        <f>IF(Rankings!D89&lt;=5,1,0)</f>
        <v>1</v>
      </c>
      <c r="E84" s="16">
        <f>IF(Rankings!E89&lt;=5,1,0)</f>
        <v>1</v>
      </c>
      <c r="F84" s="16">
        <f>IF(Rankings!F89&lt;=5,1,0)</f>
        <v>0</v>
      </c>
      <c r="G84" s="16">
        <f>IF(Rankings!G89&lt;=5,1,0)</f>
        <v>1</v>
      </c>
      <c r="H84" s="16">
        <f>IF(Rankings!H89&lt;=5,1,0)</f>
        <v>0</v>
      </c>
      <c r="I84" s="16">
        <f>IF(Rankings!I89&lt;=5,1,0)</f>
        <v>1</v>
      </c>
      <c r="J84" s="16">
        <f>IF(Rankings!J89&lt;=5,1,0)</f>
        <v>0</v>
      </c>
      <c r="K84" s="19">
        <f t="shared" si="8"/>
        <v>5</v>
      </c>
      <c r="L84" s="15">
        <f>SUMPRODUCT(C84:J84,Returns!B88:I88)/K84</f>
        <v>-4.3226822361804106E-2</v>
      </c>
      <c r="M84" s="15">
        <v>0</v>
      </c>
      <c r="N84" s="15">
        <v>0</v>
      </c>
      <c r="O84" s="15">
        <f t="shared" si="9"/>
        <v>-4.3226822361804106E-2</v>
      </c>
      <c r="P84" s="20">
        <f t="shared" si="11"/>
        <v>1.8361062575394977</v>
      </c>
      <c r="Q84" s="20">
        <f>MAX($P$5:P84)</f>
        <v>2.0610352406610328</v>
      </c>
      <c r="R84" s="15">
        <f t="shared" si="10"/>
        <v>-0.10913398212899739</v>
      </c>
      <c r="S84" s="15">
        <f>O84-Benchmark_RF!D84</f>
        <v>-5.2528097568293707E-2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IF(Rankings!C89&lt;=5,1,0)</f>
        <v>1</v>
      </c>
      <c r="D85" s="16">
        <f>IF(Rankings!D89&lt;=5,1,0)</f>
        <v>1</v>
      </c>
      <c r="E85" s="16">
        <f>IF(Rankings!E89&lt;=5,1,0)</f>
        <v>1</v>
      </c>
      <c r="F85" s="16">
        <f>IF(Rankings!F89&lt;=5,1,0)</f>
        <v>0</v>
      </c>
      <c r="G85" s="16">
        <f>IF(Rankings!G89&lt;=5,1,0)</f>
        <v>1</v>
      </c>
      <c r="H85" s="16">
        <f>IF(Rankings!H89&lt;=5,1,0)</f>
        <v>0</v>
      </c>
      <c r="I85" s="16">
        <f>IF(Rankings!I89&lt;=5,1,0)</f>
        <v>1</v>
      </c>
      <c r="J85" s="16">
        <f>IF(Rankings!J89&lt;=5,1,0)</f>
        <v>0</v>
      </c>
      <c r="K85" s="19">
        <f t="shared" si="8"/>
        <v>5</v>
      </c>
      <c r="L85" s="15">
        <f>SUMPRODUCT(C85:J85,Returns!B89:I89)/K85</f>
        <v>2.9597759060493666E-3</v>
      </c>
      <c r="M85" s="15">
        <v>0</v>
      </c>
      <c r="N85" s="15">
        <v>0</v>
      </c>
      <c r="O85" s="15">
        <f t="shared" si="9"/>
        <v>2.9597759060493666E-3</v>
      </c>
      <c r="P85" s="20">
        <f t="shared" si="11"/>
        <v>1.8415407206015095</v>
      </c>
      <c r="Q85" s="20">
        <f>MAX($P$5:P85)</f>
        <v>2.0610352406610328</v>
      </c>
      <c r="R85" s="15">
        <f t="shared" si="10"/>
        <v>-0.10649721835378478</v>
      </c>
      <c r="S85" s="15">
        <f>O85-Benchmark_RF!D85</f>
        <v>-8.1620390013012797E-3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IF(Rankings!C89&lt;=5,1,0)</f>
        <v>1</v>
      </c>
      <c r="D86" s="16">
        <f>IF(Rankings!D89&lt;=5,1,0)</f>
        <v>1</v>
      </c>
      <c r="E86" s="16">
        <f>IF(Rankings!E89&lt;=5,1,0)</f>
        <v>1</v>
      </c>
      <c r="F86" s="16">
        <f>IF(Rankings!F89&lt;=5,1,0)</f>
        <v>0</v>
      </c>
      <c r="G86" s="16">
        <f>IF(Rankings!G89&lt;=5,1,0)</f>
        <v>1</v>
      </c>
      <c r="H86" s="16">
        <f>IF(Rankings!H89&lt;=5,1,0)</f>
        <v>0</v>
      </c>
      <c r="I86" s="16">
        <f>IF(Rankings!I89&lt;=5,1,0)</f>
        <v>1</v>
      </c>
      <c r="J86" s="16">
        <f>IF(Rankings!J89&lt;=5,1,0)</f>
        <v>0</v>
      </c>
      <c r="K86" s="19">
        <f t="shared" si="8"/>
        <v>5</v>
      </c>
      <c r="L86" s="15">
        <f>SUMPRODUCT(C86:J86,Returns!B90:I90)/K86</f>
        <v>-9.5426762346430549E-2</v>
      </c>
      <c r="M86" s="15">
        <v>0</v>
      </c>
      <c r="N86" s="15">
        <v>0</v>
      </c>
      <c r="O86" s="15">
        <f t="shared" si="9"/>
        <v>-9.5426762346430549E-2</v>
      </c>
      <c r="P86" s="20">
        <f t="shared" si="11"/>
        <v>1.6658084519053948</v>
      </c>
      <c r="Q86" s="20">
        <f>MAX($P$5:P86)</f>
        <v>2.0610352406610328</v>
      </c>
      <c r="R86" s="15">
        <f t="shared" si="10"/>
        <v>-0.19176129595381275</v>
      </c>
      <c r="S86" s="15">
        <f>O86-Benchmark_RF!D86</f>
        <v>-0.10671732096354869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IF(Rankings!C89&lt;=5,1,0)</f>
        <v>1</v>
      </c>
      <c r="D87" s="16">
        <f>IF(Rankings!D89&lt;=5,1,0)</f>
        <v>1</v>
      </c>
      <c r="E87" s="16">
        <f>IF(Rankings!E89&lt;=5,1,0)</f>
        <v>1</v>
      </c>
      <c r="F87" s="16">
        <f>IF(Rankings!F89&lt;=5,1,0)</f>
        <v>0</v>
      </c>
      <c r="G87" s="16">
        <f>IF(Rankings!G89&lt;=5,1,0)</f>
        <v>1</v>
      </c>
      <c r="H87" s="16">
        <f>IF(Rankings!H89&lt;=5,1,0)</f>
        <v>0</v>
      </c>
      <c r="I87" s="16">
        <f>IF(Rankings!I89&lt;=5,1,0)</f>
        <v>1</v>
      </c>
      <c r="J87" s="16">
        <f>IF(Rankings!J89&lt;=5,1,0)</f>
        <v>0</v>
      </c>
      <c r="K87" s="19">
        <f t="shared" si="8"/>
        <v>5</v>
      </c>
      <c r="L87" s="15">
        <f>SUMPRODUCT(C87:J87,Returns!B91:I91)/K87</f>
        <v>-5.111883498794427E-2</v>
      </c>
      <c r="M87" s="15">
        <v>0</v>
      </c>
      <c r="N87" s="15">
        <v>0</v>
      </c>
      <c r="O87" s="15">
        <f t="shared" si="9"/>
        <v>-5.111883498794427E-2</v>
      </c>
      <c r="P87" s="20">
        <f t="shared" si="11"/>
        <v>1.5806542645309201</v>
      </c>
      <c r="Q87" s="20">
        <f>MAX($P$5:P87)</f>
        <v>2.0610352406610328</v>
      </c>
      <c r="R87" s="15">
        <f t="shared" si="10"/>
        <v>-0.23307751689681977</v>
      </c>
      <c r="S87" s="15">
        <f>O87-Benchmark_RF!D87</f>
        <v>-6.289238335617113E-2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IF(Rankings!C89&lt;=5,1,0)</f>
        <v>1</v>
      </c>
      <c r="D88" s="16">
        <f>IF(Rankings!D89&lt;=5,1,0)</f>
        <v>1</v>
      </c>
      <c r="E88" s="16">
        <f>IF(Rankings!E89&lt;=5,1,0)</f>
        <v>1</v>
      </c>
      <c r="F88" s="16">
        <f>IF(Rankings!F89&lt;=5,1,0)</f>
        <v>0</v>
      </c>
      <c r="G88" s="16">
        <f>IF(Rankings!G89&lt;=5,1,0)</f>
        <v>1</v>
      </c>
      <c r="H88" s="16">
        <f>IF(Rankings!H89&lt;=5,1,0)</f>
        <v>0</v>
      </c>
      <c r="I88" s="16">
        <f>IF(Rankings!I89&lt;=5,1,0)</f>
        <v>1</v>
      </c>
      <c r="J88" s="16">
        <f>IF(Rankings!J89&lt;=5,1,0)</f>
        <v>0</v>
      </c>
      <c r="K88" s="19">
        <f t="shared" si="8"/>
        <v>5</v>
      </c>
      <c r="L88" s="15">
        <f>SUMPRODUCT(C88:J88,Returns!B92:I92)/K88</f>
        <v>-3.1907041245188728E-2</v>
      </c>
      <c r="M88" s="15">
        <v>0</v>
      </c>
      <c r="N88" s="15">
        <v>0</v>
      </c>
      <c r="O88" s="15">
        <f t="shared" si="9"/>
        <v>-3.1907041245188728E-2</v>
      </c>
      <c r="P88" s="20">
        <f t="shared" si="11"/>
        <v>1.5302202637181486</v>
      </c>
      <c r="Q88" s="20">
        <f>MAX($P$5:P88)</f>
        <v>2.0610352406610328</v>
      </c>
      <c r="R88" s="15">
        <f t="shared" si="10"/>
        <v>-0.25754774419705539</v>
      </c>
      <c r="S88" s="15">
        <f>O88-Benchmark_RF!D88</f>
        <v>-4.408267236624841E-2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IF(Rankings!C95&lt;=5,1,0)</f>
        <v>1</v>
      </c>
      <c r="D89" s="16">
        <f>IF(Rankings!D95&lt;=5,1,0)</f>
        <v>1</v>
      </c>
      <c r="E89" s="16">
        <f>IF(Rankings!E95&lt;=5,1,0)</f>
        <v>0</v>
      </c>
      <c r="F89" s="16">
        <f>IF(Rankings!F95&lt;=5,1,0)</f>
        <v>0</v>
      </c>
      <c r="G89" s="16">
        <f>IF(Rankings!G95&lt;=5,1,0)</f>
        <v>1</v>
      </c>
      <c r="H89" s="16">
        <f>IF(Rankings!H95&lt;=5,1,0)</f>
        <v>0</v>
      </c>
      <c r="I89" s="16">
        <f>IF(Rankings!I95&lt;=5,1,0)</f>
        <v>1</v>
      </c>
      <c r="J89" s="16">
        <f>IF(Rankings!J95&lt;=5,1,0)</f>
        <v>1</v>
      </c>
      <c r="K89" s="19">
        <f t="shared" si="8"/>
        <v>5</v>
      </c>
      <c r="L89" s="15">
        <f>SUMPRODUCT(C89:J89,Returns!B93:I93)/K89</f>
        <v>9.6626563566317603E-2</v>
      </c>
      <c r="M89" s="15">
        <f>-2*Assumptions!$B$13</f>
        <v>-7.0000000000000001E-3</v>
      </c>
      <c r="N89" s="15">
        <f>-Assumptions!$B$16*MAX(0,(1+O83)*(1+O84)*(1+O85)*(1+O86)*(1+O87)*(1+O88)-1)</f>
        <v>0</v>
      </c>
      <c r="O89" s="15">
        <f t="shared" si="9"/>
        <v>8.9626563566317596E-2</v>
      </c>
      <c r="P89" s="20">
        <f t="shared" si="11"/>
        <v>1.6673686474547504</v>
      </c>
      <c r="Q89" s="20">
        <f>MAX($P$5:P89)</f>
        <v>2.0610352406610328</v>
      </c>
      <c r="R89" s="15">
        <f t="shared" si="10"/>
        <v>-0.19100429989737699</v>
      </c>
      <c r="S89" s="15">
        <f>O89-Benchmark_RF!D89</f>
        <v>7.7378014903152659E-2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IF(Rankings!C95&lt;=5,1,0)</f>
        <v>1</v>
      </c>
      <c r="D90" s="16">
        <f>IF(Rankings!D95&lt;=5,1,0)</f>
        <v>1</v>
      </c>
      <c r="E90" s="16">
        <f>IF(Rankings!E95&lt;=5,1,0)</f>
        <v>0</v>
      </c>
      <c r="F90" s="16">
        <f>IF(Rankings!F95&lt;=5,1,0)</f>
        <v>0</v>
      </c>
      <c r="G90" s="16">
        <f>IF(Rankings!G95&lt;=5,1,0)</f>
        <v>1</v>
      </c>
      <c r="H90" s="16">
        <f>IF(Rankings!H95&lt;=5,1,0)</f>
        <v>0</v>
      </c>
      <c r="I90" s="16">
        <f>IF(Rankings!I95&lt;=5,1,0)</f>
        <v>1</v>
      </c>
      <c r="J90" s="16">
        <f>IF(Rankings!J95&lt;=5,1,0)</f>
        <v>1</v>
      </c>
      <c r="K90" s="19">
        <f t="shared" si="8"/>
        <v>5</v>
      </c>
      <c r="L90" s="15">
        <f>SUMPRODUCT(C90:J90,Returns!B94:I94)/K90</f>
        <v>-7.511250485086067E-2</v>
      </c>
      <c r="M90" s="15">
        <v>0</v>
      </c>
      <c r="N90" s="15">
        <v>0</v>
      </c>
      <c r="O90" s="15">
        <f t="shared" si="9"/>
        <v>-7.511250485086067E-2</v>
      </c>
      <c r="P90" s="20">
        <f t="shared" si="11"/>
        <v>1.5421284118346326</v>
      </c>
      <c r="Q90" s="20">
        <f>MAX($P$5:P90)</f>
        <v>2.0610352406610328</v>
      </c>
      <c r="R90" s="15">
        <f t="shared" si="10"/>
        <v>-0.25176999334566064</v>
      </c>
      <c r="S90" s="15">
        <f>O90-Benchmark_RF!D90</f>
        <v>-8.7535820245414328E-2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IF(Rankings!C95&lt;=5,1,0)</f>
        <v>1</v>
      </c>
      <c r="D91" s="16">
        <f>IF(Rankings!D95&lt;=5,1,0)</f>
        <v>1</v>
      </c>
      <c r="E91" s="16">
        <f>IF(Rankings!E95&lt;=5,1,0)</f>
        <v>0</v>
      </c>
      <c r="F91" s="16">
        <f>IF(Rankings!F95&lt;=5,1,0)</f>
        <v>0</v>
      </c>
      <c r="G91" s="16">
        <f>IF(Rankings!G95&lt;=5,1,0)</f>
        <v>1</v>
      </c>
      <c r="H91" s="16">
        <f>IF(Rankings!H95&lt;=5,1,0)</f>
        <v>0</v>
      </c>
      <c r="I91" s="16">
        <f>IF(Rankings!I95&lt;=5,1,0)</f>
        <v>1</v>
      </c>
      <c r="J91" s="16">
        <f>IF(Rankings!J95&lt;=5,1,0)</f>
        <v>1</v>
      </c>
      <c r="K91" s="19">
        <f t="shared" si="8"/>
        <v>5</v>
      </c>
      <c r="L91" s="15">
        <f>SUMPRODUCT(C91:J91,Returns!B95:I95)/K91</f>
        <v>-3.8979211932634317E-2</v>
      </c>
      <c r="M91" s="15">
        <v>0</v>
      </c>
      <c r="N91" s="15">
        <v>0</v>
      </c>
      <c r="O91" s="15">
        <f t="shared" si="9"/>
        <v>-3.8979211932634317E-2</v>
      </c>
      <c r="P91" s="20">
        <f t="shared" si="11"/>
        <v>1.4820174616423936</v>
      </c>
      <c r="Q91" s="20">
        <f>MAX($P$5:P91)</f>
        <v>2.0610352406610328</v>
      </c>
      <c r="R91" s="15">
        <f t="shared" si="10"/>
        <v>-0.28093540934939654</v>
      </c>
      <c r="S91" s="15">
        <f>O91-Benchmark_RF!D91</f>
        <v>-5.118401700464148E-2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IF(Rankings!C95&lt;=5,1,0)</f>
        <v>1</v>
      </c>
      <c r="D92" s="16">
        <f>IF(Rankings!D95&lt;=5,1,0)</f>
        <v>1</v>
      </c>
      <c r="E92" s="16">
        <f>IF(Rankings!E95&lt;=5,1,0)</f>
        <v>0</v>
      </c>
      <c r="F92" s="16">
        <f>IF(Rankings!F95&lt;=5,1,0)</f>
        <v>0</v>
      </c>
      <c r="G92" s="16">
        <f>IF(Rankings!G95&lt;=5,1,0)</f>
        <v>1</v>
      </c>
      <c r="H92" s="16">
        <f>IF(Rankings!H95&lt;=5,1,0)</f>
        <v>0</v>
      </c>
      <c r="I92" s="16">
        <f>IF(Rankings!I95&lt;=5,1,0)</f>
        <v>1</v>
      </c>
      <c r="J92" s="16">
        <f>IF(Rankings!J95&lt;=5,1,0)</f>
        <v>1</v>
      </c>
      <c r="K92" s="19">
        <f t="shared" si="8"/>
        <v>5</v>
      </c>
      <c r="L92" s="15">
        <f>SUMPRODUCT(C92:J92,Returns!B96:I96)/K92</f>
        <v>3.4229945154701638E-2</v>
      </c>
      <c r="M92" s="15">
        <v>0</v>
      </c>
      <c r="N92" s="15">
        <v>0</v>
      </c>
      <c r="O92" s="15">
        <f t="shared" si="9"/>
        <v>3.4229945154701638E-2</v>
      </c>
      <c r="P92" s="20">
        <f t="shared" si="11"/>
        <v>1.5327468380727229</v>
      </c>
      <c r="Q92" s="20">
        <f>MAX($P$5:P92)</f>
        <v>2.0610352406610328</v>
      </c>
      <c r="R92" s="15">
        <f t="shared" si="10"/>
        <v>-0.25632186784873834</v>
      </c>
      <c r="S92" s="15">
        <f>O92-Benchmark_RF!D92</f>
        <v>2.1146970450569749E-2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IF(Rankings!C95&lt;=5,1,0)</f>
        <v>1</v>
      </c>
      <c r="D93" s="16">
        <f>IF(Rankings!D95&lt;=5,1,0)</f>
        <v>1</v>
      </c>
      <c r="E93" s="16">
        <f>IF(Rankings!E95&lt;=5,1,0)</f>
        <v>0</v>
      </c>
      <c r="F93" s="16">
        <f>IF(Rankings!F95&lt;=5,1,0)</f>
        <v>0</v>
      </c>
      <c r="G93" s="16">
        <f>IF(Rankings!G95&lt;=5,1,0)</f>
        <v>1</v>
      </c>
      <c r="H93" s="16">
        <f>IF(Rankings!H95&lt;=5,1,0)</f>
        <v>0</v>
      </c>
      <c r="I93" s="16">
        <f>IF(Rankings!I95&lt;=5,1,0)</f>
        <v>1</v>
      </c>
      <c r="J93" s="16">
        <f>IF(Rankings!J95&lt;=5,1,0)</f>
        <v>1</v>
      </c>
      <c r="K93" s="19">
        <f t="shared" si="8"/>
        <v>5</v>
      </c>
      <c r="L93" s="15">
        <f>SUMPRODUCT(C93:J93,Returns!B97:I97)/K93</f>
        <v>-5.5764522327888463E-2</v>
      </c>
      <c r="M93" s="15">
        <v>0</v>
      </c>
      <c r="N93" s="15">
        <v>0</v>
      </c>
      <c r="O93" s="15">
        <f t="shared" si="9"/>
        <v>-5.5764522327888463E-2</v>
      </c>
      <c r="P93" s="20">
        <f t="shared" si="11"/>
        <v>1.4472739427980161</v>
      </c>
      <c r="Q93" s="20">
        <f>MAX($P$5:P93)</f>
        <v>2.0610352406610328</v>
      </c>
      <c r="R93" s="15">
        <f t="shared" si="10"/>
        <v>-0.29779272365384979</v>
      </c>
      <c r="S93" s="15">
        <f>O93-Benchmark_RF!D93</f>
        <v>-6.8905263704234485E-2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IF(Rankings!C95&lt;=5,1,0)</f>
        <v>1</v>
      </c>
      <c r="D94" s="16">
        <f>IF(Rankings!D95&lt;=5,1,0)</f>
        <v>1</v>
      </c>
      <c r="E94" s="16">
        <f>IF(Rankings!E95&lt;=5,1,0)</f>
        <v>0</v>
      </c>
      <c r="F94" s="16">
        <f>IF(Rankings!F95&lt;=5,1,0)</f>
        <v>0</v>
      </c>
      <c r="G94" s="16">
        <f>IF(Rankings!G95&lt;=5,1,0)</f>
        <v>1</v>
      </c>
      <c r="H94" s="16">
        <f>IF(Rankings!H95&lt;=5,1,0)</f>
        <v>0</v>
      </c>
      <c r="I94" s="16">
        <f>IF(Rankings!I95&lt;=5,1,0)</f>
        <v>1</v>
      </c>
      <c r="J94" s="16">
        <f>IF(Rankings!J95&lt;=5,1,0)</f>
        <v>1</v>
      </c>
      <c r="K94" s="19">
        <f t="shared" si="8"/>
        <v>5</v>
      </c>
      <c r="L94" s="15">
        <f>SUMPRODUCT(C94:J94,Returns!B98:I98)/K94</f>
        <v>-1.8423882181520711E-2</v>
      </c>
      <c r="M94" s="15">
        <v>0</v>
      </c>
      <c r="N94" s="15">
        <v>0</v>
      </c>
      <c r="O94" s="15">
        <f t="shared" si="9"/>
        <v>-1.8423882181520711E-2</v>
      </c>
      <c r="P94" s="20">
        <f t="shared" si="11"/>
        <v>1.4206095381915205</v>
      </c>
      <c r="Q94" s="20">
        <f>MAX($P$5:P94)</f>
        <v>2.0610352406610328</v>
      </c>
      <c r="R94" s="15">
        <f t="shared" si="10"/>
        <v>-0.31073010778025778</v>
      </c>
      <c r="S94" s="15">
        <f>O94-Benchmark_RF!D94</f>
        <v>-3.218333820985033E-2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IF(Rankings!C101&lt;=5,1,0)</f>
        <v>0</v>
      </c>
      <c r="D95" s="16">
        <f>IF(Rankings!D101&lt;=5,1,0)</f>
        <v>1</v>
      </c>
      <c r="E95" s="16">
        <f>IF(Rankings!E101&lt;=5,1,0)</f>
        <v>1</v>
      </c>
      <c r="F95" s="16">
        <f>IF(Rankings!F101&lt;=5,1,0)</f>
        <v>1</v>
      </c>
      <c r="G95" s="16">
        <f>IF(Rankings!G101&lt;=5,1,0)</f>
        <v>1</v>
      </c>
      <c r="H95" s="16">
        <f>IF(Rankings!H101&lt;=5,1,0)</f>
        <v>0</v>
      </c>
      <c r="I95" s="16">
        <f>IF(Rankings!I101&lt;=5,1,0)</f>
        <v>0</v>
      </c>
      <c r="J95" s="16">
        <f>IF(Rankings!J101&lt;=5,1,0)</f>
        <v>1</v>
      </c>
      <c r="K95" s="19">
        <f t="shared" si="8"/>
        <v>5</v>
      </c>
      <c r="L95" s="15">
        <f>SUMPRODUCT(C95:J95,Returns!B99:I99)/K95</f>
        <v>1.0286984317173408E-2</v>
      </c>
      <c r="M95" s="15">
        <f>-2*Assumptions!$B$13</f>
        <v>-7.0000000000000001E-3</v>
      </c>
      <c r="N95" s="15">
        <f>-Assumptions!$B$16*MAX(0,(1+O89)*(1+O90)*(1+O91)*(1+O92)*(1+O93)*(1+O94)-1)</f>
        <v>0</v>
      </c>
      <c r="O95" s="15">
        <f t="shared" si="9"/>
        <v>3.2869843171734079E-3</v>
      </c>
      <c r="P95" s="20">
        <f t="shared" si="11"/>
        <v>1.4252790594643829</v>
      </c>
      <c r="Q95" s="20">
        <f>MAX($P$5:P95)</f>
        <v>2.0610352406610328</v>
      </c>
      <c r="R95" s="15">
        <f t="shared" si="10"/>
        <v>-0.30846448845423169</v>
      </c>
      <c r="S95" s="15">
        <f>O95-Benchmark_RF!D95</f>
        <v>-1.1506339985615049E-2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IF(Rankings!C101&lt;=5,1,0)</f>
        <v>0</v>
      </c>
      <c r="D96" s="16">
        <f>IF(Rankings!D101&lt;=5,1,0)</f>
        <v>1</v>
      </c>
      <c r="E96" s="16">
        <f>IF(Rankings!E101&lt;=5,1,0)</f>
        <v>1</v>
      </c>
      <c r="F96" s="16">
        <f>IF(Rankings!F101&lt;=5,1,0)</f>
        <v>1</v>
      </c>
      <c r="G96" s="16">
        <f>IF(Rankings!G101&lt;=5,1,0)</f>
        <v>1</v>
      </c>
      <c r="H96" s="16">
        <f>IF(Rankings!H101&lt;=5,1,0)</f>
        <v>0</v>
      </c>
      <c r="I96" s="16">
        <f>IF(Rankings!I101&lt;=5,1,0)</f>
        <v>0</v>
      </c>
      <c r="J96" s="16">
        <f>IF(Rankings!J101&lt;=5,1,0)</f>
        <v>1</v>
      </c>
      <c r="K96" s="19">
        <f t="shared" si="8"/>
        <v>5</v>
      </c>
      <c r="L96" s="15">
        <f>SUMPRODUCT(C96:J96,Returns!B100:I100)/K96</f>
        <v>4.8368023382873385E-3</v>
      </c>
      <c r="M96" s="15">
        <v>0</v>
      </c>
      <c r="N96" s="15">
        <v>0</v>
      </c>
      <c r="O96" s="15">
        <f t="shared" si="9"/>
        <v>4.8368023382873385E-3</v>
      </c>
      <c r="P96" s="20">
        <f t="shared" si="11"/>
        <v>1.4321728525519124</v>
      </c>
      <c r="Q96" s="20">
        <f>MAX($P$5:P96)</f>
        <v>2.0610352406610328</v>
      </c>
      <c r="R96" s="15">
        <f t="shared" si="10"/>
        <v>-0.30511966787497835</v>
      </c>
      <c r="S96" s="15">
        <f>O96-Benchmark_RF!D96</f>
        <v>-1.1217039857790522E-2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IF(Rankings!C101&lt;=5,1,0)</f>
        <v>0</v>
      </c>
      <c r="D97" s="16">
        <f>IF(Rankings!D101&lt;=5,1,0)</f>
        <v>1</v>
      </c>
      <c r="E97" s="16">
        <f>IF(Rankings!E101&lt;=5,1,0)</f>
        <v>1</v>
      </c>
      <c r="F97" s="16">
        <f>IF(Rankings!F101&lt;=5,1,0)</f>
        <v>1</v>
      </c>
      <c r="G97" s="16">
        <f>IF(Rankings!G101&lt;=5,1,0)</f>
        <v>1</v>
      </c>
      <c r="H97" s="16">
        <f>IF(Rankings!H101&lt;=5,1,0)</f>
        <v>0</v>
      </c>
      <c r="I97" s="16">
        <f>IF(Rankings!I101&lt;=5,1,0)</f>
        <v>0</v>
      </c>
      <c r="J97" s="16">
        <f>IF(Rankings!J101&lt;=5,1,0)</f>
        <v>1</v>
      </c>
      <c r="K97" s="19">
        <f t="shared" si="8"/>
        <v>5</v>
      </c>
      <c r="L97" s="15">
        <f>SUMPRODUCT(C97:J97,Returns!B101:I101)/K97</f>
        <v>2.4079299046415769E-2</v>
      </c>
      <c r="M97" s="15">
        <v>0</v>
      </c>
      <c r="N97" s="15">
        <v>0</v>
      </c>
      <c r="O97" s="15">
        <f t="shared" si="9"/>
        <v>2.4079299046415769E-2</v>
      </c>
      <c r="P97" s="20">
        <f t="shared" si="11"/>
        <v>1.4666585709546682</v>
      </c>
      <c r="Q97" s="20">
        <f>MAX($P$5:P97)</f>
        <v>2.0610352406610328</v>
      </c>
      <c r="R97" s="15">
        <f t="shared" si="10"/>
        <v>-0.2883874365562672</v>
      </c>
      <c r="S97" s="15">
        <f>O97-Benchmark_RF!D97</f>
        <v>7.3842256837239433E-3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IF(Rankings!C101&lt;=5,1,0)</f>
        <v>0</v>
      </c>
      <c r="D98" s="16">
        <f>IF(Rankings!D101&lt;=5,1,0)</f>
        <v>1</v>
      </c>
      <c r="E98" s="16">
        <f>IF(Rankings!E101&lt;=5,1,0)</f>
        <v>1</v>
      </c>
      <c r="F98" s="16">
        <f>IF(Rankings!F101&lt;=5,1,0)</f>
        <v>1</v>
      </c>
      <c r="G98" s="16">
        <f>IF(Rankings!G101&lt;=5,1,0)</f>
        <v>1</v>
      </c>
      <c r="H98" s="16">
        <f>IF(Rankings!H101&lt;=5,1,0)</f>
        <v>0</v>
      </c>
      <c r="I98" s="16">
        <f>IF(Rankings!I101&lt;=5,1,0)</f>
        <v>0</v>
      </c>
      <c r="J98" s="16">
        <f>IF(Rankings!J101&lt;=5,1,0)</f>
        <v>1</v>
      </c>
      <c r="K98" s="19">
        <f t="shared" si="8"/>
        <v>5</v>
      </c>
      <c r="L98" s="15">
        <f>SUMPRODUCT(C98:J98,Returns!B102:I102)/K98</f>
        <v>2.6643185755215161E-2</v>
      </c>
      <c r="M98" s="15">
        <v>0</v>
      </c>
      <c r="N98" s="15">
        <v>0</v>
      </c>
      <c r="O98" s="15">
        <f t="shared" si="9"/>
        <v>2.6643185755215161E-2</v>
      </c>
      <c r="P98" s="20">
        <f t="shared" si="11"/>
        <v>1.5057350277000918</v>
      </c>
      <c r="Q98" s="20">
        <f>MAX($P$5:P98)</f>
        <v>2.0610352406610328</v>
      </c>
      <c r="R98" s="15">
        <f t="shared" si="10"/>
        <v>-0.26942781084269107</v>
      </c>
      <c r="S98" s="15">
        <f>O98-Benchmark_RF!D98</f>
        <v>9.9481123925233353E-3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IF(Rankings!C101&lt;=5,1,0)</f>
        <v>0</v>
      </c>
      <c r="D99" s="16">
        <f>IF(Rankings!D101&lt;=5,1,0)</f>
        <v>1</v>
      </c>
      <c r="E99" s="16">
        <f>IF(Rankings!E101&lt;=5,1,0)</f>
        <v>1</v>
      </c>
      <c r="F99" s="16">
        <f>IF(Rankings!F101&lt;=5,1,0)</f>
        <v>1</v>
      </c>
      <c r="G99" s="16">
        <f>IF(Rankings!G101&lt;=5,1,0)</f>
        <v>1</v>
      </c>
      <c r="H99" s="16">
        <f>IF(Rankings!H101&lt;=5,1,0)</f>
        <v>0</v>
      </c>
      <c r="I99" s="16">
        <f>IF(Rankings!I101&lt;=5,1,0)</f>
        <v>0</v>
      </c>
      <c r="J99" s="16">
        <f>IF(Rankings!J101&lt;=5,1,0)</f>
        <v>1</v>
      </c>
      <c r="K99" s="19">
        <f t="shared" si="8"/>
        <v>5</v>
      </c>
      <c r="L99" s="15">
        <f>SUMPRODUCT(C99:J99,Returns!B103:I103)/K99</f>
        <v>-2.0859033180460916E-2</v>
      </c>
      <c r="M99" s="15">
        <v>0</v>
      </c>
      <c r="N99" s="15">
        <v>0</v>
      </c>
      <c r="O99" s="15">
        <f t="shared" si="9"/>
        <v>-2.0859033180460916E-2</v>
      </c>
      <c r="P99" s="20">
        <f t="shared" si="11"/>
        <v>1.4743268507963134</v>
      </c>
      <c r="Q99" s="20">
        <f>MAX($P$5:P99)</f>
        <v>2.0610352406610328</v>
      </c>
      <c r="R99" s="15">
        <f t="shared" si="10"/>
        <v>-0.28466684037704526</v>
      </c>
      <c r="S99" s="15">
        <f>O99-Benchmark_RF!D99</f>
        <v>-3.7561052059313836E-2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IF(Rankings!C101&lt;=5,1,0)</f>
        <v>0</v>
      </c>
      <c r="D100" s="16">
        <f>IF(Rankings!D101&lt;=5,1,0)</f>
        <v>1</v>
      </c>
      <c r="E100" s="16">
        <f>IF(Rankings!E101&lt;=5,1,0)</f>
        <v>1</v>
      </c>
      <c r="F100" s="16">
        <f>IF(Rankings!F101&lt;=5,1,0)</f>
        <v>1</v>
      </c>
      <c r="G100" s="16">
        <f>IF(Rankings!G101&lt;=5,1,0)</f>
        <v>1</v>
      </c>
      <c r="H100" s="16">
        <f>IF(Rankings!H101&lt;=5,1,0)</f>
        <v>0</v>
      </c>
      <c r="I100" s="16">
        <f>IF(Rankings!I101&lt;=5,1,0)</f>
        <v>0</v>
      </c>
      <c r="J100" s="16">
        <f>IF(Rankings!J101&lt;=5,1,0)</f>
        <v>1</v>
      </c>
      <c r="K100" s="19">
        <f t="shared" si="8"/>
        <v>5</v>
      </c>
      <c r="L100" s="15">
        <f>SUMPRODUCT(C100:J100,Returns!B104:I104)/K100</f>
        <v>0.20550032061022699</v>
      </c>
      <c r="M100" s="15">
        <v>0</v>
      </c>
      <c r="N100" s="15">
        <v>0</v>
      </c>
      <c r="O100" s="15">
        <f t="shared" si="9"/>
        <v>0.20550032061022699</v>
      </c>
      <c r="P100" s="20">
        <f t="shared" si="11"/>
        <v>1.7773014913192222</v>
      </c>
      <c r="Q100" s="20">
        <f>MAX($P$5:P100)</f>
        <v>2.0610352406610328</v>
      </c>
      <c r="R100" s="15">
        <f t="shared" si="10"/>
        <v>-0.13766564673140136</v>
      </c>
      <c r="S100" s="15">
        <f>O100-Benchmark_RF!D100</f>
        <v>0.18817022765643271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IF(Rankings!C107&lt;=5,1,0)</f>
        <v>1</v>
      </c>
      <c r="D101" s="16">
        <f>IF(Rankings!D107&lt;=5,1,0)</f>
        <v>0</v>
      </c>
      <c r="E101" s="16">
        <f>IF(Rankings!E107&lt;=5,1,0)</f>
        <v>1</v>
      </c>
      <c r="F101" s="16">
        <f>IF(Rankings!F107&lt;=5,1,0)</f>
        <v>1</v>
      </c>
      <c r="G101" s="16">
        <f>IF(Rankings!G107&lt;=5,1,0)</f>
        <v>0</v>
      </c>
      <c r="H101" s="16">
        <f>IF(Rankings!H107&lt;=5,1,0)</f>
        <v>1</v>
      </c>
      <c r="I101" s="16">
        <f>IF(Rankings!I107&lt;=5,1,0)</f>
        <v>0</v>
      </c>
      <c r="J101" s="16">
        <f>IF(Rankings!J107&lt;=5,1,0)</f>
        <v>1</v>
      </c>
      <c r="K101" s="19">
        <f t="shared" ref="K101:K132" si="12">SUM(C101:J101)</f>
        <v>5</v>
      </c>
      <c r="L101" s="15">
        <f>SUMPRODUCT(C101:J101,Returns!B105:I105)/K101</f>
        <v>-5.2482404056168087E-2</v>
      </c>
      <c r="M101" s="15">
        <f>-2*Assumptions!$B$13</f>
        <v>-7.0000000000000001E-3</v>
      </c>
      <c r="N101" s="15">
        <f>-Assumptions!$B$16*MAX(0,(1+O95)*(1+O96)*(1+O97)*(1+O98)*(1+O99)*(1+O100)-1)</f>
        <v>-3.7662560704236334E-2</v>
      </c>
      <c r="O101" s="15">
        <f t="shared" ref="O101:O132" si="13">L101+M101+N101</f>
        <v>-9.714496476040442E-2</v>
      </c>
      <c r="P101" s="20">
        <f t="shared" si="11"/>
        <v>1.604645600576402</v>
      </c>
      <c r="Q101" s="20">
        <f>MAX($P$5:P101)</f>
        <v>2.0610352406610328</v>
      </c>
      <c r="R101" s="15">
        <f t="shared" ref="R101:R132" si="14">P101/Q101-1</f>
        <v>-0.22143708709136556</v>
      </c>
      <c r="S101" s="15">
        <f>O101-Benchmark_RF!D101</f>
        <v>-0.11445615462012888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IF(Rankings!C107&lt;=5,1,0)</f>
        <v>1</v>
      </c>
      <c r="D102" s="16">
        <f>IF(Rankings!D107&lt;=5,1,0)</f>
        <v>0</v>
      </c>
      <c r="E102" s="16">
        <f>IF(Rankings!E107&lt;=5,1,0)</f>
        <v>1</v>
      </c>
      <c r="F102" s="16">
        <f>IF(Rankings!F107&lt;=5,1,0)</f>
        <v>1</v>
      </c>
      <c r="G102" s="16">
        <f>IF(Rankings!G107&lt;=5,1,0)</f>
        <v>0</v>
      </c>
      <c r="H102" s="16">
        <f>IF(Rankings!H107&lt;=5,1,0)</f>
        <v>1</v>
      </c>
      <c r="I102" s="16">
        <f>IF(Rankings!I107&lt;=5,1,0)</f>
        <v>0</v>
      </c>
      <c r="J102" s="16">
        <f>IF(Rankings!J107&lt;=5,1,0)</f>
        <v>1</v>
      </c>
      <c r="K102" s="19">
        <f t="shared" si="12"/>
        <v>5</v>
      </c>
      <c r="L102" s="15">
        <f>SUMPRODUCT(C102:J102,Returns!B106:I106)/K102</f>
        <v>-5.9248804294029789E-3</v>
      </c>
      <c r="M102" s="15">
        <v>0</v>
      </c>
      <c r="N102" s="15">
        <v>0</v>
      </c>
      <c r="O102" s="15">
        <f t="shared" si="13"/>
        <v>-5.9248804294029789E-3</v>
      </c>
      <c r="P102" s="20">
        <f t="shared" ref="P102:P133" si="15">P101*(1+O102)</f>
        <v>1.5951382672614194</v>
      </c>
      <c r="Q102" s="20">
        <f>MAX($P$5:P102)</f>
        <v>2.0610352406610328</v>
      </c>
      <c r="R102" s="15">
        <f t="shared" si="14"/>
        <v>-0.2260499792571169</v>
      </c>
      <c r="S102" s="15">
        <f>O102-Benchmark_RF!D102</f>
        <v>-2.3157657093666684E-2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IF(Rankings!C107&lt;=5,1,0)</f>
        <v>1</v>
      </c>
      <c r="D103" s="16">
        <f>IF(Rankings!D107&lt;=5,1,0)</f>
        <v>0</v>
      </c>
      <c r="E103" s="16">
        <f>IF(Rankings!E107&lt;=5,1,0)</f>
        <v>1</v>
      </c>
      <c r="F103" s="16">
        <f>IF(Rankings!F107&lt;=5,1,0)</f>
        <v>1</v>
      </c>
      <c r="G103" s="16">
        <f>IF(Rankings!G107&lt;=5,1,0)</f>
        <v>0</v>
      </c>
      <c r="H103" s="16">
        <f>IF(Rankings!H107&lt;=5,1,0)</f>
        <v>1</v>
      </c>
      <c r="I103" s="16">
        <f>IF(Rankings!I107&lt;=5,1,0)</f>
        <v>0</v>
      </c>
      <c r="J103" s="16">
        <f>IF(Rankings!J107&lt;=5,1,0)</f>
        <v>1</v>
      </c>
      <c r="K103" s="19">
        <f t="shared" si="12"/>
        <v>5</v>
      </c>
      <c r="L103" s="15">
        <f>SUMPRODUCT(C103:J103,Returns!B107:I107)/K103</f>
        <v>9.6391296841642354E-2</v>
      </c>
      <c r="M103" s="15">
        <v>0</v>
      </c>
      <c r="N103" s="15">
        <v>0</v>
      </c>
      <c r="O103" s="15">
        <f t="shared" si="13"/>
        <v>9.6391296841642354E-2</v>
      </c>
      <c r="P103" s="20">
        <f t="shared" si="15"/>
        <v>1.7488957134844778</v>
      </c>
      <c r="Q103" s="20">
        <f>MAX($P$5:P103)</f>
        <v>2.0610352406610328</v>
      </c>
      <c r="R103" s="15">
        <f t="shared" si="14"/>
        <v>-0.15144793306709448</v>
      </c>
      <c r="S103" s="15">
        <f>O103-Benchmark_RF!D103</f>
        <v>7.9585157800783429E-2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IF(Rankings!C107&lt;=5,1,0)</f>
        <v>1</v>
      </c>
      <c r="D104" s="16">
        <f>IF(Rankings!D107&lt;=5,1,0)</f>
        <v>0</v>
      </c>
      <c r="E104" s="16">
        <f>IF(Rankings!E107&lt;=5,1,0)</f>
        <v>1</v>
      </c>
      <c r="F104" s="16">
        <f>IF(Rankings!F107&lt;=5,1,0)</f>
        <v>1</v>
      </c>
      <c r="G104" s="16">
        <f>IF(Rankings!G107&lt;=5,1,0)</f>
        <v>0</v>
      </c>
      <c r="H104" s="16">
        <f>IF(Rankings!H107&lt;=5,1,0)</f>
        <v>1</v>
      </c>
      <c r="I104" s="16">
        <f>IF(Rankings!I107&lt;=5,1,0)</f>
        <v>0</v>
      </c>
      <c r="J104" s="16">
        <f>IF(Rankings!J107&lt;=5,1,0)</f>
        <v>1</v>
      </c>
      <c r="K104" s="19">
        <f t="shared" si="12"/>
        <v>5</v>
      </c>
      <c r="L104" s="15">
        <f>SUMPRODUCT(C104:J104,Returns!B108:I108)/K104</f>
        <v>0.10309878634574057</v>
      </c>
      <c r="M104" s="15">
        <v>0</v>
      </c>
      <c r="N104" s="15">
        <v>0</v>
      </c>
      <c r="O104" s="15">
        <f t="shared" si="13"/>
        <v>0.10309878634574057</v>
      </c>
      <c r="P104" s="20">
        <f t="shared" si="15"/>
        <v>1.9292047389899956</v>
      </c>
      <c r="Q104" s="20">
        <f>MAX($P$5:P104)</f>
        <v>2.0610352406610328</v>
      </c>
      <c r="R104" s="15">
        <f t="shared" si="14"/>
        <v>-6.3963244815142262E-2</v>
      </c>
      <c r="S104" s="15">
        <f>O104-Benchmark_RF!D104</f>
        <v>8.684931530648346E-2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IF(Rankings!C107&lt;=5,1,0)</f>
        <v>1</v>
      </c>
      <c r="D105" s="16">
        <f>IF(Rankings!D107&lt;=5,1,0)</f>
        <v>0</v>
      </c>
      <c r="E105" s="16">
        <f>IF(Rankings!E107&lt;=5,1,0)</f>
        <v>1</v>
      </c>
      <c r="F105" s="16">
        <f>IF(Rankings!F107&lt;=5,1,0)</f>
        <v>1</v>
      </c>
      <c r="G105" s="16">
        <f>IF(Rankings!G107&lt;=5,1,0)</f>
        <v>0</v>
      </c>
      <c r="H105" s="16">
        <f>IF(Rankings!H107&lt;=5,1,0)</f>
        <v>1</v>
      </c>
      <c r="I105" s="16">
        <f>IF(Rankings!I107&lt;=5,1,0)</f>
        <v>0</v>
      </c>
      <c r="J105" s="16">
        <f>IF(Rankings!J107&lt;=5,1,0)</f>
        <v>1</v>
      </c>
      <c r="K105" s="19">
        <f t="shared" si="12"/>
        <v>5</v>
      </c>
      <c r="L105" s="15">
        <f>SUMPRODUCT(C105:J105,Returns!B109:I109)/K105</f>
        <v>8.074415980341651E-2</v>
      </c>
      <c r="M105" s="15">
        <v>0</v>
      </c>
      <c r="N105" s="15">
        <v>0</v>
      </c>
      <c r="O105" s="15">
        <f t="shared" si="13"/>
        <v>8.074415980341651E-2</v>
      </c>
      <c r="P105" s="20">
        <f t="shared" si="15"/>
        <v>2.0849767547285118</v>
      </c>
      <c r="Q105" s="20">
        <f>MAX($P$5:P105)</f>
        <v>2.0849767547285118</v>
      </c>
      <c r="R105" s="15">
        <f t="shared" si="14"/>
        <v>0</v>
      </c>
      <c r="S105" s="15">
        <f>O105-Benchmark_RF!D105</f>
        <v>6.4508648522579287E-2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IF(Rankings!C107&lt;=5,1,0)</f>
        <v>1</v>
      </c>
      <c r="D106" s="16">
        <f>IF(Rankings!D107&lt;=5,1,0)</f>
        <v>0</v>
      </c>
      <c r="E106" s="16">
        <f>IF(Rankings!E107&lt;=5,1,0)</f>
        <v>1</v>
      </c>
      <c r="F106" s="16">
        <f>IF(Rankings!F107&lt;=5,1,0)</f>
        <v>1</v>
      </c>
      <c r="G106" s="16">
        <f>IF(Rankings!G107&lt;=5,1,0)</f>
        <v>0</v>
      </c>
      <c r="H106" s="16">
        <f>IF(Rankings!H107&lt;=5,1,0)</f>
        <v>1</v>
      </c>
      <c r="I106" s="16">
        <f>IF(Rankings!I107&lt;=5,1,0)</f>
        <v>0</v>
      </c>
      <c r="J106" s="16">
        <f>IF(Rankings!J107&lt;=5,1,0)</f>
        <v>1</v>
      </c>
      <c r="K106" s="19">
        <f t="shared" si="12"/>
        <v>5</v>
      </c>
      <c r="L106" s="15">
        <f>SUMPRODUCT(C106:J106,Returns!B110:I110)/K106</f>
        <v>8.1805148517194962E-2</v>
      </c>
      <c r="M106" s="15">
        <v>0</v>
      </c>
      <c r="N106" s="15">
        <v>0</v>
      </c>
      <c r="O106" s="15">
        <f t="shared" si="13"/>
        <v>8.1805148517194962E-2</v>
      </c>
      <c r="P106" s="20">
        <f t="shared" si="15"/>
        <v>2.2555385878039766</v>
      </c>
      <c r="Q106" s="20">
        <f>MAX($P$5:P106)</f>
        <v>2.2555385878039766</v>
      </c>
      <c r="R106" s="15">
        <f t="shared" si="14"/>
        <v>0</v>
      </c>
      <c r="S106" s="15">
        <f>O106-Benchmark_RF!D106</f>
        <v>6.5816234828093137E-2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IF(Rankings!C113&lt;=5,1,0)</f>
        <v>0</v>
      </c>
      <c r="D107" s="16">
        <f>IF(Rankings!D113&lt;=5,1,0)</f>
        <v>1</v>
      </c>
      <c r="E107" s="16">
        <f>IF(Rankings!E113&lt;=5,1,0)</f>
        <v>0</v>
      </c>
      <c r="F107" s="16">
        <f>IF(Rankings!F113&lt;=5,1,0)</f>
        <v>1</v>
      </c>
      <c r="G107" s="16">
        <f>IF(Rankings!G113&lt;=5,1,0)</f>
        <v>0</v>
      </c>
      <c r="H107" s="16">
        <f>IF(Rankings!H113&lt;=5,1,0)</f>
        <v>1</v>
      </c>
      <c r="I107" s="16">
        <f>IF(Rankings!I113&lt;=5,1,0)</f>
        <v>1</v>
      </c>
      <c r="J107" s="16">
        <f>IF(Rankings!J113&lt;=5,1,0)</f>
        <v>1</v>
      </c>
      <c r="K107" s="19">
        <f t="shared" si="12"/>
        <v>5</v>
      </c>
      <c r="L107" s="15">
        <f>SUMPRODUCT(C107:J107,Returns!B111:I111)/K107</f>
        <v>0.21496384356589818</v>
      </c>
      <c r="M107" s="15">
        <f>-2*Assumptions!$B$13</f>
        <v>-7.0000000000000001E-3</v>
      </c>
      <c r="N107" s="15">
        <f>-Assumptions!$B$16*MAX(0,(1+O101)*(1+O102)*(1+O103)*(1+O104)*(1+O105)*(1+O106)-1)</f>
        <v>-4.0362068463390889E-2</v>
      </c>
      <c r="O107" s="15">
        <f t="shared" si="13"/>
        <v>0.16760177510250729</v>
      </c>
      <c r="P107" s="20">
        <f t="shared" si="15"/>
        <v>2.6335708589321261</v>
      </c>
      <c r="Q107" s="20">
        <f>MAX($P$5:P107)</f>
        <v>2.6335708589321261</v>
      </c>
      <c r="R107" s="15">
        <f t="shared" si="14"/>
        <v>0</v>
      </c>
      <c r="S107" s="15">
        <f>O107-Benchmark_RF!D107</f>
        <v>0.15137324449197409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IF(Rankings!C113&lt;=5,1,0)</f>
        <v>0</v>
      </c>
      <c r="D108" s="16">
        <f>IF(Rankings!D113&lt;=5,1,0)</f>
        <v>1</v>
      </c>
      <c r="E108" s="16">
        <f>IF(Rankings!E113&lt;=5,1,0)</f>
        <v>0</v>
      </c>
      <c r="F108" s="16">
        <f>IF(Rankings!F113&lt;=5,1,0)</f>
        <v>1</v>
      </c>
      <c r="G108" s="16">
        <f>IF(Rankings!G113&lt;=5,1,0)</f>
        <v>0</v>
      </c>
      <c r="H108" s="16">
        <f>IF(Rankings!H113&lt;=5,1,0)</f>
        <v>1</v>
      </c>
      <c r="I108" s="16">
        <f>IF(Rankings!I113&lt;=5,1,0)</f>
        <v>1</v>
      </c>
      <c r="J108" s="16">
        <f>IF(Rankings!J113&lt;=5,1,0)</f>
        <v>1</v>
      </c>
      <c r="K108" s="19">
        <f t="shared" si="12"/>
        <v>5</v>
      </c>
      <c r="L108" s="15">
        <f>SUMPRODUCT(C108:J108,Returns!B112:I112)/K108</f>
        <v>7.5150799014356021E-2</v>
      </c>
      <c r="M108" s="15">
        <v>0</v>
      </c>
      <c r="N108" s="15">
        <v>0</v>
      </c>
      <c r="O108" s="15">
        <f t="shared" si="13"/>
        <v>7.5150799014356021E-2</v>
      </c>
      <c r="P108" s="20">
        <f t="shared" si="15"/>
        <v>2.8314858132417995</v>
      </c>
      <c r="Q108" s="20">
        <f>MAX($P$5:P108)</f>
        <v>2.8314858132417995</v>
      </c>
      <c r="R108" s="15">
        <f t="shared" si="14"/>
        <v>0</v>
      </c>
      <c r="S108" s="15">
        <f>O108-Benchmark_RF!D108</f>
        <v>5.8838535151828977E-2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IF(Rankings!C113&lt;=5,1,0)</f>
        <v>0</v>
      </c>
      <c r="D109" s="16">
        <f>IF(Rankings!D113&lt;=5,1,0)</f>
        <v>1</v>
      </c>
      <c r="E109" s="16">
        <f>IF(Rankings!E113&lt;=5,1,0)</f>
        <v>0</v>
      </c>
      <c r="F109" s="16">
        <f>IF(Rankings!F113&lt;=5,1,0)</f>
        <v>1</v>
      </c>
      <c r="G109" s="16">
        <f>IF(Rankings!G113&lt;=5,1,0)</f>
        <v>0</v>
      </c>
      <c r="H109" s="16">
        <f>IF(Rankings!H113&lt;=5,1,0)</f>
        <v>1</v>
      </c>
      <c r="I109" s="16">
        <f>IF(Rankings!I113&lt;=5,1,0)</f>
        <v>1</v>
      </c>
      <c r="J109" s="16">
        <f>IF(Rankings!J113&lt;=5,1,0)</f>
        <v>1</v>
      </c>
      <c r="K109" s="19">
        <f t="shared" si="12"/>
        <v>5</v>
      </c>
      <c r="L109" s="15">
        <f>SUMPRODUCT(C109:J109,Returns!B113:I113)/K109</f>
        <v>0.21306761832919402</v>
      </c>
      <c r="M109" s="15">
        <v>0</v>
      </c>
      <c r="N109" s="15">
        <v>0</v>
      </c>
      <c r="O109" s="15">
        <f t="shared" si="13"/>
        <v>0.21306761832919402</v>
      </c>
      <c r="P109" s="20">
        <f t="shared" si="15"/>
        <v>3.4347837518021307</v>
      </c>
      <c r="Q109" s="20">
        <f>MAX($P$5:P109)</f>
        <v>3.4347837518021307</v>
      </c>
      <c r="R109" s="15">
        <f t="shared" si="14"/>
        <v>0</v>
      </c>
      <c r="S109" s="15">
        <f>O109-Benchmark_RF!D109</f>
        <v>0.19664382804383124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IF(Rankings!C113&lt;=5,1,0)</f>
        <v>0</v>
      </c>
      <c r="D110" s="16">
        <f>IF(Rankings!D113&lt;=5,1,0)</f>
        <v>1</v>
      </c>
      <c r="E110" s="16">
        <f>IF(Rankings!E113&lt;=5,1,0)</f>
        <v>0</v>
      </c>
      <c r="F110" s="16">
        <f>IF(Rankings!F113&lt;=5,1,0)</f>
        <v>1</v>
      </c>
      <c r="G110" s="16">
        <f>IF(Rankings!G113&lt;=5,1,0)</f>
        <v>0</v>
      </c>
      <c r="H110" s="16">
        <f>IF(Rankings!H113&lt;=5,1,0)</f>
        <v>1</v>
      </c>
      <c r="I110" s="16">
        <f>IF(Rankings!I113&lt;=5,1,0)</f>
        <v>1</v>
      </c>
      <c r="J110" s="16">
        <f>IF(Rankings!J113&lt;=5,1,0)</f>
        <v>1</v>
      </c>
      <c r="K110" s="19">
        <f t="shared" si="12"/>
        <v>5</v>
      </c>
      <c r="L110" s="15">
        <f>SUMPRODUCT(C110:J110,Returns!B114:I114)/K110</f>
        <v>5.2311938078916341E-2</v>
      </c>
      <c r="M110" s="15">
        <v>0</v>
      </c>
      <c r="N110" s="15">
        <v>0</v>
      </c>
      <c r="O110" s="15">
        <f t="shared" si="13"/>
        <v>5.2311938078916341E-2</v>
      </c>
      <c r="P110" s="20">
        <f t="shared" si="15"/>
        <v>3.6144639467408717</v>
      </c>
      <c r="Q110" s="20">
        <f>MAX($P$5:P110)</f>
        <v>3.6144639467408717</v>
      </c>
      <c r="R110" s="15">
        <f t="shared" si="14"/>
        <v>0</v>
      </c>
      <c r="S110" s="15">
        <f>O110-Benchmark_RF!D110</f>
        <v>3.6342063811840596E-2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IF(Rankings!C113&lt;=5,1,0)</f>
        <v>0</v>
      </c>
      <c r="D111" s="16">
        <f>IF(Rankings!D113&lt;=5,1,0)</f>
        <v>1</v>
      </c>
      <c r="E111" s="16">
        <f>IF(Rankings!E113&lt;=5,1,0)</f>
        <v>0</v>
      </c>
      <c r="F111" s="16">
        <f>IF(Rankings!F113&lt;=5,1,0)</f>
        <v>1</v>
      </c>
      <c r="G111" s="16">
        <f>IF(Rankings!G113&lt;=5,1,0)</f>
        <v>0</v>
      </c>
      <c r="H111" s="16">
        <f>IF(Rankings!H113&lt;=5,1,0)</f>
        <v>1</v>
      </c>
      <c r="I111" s="16">
        <f>IF(Rankings!I113&lt;=5,1,0)</f>
        <v>1</v>
      </c>
      <c r="J111" s="16">
        <f>IF(Rankings!J113&lt;=5,1,0)</f>
        <v>1</v>
      </c>
      <c r="K111" s="19">
        <f t="shared" si="12"/>
        <v>5</v>
      </c>
      <c r="L111" s="15">
        <f>SUMPRODUCT(C111:J111,Returns!B115:I115)/K111</f>
        <v>4.9076413738460209E-2</v>
      </c>
      <c r="M111" s="15">
        <v>0</v>
      </c>
      <c r="N111" s="15">
        <v>0</v>
      </c>
      <c r="O111" s="15">
        <f t="shared" si="13"/>
        <v>4.9076413738460209E-2</v>
      </c>
      <c r="P111" s="20">
        <f t="shared" si="15"/>
        <v>3.7918488748338746</v>
      </c>
      <c r="Q111" s="20">
        <f>MAX($P$5:P111)</f>
        <v>3.7918488748338746</v>
      </c>
      <c r="R111" s="15">
        <f t="shared" si="14"/>
        <v>0</v>
      </c>
      <c r="S111" s="15">
        <f>O111-Benchmark_RF!D111</f>
        <v>3.3756720202581178E-2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IF(Rankings!C113&lt;=5,1,0)</f>
        <v>0</v>
      </c>
      <c r="D112" s="16">
        <f>IF(Rankings!D113&lt;=5,1,0)</f>
        <v>1</v>
      </c>
      <c r="E112" s="16">
        <f>IF(Rankings!E113&lt;=5,1,0)</f>
        <v>0</v>
      </c>
      <c r="F112" s="16">
        <f>IF(Rankings!F113&lt;=5,1,0)</f>
        <v>1</v>
      </c>
      <c r="G112" s="16">
        <f>IF(Rankings!G113&lt;=5,1,0)</f>
        <v>0</v>
      </c>
      <c r="H112" s="16">
        <f>IF(Rankings!H113&lt;=5,1,0)</f>
        <v>1</v>
      </c>
      <c r="I112" s="16">
        <f>IF(Rankings!I113&lt;=5,1,0)</f>
        <v>1</v>
      </c>
      <c r="J112" s="16">
        <f>IF(Rankings!J113&lt;=5,1,0)</f>
        <v>1</v>
      </c>
      <c r="K112" s="19">
        <f t="shared" si="12"/>
        <v>5</v>
      </c>
      <c r="L112" s="15">
        <f>SUMPRODUCT(C112:J112,Returns!B116:I116)/K112</f>
        <v>7.2514221552734792E-2</v>
      </c>
      <c r="M112" s="15">
        <v>0</v>
      </c>
      <c r="N112" s="15">
        <v>0</v>
      </c>
      <c r="O112" s="15">
        <f t="shared" si="13"/>
        <v>7.2514221552734792E-2</v>
      </c>
      <c r="P112" s="20">
        <f t="shared" si="15"/>
        <v>4.0668118442380665</v>
      </c>
      <c r="Q112" s="20">
        <f>MAX($P$5:P112)</f>
        <v>4.0668118442380665</v>
      </c>
      <c r="R112" s="15">
        <f t="shared" si="14"/>
        <v>0</v>
      </c>
      <c r="S112" s="15">
        <f>O112-Benchmark_RF!D112</f>
        <v>5.7565042180592441E-2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IF(Rankings!C119&lt;=5,1,0)</f>
        <v>1</v>
      </c>
      <c r="D113" s="16">
        <f>IF(Rankings!D119&lt;=5,1,0)</f>
        <v>1</v>
      </c>
      <c r="E113" s="16">
        <f>IF(Rankings!E119&lt;=5,1,0)</f>
        <v>1</v>
      </c>
      <c r="F113" s="16">
        <f>IF(Rankings!F119&lt;=5,1,0)</f>
        <v>0</v>
      </c>
      <c r="G113" s="16">
        <f>IF(Rankings!G119&lt;=5,1,0)</f>
        <v>1</v>
      </c>
      <c r="H113" s="16">
        <f>IF(Rankings!H119&lt;=5,1,0)</f>
        <v>1</v>
      </c>
      <c r="I113" s="16">
        <f>IF(Rankings!I119&lt;=5,1,0)</f>
        <v>0</v>
      </c>
      <c r="J113" s="16">
        <f>IF(Rankings!J119&lt;=5,1,0)</f>
        <v>0</v>
      </c>
      <c r="K113" s="19">
        <f t="shared" si="12"/>
        <v>5</v>
      </c>
      <c r="L113" s="15">
        <f>SUMPRODUCT(C113:J113,Returns!B117:I117)/K113</f>
        <v>-1.4414920996641744E-2</v>
      </c>
      <c r="M113" s="15">
        <f>-2*Assumptions!$B$13</f>
        <v>-7.0000000000000001E-3</v>
      </c>
      <c r="N113" s="15">
        <f>-Assumptions!$B$16*MAX(0,(1+O107)*(1+O108)*(1+O109)*(1+O110)*(1+O111)*(1+O112)-1)</f>
        <v>-0.1204550389579615</v>
      </c>
      <c r="O113" s="15">
        <f t="shared" si="13"/>
        <v>-0.14186995995460325</v>
      </c>
      <c r="P113" s="20">
        <f t="shared" si="15"/>
        <v>3.4898534107531058</v>
      </c>
      <c r="Q113" s="20">
        <f>MAX($P$5:P113)</f>
        <v>4.0668118442380665</v>
      </c>
      <c r="R113" s="15">
        <f t="shared" si="14"/>
        <v>-0.14186995995460328</v>
      </c>
      <c r="S113" s="15">
        <f>O113-Benchmark_RF!D113</f>
        <v>-0.15537811468684568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IF(Rankings!C119&lt;=5,1,0)</f>
        <v>1</v>
      </c>
      <c r="D114" s="16">
        <f>IF(Rankings!D119&lt;=5,1,0)</f>
        <v>1</v>
      </c>
      <c r="E114" s="16">
        <f>IF(Rankings!E119&lt;=5,1,0)</f>
        <v>1</v>
      </c>
      <c r="F114" s="16">
        <f>IF(Rankings!F119&lt;=5,1,0)</f>
        <v>0</v>
      </c>
      <c r="G114" s="16">
        <f>IF(Rankings!G119&lt;=5,1,0)</f>
        <v>1</v>
      </c>
      <c r="H114" s="16">
        <f>IF(Rankings!H119&lt;=5,1,0)</f>
        <v>1</v>
      </c>
      <c r="I114" s="16">
        <f>IF(Rankings!I119&lt;=5,1,0)</f>
        <v>0</v>
      </c>
      <c r="J114" s="16">
        <f>IF(Rankings!J119&lt;=5,1,0)</f>
        <v>0</v>
      </c>
      <c r="K114" s="19">
        <f t="shared" si="12"/>
        <v>5</v>
      </c>
      <c r="L114" s="15">
        <f>SUMPRODUCT(C114:J114,Returns!B118:I118)/K114</f>
        <v>0.10526988383405242</v>
      </c>
      <c r="M114" s="15">
        <v>0</v>
      </c>
      <c r="N114" s="15">
        <v>0</v>
      </c>
      <c r="O114" s="15">
        <f t="shared" si="13"/>
        <v>0.10526988383405242</v>
      </c>
      <c r="P114" s="20">
        <f t="shared" si="15"/>
        <v>3.8572298739009572</v>
      </c>
      <c r="Q114" s="20">
        <f>MAX($P$5:P114)</f>
        <v>4.0668118442380665</v>
      </c>
      <c r="R114" s="15">
        <f t="shared" si="14"/>
        <v>-5.1534710324513511E-2</v>
      </c>
      <c r="S114" s="15">
        <f>O114-Benchmark_RF!D114</f>
        <v>9.1804878224854142E-2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IF(Rankings!C119&lt;=5,1,0)</f>
        <v>1</v>
      </c>
      <c r="D115" s="16">
        <f>IF(Rankings!D119&lt;=5,1,0)</f>
        <v>1</v>
      </c>
      <c r="E115" s="16">
        <f>IF(Rankings!E119&lt;=5,1,0)</f>
        <v>1</v>
      </c>
      <c r="F115" s="16">
        <f>IF(Rankings!F119&lt;=5,1,0)</f>
        <v>0</v>
      </c>
      <c r="G115" s="16">
        <f>IF(Rankings!G119&lt;=5,1,0)</f>
        <v>1</v>
      </c>
      <c r="H115" s="16">
        <f>IF(Rankings!H119&lt;=5,1,0)</f>
        <v>1</v>
      </c>
      <c r="I115" s="16">
        <f>IF(Rankings!I119&lt;=5,1,0)</f>
        <v>0</v>
      </c>
      <c r="J115" s="16">
        <f>IF(Rankings!J119&lt;=5,1,0)</f>
        <v>0</v>
      </c>
      <c r="K115" s="19">
        <f t="shared" si="12"/>
        <v>5</v>
      </c>
      <c r="L115" s="15">
        <f>SUMPRODUCT(C115:J115,Returns!B119:I119)/K115</f>
        <v>9.9924759783808173E-2</v>
      </c>
      <c r="M115" s="15">
        <v>0</v>
      </c>
      <c r="N115" s="15">
        <v>0</v>
      </c>
      <c r="O115" s="15">
        <f t="shared" si="13"/>
        <v>9.9924759783808173E-2</v>
      </c>
      <c r="P115" s="20">
        <f t="shared" si="15"/>
        <v>4.2426626424814389</v>
      </c>
      <c r="Q115" s="20">
        <f>MAX($P$5:P115)</f>
        <v>4.2426626424814389</v>
      </c>
      <c r="R115" s="15">
        <f t="shared" si="14"/>
        <v>0</v>
      </c>
      <c r="S115" s="15">
        <f>O115-Benchmark_RF!D115</f>
        <v>8.904203063532741E-2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IF(Rankings!C119&lt;=5,1,0)</f>
        <v>1</v>
      </c>
      <c r="D116" s="16">
        <f>IF(Rankings!D119&lt;=5,1,0)</f>
        <v>1</v>
      </c>
      <c r="E116" s="16">
        <f>IF(Rankings!E119&lt;=5,1,0)</f>
        <v>1</v>
      </c>
      <c r="F116" s="16">
        <f>IF(Rankings!F119&lt;=5,1,0)</f>
        <v>0</v>
      </c>
      <c r="G116" s="16">
        <f>IF(Rankings!G119&lt;=5,1,0)</f>
        <v>1</v>
      </c>
      <c r="H116" s="16">
        <f>IF(Rankings!H119&lt;=5,1,0)</f>
        <v>1</v>
      </c>
      <c r="I116" s="16">
        <f>IF(Rankings!I119&lt;=5,1,0)</f>
        <v>0</v>
      </c>
      <c r="J116" s="16">
        <f>IF(Rankings!J119&lt;=5,1,0)</f>
        <v>0</v>
      </c>
      <c r="K116" s="19">
        <f t="shared" si="12"/>
        <v>5</v>
      </c>
      <c r="L116" s="15">
        <f>SUMPRODUCT(C116:J116,Returns!B120:I120)/K116</f>
        <v>9.1279149879075289E-2</v>
      </c>
      <c r="M116" s="15">
        <v>0</v>
      </c>
      <c r="N116" s="15">
        <v>0</v>
      </c>
      <c r="O116" s="15">
        <f t="shared" si="13"/>
        <v>9.1279149879075289E-2</v>
      </c>
      <c r="P116" s="20">
        <f t="shared" si="15"/>
        <v>4.6299292817108553</v>
      </c>
      <c r="Q116" s="20">
        <f>MAX($P$5:P116)</f>
        <v>4.6299292817108553</v>
      </c>
      <c r="R116" s="15">
        <f t="shared" si="14"/>
        <v>0</v>
      </c>
      <c r="S116" s="15">
        <f>O116-Benchmark_RF!D116</f>
        <v>8.0396420730594526E-2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IF(Rankings!C119&lt;=5,1,0)</f>
        <v>1</v>
      </c>
      <c r="D117" s="16">
        <f>IF(Rankings!D119&lt;=5,1,0)</f>
        <v>1</v>
      </c>
      <c r="E117" s="16">
        <f>IF(Rankings!E119&lt;=5,1,0)</f>
        <v>1</v>
      </c>
      <c r="F117" s="16">
        <f>IF(Rankings!F119&lt;=5,1,0)</f>
        <v>0</v>
      </c>
      <c r="G117" s="16">
        <f>IF(Rankings!G119&lt;=5,1,0)</f>
        <v>1</v>
      </c>
      <c r="H117" s="16">
        <f>IF(Rankings!H119&lt;=5,1,0)</f>
        <v>1</v>
      </c>
      <c r="I117" s="16">
        <f>IF(Rankings!I119&lt;=5,1,0)</f>
        <v>0</v>
      </c>
      <c r="J117" s="16">
        <f>IF(Rankings!J119&lt;=5,1,0)</f>
        <v>0</v>
      </c>
      <c r="K117" s="19">
        <f t="shared" si="12"/>
        <v>5</v>
      </c>
      <c r="L117" s="15">
        <f>SUMPRODUCT(C117:J117,Returns!B121:I121)/K117</f>
        <v>9.0979310334221172E-2</v>
      </c>
      <c r="M117" s="15">
        <v>0</v>
      </c>
      <c r="N117" s="15">
        <v>0</v>
      </c>
      <c r="O117" s="15">
        <f t="shared" si="13"/>
        <v>9.0979310334221172E-2</v>
      </c>
      <c r="P117" s="20">
        <f t="shared" si="15"/>
        <v>5.0511570546571249</v>
      </c>
      <c r="Q117" s="20">
        <f>MAX($P$5:P117)</f>
        <v>5.0511570546571249</v>
      </c>
      <c r="R117" s="15">
        <f t="shared" si="14"/>
        <v>0</v>
      </c>
      <c r="S117" s="15">
        <f>O117-Benchmark_RF!D117</f>
        <v>8.1603252777713117E-2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1" customWidth="1"/>
    <col min="3" max="10" width="8" customWidth="1"/>
    <col min="11" max="16" width="11" customWidth="1"/>
    <col min="17" max="17" width="12" customWidth="1"/>
    <col min="18" max="18" width="11" customWidth="1"/>
    <col min="19" max="19" width="13" customWidth="1"/>
  </cols>
  <sheetData>
    <row r="1" spans="1:19" ht="15.75" customHeight="1" x14ac:dyDescent="0.25">
      <c r="A1" s="17" t="s">
        <v>87</v>
      </c>
    </row>
    <row r="2" spans="1:19" ht="15" customHeight="1" x14ac:dyDescent="0.25">
      <c r="A2" s="4" t="s">
        <v>69</v>
      </c>
    </row>
    <row r="4" spans="1:19" ht="15" customHeight="1" x14ac:dyDescent="0.25">
      <c r="A4" s="11" t="s">
        <v>70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8" t="s">
        <v>77</v>
      </c>
      <c r="R4" s="18" t="s">
        <v>78</v>
      </c>
      <c r="S4" s="18" t="s">
        <v>79</v>
      </c>
    </row>
    <row r="5" spans="1:19" ht="15" customHeight="1" x14ac:dyDescent="0.25">
      <c r="A5">
        <v>8</v>
      </c>
      <c r="B5" s="12">
        <f>Returns!A9</f>
        <v>42217</v>
      </c>
      <c r="C5" s="16">
        <f>IF(Rankings!C11&lt;=5,1,0)</f>
        <v>0</v>
      </c>
      <c r="D5" s="16">
        <f>IF(Rankings!D11&lt;=5,1,0)</f>
        <v>1</v>
      </c>
      <c r="E5" s="16">
        <f>IF(Rankings!E11&lt;=5,1,0)</f>
        <v>0</v>
      </c>
      <c r="F5" s="16">
        <f>IF(Rankings!F11&lt;=5,1,0)</f>
        <v>1</v>
      </c>
      <c r="G5" s="16">
        <f>IF(Rankings!G11&lt;=5,1,0)</f>
        <v>1</v>
      </c>
      <c r="H5" s="16">
        <f>IF(Rankings!H11&lt;=5,1,0)</f>
        <v>1</v>
      </c>
      <c r="I5" s="16">
        <f>IF(Rankings!I11&lt;=5,1,0)</f>
        <v>0</v>
      </c>
      <c r="J5" s="16">
        <f>IF(Rankings!J11&lt;=5,1,0)</f>
        <v>1</v>
      </c>
      <c r="K5" s="19">
        <f t="shared" ref="K5:K36" si="0">SUM(C5:J5)</f>
        <v>5</v>
      </c>
      <c r="L5" s="15">
        <f>SUMPRODUCT(C5:J5,Returns!B9:I9)/K5</f>
        <v>-4.5579608902745747E-2</v>
      </c>
      <c r="M5" s="15">
        <f>-2*Assumptions!$B$13</f>
        <v>-7.0000000000000001E-3</v>
      </c>
      <c r="N5" s="15">
        <v>0</v>
      </c>
      <c r="O5" s="15">
        <f t="shared" ref="O5:O36" si="1">L5+M5+N5</f>
        <v>-5.2579608902745746E-2</v>
      </c>
      <c r="P5" s="20">
        <f>1*(1+O5)</f>
        <v>0.94742039109725429</v>
      </c>
      <c r="Q5" s="20">
        <f>MAX($P$5:P5)</f>
        <v>0.94742039109725429</v>
      </c>
      <c r="R5" s="15">
        <f t="shared" ref="R5:R36" si="2">P5/Q5-1</f>
        <v>0</v>
      </c>
      <c r="S5" s="15">
        <f>O5-Benchmark_RF!D5</f>
        <v>-5.8179539412071914E-2</v>
      </c>
    </row>
    <row r="6" spans="1:19" ht="15" customHeight="1" x14ac:dyDescent="0.25">
      <c r="A6">
        <v>9</v>
      </c>
      <c r="B6" s="12">
        <f>Returns!A10</f>
        <v>42248</v>
      </c>
      <c r="C6" s="16">
        <f>IF(Rankings!C11&lt;=5,1,0)</f>
        <v>0</v>
      </c>
      <c r="D6" s="16">
        <f>IF(Rankings!D11&lt;=5,1,0)</f>
        <v>1</v>
      </c>
      <c r="E6" s="16">
        <f>IF(Rankings!E11&lt;=5,1,0)</f>
        <v>0</v>
      </c>
      <c r="F6" s="16">
        <f>IF(Rankings!F11&lt;=5,1,0)</f>
        <v>1</v>
      </c>
      <c r="G6" s="16">
        <f>IF(Rankings!G11&lt;=5,1,0)</f>
        <v>1</v>
      </c>
      <c r="H6" s="16">
        <f>IF(Rankings!H11&lt;=5,1,0)</f>
        <v>1</v>
      </c>
      <c r="I6" s="16">
        <f>IF(Rankings!I11&lt;=5,1,0)</f>
        <v>0</v>
      </c>
      <c r="J6" s="16">
        <f>IF(Rankings!J11&lt;=5,1,0)</f>
        <v>1</v>
      </c>
      <c r="K6" s="19">
        <f t="shared" si="0"/>
        <v>5</v>
      </c>
      <c r="L6" s="15">
        <f>SUMPRODUCT(C6:J6,Returns!B10:I10)/K6</f>
        <v>-5.8994325846378579E-2</v>
      </c>
      <c r="M6" s="15">
        <v>0</v>
      </c>
      <c r="N6" s="15">
        <v>0</v>
      </c>
      <c r="O6" s="15">
        <f t="shared" si="1"/>
        <v>-5.8994325846378579E-2</v>
      </c>
      <c r="P6" s="20">
        <f t="shared" ref="P6:P37" si="3">P5*(1+O6)</f>
        <v>0.89152796383135946</v>
      </c>
      <c r="Q6" s="20">
        <f>MAX($P$5:P6)</f>
        <v>0.94742039109725429</v>
      </c>
      <c r="R6" s="15">
        <f t="shared" si="2"/>
        <v>-5.8994325846378537E-2</v>
      </c>
      <c r="S6" s="15">
        <f>O6-Benchmark_RF!D6</f>
        <v>-6.4229508203537608E-2</v>
      </c>
    </row>
    <row r="7" spans="1:19" ht="15" customHeight="1" x14ac:dyDescent="0.25">
      <c r="A7">
        <v>10</v>
      </c>
      <c r="B7" s="12">
        <f>Returns!A11</f>
        <v>42278</v>
      </c>
      <c r="C7" s="16">
        <f>IF(Rankings!C11&lt;=5,1,0)</f>
        <v>0</v>
      </c>
      <c r="D7" s="16">
        <f>IF(Rankings!D11&lt;=5,1,0)</f>
        <v>1</v>
      </c>
      <c r="E7" s="16">
        <f>IF(Rankings!E11&lt;=5,1,0)</f>
        <v>0</v>
      </c>
      <c r="F7" s="16">
        <f>IF(Rankings!F11&lt;=5,1,0)</f>
        <v>1</v>
      </c>
      <c r="G7" s="16">
        <f>IF(Rankings!G11&lt;=5,1,0)</f>
        <v>1</v>
      </c>
      <c r="H7" s="16">
        <f>IF(Rankings!H11&lt;=5,1,0)</f>
        <v>1</v>
      </c>
      <c r="I7" s="16">
        <f>IF(Rankings!I11&lt;=5,1,0)</f>
        <v>0</v>
      </c>
      <c r="J7" s="16">
        <f>IF(Rankings!J11&lt;=5,1,0)</f>
        <v>1</v>
      </c>
      <c r="K7" s="19">
        <f t="shared" si="0"/>
        <v>5</v>
      </c>
      <c r="L7" s="15">
        <f>SUMPRODUCT(C7:J7,Returns!B11:I11)/K7</f>
        <v>4.1968346349029372E-2</v>
      </c>
      <c r="M7" s="15">
        <v>0</v>
      </c>
      <c r="N7" s="15">
        <v>0</v>
      </c>
      <c r="O7" s="15">
        <f t="shared" si="1"/>
        <v>4.1968346349029372E-2</v>
      </c>
      <c r="P7" s="20">
        <f t="shared" si="3"/>
        <v>0.92894391819727895</v>
      </c>
      <c r="Q7" s="20">
        <f>MAX($P$5:P7)</f>
        <v>0.94742039109725429</v>
      </c>
      <c r="R7" s="15">
        <f t="shared" si="2"/>
        <v>-1.9501873797097447E-2</v>
      </c>
      <c r="S7" s="15">
        <f>O7-Benchmark_RF!D7</f>
        <v>3.6861111443870075E-2</v>
      </c>
    </row>
    <row r="8" spans="1:19" ht="15" customHeight="1" x14ac:dyDescent="0.25">
      <c r="A8">
        <v>11</v>
      </c>
      <c r="B8" s="12">
        <f>Returns!A12</f>
        <v>42309</v>
      </c>
      <c r="C8" s="16">
        <f>IF(Rankings!C14&lt;=5,1,0)</f>
        <v>1</v>
      </c>
      <c r="D8" s="16">
        <f>IF(Rankings!D14&lt;=5,1,0)</f>
        <v>1</v>
      </c>
      <c r="E8" s="16">
        <f>IF(Rankings!E14&lt;=5,1,0)</f>
        <v>1</v>
      </c>
      <c r="F8" s="16">
        <f>IF(Rankings!F14&lt;=5,1,0)</f>
        <v>1</v>
      </c>
      <c r="G8" s="16">
        <f>IF(Rankings!G14&lt;=5,1,0)</f>
        <v>0</v>
      </c>
      <c r="H8" s="16">
        <f>IF(Rankings!H14&lt;=5,1,0)</f>
        <v>0</v>
      </c>
      <c r="I8" s="16">
        <f>IF(Rankings!I14&lt;=5,1,0)</f>
        <v>0</v>
      </c>
      <c r="J8" s="16">
        <f>IF(Rankings!J14&lt;=5,1,0)</f>
        <v>1</v>
      </c>
      <c r="K8" s="19">
        <f t="shared" si="0"/>
        <v>5</v>
      </c>
      <c r="L8" s="15">
        <f>SUMPRODUCT(C8:J8,Returns!B12:I12)/K8</f>
        <v>-4.0730231767060941E-2</v>
      </c>
      <c r="M8" s="15">
        <f>-2*Assumptions!$B$13</f>
        <v>-7.0000000000000001E-3</v>
      </c>
      <c r="N8" s="15">
        <f>-Assumptions!$B$16*MAX(0,(1+O5)*(1+O6)*(1+O7)-1)</f>
        <v>0</v>
      </c>
      <c r="O8" s="15">
        <f t="shared" si="1"/>
        <v>-4.7730231767060941E-2</v>
      </c>
      <c r="P8" s="20">
        <f t="shared" si="3"/>
        <v>0.88460520968312117</v>
      </c>
      <c r="Q8" s="20">
        <f>MAX($P$5:P8)</f>
        <v>0.94742039109725429</v>
      </c>
      <c r="R8" s="15">
        <f t="shared" si="2"/>
        <v>-6.6301276607930837E-2</v>
      </c>
      <c r="S8" s="15">
        <f>O8-Benchmark_RF!D8</f>
        <v>-5.2888903396486123E-2</v>
      </c>
    </row>
    <row r="9" spans="1:19" ht="15" customHeight="1" x14ac:dyDescent="0.25">
      <c r="A9">
        <v>12</v>
      </c>
      <c r="B9" s="12">
        <f>Returns!A13</f>
        <v>42339</v>
      </c>
      <c r="C9" s="16">
        <f>IF(Rankings!C14&lt;=5,1,0)</f>
        <v>1</v>
      </c>
      <c r="D9" s="16">
        <f>IF(Rankings!D14&lt;=5,1,0)</f>
        <v>1</v>
      </c>
      <c r="E9" s="16">
        <f>IF(Rankings!E14&lt;=5,1,0)</f>
        <v>1</v>
      </c>
      <c r="F9" s="16">
        <f>IF(Rankings!F14&lt;=5,1,0)</f>
        <v>1</v>
      </c>
      <c r="G9" s="16">
        <f>IF(Rankings!G14&lt;=5,1,0)</f>
        <v>0</v>
      </c>
      <c r="H9" s="16">
        <f>IF(Rankings!H14&lt;=5,1,0)</f>
        <v>0</v>
      </c>
      <c r="I9" s="16">
        <f>IF(Rankings!I14&lt;=5,1,0)</f>
        <v>0</v>
      </c>
      <c r="J9" s="16">
        <f>IF(Rankings!J14&lt;=5,1,0)</f>
        <v>1</v>
      </c>
      <c r="K9" s="19">
        <f t="shared" si="0"/>
        <v>5</v>
      </c>
      <c r="L9" s="15">
        <f>SUMPRODUCT(C9:J9,Returns!B13:I13)/K9</f>
        <v>8.4360990816643097E-2</v>
      </c>
      <c r="M9" s="15">
        <v>0</v>
      </c>
      <c r="N9" s="15">
        <v>0</v>
      </c>
      <c r="O9" s="15">
        <f t="shared" si="1"/>
        <v>8.4360990816643097E-2</v>
      </c>
      <c r="P9" s="20">
        <f t="shared" si="3"/>
        <v>0.95923138165355371</v>
      </c>
      <c r="Q9" s="20">
        <f>MAX($P$5:P9)</f>
        <v>0.95923138165355371</v>
      </c>
      <c r="R9" s="15">
        <f t="shared" si="2"/>
        <v>0</v>
      </c>
      <c r="S9" s="15">
        <f>O9-Benchmark_RF!D9</f>
        <v>7.9227285619372909E-2</v>
      </c>
    </row>
    <row r="10" spans="1:19" ht="15" customHeight="1" x14ac:dyDescent="0.25">
      <c r="A10">
        <v>13</v>
      </c>
      <c r="B10" s="12">
        <f>Returns!A14</f>
        <v>42370</v>
      </c>
      <c r="C10" s="16">
        <f>IF(Rankings!C14&lt;=5,1,0)</f>
        <v>1</v>
      </c>
      <c r="D10" s="16">
        <f>IF(Rankings!D14&lt;=5,1,0)</f>
        <v>1</v>
      </c>
      <c r="E10" s="16">
        <f>IF(Rankings!E14&lt;=5,1,0)</f>
        <v>1</v>
      </c>
      <c r="F10" s="16">
        <f>IF(Rankings!F14&lt;=5,1,0)</f>
        <v>1</v>
      </c>
      <c r="G10" s="16">
        <f>IF(Rankings!G14&lt;=5,1,0)</f>
        <v>0</v>
      </c>
      <c r="H10" s="16">
        <f>IF(Rankings!H14&lt;=5,1,0)</f>
        <v>0</v>
      </c>
      <c r="I10" s="16">
        <f>IF(Rankings!I14&lt;=5,1,0)</f>
        <v>0</v>
      </c>
      <c r="J10" s="16">
        <f>IF(Rankings!J14&lt;=5,1,0)</f>
        <v>1</v>
      </c>
      <c r="K10" s="19">
        <f t="shared" si="0"/>
        <v>5</v>
      </c>
      <c r="L10" s="15">
        <f>SUMPRODUCT(C10:J10,Returns!B14:I14)/K10</f>
        <v>-8.1341606984260656E-2</v>
      </c>
      <c r="M10" s="15">
        <v>0</v>
      </c>
      <c r="N10" s="15">
        <v>0</v>
      </c>
      <c r="O10" s="15">
        <f t="shared" si="1"/>
        <v>-8.1341606984260656E-2</v>
      </c>
      <c r="P10" s="20">
        <f t="shared" si="3"/>
        <v>0.88120595960012105</v>
      </c>
      <c r="Q10" s="20">
        <f>MAX($P$5:P10)</f>
        <v>0.95923138165355371</v>
      </c>
      <c r="R10" s="15">
        <f t="shared" si="2"/>
        <v>-8.1341606984260628E-2</v>
      </c>
      <c r="S10" s="15">
        <f>O10-Benchmark_RF!D10</f>
        <v>-8.6336809740402393E-2</v>
      </c>
    </row>
    <row r="11" spans="1:19" ht="15" customHeight="1" x14ac:dyDescent="0.25">
      <c r="A11">
        <v>14</v>
      </c>
      <c r="B11" s="12">
        <f>Returns!A15</f>
        <v>42401</v>
      </c>
      <c r="C11" s="16">
        <f>IF(Rankings!C17&lt;=5,1,0)</f>
        <v>1</v>
      </c>
      <c r="D11" s="16">
        <f>IF(Rankings!D17&lt;=5,1,0)</f>
        <v>1</v>
      </c>
      <c r="E11" s="16">
        <f>IF(Rankings!E17&lt;=5,1,0)</f>
        <v>0</v>
      </c>
      <c r="F11" s="16">
        <f>IF(Rankings!F17&lt;=5,1,0)</f>
        <v>1</v>
      </c>
      <c r="G11" s="16">
        <f>IF(Rankings!G17&lt;=5,1,0)</f>
        <v>0</v>
      </c>
      <c r="H11" s="16">
        <f>IF(Rankings!H17&lt;=5,1,0)</f>
        <v>0</v>
      </c>
      <c r="I11" s="16">
        <f>IF(Rankings!I17&lt;=5,1,0)</f>
        <v>1</v>
      </c>
      <c r="J11" s="16">
        <f>IF(Rankings!J17&lt;=5,1,0)</f>
        <v>1</v>
      </c>
      <c r="K11" s="19">
        <f t="shared" si="0"/>
        <v>5</v>
      </c>
      <c r="L11" s="15">
        <f>SUMPRODUCT(C11:J11,Returns!B15:I15)/K11</f>
        <v>-2.6048808710788296E-2</v>
      </c>
      <c r="M11" s="15">
        <f>-2*Assumptions!$B$13</f>
        <v>-7.0000000000000001E-3</v>
      </c>
      <c r="N11" s="15">
        <f>-Assumptions!$B$16*MAX(0,(1+O8)*(1+O9)*(1+O10)-1)</f>
        <v>0</v>
      </c>
      <c r="O11" s="15">
        <f t="shared" si="1"/>
        <v>-3.3048808710788295E-2</v>
      </c>
      <c r="P11" s="20">
        <f t="shared" si="3"/>
        <v>0.85208315240649002</v>
      </c>
      <c r="Q11" s="20">
        <f>MAX($P$5:P11)</f>
        <v>0.95923138165355371</v>
      </c>
      <c r="R11" s="15">
        <f t="shared" si="2"/>
        <v>-0.11170217248559799</v>
      </c>
      <c r="S11" s="15">
        <f>O11-Benchmark_RF!D11</f>
        <v>-3.8085339804471367E-2</v>
      </c>
    </row>
    <row r="12" spans="1:19" ht="15" customHeight="1" x14ac:dyDescent="0.25">
      <c r="A12">
        <v>15</v>
      </c>
      <c r="B12" s="12">
        <f>Returns!A16</f>
        <v>42430</v>
      </c>
      <c r="C12" s="16">
        <f>IF(Rankings!C17&lt;=5,1,0)</f>
        <v>1</v>
      </c>
      <c r="D12" s="16">
        <f>IF(Rankings!D17&lt;=5,1,0)</f>
        <v>1</v>
      </c>
      <c r="E12" s="16">
        <f>IF(Rankings!E17&lt;=5,1,0)</f>
        <v>0</v>
      </c>
      <c r="F12" s="16">
        <f>IF(Rankings!F17&lt;=5,1,0)</f>
        <v>1</v>
      </c>
      <c r="G12" s="16">
        <f>IF(Rankings!G17&lt;=5,1,0)</f>
        <v>0</v>
      </c>
      <c r="H12" s="16">
        <f>IF(Rankings!H17&lt;=5,1,0)</f>
        <v>0</v>
      </c>
      <c r="I12" s="16">
        <f>IF(Rankings!I17&lt;=5,1,0)</f>
        <v>1</v>
      </c>
      <c r="J12" s="16">
        <f>IF(Rankings!J17&lt;=5,1,0)</f>
        <v>1</v>
      </c>
      <c r="K12" s="19">
        <f t="shared" si="0"/>
        <v>5</v>
      </c>
      <c r="L12" s="15">
        <f>SUMPRODUCT(C12:J12,Returns!B16:I16)/K12</f>
        <v>8.3250935447273605E-2</v>
      </c>
      <c r="M12" s="15">
        <v>0</v>
      </c>
      <c r="N12" s="15">
        <v>0</v>
      </c>
      <c r="O12" s="15">
        <f t="shared" si="1"/>
        <v>8.3250935447273605E-2</v>
      </c>
      <c r="P12" s="20">
        <f t="shared" si="3"/>
        <v>0.92301987192319224</v>
      </c>
      <c r="Q12" s="20">
        <f>MAX($P$5:P12)</f>
        <v>0.95923138165355371</v>
      </c>
      <c r="R12" s="15">
        <f t="shared" si="2"/>
        <v>-3.7750547389242994E-2</v>
      </c>
      <c r="S12" s="15">
        <f>O12-Benchmark_RF!D12</f>
        <v>7.8249421811951742E-2</v>
      </c>
    </row>
    <row r="13" spans="1:19" ht="15" customHeight="1" x14ac:dyDescent="0.25">
      <c r="A13">
        <v>16</v>
      </c>
      <c r="B13" s="12">
        <f>Returns!A17</f>
        <v>42461</v>
      </c>
      <c r="C13" s="16">
        <f>IF(Rankings!C17&lt;=5,1,0)</f>
        <v>1</v>
      </c>
      <c r="D13" s="16">
        <f>IF(Rankings!D17&lt;=5,1,0)</f>
        <v>1</v>
      </c>
      <c r="E13" s="16">
        <f>IF(Rankings!E17&lt;=5,1,0)</f>
        <v>0</v>
      </c>
      <c r="F13" s="16">
        <f>IF(Rankings!F17&lt;=5,1,0)</f>
        <v>1</v>
      </c>
      <c r="G13" s="16">
        <f>IF(Rankings!G17&lt;=5,1,0)</f>
        <v>0</v>
      </c>
      <c r="H13" s="16">
        <f>IF(Rankings!H17&lt;=5,1,0)</f>
        <v>0</v>
      </c>
      <c r="I13" s="16">
        <f>IF(Rankings!I17&lt;=5,1,0)</f>
        <v>1</v>
      </c>
      <c r="J13" s="16">
        <f>IF(Rankings!J17&lt;=5,1,0)</f>
        <v>1</v>
      </c>
      <c r="K13" s="19">
        <f t="shared" si="0"/>
        <v>5</v>
      </c>
      <c r="L13" s="15">
        <f>SUMPRODUCT(C13:J13,Returns!B17:I17)/K13</f>
        <v>7.1748455842833264E-2</v>
      </c>
      <c r="M13" s="15">
        <v>0</v>
      </c>
      <c r="N13" s="15">
        <v>0</v>
      </c>
      <c r="O13" s="15">
        <f t="shared" si="1"/>
        <v>7.1748455842833264E-2</v>
      </c>
      <c r="P13" s="20">
        <f t="shared" si="3"/>
        <v>0.98924512244593088</v>
      </c>
      <c r="Q13" s="20">
        <f>MAX($P$5:P13)</f>
        <v>0.98924512244593088</v>
      </c>
      <c r="R13" s="15">
        <f t="shared" si="2"/>
        <v>0</v>
      </c>
      <c r="S13" s="15">
        <f>O13-Benchmark_RF!D13</f>
        <v>6.6746942207511401E-2</v>
      </c>
    </row>
    <row r="14" spans="1:19" ht="15" customHeight="1" x14ac:dyDescent="0.25">
      <c r="A14">
        <v>17</v>
      </c>
      <c r="B14" s="12">
        <f>Returns!A18</f>
        <v>42491</v>
      </c>
      <c r="C14" s="16">
        <f>IF(Rankings!C20&lt;=5,1,0)</f>
        <v>1</v>
      </c>
      <c r="D14" s="16">
        <f>IF(Rankings!D20&lt;=5,1,0)</f>
        <v>0</v>
      </c>
      <c r="E14" s="16">
        <f>IF(Rankings!E20&lt;=5,1,0)</f>
        <v>0</v>
      </c>
      <c r="F14" s="16">
        <f>IF(Rankings!F20&lt;=5,1,0)</f>
        <v>1</v>
      </c>
      <c r="G14" s="16">
        <f>IF(Rankings!G20&lt;=5,1,0)</f>
        <v>0</v>
      </c>
      <c r="H14" s="16">
        <f>IF(Rankings!H20&lt;=5,1,0)</f>
        <v>1</v>
      </c>
      <c r="I14" s="16">
        <f>IF(Rankings!I20&lt;=5,1,0)</f>
        <v>1</v>
      </c>
      <c r="J14" s="16">
        <f>IF(Rankings!J20&lt;=5,1,0)</f>
        <v>1</v>
      </c>
      <c r="K14" s="19">
        <f t="shared" si="0"/>
        <v>5</v>
      </c>
      <c r="L14" s="15">
        <f>SUMPRODUCT(C14:J14,Returns!B18:I18)/K14</f>
        <v>3.7018663211431324E-2</v>
      </c>
      <c r="M14" s="15">
        <f>-2*Assumptions!$B$13</f>
        <v>-7.0000000000000001E-3</v>
      </c>
      <c r="N14" s="15">
        <f>-Assumptions!$B$16*MAX(0,(1+O11)*(1+O12)*(1+O13)-1)</f>
        <v>-1.8390563806701298E-2</v>
      </c>
      <c r="O14" s="15">
        <f t="shared" si="1"/>
        <v>1.1628099404730027E-2</v>
      </c>
      <c r="P14" s="20">
        <f t="shared" si="3"/>
        <v>1.0007481630653765</v>
      </c>
      <c r="Q14" s="20">
        <f>MAX($P$5:P14)</f>
        <v>1.0007481630653765</v>
      </c>
      <c r="R14" s="15">
        <f t="shared" si="2"/>
        <v>0</v>
      </c>
      <c r="S14" s="15">
        <f>O14-Benchmark_RF!D14</f>
        <v>6.7704242508106992E-3</v>
      </c>
    </row>
    <row r="15" spans="1:19" ht="15" customHeight="1" x14ac:dyDescent="0.25">
      <c r="A15">
        <v>18</v>
      </c>
      <c r="B15" s="12">
        <f>Returns!A19</f>
        <v>42522</v>
      </c>
      <c r="C15" s="16">
        <f>IF(Rankings!C20&lt;=5,1,0)</f>
        <v>1</v>
      </c>
      <c r="D15" s="16">
        <f>IF(Rankings!D20&lt;=5,1,0)</f>
        <v>0</v>
      </c>
      <c r="E15" s="16">
        <f>IF(Rankings!E20&lt;=5,1,0)</f>
        <v>0</v>
      </c>
      <c r="F15" s="16">
        <f>IF(Rankings!F20&lt;=5,1,0)</f>
        <v>1</v>
      </c>
      <c r="G15" s="16">
        <f>IF(Rankings!G20&lt;=5,1,0)</f>
        <v>0</v>
      </c>
      <c r="H15" s="16">
        <f>IF(Rankings!H20&lt;=5,1,0)</f>
        <v>1</v>
      </c>
      <c r="I15" s="16">
        <f>IF(Rankings!I20&lt;=5,1,0)</f>
        <v>1</v>
      </c>
      <c r="J15" s="16">
        <f>IF(Rankings!J20&lt;=5,1,0)</f>
        <v>1</v>
      </c>
      <c r="K15" s="19">
        <f t="shared" si="0"/>
        <v>5</v>
      </c>
      <c r="L15" s="15">
        <f>SUMPRODUCT(C15:J15,Returns!B19:I19)/K15</f>
        <v>1.6761505828961121E-2</v>
      </c>
      <c r="M15" s="15">
        <v>0</v>
      </c>
      <c r="N15" s="15">
        <v>0</v>
      </c>
      <c r="O15" s="15">
        <f t="shared" si="1"/>
        <v>1.6761505828961121E-2</v>
      </c>
      <c r="P15" s="20">
        <f t="shared" si="3"/>
        <v>1.0175222092339191</v>
      </c>
      <c r="Q15" s="20">
        <f>MAX($P$5:P15)</f>
        <v>1.0175222092339191</v>
      </c>
      <c r="R15" s="15">
        <f t="shared" si="2"/>
        <v>0</v>
      </c>
      <c r="S15" s="15">
        <f>O15-Benchmark_RF!D15</f>
        <v>1.1973146598809704E-2</v>
      </c>
    </row>
    <row r="16" spans="1:19" ht="15" customHeight="1" x14ac:dyDescent="0.25">
      <c r="A16">
        <v>19</v>
      </c>
      <c r="B16" s="12">
        <f>Returns!A20</f>
        <v>42552</v>
      </c>
      <c r="C16" s="16">
        <f>IF(Rankings!C20&lt;=5,1,0)</f>
        <v>1</v>
      </c>
      <c r="D16" s="16">
        <f>IF(Rankings!D20&lt;=5,1,0)</f>
        <v>0</v>
      </c>
      <c r="E16" s="16">
        <f>IF(Rankings!E20&lt;=5,1,0)</f>
        <v>0</v>
      </c>
      <c r="F16" s="16">
        <f>IF(Rankings!F20&lt;=5,1,0)</f>
        <v>1</v>
      </c>
      <c r="G16" s="16">
        <f>IF(Rankings!G20&lt;=5,1,0)</f>
        <v>0</v>
      </c>
      <c r="H16" s="16">
        <f>IF(Rankings!H20&lt;=5,1,0)</f>
        <v>1</v>
      </c>
      <c r="I16" s="16">
        <f>IF(Rankings!I20&lt;=5,1,0)</f>
        <v>1</v>
      </c>
      <c r="J16" s="16">
        <f>IF(Rankings!J20&lt;=5,1,0)</f>
        <v>1</v>
      </c>
      <c r="K16" s="19">
        <f t="shared" si="0"/>
        <v>5</v>
      </c>
      <c r="L16" s="15">
        <f>SUMPRODUCT(C16:J16,Returns!B20:I20)/K16</f>
        <v>2.2965628402000317E-2</v>
      </c>
      <c r="M16" s="15">
        <v>0</v>
      </c>
      <c r="N16" s="15">
        <v>0</v>
      </c>
      <c r="O16" s="15">
        <f t="shared" si="1"/>
        <v>2.2965628402000317E-2</v>
      </c>
      <c r="P16" s="20">
        <f t="shared" si="3"/>
        <v>1.0408902461819678</v>
      </c>
      <c r="Q16" s="20">
        <f>MAX($P$5:P16)</f>
        <v>1.0408902461819678</v>
      </c>
      <c r="R16" s="15">
        <f t="shared" si="2"/>
        <v>0</v>
      </c>
      <c r="S16" s="15">
        <f>O16-Benchmark_RF!D16</f>
        <v>1.8266263490232394E-2</v>
      </c>
    </row>
    <row r="17" spans="1:19" ht="15" customHeight="1" x14ac:dyDescent="0.25">
      <c r="A17">
        <v>20</v>
      </c>
      <c r="B17" s="12">
        <f>Returns!A21</f>
        <v>42583</v>
      </c>
      <c r="C17" s="16">
        <f>IF(Rankings!C23&lt;=5,1,0)</f>
        <v>0</v>
      </c>
      <c r="D17" s="16">
        <f>IF(Rankings!D23&lt;=5,1,0)</f>
        <v>0</v>
      </c>
      <c r="E17" s="16">
        <f>IF(Rankings!E23&lt;=5,1,0)</f>
        <v>1</v>
      </c>
      <c r="F17" s="16">
        <f>IF(Rankings!F23&lt;=5,1,0)</f>
        <v>1</v>
      </c>
      <c r="G17" s="16">
        <f>IF(Rankings!G23&lt;=5,1,0)</f>
        <v>0</v>
      </c>
      <c r="H17" s="16">
        <f>IF(Rankings!H23&lt;=5,1,0)</f>
        <v>1</v>
      </c>
      <c r="I17" s="16">
        <f>IF(Rankings!I23&lt;=5,1,0)</f>
        <v>1</v>
      </c>
      <c r="J17" s="16">
        <f>IF(Rankings!J23&lt;=5,1,0)</f>
        <v>1</v>
      </c>
      <c r="K17" s="19">
        <f t="shared" si="0"/>
        <v>5</v>
      </c>
      <c r="L17" s="15">
        <f>SUMPRODUCT(C17:J17,Returns!B21:I21)/K17</f>
        <v>7.2934061992625089E-3</v>
      </c>
      <c r="M17" s="15">
        <f>-2*Assumptions!$B$13</f>
        <v>-7.0000000000000001E-3</v>
      </c>
      <c r="N17" s="15">
        <f>-Assumptions!$B$16*MAX(0,(1+O14)*(1+O15)*(1+O16)-1)</f>
        <v>-7.8309898978843988E-3</v>
      </c>
      <c r="O17" s="15">
        <f t="shared" si="1"/>
        <v>-7.53758369862189E-3</v>
      </c>
      <c r="P17" s="20">
        <f t="shared" si="3"/>
        <v>1.0330444488302921</v>
      </c>
      <c r="Q17" s="20">
        <f>MAX($P$5:P17)</f>
        <v>1.0408902461819678</v>
      </c>
      <c r="R17" s="15">
        <f t="shared" si="2"/>
        <v>-7.5375836986218969E-3</v>
      </c>
      <c r="S17" s="15">
        <f>O17-Benchmark_RF!D17</f>
        <v>-1.2294468627208947E-2</v>
      </c>
    </row>
    <row r="18" spans="1:19" ht="15" customHeight="1" x14ac:dyDescent="0.25">
      <c r="A18">
        <v>21</v>
      </c>
      <c r="B18" s="12">
        <f>Returns!A22</f>
        <v>42614</v>
      </c>
      <c r="C18" s="16">
        <f>IF(Rankings!C23&lt;=5,1,0)</f>
        <v>0</v>
      </c>
      <c r="D18" s="16">
        <f>IF(Rankings!D23&lt;=5,1,0)</f>
        <v>0</v>
      </c>
      <c r="E18" s="16">
        <f>IF(Rankings!E23&lt;=5,1,0)</f>
        <v>1</v>
      </c>
      <c r="F18" s="16">
        <f>IF(Rankings!F23&lt;=5,1,0)</f>
        <v>1</v>
      </c>
      <c r="G18" s="16">
        <f>IF(Rankings!G23&lt;=5,1,0)</f>
        <v>0</v>
      </c>
      <c r="H18" s="16">
        <f>IF(Rankings!H23&lt;=5,1,0)</f>
        <v>1</v>
      </c>
      <c r="I18" s="16">
        <f>IF(Rankings!I23&lt;=5,1,0)</f>
        <v>1</v>
      </c>
      <c r="J18" s="16">
        <f>IF(Rankings!J23&lt;=5,1,0)</f>
        <v>1</v>
      </c>
      <c r="K18" s="19">
        <f t="shared" si="0"/>
        <v>5</v>
      </c>
      <c r="L18" s="15">
        <f>SUMPRODUCT(C18:J18,Returns!B22:I22)/K18</f>
        <v>8.7712388664117985E-2</v>
      </c>
      <c r="M18" s="15">
        <v>0</v>
      </c>
      <c r="N18" s="15">
        <v>0</v>
      </c>
      <c r="O18" s="15">
        <f t="shared" si="1"/>
        <v>8.7712388664117985E-2</v>
      </c>
      <c r="P18" s="20">
        <f t="shared" si="3"/>
        <v>1.1236552450334043</v>
      </c>
      <c r="Q18" s="20">
        <f>MAX($P$5:P18)</f>
        <v>1.1236552450334043</v>
      </c>
      <c r="R18" s="15">
        <f t="shared" si="2"/>
        <v>0</v>
      </c>
      <c r="S18" s="15">
        <f>O18-Benchmark_RF!D18</f>
        <v>8.2955503735530928E-2</v>
      </c>
    </row>
    <row r="19" spans="1:19" ht="15" customHeight="1" x14ac:dyDescent="0.25">
      <c r="A19">
        <v>22</v>
      </c>
      <c r="B19" s="12">
        <f>Returns!A23</f>
        <v>42644</v>
      </c>
      <c r="C19" s="16">
        <f>IF(Rankings!C23&lt;=5,1,0)</f>
        <v>0</v>
      </c>
      <c r="D19" s="16">
        <f>IF(Rankings!D23&lt;=5,1,0)</f>
        <v>0</v>
      </c>
      <c r="E19" s="16">
        <f>IF(Rankings!E23&lt;=5,1,0)</f>
        <v>1</v>
      </c>
      <c r="F19" s="16">
        <f>IF(Rankings!F23&lt;=5,1,0)</f>
        <v>1</v>
      </c>
      <c r="G19" s="16">
        <f>IF(Rankings!G23&lt;=5,1,0)</f>
        <v>0</v>
      </c>
      <c r="H19" s="16">
        <f>IF(Rankings!H23&lt;=5,1,0)</f>
        <v>1</v>
      </c>
      <c r="I19" s="16">
        <f>IF(Rankings!I23&lt;=5,1,0)</f>
        <v>1</v>
      </c>
      <c r="J19" s="16">
        <f>IF(Rankings!J23&lt;=5,1,0)</f>
        <v>1</v>
      </c>
      <c r="K19" s="19">
        <f t="shared" si="0"/>
        <v>5</v>
      </c>
      <c r="L19" s="15">
        <f>SUMPRODUCT(C19:J19,Returns!B23:I23)/K19</f>
        <v>5.5321812020397008E-2</v>
      </c>
      <c r="M19" s="15">
        <v>0</v>
      </c>
      <c r="N19" s="15">
        <v>0</v>
      </c>
      <c r="O19" s="15">
        <f t="shared" si="1"/>
        <v>5.5321812020397008E-2</v>
      </c>
      <c r="P19" s="20">
        <f t="shared" si="3"/>
        <v>1.1858178892748756</v>
      </c>
      <c r="Q19" s="20">
        <f>MAX($P$5:P19)</f>
        <v>1.1858178892748756</v>
      </c>
      <c r="R19" s="15">
        <f t="shared" si="2"/>
        <v>0</v>
      </c>
      <c r="S19" s="15">
        <f>O19-Benchmark_RF!D19</f>
        <v>5.0549109504254418E-2</v>
      </c>
    </row>
    <row r="20" spans="1:19" ht="15" customHeight="1" x14ac:dyDescent="0.25">
      <c r="A20">
        <v>23</v>
      </c>
      <c r="B20" s="12">
        <f>Returns!A24</f>
        <v>42675</v>
      </c>
      <c r="C20" s="16">
        <f>IF(Rankings!C26&lt;=5,1,0)</f>
        <v>1</v>
      </c>
      <c r="D20" s="16">
        <f>IF(Rankings!D26&lt;=5,1,0)</f>
        <v>0</v>
      </c>
      <c r="E20" s="16">
        <f>IF(Rankings!E26&lt;=5,1,0)</f>
        <v>0</v>
      </c>
      <c r="F20" s="16">
        <f>IF(Rankings!F26&lt;=5,1,0)</f>
        <v>1</v>
      </c>
      <c r="G20" s="16">
        <f>IF(Rankings!G26&lt;=5,1,0)</f>
        <v>0</v>
      </c>
      <c r="H20" s="16">
        <f>IF(Rankings!H26&lt;=5,1,0)</f>
        <v>1</v>
      </c>
      <c r="I20" s="16">
        <f>IF(Rankings!I26&lt;=5,1,0)</f>
        <v>1</v>
      </c>
      <c r="J20" s="16">
        <f>IF(Rankings!J26&lt;=5,1,0)</f>
        <v>1</v>
      </c>
      <c r="K20" s="19">
        <f t="shared" si="0"/>
        <v>5</v>
      </c>
      <c r="L20" s="15">
        <f>SUMPRODUCT(C20:J20,Returns!B24:I24)/K20</f>
        <v>0.10371762233935336</v>
      </c>
      <c r="M20" s="15">
        <f>-2*Assumptions!$B$13</f>
        <v>-7.0000000000000001E-3</v>
      </c>
      <c r="N20" s="15">
        <f>-Assumptions!$B$16*MAX(0,(1+O17)*(1+O18)*(1+O19)-1)</f>
        <v>-2.0885147635570898E-2</v>
      </c>
      <c r="O20" s="15">
        <f t="shared" si="1"/>
        <v>7.583247470378246E-2</v>
      </c>
      <c r="P20" s="20">
        <f t="shared" si="3"/>
        <v>1.2757413943666054</v>
      </c>
      <c r="Q20" s="20">
        <f>MAX($P$5:P20)</f>
        <v>1.2757413943666054</v>
      </c>
      <c r="R20" s="15">
        <f t="shared" si="2"/>
        <v>0</v>
      </c>
      <c r="S20" s="15">
        <f>O20-Benchmark_RF!D20</f>
        <v>7.1004432191244693E-2</v>
      </c>
    </row>
    <row r="21" spans="1:19" ht="15" customHeight="1" x14ac:dyDescent="0.25">
      <c r="A21">
        <v>24</v>
      </c>
      <c r="B21" s="12">
        <f>Returns!A25</f>
        <v>42705</v>
      </c>
      <c r="C21" s="16">
        <f>IF(Rankings!C26&lt;=5,1,0)</f>
        <v>1</v>
      </c>
      <c r="D21" s="16">
        <f>IF(Rankings!D26&lt;=5,1,0)</f>
        <v>0</v>
      </c>
      <c r="E21" s="16">
        <f>IF(Rankings!E26&lt;=5,1,0)</f>
        <v>0</v>
      </c>
      <c r="F21" s="16">
        <f>IF(Rankings!F26&lt;=5,1,0)</f>
        <v>1</v>
      </c>
      <c r="G21" s="16">
        <f>IF(Rankings!G26&lt;=5,1,0)</f>
        <v>0</v>
      </c>
      <c r="H21" s="16">
        <f>IF(Rankings!H26&lt;=5,1,0)</f>
        <v>1</v>
      </c>
      <c r="I21" s="16">
        <f>IF(Rankings!I26&lt;=5,1,0)</f>
        <v>1</v>
      </c>
      <c r="J21" s="16">
        <f>IF(Rankings!J26&lt;=5,1,0)</f>
        <v>1</v>
      </c>
      <c r="K21" s="19">
        <f t="shared" si="0"/>
        <v>5</v>
      </c>
      <c r="L21" s="15">
        <f>SUMPRODUCT(C21:J21,Returns!B25:I25)/K21</f>
        <v>0.10249344459589878</v>
      </c>
      <c r="M21" s="15">
        <v>0</v>
      </c>
      <c r="N21" s="15">
        <v>0</v>
      </c>
      <c r="O21" s="15">
        <f t="shared" si="1"/>
        <v>0.10249344459589878</v>
      </c>
      <c r="P21" s="20">
        <f t="shared" si="3"/>
        <v>1.4064965242888137</v>
      </c>
      <c r="Q21" s="20">
        <f>MAX($P$5:P21)</f>
        <v>1.4064965242888137</v>
      </c>
      <c r="R21" s="15">
        <f t="shared" si="2"/>
        <v>0</v>
      </c>
      <c r="S21" s="15">
        <f>O21-Benchmark_RF!D21</f>
        <v>9.7653626896259185E-2</v>
      </c>
    </row>
    <row r="22" spans="1:19" ht="15" customHeight="1" x14ac:dyDescent="0.25">
      <c r="A22">
        <v>25</v>
      </c>
      <c r="B22" s="12">
        <f>Returns!A26</f>
        <v>42736</v>
      </c>
      <c r="C22" s="16">
        <f>IF(Rankings!C26&lt;=5,1,0)</f>
        <v>1</v>
      </c>
      <c r="D22" s="16">
        <f>IF(Rankings!D26&lt;=5,1,0)</f>
        <v>0</v>
      </c>
      <c r="E22" s="16">
        <f>IF(Rankings!E26&lt;=5,1,0)</f>
        <v>0</v>
      </c>
      <c r="F22" s="16">
        <f>IF(Rankings!F26&lt;=5,1,0)</f>
        <v>1</v>
      </c>
      <c r="G22" s="16">
        <f>IF(Rankings!G26&lt;=5,1,0)</f>
        <v>0</v>
      </c>
      <c r="H22" s="16">
        <f>IF(Rankings!H26&lt;=5,1,0)</f>
        <v>1</v>
      </c>
      <c r="I22" s="16">
        <f>IF(Rankings!I26&lt;=5,1,0)</f>
        <v>1</v>
      </c>
      <c r="J22" s="16">
        <f>IF(Rankings!J26&lt;=5,1,0)</f>
        <v>1</v>
      </c>
      <c r="K22" s="19">
        <f t="shared" si="0"/>
        <v>5</v>
      </c>
      <c r="L22" s="15">
        <f>SUMPRODUCT(C22:J22,Returns!B26:I26)/K22</f>
        <v>-1.8135305608815155E-4</v>
      </c>
      <c r="M22" s="15">
        <v>0</v>
      </c>
      <c r="N22" s="15">
        <v>0</v>
      </c>
      <c r="O22" s="15">
        <f t="shared" si="1"/>
        <v>-1.8135305608815155E-4</v>
      </c>
      <c r="P22" s="20">
        <f t="shared" si="3"/>
        <v>1.4062414518457567</v>
      </c>
      <c r="Q22" s="20">
        <f>MAX($P$5:P22)</f>
        <v>1.4064965242888137</v>
      </c>
      <c r="R22" s="15">
        <f t="shared" si="2"/>
        <v>-1.8135305608801833E-4</v>
      </c>
      <c r="S22" s="15">
        <f>O22-Benchmark_RF!D22</f>
        <v>-4.9557162600331276E-3</v>
      </c>
    </row>
    <row r="23" spans="1:19" ht="15" customHeight="1" x14ac:dyDescent="0.25">
      <c r="A23">
        <v>26</v>
      </c>
      <c r="B23" s="12">
        <f>Returns!A27</f>
        <v>42767</v>
      </c>
      <c r="C23" s="16">
        <f>IF(Rankings!C29&lt;=5,1,0)</f>
        <v>1</v>
      </c>
      <c r="D23" s="16">
        <f>IF(Rankings!D29&lt;=5,1,0)</f>
        <v>0</v>
      </c>
      <c r="E23" s="16">
        <f>IF(Rankings!E29&lt;=5,1,0)</f>
        <v>0</v>
      </c>
      <c r="F23" s="16">
        <f>IF(Rankings!F29&lt;=5,1,0)</f>
        <v>1</v>
      </c>
      <c r="G23" s="16">
        <f>IF(Rankings!G29&lt;=5,1,0)</f>
        <v>0</v>
      </c>
      <c r="H23" s="16">
        <f>IF(Rankings!H29&lt;=5,1,0)</f>
        <v>1</v>
      </c>
      <c r="I23" s="16">
        <f>IF(Rankings!I29&lt;=5,1,0)</f>
        <v>1</v>
      </c>
      <c r="J23" s="16">
        <f>IF(Rankings!J29&lt;=5,1,0)</f>
        <v>1</v>
      </c>
      <c r="K23" s="19">
        <f t="shared" si="0"/>
        <v>5</v>
      </c>
      <c r="L23" s="15">
        <f>SUMPRODUCT(C23:J23,Returns!B27:I27)/K23</f>
        <v>-2.8896532797037612E-2</v>
      </c>
      <c r="M23" s="15">
        <f>-2*Assumptions!$B$13</f>
        <v>-7.0000000000000001E-3</v>
      </c>
      <c r="N23" s="15">
        <f>-Assumptions!$B$16*MAX(0,(1+O20)*(1+O21)*(1+O22)-1)</f>
        <v>-2.7882472245253774E-2</v>
      </c>
      <c r="O23" s="15">
        <f t="shared" si="1"/>
        <v>-6.3779005042291392E-2</v>
      </c>
      <c r="P23" s="20">
        <f t="shared" si="3"/>
        <v>1.3165527711978069</v>
      </c>
      <c r="Q23" s="20">
        <f>MAX($P$5:P23)</f>
        <v>1.4064965242888137</v>
      </c>
      <c r="R23" s="15">
        <f t="shared" si="2"/>
        <v>-6.3948791580900832E-2</v>
      </c>
      <c r="S23" s="15">
        <f>O23-Benchmark_RF!D23</f>
        <v>-6.8600487564094093E-2</v>
      </c>
    </row>
    <row r="24" spans="1:19" ht="15" customHeight="1" x14ac:dyDescent="0.25">
      <c r="A24">
        <v>27</v>
      </c>
      <c r="B24" s="12">
        <f>Returns!A28</f>
        <v>42795</v>
      </c>
      <c r="C24" s="16">
        <f>IF(Rankings!C29&lt;=5,1,0)</f>
        <v>1</v>
      </c>
      <c r="D24" s="16">
        <f>IF(Rankings!D29&lt;=5,1,0)</f>
        <v>0</v>
      </c>
      <c r="E24" s="16">
        <f>IF(Rankings!E29&lt;=5,1,0)</f>
        <v>0</v>
      </c>
      <c r="F24" s="16">
        <f>IF(Rankings!F29&lt;=5,1,0)</f>
        <v>1</v>
      </c>
      <c r="G24" s="16">
        <f>IF(Rankings!G29&lt;=5,1,0)</f>
        <v>0</v>
      </c>
      <c r="H24" s="16">
        <f>IF(Rankings!H29&lt;=5,1,0)</f>
        <v>1</v>
      </c>
      <c r="I24" s="16">
        <f>IF(Rankings!I29&lt;=5,1,0)</f>
        <v>1</v>
      </c>
      <c r="J24" s="16">
        <f>IF(Rankings!J29&lt;=5,1,0)</f>
        <v>1</v>
      </c>
      <c r="K24" s="19">
        <f t="shared" si="0"/>
        <v>5</v>
      </c>
      <c r="L24" s="15">
        <f>SUMPRODUCT(C24:J24,Returns!B28:I28)/K24</f>
        <v>1.5082069447714442E-2</v>
      </c>
      <c r="M24" s="15">
        <v>0</v>
      </c>
      <c r="N24" s="15">
        <v>0</v>
      </c>
      <c r="O24" s="15">
        <f t="shared" si="1"/>
        <v>1.5082069447714442E-2</v>
      </c>
      <c r="P24" s="20">
        <f t="shared" si="3"/>
        <v>1.3364091115245933</v>
      </c>
      <c r="Q24" s="20">
        <f>MAX($P$5:P24)</f>
        <v>1.4064965242888137</v>
      </c>
      <c r="R24" s="15">
        <f t="shared" si="2"/>
        <v>-4.9831202248906803E-2</v>
      </c>
      <c r="S24" s="15">
        <f>O24-Benchmark_RF!D24</f>
        <v>1.0236799323242774E-2</v>
      </c>
    </row>
    <row r="25" spans="1:19" ht="15" customHeight="1" x14ac:dyDescent="0.25">
      <c r="A25">
        <v>28</v>
      </c>
      <c r="B25" s="12">
        <f>Returns!A29</f>
        <v>42826</v>
      </c>
      <c r="C25" s="16">
        <f>IF(Rankings!C29&lt;=5,1,0)</f>
        <v>1</v>
      </c>
      <c r="D25" s="16">
        <f>IF(Rankings!D29&lt;=5,1,0)</f>
        <v>0</v>
      </c>
      <c r="E25" s="16">
        <f>IF(Rankings!E29&lt;=5,1,0)</f>
        <v>0</v>
      </c>
      <c r="F25" s="16">
        <f>IF(Rankings!F29&lt;=5,1,0)</f>
        <v>1</v>
      </c>
      <c r="G25" s="16">
        <f>IF(Rankings!G29&lt;=5,1,0)</f>
        <v>0</v>
      </c>
      <c r="H25" s="16">
        <f>IF(Rankings!H29&lt;=5,1,0)</f>
        <v>1</v>
      </c>
      <c r="I25" s="16">
        <f>IF(Rankings!I29&lt;=5,1,0)</f>
        <v>1</v>
      </c>
      <c r="J25" s="16">
        <f>IF(Rankings!J29&lt;=5,1,0)</f>
        <v>1</v>
      </c>
      <c r="K25" s="19">
        <f t="shared" si="0"/>
        <v>5</v>
      </c>
      <c r="L25" s="15">
        <f>SUMPRODUCT(C25:J25,Returns!B29:I29)/K25</f>
        <v>4.7265404085986271E-2</v>
      </c>
      <c r="M25" s="15">
        <v>0</v>
      </c>
      <c r="N25" s="15">
        <v>0</v>
      </c>
      <c r="O25" s="15">
        <f t="shared" si="1"/>
        <v>4.7265404085986271E-2</v>
      </c>
      <c r="P25" s="20">
        <f t="shared" si="3"/>
        <v>1.3995750282049972</v>
      </c>
      <c r="Q25" s="20">
        <f>MAX($P$5:P25)</f>
        <v>1.4064965242888137</v>
      </c>
      <c r="R25" s="15">
        <f t="shared" si="2"/>
        <v>-4.9210900733055452E-3</v>
      </c>
      <c r="S25" s="15">
        <f>O25-Benchmark_RF!D25</f>
        <v>4.240962513323103E-2</v>
      </c>
    </row>
    <row r="26" spans="1:19" ht="15" customHeight="1" x14ac:dyDescent="0.25">
      <c r="A26">
        <v>29</v>
      </c>
      <c r="B26" s="12">
        <f>Returns!A30</f>
        <v>42856</v>
      </c>
      <c r="C26" s="16">
        <f>IF(Rankings!C32&lt;=5,1,0)</f>
        <v>1</v>
      </c>
      <c r="D26" s="16">
        <f>IF(Rankings!D32&lt;=5,1,0)</f>
        <v>0</v>
      </c>
      <c r="E26" s="16">
        <f>IF(Rankings!E32&lt;=5,1,0)</f>
        <v>0</v>
      </c>
      <c r="F26" s="16">
        <f>IF(Rankings!F32&lt;=5,1,0)</f>
        <v>1</v>
      </c>
      <c r="G26" s="16">
        <f>IF(Rankings!G32&lt;=5,1,0)</f>
        <v>0</v>
      </c>
      <c r="H26" s="16">
        <f>IF(Rankings!H32&lt;=5,1,0)</f>
        <v>1</v>
      </c>
      <c r="I26" s="16">
        <f>IF(Rankings!I32&lt;=5,1,0)</f>
        <v>1</v>
      </c>
      <c r="J26" s="16">
        <f>IF(Rankings!J32&lt;=5,1,0)</f>
        <v>1</v>
      </c>
      <c r="K26" s="19">
        <f t="shared" si="0"/>
        <v>5</v>
      </c>
      <c r="L26" s="15">
        <f>SUMPRODUCT(C26:J26,Returns!B30:I30)/K26</f>
        <v>0.19113531122946972</v>
      </c>
      <c r="M26" s="15">
        <f>-2*Assumptions!$B$13</f>
        <v>-7.0000000000000001E-3</v>
      </c>
      <c r="N26" s="15">
        <f>-Assumptions!$B$16*MAX(0,(1+O23)*(1+O24)*(1+O25)-1)</f>
        <v>0</v>
      </c>
      <c r="O26" s="15">
        <f t="shared" si="1"/>
        <v>0.18413531122946972</v>
      </c>
      <c r="P26" s="20">
        <f t="shared" si="3"/>
        <v>1.6572862116125182</v>
      </c>
      <c r="Q26" s="20">
        <f>MAX($P$5:P26)</f>
        <v>1.6572862116125182</v>
      </c>
      <c r="R26" s="15">
        <f t="shared" si="2"/>
        <v>0</v>
      </c>
      <c r="S26" s="15">
        <f>O26-Benchmark_RF!D26</f>
        <v>0.17927953227671448</v>
      </c>
    </row>
    <row r="27" spans="1:19" ht="15" customHeight="1" x14ac:dyDescent="0.25">
      <c r="A27">
        <v>30</v>
      </c>
      <c r="B27" s="12">
        <f>Returns!A31</f>
        <v>42887</v>
      </c>
      <c r="C27" s="16">
        <f>IF(Rankings!C32&lt;=5,1,0)</f>
        <v>1</v>
      </c>
      <c r="D27" s="16">
        <f>IF(Rankings!D32&lt;=5,1,0)</f>
        <v>0</v>
      </c>
      <c r="E27" s="16">
        <f>IF(Rankings!E32&lt;=5,1,0)</f>
        <v>0</v>
      </c>
      <c r="F27" s="16">
        <f>IF(Rankings!F32&lt;=5,1,0)</f>
        <v>1</v>
      </c>
      <c r="G27" s="16">
        <f>IF(Rankings!G32&lt;=5,1,0)</f>
        <v>0</v>
      </c>
      <c r="H27" s="16">
        <f>IF(Rankings!H32&lt;=5,1,0)</f>
        <v>1</v>
      </c>
      <c r="I27" s="16">
        <f>IF(Rankings!I32&lt;=5,1,0)</f>
        <v>1</v>
      </c>
      <c r="J27" s="16">
        <f>IF(Rankings!J32&lt;=5,1,0)</f>
        <v>1</v>
      </c>
      <c r="K27" s="19">
        <f t="shared" si="0"/>
        <v>5</v>
      </c>
      <c r="L27" s="15">
        <f>SUMPRODUCT(C27:J27,Returns!B31:I31)/K27</f>
        <v>-2.3779551318856583E-2</v>
      </c>
      <c r="M27" s="15">
        <v>0</v>
      </c>
      <c r="N27" s="15">
        <v>0</v>
      </c>
      <c r="O27" s="15">
        <f t="shared" si="1"/>
        <v>-2.3779551318856583E-2</v>
      </c>
      <c r="P27" s="20">
        <f t="shared" si="3"/>
        <v>1.6178766890934451</v>
      </c>
      <c r="Q27" s="20">
        <f>MAX($P$5:P27)</f>
        <v>1.6572862116125182</v>
      </c>
      <c r="R27" s="15">
        <f t="shared" si="2"/>
        <v>-2.3779551318856451E-2</v>
      </c>
      <c r="S27" s="15">
        <f>O27-Benchmark_RF!D27</f>
        <v>-2.8639991695587307E-2</v>
      </c>
    </row>
    <row r="28" spans="1:19" ht="15" customHeight="1" x14ac:dyDescent="0.25">
      <c r="A28">
        <v>31</v>
      </c>
      <c r="B28" s="12">
        <f>Returns!A32</f>
        <v>42917</v>
      </c>
      <c r="C28" s="16">
        <f>IF(Rankings!C32&lt;=5,1,0)</f>
        <v>1</v>
      </c>
      <c r="D28" s="16">
        <f>IF(Rankings!D32&lt;=5,1,0)</f>
        <v>0</v>
      </c>
      <c r="E28" s="16">
        <f>IF(Rankings!E32&lt;=5,1,0)</f>
        <v>0</v>
      </c>
      <c r="F28" s="16">
        <f>IF(Rankings!F32&lt;=5,1,0)</f>
        <v>1</v>
      </c>
      <c r="G28" s="16">
        <f>IF(Rankings!G32&lt;=5,1,0)</f>
        <v>0</v>
      </c>
      <c r="H28" s="16">
        <f>IF(Rankings!H32&lt;=5,1,0)</f>
        <v>1</v>
      </c>
      <c r="I28" s="16">
        <f>IF(Rankings!I32&lt;=5,1,0)</f>
        <v>1</v>
      </c>
      <c r="J28" s="16">
        <f>IF(Rankings!J32&lt;=5,1,0)</f>
        <v>1</v>
      </c>
      <c r="K28" s="19">
        <f t="shared" si="0"/>
        <v>5</v>
      </c>
      <c r="L28" s="15">
        <f>SUMPRODUCT(C28:J28,Returns!B32:I32)/K28</f>
        <v>-1.2021169974882895E-4</v>
      </c>
      <c r="M28" s="15">
        <v>0</v>
      </c>
      <c r="N28" s="15">
        <v>0</v>
      </c>
      <c r="O28" s="15">
        <f t="shared" si="1"/>
        <v>-1.2021169974882895E-4</v>
      </c>
      <c r="P28" s="20">
        <f t="shared" si="3"/>
        <v>1.6176822013866652</v>
      </c>
      <c r="Q28" s="20">
        <f>MAX($P$5:P28)</f>
        <v>1.6572862116125182</v>
      </c>
      <c r="R28" s="15">
        <f t="shared" si="2"/>
        <v>-2.3896904438322042E-2</v>
      </c>
      <c r="S28" s="15">
        <f>O28-Benchmark_RF!D28</f>
        <v>-4.9805730712751736E-3</v>
      </c>
    </row>
    <row r="29" spans="1:19" ht="15" customHeight="1" x14ac:dyDescent="0.25">
      <c r="A29">
        <v>32</v>
      </c>
      <c r="B29" s="12">
        <f>Returns!A33</f>
        <v>42948</v>
      </c>
      <c r="C29" s="16">
        <f>IF(Rankings!C35&lt;=5,1,0)</f>
        <v>1</v>
      </c>
      <c r="D29" s="16">
        <f>IF(Rankings!D35&lt;=5,1,0)</f>
        <v>0</v>
      </c>
      <c r="E29" s="16">
        <f>IF(Rankings!E35&lt;=5,1,0)</f>
        <v>1</v>
      </c>
      <c r="F29" s="16">
        <f>IF(Rankings!F35&lt;=5,1,0)</f>
        <v>0</v>
      </c>
      <c r="G29" s="16">
        <f>IF(Rankings!G35&lt;=5,1,0)</f>
        <v>0</v>
      </c>
      <c r="H29" s="16">
        <f>IF(Rankings!H35&lt;=5,1,0)</f>
        <v>1</v>
      </c>
      <c r="I29" s="16">
        <f>IF(Rankings!I35&lt;=5,1,0)</f>
        <v>1</v>
      </c>
      <c r="J29" s="16">
        <f>IF(Rankings!J35&lt;=5,1,0)</f>
        <v>1</v>
      </c>
      <c r="K29" s="19">
        <f t="shared" si="0"/>
        <v>5</v>
      </c>
      <c r="L29" s="15">
        <f>SUMPRODUCT(C29:J29,Returns!B33:I33)/K29</f>
        <v>-0.1357311445207135</v>
      </c>
      <c r="M29" s="15">
        <f>-2*Assumptions!$B$13</f>
        <v>-7.0000000000000001E-3</v>
      </c>
      <c r="N29" s="15">
        <f>-Assumptions!$B$16*MAX(0,(1+O26)*(1+O27)*(1+O28)-1)</f>
        <v>-2.337572142824643E-2</v>
      </c>
      <c r="O29" s="15">
        <f t="shared" si="1"/>
        <v>-0.16610686594895993</v>
      </c>
      <c r="P29" s="20">
        <f t="shared" si="3"/>
        <v>1.348974080812912</v>
      </c>
      <c r="Q29" s="20">
        <f>MAX($P$5:P29)</f>
        <v>1.6572862116125182</v>
      </c>
      <c r="R29" s="15">
        <f t="shared" si="2"/>
        <v>-0.18603433048515039</v>
      </c>
      <c r="S29" s="15">
        <f>O29-Benchmark_RF!D29</f>
        <v>-0.17096667428214204</v>
      </c>
    </row>
    <row r="30" spans="1:19" ht="15" customHeight="1" x14ac:dyDescent="0.25">
      <c r="A30">
        <v>33</v>
      </c>
      <c r="B30" s="12">
        <f>Returns!A34</f>
        <v>42979</v>
      </c>
      <c r="C30" s="16">
        <f>IF(Rankings!C35&lt;=5,1,0)</f>
        <v>1</v>
      </c>
      <c r="D30" s="16">
        <f>IF(Rankings!D35&lt;=5,1,0)</f>
        <v>0</v>
      </c>
      <c r="E30" s="16">
        <f>IF(Rankings!E35&lt;=5,1,0)</f>
        <v>1</v>
      </c>
      <c r="F30" s="16">
        <f>IF(Rankings!F35&lt;=5,1,0)</f>
        <v>0</v>
      </c>
      <c r="G30" s="16">
        <f>IF(Rankings!G35&lt;=5,1,0)</f>
        <v>0</v>
      </c>
      <c r="H30" s="16">
        <f>IF(Rankings!H35&lt;=5,1,0)</f>
        <v>1</v>
      </c>
      <c r="I30" s="16">
        <f>IF(Rankings!I35&lt;=5,1,0)</f>
        <v>1</v>
      </c>
      <c r="J30" s="16">
        <f>IF(Rankings!J35&lt;=5,1,0)</f>
        <v>1</v>
      </c>
      <c r="K30" s="19">
        <f t="shared" si="0"/>
        <v>5</v>
      </c>
      <c r="L30" s="15">
        <f>SUMPRODUCT(C30:J30,Returns!B34:I34)/K30</f>
        <v>7.0426641481838498E-2</v>
      </c>
      <c r="M30" s="15">
        <v>0</v>
      </c>
      <c r="N30" s="15">
        <v>0</v>
      </c>
      <c r="O30" s="15">
        <f t="shared" si="1"/>
        <v>7.0426641481838498E-2</v>
      </c>
      <c r="P30" s="20">
        <f t="shared" si="3"/>
        <v>1.4439777947706156</v>
      </c>
      <c r="Q30" s="20">
        <f>MAX($P$5:P30)</f>
        <v>1.6572862116125182</v>
      </c>
      <c r="R30" s="15">
        <f t="shared" si="2"/>
        <v>-0.12870946209970346</v>
      </c>
      <c r="S30" s="15">
        <f>O30-Benchmark_RF!D30</f>
        <v>6.5566201105107774E-2</v>
      </c>
    </row>
    <row r="31" spans="1:19" ht="15" customHeight="1" x14ac:dyDescent="0.25">
      <c r="A31">
        <v>34</v>
      </c>
      <c r="B31" s="12">
        <f>Returns!A35</f>
        <v>43009</v>
      </c>
      <c r="C31" s="16">
        <f>IF(Rankings!C35&lt;=5,1,0)</f>
        <v>1</v>
      </c>
      <c r="D31" s="16">
        <f>IF(Rankings!D35&lt;=5,1,0)</f>
        <v>0</v>
      </c>
      <c r="E31" s="16">
        <f>IF(Rankings!E35&lt;=5,1,0)</f>
        <v>1</v>
      </c>
      <c r="F31" s="16">
        <f>IF(Rankings!F35&lt;=5,1,0)</f>
        <v>0</v>
      </c>
      <c r="G31" s="16">
        <f>IF(Rankings!G35&lt;=5,1,0)</f>
        <v>0</v>
      </c>
      <c r="H31" s="16">
        <f>IF(Rankings!H35&lt;=5,1,0)</f>
        <v>1</v>
      </c>
      <c r="I31" s="16">
        <f>IF(Rankings!I35&lt;=5,1,0)</f>
        <v>1</v>
      </c>
      <c r="J31" s="16">
        <f>IF(Rankings!J35&lt;=5,1,0)</f>
        <v>1</v>
      </c>
      <c r="K31" s="19">
        <f t="shared" si="0"/>
        <v>5</v>
      </c>
      <c r="L31" s="15">
        <f>SUMPRODUCT(C31:J31,Returns!B35:I35)/K31</f>
        <v>-2.4894120903881302E-2</v>
      </c>
      <c r="M31" s="15">
        <v>0</v>
      </c>
      <c r="N31" s="15">
        <v>0</v>
      </c>
      <c r="O31" s="15">
        <f t="shared" si="1"/>
        <v>-2.4894120903881302E-2</v>
      </c>
      <c r="P31" s="20">
        <f t="shared" si="3"/>
        <v>1.408031236965076</v>
      </c>
      <c r="Q31" s="20">
        <f>MAX($P$5:P31)</f>
        <v>1.6572862116125182</v>
      </c>
      <c r="R31" s="15">
        <f t="shared" si="2"/>
        <v>-0.15039947409260124</v>
      </c>
      <c r="S31" s="15">
        <f>O31-Benchmark_RF!D31</f>
        <v>-2.9754561280612025E-2</v>
      </c>
    </row>
    <row r="32" spans="1:19" ht="15" customHeight="1" x14ac:dyDescent="0.25">
      <c r="A32">
        <v>35</v>
      </c>
      <c r="B32" s="12">
        <f>Returns!A36</f>
        <v>43040</v>
      </c>
      <c r="C32" s="16">
        <f>IF(Rankings!C38&lt;=5,1,0)</f>
        <v>1</v>
      </c>
      <c r="D32" s="16">
        <f>IF(Rankings!D38&lt;=5,1,0)</f>
        <v>1</v>
      </c>
      <c r="E32" s="16">
        <f>IF(Rankings!E38&lt;=5,1,0)</f>
        <v>1</v>
      </c>
      <c r="F32" s="16">
        <f>IF(Rankings!F38&lt;=5,1,0)</f>
        <v>0</v>
      </c>
      <c r="G32" s="16">
        <f>IF(Rankings!G38&lt;=5,1,0)</f>
        <v>0</v>
      </c>
      <c r="H32" s="16">
        <f>IF(Rankings!H38&lt;=5,1,0)</f>
        <v>1</v>
      </c>
      <c r="I32" s="16">
        <f>IF(Rankings!I38&lt;=5,1,0)</f>
        <v>1</v>
      </c>
      <c r="J32" s="16">
        <f>IF(Rankings!J38&lt;=5,1,0)</f>
        <v>0</v>
      </c>
      <c r="K32" s="19">
        <f t="shared" si="0"/>
        <v>5</v>
      </c>
      <c r="L32" s="15">
        <f>SUMPRODUCT(C32:J32,Returns!B36:I36)/K32</f>
        <v>0.1245601282936724</v>
      </c>
      <c r="M32" s="15">
        <f>-2*Assumptions!$B$13</f>
        <v>-7.0000000000000001E-3</v>
      </c>
      <c r="N32" s="15">
        <f>-Assumptions!$B$16*MAX(0,(1+O29)*(1+O30)*(1+O31)-1)</f>
        <v>0</v>
      </c>
      <c r="O32" s="15">
        <f t="shared" si="1"/>
        <v>0.11756012829367239</v>
      </c>
      <c r="P32" s="20">
        <f t="shared" si="3"/>
        <v>1.5735595698241887</v>
      </c>
      <c r="Q32" s="20">
        <f>MAX($P$5:P32)</f>
        <v>1.6572862116125182</v>
      </c>
      <c r="R32" s="15">
        <f t="shared" si="2"/>
        <v>-5.052032726855582E-2</v>
      </c>
      <c r="S32" s="15">
        <f>O32-Benchmark_RF!D32</f>
        <v>0.11269976692214605</v>
      </c>
    </row>
    <row r="33" spans="1:19" ht="15" customHeight="1" x14ac:dyDescent="0.25">
      <c r="A33">
        <v>36</v>
      </c>
      <c r="B33" s="12">
        <f>Returns!A37</f>
        <v>43070</v>
      </c>
      <c r="C33" s="16">
        <f>IF(Rankings!C38&lt;=5,1,0)</f>
        <v>1</v>
      </c>
      <c r="D33" s="16">
        <f>IF(Rankings!D38&lt;=5,1,0)</f>
        <v>1</v>
      </c>
      <c r="E33" s="16">
        <f>IF(Rankings!E38&lt;=5,1,0)</f>
        <v>1</v>
      </c>
      <c r="F33" s="16">
        <f>IF(Rankings!F38&lt;=5,1,0)</f>
        <v>0</v>
      </c>
      <c r="G33" s="16">
        <f>IF(Rankings!G38&lt;=5,1,0)</f>
        <v>0</v>
      </c>
      <c r="H33" s="16">
        <f>IF(Rankings!H38&lt;=5,1,0)</f>
        <v>1</v>
      </c>
      <c r="I33" s="16">
        <f>IF(Rankings!I38&lt;=5,1,0)</f>
        <v>1</v>
      </c>
      <c r="J33" s="16">
        <f>IF(Rankings!J38&lt;=5,1,0)</f>
        <v>0</v>
      </c>
      <c r="K33" s="19">
        <f t="shared" si="0"/>
        <v>5</v>
      </c>
      <c r="L33" s="15">
        <f>SUMPRODUCT(C33:J33,Returns!B37:I37)/K33</f>
        <v>6.2812821963201589E-3</v>
      </c>
      <c r="M33" s="15">
        <v>0</v>
      </c>
      <c r="N33" s="15">
        <v>0</v>
      </c>
      <c r="O33" s="15">
        <f t="shared" si="1"/>
        <v>6.2812821963201589E-3</v>
      </c>
      <c r="P33" s="20">
        <f t="shared" si="3"/>
        <v>1.5834435415349744</v>
      </c>
      <c r="Q33" s="20">
        <f>MAX($P$5:P33)</f>
        <v>1.6572862116125182</v>
      </c>
      <c r="R33" s="15">
        <f t="shared" si="2"/>
        <v>-4.4556377504460065E-2</v>
      </c>
      <c r="S33" s="15">
        <f>O33-Benchmark_RF!D33</f>
        <v>1.4208418195894353E-3</v>
      </c>
    </row>
    <row r="34" spans="1:19" ht="15" customHeight="1" x14ac:dyDescent="0.25">
      <c r="A34">
        <v>37</v>
      </c>
      <c r="B34" s="12">
        <f>Returns!A38</f>
        <v>43101</v>
      </c>
      <c r="C34" s="16">
        <f>IF(Rankings!C38&lt;=5,1,0)</f>
        <v>1</v>
      </c>
      <c r="D34" s="16">
        <f>IF(Rankings!D38&lt;=5,1,0)</f>
        <v>1</v>
      </c>
      <c r="E34" s="16">
        <f>IF(Rankings!E38&lt;=5,1,0)</f>
        <v>1</v>
      </c>
      <c r="F34" s="16">
        <f>IF(Rankings!F38&lt;=5,1,0)</f>
        <v>0</v>
      </c>
      <c r="G34" s="16">
        <f>IF(Rankings!G38&lt;=5,1,0)</f>
        <v>0</v>
      </c>
      <c r="H34" s="16">
        <f>IF(Rankings!H38&lt;=5,1,0)</f>
        <v>1</v>
      </c>
      <c r="I34" s="16">
        <f>IF(Rankings!I38&lt;=5,1,0)</f>
        <v>1</v>
      </c>
      <c r="J34" s="16">
        <f>IF(Rankings!J38&lt;=5,1,0)</f>
        <v>0</v>
      </c>
      <c r="K34" s="19">
        <f t="shared" si="0"/>
        <v>5</v>
      </c>
      <c r="L34" s="15">
        <f>SUMPRODUCT(C34:J34,Returns!B38:I38)/K34</f>
        <v>5.9803274652811211E-2</v>
      </c>
      <c r="M34" s="15">
        <v>0</v>
      </c>
      <c r="N34" s="15">
        <v>0</v>
      </c>
      <c r="O34" s="15">
        <f t="shared" si="1"/>
        <v>5.9803274652811211E-2</v>
      </c>
      <c r="P34" s="20">
        <f t="shared" si="3"/>
        <v>1.6781386505466105</v>
      </c>
      <c r="Q34" s="20">
        <f>MAX($P$5:P34)</f>
        <v>1.6781386505466105</v>
      </c>
      <c r="R34" s="15">
        <f t="shared" si="2"/>
        <v>0</v>
      </c>
      <c r="S34" s="15">
        <f>O34-Benchmark_RF!D34</f>
        <v>5.4777862513974984E-2</v>
      </c>
    </row>
    <row r="35" spans="1:19" ht="15" customHeight="1" x14ac:dyDescent="0.25">
      <c r="A35">
        <v>38</v>
      </c>
      <c r="B35" s="12">
        <f>Returns!A39</f>
        <v>43132</v>
      </c>
      <c r="C35" s="16">
        <f>IF(Rankings!C41&lt;=5,1,0)</f>
        <v>1</v>
      </c>
      <c r="D35" s="16">
        <f>IF(Rankings!D41&lt;=5,1,0)</f>
        <v>1</v>
      </c>
      <c r="E35" s="16">
        <f>IF(Rankings!E41&lt;=5,1,0)</f>
        <v>1</v>
      </c>
      <c r="F35" s="16">
        <f>IF(Rankings!F41&lt;=5,1,0)</f>
        <v>0</v>
      </c>
      <c r="G35" s="16">
        <f>IF(Rankings!G41&lt;=5,1,0)</f>
        <v>1</v>
      </c>
      <c r="H35" s="16">
        <f>IF(Rankings!H41&lt;=5,1,0)</f>
        <v>0</v>
      </c>
      <c r="I35" s="16">
        <f>IF(Rankings!I41&lt;=5,1,0)</f>
        <v>0</v>
      </c>
      <c r="J35" s="16">
        <f>IF(Rankings!J41&lt;=5,1,0)</f>
        <v>1</v>
      </c>
      <c r="K35" s="19">
        <f t="shared" si="0"/>
        <v>5</v>
      </c>
      <c r="L35" s="15">
        <f>SUMPRODUCT(C35:J35,Returns!B39:I39)/K35</f>
        <v>-2.4876734335518423E-2</v>
      </c>
      <c r="M35" s="15">
        <f>-2*Assumptions!$B$13</f>
        <v>-7.0000000000000001E-3</v>
      </c>
      <c r="N35" s="15">
        <f>-Assumptions!$B$16*MAX(0,(1+O32)*(1+O33)*(1+O34)-1)</f>
        <v>-2.877500937021836E-2</v>
      </c>
      <c r="O35" s="15">
        <f t="shared" si="1"/>
        <v>-6.0651743705736783E-2</v>
      </c>
      <c r="P35" s="20">
        <f t="shared" si="3"/>
        <v>1.5763566152109665</v>
      </c>
      <c r="Q35" s="20">
        <f>MAX($P$5:P35)</f>
        <v>1.6781386505466105</v>
      </c>
      <c r="R35" s="15">
        <f t="shared" si="2"/>
        <v>-6.0651743705736783E-2</v>
      </c>
      <c r="S35" s="15">
        <f>O35-Benchmark_RF!D35</f>
        <v>-6.5702546084611679E-2</v>
      </c>
    </row>
    <row r="36" spans="1:19" ht="15" customHeight="1" x14ac:dyDescent="0.25">
      <c r="A36">
        <v>39</v>
      </c>
      <c r="B36" s="12">
        <f>Returns!A40</f>
        <v>43160</v>
      </c>
      <c r="C36" s="16">
        <f>IF(Rankings!C41&lt;=5,1,0)</f>
        <v>1</v>
      </c>
      <c r="D36" s="16">
        <f>IF(Rankings!D41&lt;=5,1,0)</f>
        <v>1</v>
      </c>
      <c r="E36" s="16">
        <f>IF(Rankings!E41&lt;=5,1,0)</f>
        <v>1</v>
      </c>
      <c r="F36" s="16">
        <f>IF(Rankings!F41&lt;=5,1,0)</f>
        <v>0</v>
      </c>
      <c r="G36" s="16">
        <f>IF(Rankings!G41&lt;=5,1,0)</f>
        <v>1</v>
      </c>
      <c r="H36" s="16">
        <f>IF(Rankings!H41&lt;=5,1,0)</f>
        <v>0</v>
      </c>
      <c r="I36" s="16">
        <f>IF(Rankings!I41&lt;=5,1,0)</f>
        <v>0</v>
      </c>
      <c r="J36" s="16">
        <f>IF(Rankings!J41&lt;=5,1,0)</f>
        <v>1</v>
      </c>
      <c r="K36" s="19">
        <f t="shared" si="0"/>
        <v>5</v>
      </c>
      <c r="L36" s="15">
        <f>SUMPRODUCT(C36:J36,Returns!B40:I40)/K36</f>
        <v>5.695139930389144E-2</v>
      </c>
      <c r="M36" s="15">
        <v>0</v>
      </c>
      <c r="N36" s="15">
        <v>0</v>
      </c>
      <c r="O36" s="15">
        <f t="shared" si="1"/>
        <v>5.695139930389144E-2</v>
      </c>
      <c r="P36" s="20">
        <f t="shared" si="3"/>
        <v>1.6661323302491771</v>
      </c>
      <c r="Q36" s="20">
        <f>MAX($P$5:P36)</f>
        <v>1.6781386505466105</v>
      </c>
      <c r="R36" s="15">
        <f t="shared" si="2"/>
        <v>-7.1545460761079926E-3</v>
      </c>
      <c r="S36" s="15">
        <f>O36-Benchmark_RF!D36</f>
        <v>5.1879391231776276E-2</v>
      </c>
    </row>
    <row r="37" spans="1:19" ht="15" customHeight="1" x14ac:dyDescent="0.25">
      <c r="A37">
        <v>40</v>
      </c>
      <c r="B37" s="12">
        <f>Returns!A41</f>
        <v>43191</v>
      </c>
      <c r="C37" s="16">
        <f>IF(Rankings!C41&lt;=5,1,0)</f>
        <v>1</v>
      </c>
      <c r="D37" s="16">
        <f>IF(Rankings!D41&lt;=5,1,0)</f>
        <v>1</v>
      </c>
      <c r="E37" s="16">
        <f>IF(Rankings!E41&lt;=5,1,0)</f>
        <v>1</v>
      </c>
      <c r="F37" s="16">
        <f>IF(Rankings!F41&lt;=5,1,0)</f>
        <v>0</v>
      </c>
      <c r="G37" s="16">
        <f>IF(Rankings!G41&lt;=5,1,0)</f>
        <v>1</v>
      </c>
      <c r="H37" s="16">
        <f>IF(Rankings!H41&lt;=5,1,0)</f>
        <v>0</v>
      </c>
      <c r="I37" s="16">
        <f>IF(Rankings!I41&lt;=5,1,0)</f>
        <v>0</v>
      </c>
      <c r="J37" s="16">
        <f>IF(Rankings!J41&lt;=5,1,0)</f>
        <v>1</v>
      </c>
      <c r="K37" s="19">
        <f t="shared" ref="K37:K68" si="4">SUM(C37:J37)</f>
        <v>5</v>
      </c>
      <c r="L37" s="15">
        <f>SUMPRODUCT(C37:J37,Returns!B41:I41)/K37</f>
        <v>-3.9269010178817785E-3</v>
      </c>
      <c r="M37" s="15">
        <v>0</v>
      </c>
      <c r="N37" s="15">
        <v>0</v>
      </c>
      <c r="O37" s="15">
        <f t="shared" ref="O37:O68" si="5">L37+M37+N37</f>
        <v>-3.9269010178817785E-3</v>
      </c>
      <c r="P37" s="20">
        <f t="shared" si="3"/>
        <v>1.659589593505596</v>
      </c>
      <c r="Q37" s="20">
        <f>MAX($P$5:P37)</f>
        <v>1.6781386505466105</v>
      </c>
      <c r="R37" s="15">
        <f t="shared" ref="R37:R68" si="6">P37/Q37-1</f>
        <v>-1.1053351899720898E-2</v>
      </c>
      <c r="S37" s="15">
        <f>O37-Benchmark_RF!D37</f>
        <v>-8.9814088355551387E-3</v>
      </c>
    </row>
    <row r="38" spans="1:19" ht="15" customHeight="1" x14ac:dyDescent="0.25">
      <c r="A38">
        <v>41</v>
      </c>
      <c r="B38" s="12">
        <f>Returns!A42</f>
        <v>43221</v>
      </c>
      <c r="C38" s="16">
        <f>IF(Rankings!C44&lt;=5,1,0)</f>
        <v>1</v>
      </c>
      <c r="D38" s="16">
        <f>IF(Rankings!D44&lt;=5,1,0)</f>
        <v>0</v>
      </c>
      <c r="E38" s="16">
        <f>IF(Rankings!E44&lt;=5,1,0)</f>
        <v>0</v>
      </c>
      <c r="F38" s="16">
        <f>IF(Rankings!F44&lt;=5,1,0)</f>
        <v>1</v>
      </c>
      <c r="G38" s="16">
        <f>IF(Rankings!G44&lt;=5,1,0)</f>
        <v>1</v>
      </c>
      <c r="H38" s="16">
        <f>IF(Rankings!H44&lt;=5,1,0)</f>
        <v>1</v>
      </c>
      <c r="I38" s="16">
        <f>IF(Rankings!I44&lt;=5,1,0)</f>
        <v>0</v>
      </c>
      <c r="J38" s="16">
        <f>IF(Rankings!J44&lt;=5,1,0)</f>
        <v>1</v>
      </c>
      <c r="K38" s="19">
        <f t="shared" si="4"/>
        <v>5</v>
      </c>
      <c r="L38" s="15">
        <f>SUMPRODUCT(C38:J38,Returns!B42:I42)/K38</f>
        <v>-4.88870999683058E-2</v>
      </c>
      <c r="M38" s="15">
        <f>-2*Assumptions!$B$13</f>
        <v>-7.0000000000000001E-3</v>
      </c>
      <c r="N38" s="15">
        <f>-Assumptions!$B$16*MAX(0,(1+O35)*(1+O36)*(1+O37)-1)</f>
        <v>0</v>
      </c>
      <c r="O38" s="15">
        <f t="shared" si="5"/>
        <v>-5.5887099968305799E-2</v>
      </c>
      <c r="P38" s="20">
        <f t="shared" ref="P38:P69" si="7">P37*(1+O38)</f>
        <v>1.5668399439869889</v>
      </c>
      <c r="Q38" s="20">
        <f>MAX($P$5:P38)</f>
        <v>1.6781386505466105</v>
      </c>
      <c r="R38" s="15">
        <f t="shared" si="6"/>
        <v>-6.6322712085422064E-2</v>
      </c>
      <c r="S38" s="15">
        <f>O38-Benchmark_RF!D38</f>
        <v>-6.0958635104639759E-2</v>
      </c>
    </row>
    <row r="39" spans="1:19" ht="15" customHeight="1" x14ac:dyDescent="0.25">
      <c r="A39">
        <v>42</v>
      </c>
      <c r="B39" s="12">
        <f>Returns!A43</f>
        <v>43252</v>
      </c>
      <c r="C39" s="16">
        <f>IF(Rankings!C44&lt;=5,1,0)</f>
        <v>1</v>
      </c>
      <c r="D39" s="16">
        <f>IF(Rankings!D44&lt;=5,1,0)</f>
        <v>0</v>
      </c>
      <c r="E39" s="16">
        <f>IF(Rankings!E44&lt;=5,1,0)</f>
        <v>0</v>
      </c>
      <c r="F39" s="16">
        <f>IF(Rankings!F44&lt;=5,1,0)</f>
        <v>1</v>
      </c>
      <c r="G39" s="16">
        <f>IF(Rankings!G44&lt;=5,1,0)</f>
        <v>1</v>
      </c>
      <c r="H39" s="16">
        <f>IF(Rankings!H44&lt;=5,1,0)</f>
        <v>1</v>
      </c>
      <c r="I39" s="16">
        <f>IF(Rankings!I44&lt;=5,1,0)</f>
        <v>0</v>
      </c>
      <c r="J39" s="16">
        <f>IF(Rankings!J44&lt;=5,1,0)</f>
        <v>1</v>
      </c>
      <c r="K39" s="19">
        <f t="shared" si="4"/>
        <v>5</v>
      </c>
      <c r="L39" s="15">
        <f>SUMPRODUCT(C39:J39,Returns!B43:I43)/K39</f>
        <v>-2.8123315118075955E-2</v>
      </c>
      <c r="M39" s="15">
        <v>0</v>
      </c>
      <c r="N39" s="15">
        <v>0</v>
      </c>
      <c r="O39" s="15">
        <f t="shared" si="5"/>
        <v>-2.8123315118075955E-2</v>
      </c>
      <c r="P39" s="20">
        <f t="shared" si="7"/>
        <v>1.5227752105026542</v>
      </c>
      <c r="Q39" s="20">
        <f>MAX($P$5:P39)</f>
        <v>1.6781386505466105</v>
      </c>
      <c r="R39" s="15">
        <f t="shared" si="6"/>
        <v>-9.2580812672034329E-2</v>
      </c>
      <c r="S39" s="15">
        <f>O39-Benchmark_RF!D39</f>
        <v>-3.35889018300237E-2</v>
      </c>
    </row>
    <row r="40" spans="1:19" ht="15" customHeight="1" x14ac:dyDescent="0.25">
      <c r="A40">
        <v>43</v>
      </c>
      <c r="B40" s="12">
        <f>Returns!A44</f>
        <v>43282</v>
      </c>
      <c r="C40" s="16">
        <f>IF(Rankings!C44&lt;=5,1,0)</f>
        <v>1</v>
      </c>
      <c r="D40" s="16">
        <f>IF(Rankings!D44&lt;=5,1,0)</f>
        <v>0</v>
      </c>
      <c r="E40" s="16">
        <f>IF(Rankings!E44&lt;=5,1,0)</f>
        <v>0</v>
      </c>
      <c r="F40" s="16">
        <f>IF(Rankings!F44&lt;=5,1,0)</f>
        <v>1</v>
      </c>
      <c r="G40" s="16">
        <f>IF(Rankings!G44&lt;=5,1,0)</f>
        <v>1</v>
      </c>
      <c r="H40" s="16">
        <f>IF(Rankings!H44&lt;=5,1,0)</f>
        <v>1</v>
      </c>
      <c r="I40" s="16">
        <f>IF(Rankings!I44&lt;=5,1,0)</f>
        <v>0</v>
      </c>
      <c r="J40" s="16">
        <f>IF(Rankings!J44&lt;=5,1,0)</f>
        <v>1</v>
      </c>
      <c r="K40" s="19">
        <f t="shared" si="4"/>
        <v>5</v>
      </c>
      <c r="L40" s="15">
        <f>SUMPRODUCT(C40:J40,Returns!B44:I44)/K40</f>
        <v>1.4845392727565998E-2</v>
      </c>
      <c r="M40" s="15">
        <v>0</v>
      </c>
      <c r="N40" s="15">
        <v>0</v>
      </c>
      <c r="O40" s="15">
        <f t="shared" si="5"/>
        <v>1.4845392727565998E-2</v>
      </c>
      <c r="P40" s="20">
        <f t="shared" si="7"/>
        <v>1.5453814065383682</v>
      </c>
      <c r="Q40" s="20">
        <f>MAX($P$5:P40)</f>
        <v>1.6781386505466105</v>
      </c>
      <c r="R40" s="15">
        <f t="shared" si="6"/>
        <v>-7.9109818467621884E-2</v>
      </c>
      <c r="S40" s="15">
        <f>O40-Benchmark_RF!D40</f>
        <v>8.6280489345158303E-3</v>
      </c>
    </row>
    <row r="41" spans="1:19" ht="15" customHeight="1" x14ac:dyDescent="0.25">
      <c r="A41">
        <v>44</v>
      </c>
      <c r="B41" s="12">
        <f>Returns!A45</f>
        <v>43313</v>
      </c>
      <c r="C41" s="16">
        <f>IF(Rankings!C47&lt;=5,1,0)</f>
        <v>1</v>
      </c>
      <c r="D41" s="16">
        <f>IF(Rankings!D47&lt;=5,1,0)</f>
        <v>1</v>
      </c>
      <c r="E41" s="16">
        <f>IF(Rankings!E47&lt;=5,1,0)</f>
        <v>0</v>
      </c>
      <c r="F41" s="16">
        <f>IF(Rankings!F47&lt;=5,1,0)</f>
        <v>0</v>
      </c>
      <c r="G41" s="16">
        <f>IF(Rankings!G47&lt;=5,1,0)</f>
        <v>1</v>
      </c>
      <c r="H41" s="16">
        <f>IF(Rankings!H47&lt;=5,1,0)</f>
        <v>1</v>
      </c>
      <c r="I41" s="16">
        <f>IF(Rankings!I47&lt;=5,1,0)</f>
        <v>0</v>
      </c>
      <c r="J41" s="16">
        <f>IF(Rankings!J47&lt;=5,1,0)</f>
        <v>1</v>
      </c>
      <c r="K41" s="19">
        <f t="shared" si="4"/>
        <v>5</v>
      </c>
      <c r="L41" s="15">
        <f>SUMPRODUCT(C41:J41,Returns!B45:I45)/K41</f>
        <v>1.4014336998892674E-2</v>
      </c>
      <c r="M41" s="15">
        <f>-2*Assumptions!$B$13</f>
        <v>-7.0000000000000001E-3</v>
      </c>
      <c r="N41" s="15">
        <f>-Assumptions!$B$16*MAX(0,(1+O38)*(1+O39)*(1+O40)-1)</f>
        <v>0</v>
      </c>
      <c r="O41" s="15">
        <f t="shared" si="5"/>
        <v>7.0143369988926738E-3</v>
      </c>
      <c r="P41" s="20">
        <f t="shared" si="7"/>
        <v>1.556221232515651</v>
      </c>
      <c r="Q41" s="20">
        <f>MAX($P$5:P41)</f>
        <v>1.6781386505466105</v>
      </c>
      <c r="R41" s="15">
        <f t="shared" si="6"/>
        <v>-7.2650384395382295E-2</v>
      </c>
      <c r="S41" s="15">
        <f>O41-Benchmark_RF!D41</f>
        <v>7.7465553760694503E-4</v>
      </c>
    </row>
    <row r="42" spans="1:19" ht="15" customHeight="1" x14ac:dyDescent="0.25">
      <c r="A42">
        <v>45</v>
      </c>
      <c r="B42" s="12">
        <f>Returns!A46</f>
        <v>43344</v>
      </c>
      <c r="C42" s="16">
        <f>IF(Rankings!C47&lt;=5,1,0)</f>
        <v>1</v>
      </c>
      <c r="D42" s="16">
        <f>IF(Rankings!D47&lt;=5,1,0)</f>
        <v>1</v>
      </c>
      <c r="E42" s="16">
        <f>IF(Rankings!E47&lt;=5,1,0)</f>
        <v>0</v>
      </c>
      <c r="F42" s="16">
        <f>IF(Rankings!F47&lt;=5,1,0)</f>
        <v>0</v>
      </c>
      <c r="G42" s="16">
        <f>IF(Rankings!G47&lt;=5,1,0)</f>
        <v>1</v>
      </c>
      <c r="H42" s="16">
        <f>IF(Rankings!H47&lt;=5,1,0)</f>
        <v>1</v>
      </c>
      <c r="I42" s="16">
        <f>IF(Rankings!I47&lt;=5,1,0)</f>
        <v>0</v>
      </c>
      <c r="J42" s="16">
        <f>IF(Rankings!J47&lt;=5,1,0)</f>
        <v>1</v>
      </c>
      <c r="K42" s="19">
        <f t="shared" si="4"/>
        <v>5</v>
      </c>
      <c r="L42" s="15">
        <f>SUMPRODUCT(C42:J42,Returns!B46:I46)/K42</f>
        <v>3.5621333731049145E-3</v>
      </c>
      <c r="M42" s="15">
        <v>0</v>
      </c>
      <c r="N42" s="15">
        <v>0</v>
      </c>
      <c r="O42" s="15">
        <f t="shared" si="5"/>
        <v>3.5621333731049145E-3</v>
      </c>
      <c r="P42" s="20">
        <f t="shared" si="7"/>
        <v>1.5617647001039294</v>
      </c>
      <c r="Q42" s="20">
        <f>MAX($P$5:P42)</f>
        <v>1.6781386505466105</v>
      </c>
      <c r="R42" s="15">
        <f t="shared" si="6"/>
        <v>-6.9347041381101149E-2</v>
      </c>
      <c r="S42" s="15">
        <f>O42-Benchmark_RF!D42</f>
        <v>-2.6775480881808143E-3</v>
      </c>
    </row>
    <row r="43" spans="1:19" ht="15" customHeight="1" x14ac:dyDescent="0.25">
      <c r="A43">
        <v>46</v>
      </c>
      <c r="B43" s="12">
        <f>Returns!A47</f>
        <v>43374</v>
      </c>
      <c r="C43" s="16">
        <f>IF(Rankings!C47&lt;=5,1,0)</f>
        <v>1</v>
      </c>
      <c r="D43" s="16">
        <f>IF(Rankings!D47&lt;=5,1,0)</f>
        <v>1</v>
      </c>
      <c r="E43" s="16">
        <f>IF(Rankings!E47&lt;=5,1,0)</f>
        <v>0</v>
      </c>
      <c r="F43" s="16">
        <f>IF(Rankings!F47&lt;=5,1,0)</f>
        <v>0</v>
      </c>
      <c r="G43" s="16">
        <f>IF(Rankings!G47&lt;=5,1,0)</f>
        <v>1</v>
      </c>
      <c r="H43" s="16">
        <f>IF(Rankings!H47&lt;=5,1,0)</f>
        <v>1</v>
      </c>
      <c r="I43" s="16">
        <f>IF(Rankings!I47&lt;=5,1,0)</f>
        <v>0</v>
      </c>
      <c r="J43" s="16">
        <f>IF(Rankings!J47&lt;=5,1,0)</f>
        <v>1</v>
      </c>
      <c r="K43" s="19">
        <f t="shared" si="4"/>
        <v>5</v>
      </c>
      <c r="L43" s="15">
        <f>SUMPRODUCT(C43:J43,Returns!B47:I47)/K43</f>
        <v>3.3192904048122231E-2</v>
      </c>
      <c r="M43" s="15">
        <v>0</v>
      </c>
      <c r="N43" s="15">
        <v>0</v>
      </c>
      <c r="O43" s="15">
        <f t="shared" si="5"/>
        <v>3.3192904048122231E-2</v>
      </c>
      <c r="P43" s="20">
        <f t="shared" si="7"/>
        <v>1.6136042059402236</v>
      </c>
      <c r="Q43" s="20">
        <f>MAX($P$5:P43)</f>
        <v>1.6781386505466105</v>
      </c>
      <c r="R43" s="15">
        <f t="shared" si="6"/>
        <v>-3.845596702356302E-2</v>
      </c>
      <c r="S43" s="15">
        <f>O43-Benchmark_RF!D43</f>
        <v>2.6145965652384341E-2</v>
      </c>
    </row>
    <row r="44" spans="1:19" ht="15" customHeight="1" x14ac:dyDescent="0.25">
      <c r="A44">
        <v>47</v>
      </c>
      <c r="B44" s="12">
        <f>Returns!A48</f>
        <v>43405</v>
      </c>
      <c r="C44" s="16">
        <f>IF(Rankings!C50&lt;=5,1,0)</f>
        <v>1</v>
      </c>
      <c r="D44" s="16">
        <f>IF(Rankings!D50&lt;=5,1,0)</f>
        <v>1</v>
      </c>
      <c r="E44" s="16">
        <f>IF(Rankings!E50&lt;=5,1,0)</f>
        <v>0</v>
      </c>
      <c r="F44" s="16">
        <f>IF(Rankings!F50&lt;=5,1,0)</f>
        <v>0</v>
      </c>
      <c r="G44" s="16">
        <f>IF(Rankings!G50&lt;=5,1,0)</f>
        <v>1</v>
      </c>
      <c r="H44" s="16">
        <f>IF(Rankings!H50&lt;=5,1,0)</f>
        <v>1</v>
      </c>
      <c r="I44" s="16">
        <f>IF(Rankings!I50&lt;=5,1,0)</f>
        <v>1</v>
      </c>
      <c r="J44" s="16">
        <f>IF(Rankings!J50&lt;=5,1,0)</f>
        <v>0</v>
      </c>
      <c r="K44" s="19">
        <f t="shared" si="4"/>
        <v>5</v>
      </c>
      <c r="L44" s="15">
        <f>SUMPRODUCT(C44:J44,Returns!B48:I48)/K44</f>
        <v>-3.9797113785125939E-2</v>
      </c>
      <c r="M44" s="15">
        <f>-2*Assumptions!$B$13</f>
        <v>-7.0000000000000001E-3</v>
      </c>
      <c r="N44" s="15">
        <f>-Assumptions!$B$16*MAX(0,(1+O41)*(1+O42)*(1+O43)-1)</f>
        <v>-6.621938032243424E-3</v>
      </c>
      <c r="O44" s="15">
        <f t="shared" si="5"/>
        <v>-5.3419051817369362E-2</v>
      </c>
      <c r="P44" s="20">
        <f t="shared" si="7"/>
        <v>1.5274069992503776</v>
      </c>
      <c r="Q44" s="20">
        <f>MAX($P$5:P44)</f>
        <v>1.6781386505466105</v>
      </c>
      <c r="R44" s="15">
        <f t="shared" si="6"/>
        <v>-8.9820737545813545E-2</v>
      </c>
      <c r="S44" s="15">
        <f>O44-Benchmark_RF!D44</f>
        <v>-6.0470772683077961E-2</v>
      </c>
    </row>
    <row r="45" spans="1:19" ht="15" customHeight="1" x14ac:dyDescent="0.25">
      <c r="A45">
        <v>48</v>
      </c>
      <c r="B45" s="12">
        <f>Returns!A49</f>
        <v>43435</v>
      </c>
      <c r="C45" s="16">
        <f>IF(Rankings!C50&lt;=5,1,0)</f>
        <v>1</v>
      </c>
      <c r="D45" s="16">
        <f>IF(Rankings!D50&lt;=5,1,0)</f>
        <v>1</v>
      </c>
      <c r="E45" s="16">
        <f>IF(Rankings!E50&lt;=5,1,0)</f>
        <v>0</v>
      </c>
      <c r="F45" s="16">
        <f>IF(Rankings!F50&lt;=5,1,0)</f>
        <v>0</v>
      </c>
      <c r="G45" s="16">
        <f>IF(Rankings!G50&lt;=5,1,0)</f>
        <v>1</v>
      </c>
      <c r="H45" s="16">
        <f>IF(Rankings!H50&lt;=5,1,0)</f>
        <v>1</v>
      </c>
      <c r="I45" s="16">
        <f>IF(Rankings!I50&lt;=5,1,0)</f>
        <v>1</v>
      </c>
      <c r="J45" s="16">
        <f>IF(Rankings!J50&lt;=5,1,0)</f>
        <v>0</v>
      </c>
      <c r="K45" s="19">
        <f t="shared" si="4"/>
        <v>5</v>
      </c>
      <c r="L45" s="15">
        <f>SUMPRODUCT(C45:J45,Returns!B49:I49)/K45</f>
        <v>-9.3290415974341664E-2</v>
      </c>
      <c r="M45" s="15">
        <v>0</v>
      </c>
      <c r="N45" s="15">
        <v>0</v>
      </c>
      <c r="O45" s="15">
        <f t="shared" si="5"/>
        <v>-9.3290415974341664E-2</v>
      </c>
      <c r="P45" s="20">
        <f t="shared" si="7"/>
        <v>1.3849145649281889</v>
      </c>
      <c r="Q45" s="20">
        <f>MAX($P$5:P45)</f>
        <v>1.6781386505466105</v>
      </c>
      <c r="R45" s="15">
        <f t="shared" si="6"/>
        <v>-0.1747317395513841</v>
      </c>
      <c r="S45" s="15">
        <f>O45-Benchmark_RF!D45</f>
        <v>-0.10149076571703979</v>
      </c>
    </row>
    <row r="46" spans="1:19" ht="15" customHeight="1" x14ac:dyDescent="0.25">
      <c r="A46">
        <v>49</v>
      </c>
      <c r="B46" s="12">
        <f>Returns!A50</f>
        <v>43466</v>
      </c>
      <c r="C46" s="16">
        <f>IF(Rankings!C50&lt;=5,1,0)</f>
        <v>1</v>
      </c>
      <c r="D46" s="16">
        <f>IF(Rankings!D50&lt;=5,1,0)</f>
        <v>1</v>
      </c>
      <c r="E46" s="16">
        <f>IF(Rankings!E50&lt;=5,1,0)</f>
        <v>0</v>
      </c>
      <c r="F46" s="16">
        <f>IF(Rankings!F50&lt;=5,1,0)</f>
        <v>0</v>
      </c>
      <c r="G46" s="16">
        <f>IF(Rankings!G50&lt;=5,1,0)</f>
        <v>1</v>
      </c>
      <c r="H46" s="16">
        <f>IF(Rankings!H50&lt;=5,1,0)</f>
        <v>1</v>
      </c>
      <c r="I46" s="16">
        <f>IF(Rankings!I50&lt;=5,1,0)</f>
        <v>1</v>
      </c>
      <c r="J46" s="16">
        <f>IF(Rankings!J50&lt;=5,1,0)</f>
        <v>0</v>
      </c>
      <c r="K46" s="19">
        <f t="shared" si="4"/>
        <v>5</v>
      </c>
      <c r="L46" s="15">
        <f>SUMPRODUCT(C46:J46,Returns!B50:I50)/K46</f>
        <v>8.3241640848677356E-2</v>
      </c>
      <c r="M46" s="15">
        <v>0</v>
      </c>
      <c r="N46" s="15">
        <v>0</v>
      </c>
      <c r="O46" s="15">
        <f t="shared" si="5"/>
        <v>8.3241640848677356E-2</v>
      </c>
      <c r="P46" s="20">
        <f t="shared" si="7"/>
        <v>1.5001971257480435</v>
      </c>
      <c r="Q46" s="20">
        <f>MAX($P$5:P46)</f>
        <v>1.6781386505466105</v>
      </c>
      <c r="R46" s="15">
        <f t="shared" si="6"/>
        <v>-0.10603505541130764</v>
      </c>
      <c r="S46" s="15">
        <f>O46-Benchmark_RF!D46</f>
        <v>7.5037939536641618E-2</v>
      </c>
    </row>
    <row r="47" spans="1:19" ht="15" customHeight="1" x14ac:dyDescent="0.25">
      <c r="A47">
        <v>50</v>
      </c>
      <c r="B47" s="12">
        <f>Returns!A51</f>
        <v>43497</v>
      </c>
      <c r="C47" s="16">
        <f>IF(Rankings!C53&lt;=5,1,0)</f>
        <v>1</v>
      </c>
      <c r="D47" s="16">
        <f>IF(Rankings!D53&lt;=5,1,0)</f>
        <v>1</v>
      </c>
      <c r="E47" s="16">
        <f>IF(Rankings!E53&lt;=5,1,0)</f>
        <v>1</v>
      </c>
      <c r="F47" s="16">
        <f>IF(Rankings!F53&lt;=5,1,0)</f>
        <v>0</v>
      </c>
      <c r="G47" s="16">
        <f>IF(Rankings!G53&lt;=5,1,0)</f>
        <v>1</v>
      </c>
      <c r="H47" s="16">
        <f>IF(Rankings!H53&lt;=5,1,0)</f>
        <v>0</v>
      </c>
      <c r="I47" s="16">
        <f>IF(Rankings!I53&lt;=5,1,0)</f>
        <v>1</v>
      </c>
      <c r="J47" s="16">
        <f>IF(Rankings!J53&lt;=5,1,0)</f>
        <v>0</v>
      </c>
      <c r="K47" s="19">
        <f t="shared" si="4"/>
        <v>5</v>
      </c>
      <c r="L47" s="15">
        <f>SUMPRODUCT(C47:J47,Returns!B51:I51)/K47</f>
        <v>5.6967059847827127E-3</v>
      </c>
      <c r="M47" s="15">
        <f>-2*Assumptions!$B$13</f>
        <v>-7.0000000000000001E-3</v>
      </c>
      <c r="N47" s="15">
        <f>-Assumptions!$B$16*MAX(0,(1+O44)*(1+O45)*(1+O46)-1)</f>
        <v>0</v>
      </c>
      <c r="O47" s="15">
        <f t="shared" si="5"/>
        <v>-1.3032940152172875E-3</v>
      </c>
      <c r="P47" s="20">
        <f t="shared" si="7"/>
        <v>1.4982419278124099</v>
      </c>
      <c r="Q47" s="20">
        <f>MAX($P$5:P47)</f>
        <v>1.6781386505466105</v>
      </c>
      <c r="R47" s="15">
        <f t="shared" si="6"/>
        <v>-0.10720015457340415</v>
      </c>
      <c r="S47" s="15">
        <f>O47-Benchmark_RF!D47</f>
        <v>-9.6963122305637247E-3</v>
      </c>
    </row>
    <row r="48" spans="1:19" ht="15" customHeight="1" x14ac:dyDescent="0.25">
      <c r="A48">
        <v>51</v>
      </c>
      <c r="B48" s="12">
        <f>Returns!A52</f>
        <v>43525</v>
      </c>
      <c r="C48" s="16">
        <f>IF(Rankings!C53&lt;=5,1,0)</f>
        <v>1</v>
      </c>
      <c r="D48" s="16">
        <f>IF(Rankings!D53&lt;=5,1,0)</f>
        <v>1</v>
      </c>
      <c r="E48" s="16">
        <f>IF(Rankings!E53&lt;=5,1,0)</f>
        <v>1</v>
      </c>
      <c r="F48" s="16">
        <f>IF(Rankings!F53&lt;=5,1,0)</f>
        <v>0</v>
      </c>
      <c r="G48" s="16">
        <f>IF(Rankings!G53&lt;=5,1,0)</f>
        <v>1</v>
      </c>
      <c r="H48" s="16">
        <f>IF(Rankings!H53&lt;=5,1,0)</f>
        <v>0</v>
      </c>
      <c r="I48" s="16">
        <f>IF(Rankings!I53&lt;=5,1,0)</f>
        <v>1</v>
      </c>
      <c r="J48" s="16">
        <f>IF(Rankings!J53&lt;=5,1,0)</f>
        <v>0</v>
      </c>
      <c r="K48" s="19">
        <f t="shared" si="4"/>
        <v>5</v>
      </c>
      <c r="L48" s="15">
        <f>SUMPRODUCT(C48:J48,Returns!B52:I52)/K48</f>
        <v>-1.5489568508455264E-2</v>
      </c>
      <c r="M48" s="15">
        <v>0</v>
      </c>
      <c r="N48" s="15">
        <v>0</v>
      </c>
      <c r="O48" s="15">
        <f t="shared" si="5"/>
        <v>-1.5489568508455264E-2</v>
      </c>
      <c r="P48" s="20">
        <f t="shared" si="7"/>
        <v>1.4750348068293195</v>
      </c>
      <c r="Q48" s="20">
        <f>MAX($P$5:P48)</f>
        <v>1.6781386505466105</v>
      </c>
      <c r="R48" s="15">
        <f t="shared" si="6"/>
        <v>-0.12102923894347772</v>
      </c>
      <c r="S48" s="15">
        <f>O48-Benchmark_RF!D48</f>
        <v>-2.3877265625684242E-2</v>
      </c>
    </row>
    <row r="49" spans="1:19" ht="15" customHeight="1" x14ac:dyDescent="0.25">
      <c r="A49">
        <v>52</v>
      </c>
      <c r="B49" s="12">
        <f>Returns!A53</f>
        <v>43556</v>
      </c>
      <c r="C49" s="16">
        <f>IF(Rankings!C53&lt;=5,1,0)</f>
        <v>1</v>
      </c>
      <c r="D49" s="16">
        <f>IF(Rankings!D53&lt;=5,1,0)</f>
        <v>1</v>
      </c>
      <c r="E49" s="16">
        <f>IF(Rankings!E53&lt;=5,1,0)</f>
        <v>1</v>
      </c>
      <c r="F49" s="16">
        <f>IF(Rankings!F53&lt;=5,1,0)</f>
        <v>0</v>
      </c>
      <c r="G49" s="16">
        <f>IF(Rankings!G53&lt;=5,1,0)</f>
        <v>1</v>
      </c>
      <c r="H49" s="16">
        <f>IF(Rankings!H53&lt;=5,1,0)</f>
        <v>0</v>
      </c>
      <c r="I49" s="16">
        <f>IF(Rankings!I53&lt;=5,1,0)</f>
        <v>1</v>
      </c>
      <c r="J49" s="16">
        <f>IF(Rankings!J53&lt;=5,1,0)</f>
        <v>0</v>
      </c>
      <c r="K49" s="19">
        <f t="shared" si="4"/>
        <v>5</v>
      </c>
      <c r="L49" s="15">
        <f>SUMPRODUCT(C49:J49,Returns!B53:I53)/K49</f>
        <v>-4.1342191474523005E-2</v>
      </c>
      <c r="M49" s="15">
        <v>0</v>
      </c>
      <c r="N49" s="15">
        <v>0</v>
      </c>
      <c r="O49" s="15">
        <f t="shared" si="5"/>
        <v>-4.1342191474523005E-2</v>
      </c>
      <c r="P49" s="20">
        <f t="shared" si="7"/>
        <v>1.4140536354137958</v>
      </c>
      <c r="Q49" s="20">
        <f>MAX($P$5:P49)</f>
        <v>1.6781386505466105</v>
      </c>
      <c r="R49" s="15">
        <f t="shared" si="6"/>
        <v>-0.15736781644758358</v>
      </c>
      <c r="S49" s="15">
        <f>O49-Benchmark_RF!D49</f>
        <v>-5.0039139351630069E-2</v>
      </c>
    </row>
    <row r="50" spans="1:19" ht="15" customHeight="1" x14ac:dyDescent="0.25">
      <c r="A50">
        <v>53</v>
      </c>
      <c r="B50" s="12">
        <f>Returns!A54</f>
        <v>43586</v>
      </c>
      <c r="C50" s="16">
        <f>IF(Rankings!C56&lt;=5,1,0)</f>
        <v>1</v>
      </c>
      <c r="D50" s="16">
        <f>IF(Rankings!D56&lt;=5,1,0)</f>
        <v>1</v>
      </c>
      <c r="E50" s="16">
        <f>IF(Rankings!E56&lt;=5,1,0)</f>
        <v>1</v>
      </c>
      <c r="F50" s="16">
        <f>IF(Rankings!F56&lt;=5,1,0)</f>
        <v>0</v>
      </c>
      <c r="G50" s="16">
        <f>IF(Rankings!G56&lt;=5,1,0)</f>
        <v>1</v>
      </c>
      <c r="H50" s="16">
        <f>IF(Rankings!H56&lt;=5,1,0)</f>
        <v>0</v>
      </c>
      <c r="I50" s="16">
        <f>IF(Rankings!I56&lt;=5,1,0)</f>
        <v>0</v>
      </c>
      <c r="J50" s="16">
        <f>IF(Rankings!J56&lt;=5,1,0)</f>
        <v>1</v>
      </c>
      <c r="K50" s="19">
        <f t="shared" si="4"/>
        <v>5</v>
      </c>
      <c r="L50" s="15">
        <f>SUMPRODUCT(C50:J50,Returns!B54:I54)/K50</f>
        <v>2.7169111784919431E-2</v>
      </c>
      <c r="M50" s="15">
        <f>-2*Assumptions!$B$13</f>
        <v>-7.0000000000000001E-3</v>
      </c>
      <c r="N50" s="15">
        <f>-Assumptions!$B$16*MAX(0,(1+O47)*(1+O48)*(1+O49)-1)</f>
        <v>0</v>
      </c>
      <c r="O50" s="15">
        <f t="shared" si="5"/>
        <v>2.0169111784919432E-2</v>
      </c>
      <c r="P50" s="20">
        <f t="shared" si="7"/>
        <v>1.4425738412563283</v>
      </c>
      <c r="Q50" s="20">
        <f>MAX($P$5:P50)</f>
        <v>1.6781386505466105</v>
      </c>
      <c r="R50" s="15">
        <f t="shared" si="6"/>
        <v>-0.14037267374394424</v>
      </c>
      <c r="S50" s="15">
        <f>O50-Benchmark_RF!D50</f>
        <v>1.0249669112251343E-2</v>
      </c>
    </row>
    <row r="51" spans="1:19" ht="15" customHeight="1" x14ac:dyDescent="0.25">
      <c r="A51">
        <v>54</v>
      </c>
      <c r="B51" s="12">
        <f>Returns!A55</f>
        <v>43617</v>
      </c>
      <c r="C51" s="16">
        <f>IF(Rankings!C56&lt;=5,1,0)</f>
        <v>1</v>
      </c>
      <c r="D51" s="16">
        <f>IF(Rankings!D56&lt;=5,1,0)</f>
        <v>1</v>
      </c>
      <c r="E51" s="16">
        <f>IF(Rankings!E56&lt;=5,1,0)</f>
        <v>1</v>
      </c>
      <c r="F51" s="16">
        <f>IF(Rankings!F56&lt;=5,1,0)</f>
        <v>0</v>
      </c>
      <c r="G51" s="16">
        <f>IF(Rankings!G56&lt;=5,1,0)</f>
        <v>1</v>
      </c>
      <c r="H51" s="16">
        <f>IF(Rankings!H56&lt;=5,1,0)</f>
        <v>0</v>
      </c>
      <c r="I51" s="16">
        <f>IF(Rankings!I56&lt;=5,1,0)</f>
        <v>0</v>
      </c>
      <c r="J51" s="16">
        <f>IF(Rankings!J56&lt;=5,1,0)</f>
        <v>1</v>
      </c>
      <c r="K51" s="19">
        <f t="shared" si="4"/>
        <v>5</v>
      </c>
      <c r="L51" s="15">
        <f>SUMPRODUCT(C51:J51,Returns!B55:I55)/K51</f>
        <v>-8.042868918630515E-2</v>
      </c>
      <c r="M51" s="15">
        <v>0</v>
      </c>
      <c r="N51" s="15">
        <v>0</v>
      </c>
      <c r="O51" s="15">
        <f t="shared" si="5"/>
        <v>-8.042868918630515E-2</v>
      </c>
      <c r="P51" s="20">
        <f t="shared" si="7"/>
        <v>1.3265495181496287</v>
      </c>
      <c r="Q51" s="20">
        <f>MAX($P$5:P51)</f>
        <v>1.6781386505466105</v>
      </c>
      <c r="R51" s="15">
        <f t="shared" si="6"/>
        <v>-0.20951137278344711</v>
      </c>
      <c r="S51" s="15">
        <f>O51-Benchmark_RF!D51</f>
        <v>-9.0470207213191836E-2</v>
      </c>
    </row>
    <row r="52" spans="1:19" ht="15" customHeight="1" x14ac:dyDescent="0.25">
      <c r="A52">
        <v>55</v>
      </c>
      <c r="B52" s="12">
        <f>Returns!A56</f>
        <v>43647</v>
      </c>
      <c r="C52" s="16">
        <f>IF(Rankings!C56&lt;=5,1,0)</f>
        <v>1</v>
      </c>
      <c r="D52" s="16">
        <f>IF(Rankings!D56&lt;=5,1,0)</f>
        <v>1</v>
      </c>
      <c r="E52" s="16">
        <f>IF(Rankings!E56&lt;=5,1,0)</f>
        <v>1</v>
      </c>
      <c r="F52" s="16">
        <f>IF(Rankings!F56&lt;=5,1,0)</f>
        <v>0</v>
      </c>
      <c r="G52" s="16">
        <f>IF(Rankings!G56&lt;=5,1,0)</f>
        <v>1</v>
      </c>
      <c r="H52" s="16">
        <f>IF(Rankings!H56&lt;=5,1,0)</f>
        <v>0</v>
      </c>
      <c r="I52" s="16">
        <f>IF(Rankings!I56&lt;=5,1,0)</f>
        <v>0</v>
      </c>
      <c r="J52" s="16">
        <f>IF(Rankings!J56&lt;=5,1,0)</f>
        <v>1</v>
      </c>
      <c r="K52" s="19">
        <f t="shared" si="4"/>
        <v>5</v>
      </c>
      <c r="L52" s="15">
        <f>SUMPRODUCT(C52:J52,Returns!B56:I56)/K52</f>
        <v>-3.3534272975631697E-2</v>
      </c>
      <c r="M52" s="15">
        <v>0</v>
      </c>
      <c r="N52" s="15">
        <v>0</v>
      </c>
      <c r="O52" s="15">
        <f t="shared" si="5"/>
        <v>-3.3534272975631697E-2</v>
      </c>
      <c r="P52" s="20">
        <f t="shared" si="7"/>
        <v>1.2820646444923063</v>
      </c>
      <c r="Q52" s="20">
        <f>MAX($P$5:P52)</f>
        <v>1.6781386505466105</v>
      </c>
      <c r="R52" s="15">
        <f t="shared" si="6"/>
        <v>-0.23601983419265937</v>
      </c>
      <c r="S52" s="15">
        <f>O52-Benchmark_RF!D52</f>
        <v>-4.4324999816646261E-2</v>
      </c>
    </row>
    <row r="53" spans="1:19" ht="15" customHeight="1" x14ac:dyDescent="0.25">
      <c r="A53">
        <v>56</v>
      </c>
      <c r="B53" s="12">
        <f>Returns!A57</f>
        <v>43678</v>
      </c>
      <c r="C53" s="16">
        <f>IF(Rankings!C59&lt;=5,1,0)</f>
        <v>1</v>
      </c>
      <c r="D53" s="16">
        <f>IF(Rankings!D59&lt;=5,1,0)</f>
        <v>1</v>
      </c>
      <c r="E53" s="16">
        <f>IF(Rankings!E59&lt;=5,1,0)</f>
        <v>1</v>
      </c>
      <c r="F53" s="16">
        <f>IF(Rankings!F59&lt;=5,1,0)</f>
        <v>0</v>
      </c>
      <c r="G53" s="16">
        <f>IF(Rankings!G59&lt;=5,1,0)</f>
        <v>1</v>
      </c>
      <c r="H53" s="16">
        <f>IF(Rankings!H59&lt;=5,1,0)</f>
        <v>1</v>
      </c>
      <c r="I53" s="16">
        <f>IF(Rankings!I59&lt;=5,1,0)</f>
        <v>0</v>
      </c>
      <c r="J53" s="16">
        <f>IF(Rankings!J59&lt;=5,1,0)</f>
        <v>0</v>
      </c>
      <c r="K53" s="19">
        <f t="shared" si="4"/>
        <v>5</v>
      </c>
      <c r="L53" s="15">
        <f>SUMPRODUCT(C53:J53,Returns!B57:I57)/K53</f>
        <v>-6.8956348862975497E-2</v>
      </c>
      <c r="M53" s="15">
        <f>-2*Assumptions!$B$13</f>
        <v>-7.0000000000000001E-3</v>
      </c>
      <c r="N53" s="15">
        <f>-Assumptions!$B$16*MAX(0,(1+O50)*(1+O51)*(1+O52)-1)</f>
        <v>0</v>
      </c>
      <c r="O53" s="15">
        <f t="shared" si="5"/>
        <v>-7.5956348862975503E-2</v>
      </c>
      <c r="P53" s="20">
        <f t="shared" si="7"/>
        <v>1.1846836950903619</v>
      </c>
      <c r="Q53" s="20">
        <f>MAX($P$5:P53)</f>
        <v>1.6781386505466105</v>
      </c>
      <c r="R53" s="15">
        <f t="shared" si="6"/>
        <v>-0.29404897819111575</v>
      </c>
      <c r="S53" s="15">
        <f>O53-Benchmark_RF!D53</f>
        <v>-8.6749519433764161E-2</v>
      </c>
    </row>
    <row r="54" spans="1:19" ht="15" customHeight="1" x14ac:dyDescent="0.25">
      <c r="A54">
        <v>57</v>
      </c>
      <c r="B54" s="12">
        <f>Returns!A58</f>
        <v>43709</v>
      </c>
      <c r="C54" s="16">
        <f>IF(Rankings!C59&lt;=5,1,0)</f>
        <v>1</v>
      </c>
      <c r="D54" s="16">
        <f>IF(Rankings!D59&lt;=5,1,0)</f>
        <v>1</v>
      </c>
      <c r="E54" s="16">
        <f>IF(Rankings!E59&lt;=5,1,0)</f>
        <v>1</v>
      </c>
      <c r="F54" s="16">
        <f>IF(Rankings!F59&lt;=5,1,0)</f>
        <v>0</v>
      </c>
      <c r="G54" s="16">
        <f>IF(Rankings!G59&lt;=5,1,0)</f>
        <v>1</v>
      </c>
      <c r="H54" s="16">
        <f>IF(Rankings!H59&lt;=5,1,0)</f>
        <v>1</v>
      </c>
      <c r="I54" s="16">
        <f>IF(Rankings!I59&lt;=5,1,0)</f>
        <v>0</v>
      </c>
      <c r="J54" s="16">
        <f>IF(Rankings!J59&lt;=5,1,0)</f>
        <v>0</v>
      </c>
      <c r="K54" s="19">
        <f t="shared" si="4"/>
        <v>5</v>
      </c>
      <c r="L54" s="15">
        <f>SUMPRODUCT(C54:J54,Returns!B58:I58)/K54</f>
        <v>3.5693587153054526E-2</v>
      </c>
      <c r="M54" s="15">
        <v>0</v>
      </c>
      <c r="N54" s="15">
        <v>0</v>
      </c>
      <c r="O54" s="15">
        <f t="shared" si="5"/>
        <v>3.5693587153054526E-2</v>
      </c>
      <c r="P54" s="20">
        <f t="shared" si="7"/>
        <v>1.2269693058098725</v>
      </c>
      <c r="Q54" s="20">
        <f>MAX($P$5:P54)</f>
        <v>1.6781386505466105</v>
      </c>
      <c r="R54" s="15">
        <f t="shared" si="6"/>
        <v>-0.26885105386839236</v>
      </c>
      <c r="S54" s="15">
        <f>O54-Benchmark_RF!D54</f>
        <v>2.4923449464293965E-2</v>
      </c>
    </row>
    <row r="55" spans="1:19" ht="15" customHeight="1" x14ac:dyDescent="0.25">
      <c r="A55">
        <v>58</v>
      </c>
      <c r="B55" s="12">
        <f>Returns!A59</f>
        <v>43739</v>
      </c>
      <c r="C55" s="16">
        <f>IF(Rankings!C59&lt;=5,1,0)</f>
        <v>1</v>
      </c>
      <c r="D55" s="16">
        <f>IF(Rankings!D59&lt;=5,1,0)</f>
        <v>1</v>
      </c>
      <c r="E55" s="16">
        <f>IF(Rankings!E59&lt;=5,1,0)</f>
        <v>1</v>
      </c>
      <c r="F55" s="16">
        <f>IF(Rankings!F59&lt;=5,1,0)</f>
        <v>0</v>
      </c>
      <c r="G55" s="16">
        <f>IF(Rankings!G59&lt;=5,1,0)</f>
        <v>1</v>
      </c>
      <c r="H55" s="16">
        <f>IF(Rankings!H59&lt;=5,1,0)</f>
        <v>1</v>
      </c>
      <c r="I55" s="16">
        <f>IF(Rankings!I59&lt;=5,1,0)</f>
        <v>0</v>
      </c>
      <c r="J55" s="16">
        <f>IF(Rankings!J59&lt;=5,1,0)</f>
        <v>0</v>
      </c>
      <c r="K55" s="19">
        <f t="shared" si="4"/>
        <v>5</v>
      </c>
      <c r="L55" s="15">
        <f>SUMPRODUCT(C55:J55,Returns!B59:I59)/K55</f>
        <v>3.8881647615670943E-2</v>
      </c>
      <c r="M55" s="15">
        <v>0</v>
      </c>
      <c r="N55" s="15">
        <v>0</v>
      </c>
      <c r="O55" s="15">
        <f t="shared" si="5"/>
        <v>3.8881647615670943E-2</v>
      </c>
      <c r="P55" s="20">
        <f t="shared" si="7"/>
        <v>1.2746758939936165</v>
      </c>
      <c r="Q55" s="20">
        <f>MAX($P$5:P55)</f>
        <v>1.6781386505466105</v>
      </c>
      <c r="R55" s="15">
        <f t="shared" si="6"/>
        <v>-0.24042277819033386</v>
      </c>
      <c r="S55" s="15">
        <f>O55-Benchmark_RF!D55</f>
        <v>2.8458441346890816E-2</v>
      </c>
    </row>
    <row r="56" spans="1:19" ht="15" customHeight="1" x14ac:dyDescent="0.25">
      <c r="A56">
        <v>59</v>
      </c>
      <c r="B56" s="12">
        <f>Returns!A60</f>
        <v>43770</v>
      </c>
      <c r="C56" s="16">
        <f>IF(Rankings!C62&lt;=5,1,0)</f>
        <v>0</v>
      </c>
      <c r="D56" s="16">
        <f>IF(Rankings!D62&lt;=5,1,0)</f>
        <v>1</v>
      </c>
      <c r="E56" s="16">
        <f>IF(Rankings!E62&lt;=5,1,0)</f>
        <v>1</v>
      </c>
      <c r="F56" s="16">
        <f>IF(Rankings!F62&lt;=5,1,0)</f>
        <v>1</v>
      </c>
      <c r="G56" s="16">
        <f>IF(Rankings!G62&lt;=5,1,0)</f>
        <v>0</v>
      </c>
      <c r="H56" s="16">
        <f>IF(Rankings!H62&lt;=5,1,0)</f>
        <v>0</v>
      </c>
      <c r="I56" s="16">
        <f>IF(Rankings!I62&lt;=5,1,0)</f>
        <v>1</v>
      </c>
      <c r="J56" s="16">
        <f>IF(Rankings!J62&lt;=5,1,0)</f>
        <v>1</v>
      </c>
      <c r="K56" s="19">
        <f t="shared" si="4"/>
        <v>5</v>
      </c>
      <c r="L56" s="15">
        <f>SUMPRODUCT(C56:J56,Returns!B60:I60)/K56</f>
        <v>6.6725842271687028E-2</v>
      </c>
      <c r="M56" s="15">
        <f>-2*Assumptions!$B$13</f>
        <v>-7.0000000000000001E-3</v>
      </c>
      <c r="N56" s="15">
        <f>-Assumptions!$B$16*MAX(0,(1+O53)*(1+O54)*(1+O55)-1)</f>
        <v>0</v>
      </c>
      <c r="O56" s="15">
        <f t="shared" si="5"/>
        <v>5.9725842271687028E-2</v>
      </c>
      <c r="P56" s="20">
        <f t="shared" si="7"/>
        <v>1.3508069853858009</v>
      </c>
      <c r="Q56" s="20">
        <f>MAX($P$5:P56)</f>
        <v>1.6781386505466105</v>
      </c>
      <c r="R56" s="15">
        <f t="shared" si="6"/>
        <v>-0.19505638884736354</v>
      </c>
      <c r="S56" s="15">
        <f>O56-Benchmark_RF!D56</f>
        <v>4.9146336162730613E-2</v>
      </c>
    </row>
    <row r="57" spans="1:19" ht="15" customHeight="1" x14ac:dyDescent="0.25">
      <c r="A57">
        <v>60</v>
      </c>
      <c r="B57" s="12">
        <f>Returns!A61</f>
        <v>43800</v>
      </c>
      <c r="C57" s="16">
        <f>IF(Rankings!C62&lt;=5,1,0)</f>
        <v>0</v>
      </c>
      <c r="D57" s="16">
        <f>IF(Rankings!D62&lt;=5,1,0)</f>
        <v>1</v>
      </c>
      <c r="E57" s="16">
        <f>IF(Rankings!E62&lt;=5,1,0)</f>
        <v>1</v>
      </c>
      <c r="F57" s="16">
        <f>IF(Rankings!F62&lt;=5,1,0)</f>
        <v>1</v>
      </c>
      <c r="G57" s="16">
        <f>IF(Rankings!G62&lt;=5,1,0)</f>
        <v>0</v>
      </c>
      <c r="H57" s="16">
        <f>IF(Rankings!H62&lt;=5,1,0)</f>
        <v>0</v>
      </c>
      <c r="I57" s="16">
        <f>IF(Rankings!I62&lt;=5,1,0)</f>
        <v>1</v>
      </c>
      <c r="J57" s="16">
        <f>IF(Rankings!J62&lt;=5,1,0)</f>
        <v>1</v>
      </c>
      <c r="K57" s="19">
        <f t="shared" si="4"/>
        <v>5</v>
      </c>
      <c r="L57" s="15">
        <f>SUMPRODUCT(C57:J57,Returns!B61:I61)/K57</f>
        <v>9.8112833918692521E-2</v>
      </c>
      <c r="M57" s="15">
        <v>0</v>
      </c>
      <c r="N57" s="15">
        <v>0</v>
      </c>
      <c r="O57" s="15">
        <f t="shared" si="5"/>
        <v>9.8112833918692521E-2</v>
      </c>
      <c r="P57" s="20">
        <f t="shared" si="7"/>
        <v>1.4833384867991677</v>
      </c>
      <c r="Q57" s="20">
        <f>MAX($P$5:P57)</f>
        <v>1.6781386505466105</v>
      </c>
      <c r="R57" s="15">
        <f t="shared" si="6"/>
        <v>-0.11608109001243228</v>
      </c>
      <c r="S57" s="15">
        <f>O57-Benchmark_RF!D57</f>
        <v>8.754416512906138E-2</v>
      </c>
    </row>
    <row r="58" spans="1:19" ht="15" customHeight="1" x14ac:dyDescent="0.25">
      <c r="A58">
        <v>61</v>
      </c>
      <c r="B58" s="12">
        <f>Returns!A62</f>
        <v>43831</v>
      </c>
      <c r="C58" s="16">
        <f>IF(Rankings!C62&lt;=5,1,0)</f>
        <v>0</v>
      </c>
      <c r="D58" s="16">
        <f>IF(Rankings!D62&lt;=5,1,0)</f>
        <v>1</v>
      </c>
      <c r="E58" s="16">
        <f>IF(Rankings!E62&lt;=5,1,0)</f>
        <v>1</v>
      </c>
      <c r="F58" s="16">
        <f>IF(Rankings!F62&lt;=5,1,0)</f>
        <v>1</v>
      </c>
      <c r="G58" s="16">
        <f>IF(Rankings!G62&lt;=5,1,0)</f>
        <v>0</v>
      </c>
      <c r="H58" s="16">
        <f>IF(Rankings!H62&lt;=5,1,0)</f>
        <v>0</v>
      </c>
      <c r="I58" s="16">
        <f>IF(Rankings!I62&lt;=5,1,0)</f>
        <v>1</v>
      </c>
      <c r="J58" s="16">
        <f>IF(Rankings!J62&lt;=5,1,0)</f>
        <v>1</v>
      </c>
      <c r="K58" s="19">
        <f t="shared" si="4"/>
        <v>5</v>
      </c>
      <c r="L58" s="15">
        <f>SUMPRODUCT(C58:J58,Returns!B62:I62)/K58</f>
        <v>4.8167951057086489E-3</v>
      </c>
      <c r="M58" s="15">
        <v>0</v>
      </c>
      <c r="N58" s="15">
        <v>0</v>
      </c>
      <c r="O58" s="15">
        <f t="shared" si="5"/>
        <v>4.8167951057086489E-3</v>
      </c>
      <c r="P58" s="20">
        <f t="shared" si="7"/>
        <v>1.4904834243624914</v>
      </c>
      <c r="Q58" s="20">
        <f>MAX($P$5:P58)</f>
        <v>1.6781386505466105</v>
      </c>
      <c r="R58" s="15">
        <f t="shared" si="6"/>
        <v>-0.11182343373296078</v>
      </c>
      <c r="S58" s="15">
        <f>O58-Benchmark_RF!D58</f>
        <v>-5.7090314898485817E-3</v>
      </c>
    </row>
    <row r="59" spans="1:19" ht="15" customHeight="1" x14ac:dyDescent="0.25">
      <c r="A59">
        <v>62</v>
      </c>
      <c r="B59" s="12">
        <f>Returns!A63</f>
        <v>43862</v>
      </c>
      <c r="C59" s="16">
        <f>IF(Rankings!C65&lt;=5,1,0)</f>
        <v>1</v>
      </c>
      <c r="D59" s="16">
        <f>IF(Rankings!D65&lt;=5,1,0)</f>
        <v>0</v>
      </c>
      <c r="E59" s="16">
        <f>IF(Rankings!E65&lt;=5,1,0)</f>
        <v>0</v>
      </c>
      <c r="F59" s="16">
        <f>IF(Rankings!F65&lt;=5,1,0)</f>
        <v>1</v>
      </c>
      <c r="G59" s="16">
        <f>IF(Rankings!G65&lt;=5,1,0)</f>
        <v>0</v>
      </c>
      <c r="H59" s="16">
        <f>IF(Rankings!H65&lt;=5,1,0)</f>
        <v>1</v>
      </c>
      <c r="I59" s="16">
        <f>IF(Rankings!I65&lt;=5,1,0)</f>
        <v>1</v>
      </c>
      <c r="J59" s="16">
        <f>IF(Rankings!J65&lt;=5,1,0)</f>
        <v>1</v>
      </c>
      <c r="K59" s="19">
        <f t="shared" si="4"/>
        <v>5</v>
      </c>
      <c r="L59" s="15">
        <f>SUMPRODUCT(C59:J59,Returns!B63:I63)/K59</f>
        <v>-4.844332175682993E-2</v>
      </c>
      <c r="M59" s="15">
        <f>-2*Assumptions!$B$13</f>
        <v>-7.0000000000000001E-3</v>
      </c>
      <c r="N59" s="15">
        <f>-Assumptions!$B$16*MAX(0,(1+O56)*(1+O57)*(1+O58)-1)</f>
        <v>-2.5395576795534336E-2</v>
      </c>
      <c r="O59" s="15">
        <f t="shared" si="5"/>
        <v>-8.0838898552364258E-2</v>
      </c>
      <c r="P59" s="20">
        <f t="shared" si="7"/>
        <v>1.3699943860264714</v>
      </c>
      <c r="Q59" s="20">
        <f>MAX($P$5:P59)</f>
        <v>1.6781386505466105</v>
      </c>
      <c r="R59" s="15">
        <f t="shared" si="6"/>
        <v>-0.18362264907000925</v>
      </c>
      <c r="S59" s="15">
        <f>O59-Benchmark_RF!D59</f>
        <v>-9.1359229209323711E-2</v>
      </c>
    </row>
    <row r="60" spans="1:19" ht="15" customHeight="1" x14ac:dyDescent="0.25">
      <c r="A60">
        <v>63</v>
      </c>
      <c r="B60" s="12">
        <f>Returns!A64</f>
        <v>43891</v>
      </c>
      <c r="C60" s="16">
        <f>IF(Rankings!C65&lt;=5,1,0)</f>
        <v>1</v>
      </c>
      <c r="D60" s="16">
        <f>IF(Rankings!D65&lt;=5,1,0)</f>
        <v>0</v>
      </c>
      <c r="E60" s="16">
        <f>IF(Rankings!E65&lt;=5,1,0)</f>
        <v>0</v>
      </c>
      <c r="F60" s="16">
        <f>IF(Rankings!F65&lt;=5,1,0)</f>
        <v>1</v>
      </c>
      <c r="G60" s="16">
        <f>IF(Rankings!G65&lt;=5,1,0)</f>
        <v>0</v>
      </c>
      <c r="H60" s="16">
        <f>IF(Rankings!H65&lt;=5,1,0)</f>
        <v>1</v>
      </c>
      <c r="I60" s="16">
        <f>IF(Rankings!I65&lt;=5,1,0)</f>
        <v>1</v>
      </c>
      <c r="J60" s="16">
        <f>IF(Rankings!J65&lt;=5,1,0)</f>
        <v>1</v>
      </c>
      <c r="K60" s="19">
        <f t="shared" si="4"/>
        <v>5</v>
      </c>
      <c r="L60" s="15">
        <f>SUMPRODUCT(C60:J60,Returns!B64:I64)/K60</f>
        <v>-0.27811295930383384</v>
      </c>
      <c r="M60" s="15">
        <v>0</v>
      </c>
      <c r="N60" s="15">
        <v>0</v>
      </c>
      <c r="O60" s="15">
        <f t="shared" si="5"/>
        <v>-0.27811295930383384</v>
      </c>
      <c r="P60" s="20">
        <f t="shared" si="7"/>
        <v>0.98898119309901056</v>
      </c>
      <c r="Q60" s="20">
        <f>MAX($P$5:P60)</f>
        <v>1.6781386505466105</v>
      </c>
      <c r="R60" s="15">
        <f t="shared" si="6"/>
        <v>-0.41066777004577337</v>
      </c>
      <c r="S60" s="15">
        <f>O60-Benchmark_RF!D60</f>
        <v>-0.2870120443346269</v>
      </c>
    </row>
    <row r="61" spans="1:19" ht="15" customHeight="1" x14ac:dyDescent="0.25">
      <c r="A61">
        <v>64</v>
      </c>
      <c r="B61" s="12">
        <f>Returns!A65</f>
        <v>43922</v>
      </c>
      <c r="C61" s="16">
        <f>IF(Rankings!C65&lt;=5,1,0)</f>
        <v>1</v>
      </c>
      <c r="D61" s="16">
        <f>IF(Rankings!D65&lt;=5,1,0)</f>
        <v>0</v>
      </c>
      <c r="E61" s="16">
        <f>IF(Rankings!E65&lt;=5,1,0)</f>
        <v>0</v>
      </c>
      <c r="F61" s="16">
        <f>IF(Rankings!F65&lt;=5,1,0)</f>
        <v>1</v>
      </c>
      <c r="G61" s="16">
        <f>IF(Rankings!G65&lt;=5,1,0)</f>
        <v>0</v>
      </c>
      <c r="H61" s="16">
        <f>IF(Rankings!H65&lt;=5,1,0)</f>
        <v>1</v>
      </c>
      <c r="I61" s="16">
        <f>IF(Rankings!I65&lt;=5,1,0)</f>
        <v>1</v>
      </c>
      <c r="J61" s="16">
        <f>IF(Rankings!J65&lt;=5,1,0)</f>
        <v>1</v>
      </c>
      <c r="K61" s="19">
        <f t="shared" si="4"/>
        <v>5</v>
      </c>
      <c r="L61" s="15">
        <f>SUMPRODUCT(C61:J61,Returns!B65:I65)/K61</f>
        <v>0.16147947438213234</v>
      </c>
      <c r="M61" s="15">
        <v>0</v>
      </c>
      <c r="N61" s="15">
        <v>0</v>
      </c>
      <c r="O61" s="15">
        <f t="shared" si="5"/>
        <v>0.16147947438213234</v>
      </c>
      <c r="P61" s="20">
        <f t="shared" si="7"/>
        <v>1.1486813563344529</v>
      </c>
      <c r="Q61" s="20">
        <f>MAX($P$5:P61)</f>
        <v>1.6781386505466105</v>
      </c>
      <c r="R61" s="15">
        <f t="shared" si="6"/>
        <v>-0.31550271131631491</v>
      </c>
      <c r="S61" s="15">
        <f>O61-Benchmark_RF!D61</f>
        <v>0.1548794091417724</v>
      </c>
    </row>
    <row r="62" spans="1:19" ht="15" customHeight="1" x14ac:dyDescent="0.25">
      <c r="A62">
        <v>65</v>
      </c>
      <c r="B62" s="12">
        <f>Returns!A66</f>
        <v>43952</v>
      </c>
      <c r="C62" s="16">
        <f>IF(Rankings!C68&lt;=5,1,0)</f>
        <v>0</v>
      </c>
      <c r="D62" s="16">
        <f>IF(Rankings!D68&lt;=5,1,0)</f>
        <v>0</v>
      </c>
      <c r="E62" s="16">
        <f>IF(Rankings!E68&lt;=5,1,0)</f>
        <v>1</v>
      </c>
      <c r="F62" s="16">
        <f>IF(Rankings!F68&lt;=5,1,0)</f>
        <v>1</v>
      </c>
      <c r="G62" s="16">
        <f>IF(Rankings!G68&lt;=5,1,0)</f>
        <v>1</v>
      </c>
      <c r="H62" s="16">
        <f>IF(Rankings!H68&lt;=5,1,0)</f>
        <v>0</v>
      </c>
      <c r="I62" s="16">
        <f>IF(Rankings!I68&lt;=5,1,0)</f>
        <v>1</v>
      </c>
      <c r="J62" s="16">
        <f>IF(Rankings!J68&lt;=5,1,0)</f>
        <v>1</v>
      </c>
      <c r="K62" s="19">
        <f t="shared" si="4"/>
        <v>5</v>
      </c>
      <c r="L62" s="15">
        <f>SUMPRODUCT(C62:J62,Returns!B66:I66)/K62</f>
        <v>5.7039637297483889E-2</v>
      </c>
      <c r="M62" s="15">
        <f>-2*Assumptions!$B$13</f>
        <v>-7.0000000000000001E-3</v>
      </c>
      <c r="N62" s="15">
        <f>-Assumptions!$B$16*MAX(0,(1+O59)*(1+O60)*(1+O61)-1)</f>
        <v>0</v>
      </c>
      <c r="O62" s="15">
        <f t="shared" si="5"/>
        <v>5.003963729748389E-2</v>
      </c>
      <c r="P62" s="20">
        <f t="shared" si="7"/>
        <v>1.2061609547758108</v>
      </c>
      <c r="Q62" s="20">
        <f>MAX($P$5:P62)</f>
        <v>1.6781386505466105</v>
      </c>
      <c r="R62" s="15">
        <f t="shared" si="6"/>
        <v>-0.28125071525947221</v>
      </c>
      <c r="S62" s="15">
        <f>O62-Benchmark_RF!D62</f>
        <v>4.3511923230781284E-2</v>
      </c>
    </row>
    <row r="63" spans="1:19" ht="15" customHeight="1" x14ac:dyDescent="0.25">
      <c r="A63">
        <v>66</v>
      </c>
      <c r="B63" s="12">
        <f>Returns!A67</f>
        <v>43983</v>
      </c>
      <c r="C63" s="16">
        <f>IF(Rankings!C68&lt;=5,1,0)</f>
        <v>0</v>
      </c>
      <c r="D63" s="16">
        <f>IF(Rankings!D68&lt;=5,1,0)</f>
        <v>0</v>
      </c>
      <c r="E63" s="16">
        <f>IF(Rankings!E68&lt;=5,1,0)</f>
        <v>1</v>
      </c>
      <c r="F63" s="16">
        <f>IF(Rankings!F68&lt;=5,1,0)</f>
        <v>1</v>
      </c>
      <c r="G63" s="16">
        <f>IF(Rankings!G68&lt;=5,1,0)</f>
        <v>1</v>
      </c>
      <c r="H63" s="16">
        <f>IF(Rankings!H68&lt;=5,1,0)</f>
        <v>0</v>
      </c>
      <c r="I63" s="16">
        <f>IF(Rankings!I68&lt;=5,1,0)</f>
        <v>1</v>
      </c>
      <c r="J63" s="16">
        <f>IF(Rankings!J68&lt;=5,1,0)</f>
        <v>1</v>
      </c>
      <c r="K63" s="19">
        <f t="shared" si="4"/>
        <v>5</v>
      </c>
      <c r="L63" s="15">
        <f>SUMPRODUCT(C63:J63,Returns!B67:I67)/K63</f>
        <v>4.2308483554235644E-2</v>
      </c>
      <c r="M63" s="15">
        <v>0</v>
      </c>
      <c r="N63" s="15">
        <v>0</v>
      </c>
      <c r="O63" s="15">
        <f t="shared" si="5"/>
        <v>4.2308483554235644E-2</v>
      </c>
      <c r="P63" s="20">
        <f t="shared" si="7"/>
        <v>1.2571917956947043</v>
      </c>
      <c r="Q63" s="20">
        <f>MAX($P$5:P63)</f>
        <v>1.6781386505466105</v>
      </c>
      <c r="R63" s="15">
        <f t="shared" si="6"/>
        <v>-0.25084152296640905</v>
      </c>
      <c r="S63" s="15">
        <f>O63-Benchmark_RF!D63</f>
        <v>3.6772837758889267E-2</v>
      </c>
    </row>
    <row r="64" spans="1:19" ht="15" customHeight="1" x14ac:dyDescent="0.25">
      <c r="A64">
        <v>67</v>
      </c>
      <c r="B64" s="12">
        <f>Returns!A68</f>
        <v>44013</v>
      </c>
      <c r="C64" s="16">
        <f>IF(Rankings!C68&lt;=5,1,0)</f>
        <v>0</v>
      </c>
      <c r="D64" s="16">
        <f>IF(Rankings!D68&lt;=5,1,0)</f>
        <v>0</v>
      </c>
      <c r="E64" s="16">
        <f>IF(Rankings!E68&lt;=5,1,0)</f>
        <v>1</v>
      </c>
      <c r="F64" s="16">
        <f>IF(Rankings!F68&lt;=5,1,0)</f>
        <v>1</v>
      </c>
      <c r="G64" s="16">
        <f>IF(Rankings!G68&lt;=5,1,0)</f>
        <v>1</v>
      </c>
      <c r="H64" s="16">
        <f>IF(Rankings!H68&lt;=5,1,0)</f>
        <v>0</v>
      </c>
      <c r="I64" s="16">
        <f>IF(Rankings!I68&lt;=5,1,0)</f>
        <v>1</v>
      </c>
      <c r="J64" s="16">
        <f>IF(Rankings!J68&lt;=5,1,0)</f>
        <v>1</v>
      </c>
      <c r="K64" s="19">
        <f t="shared" si="4"/>
        <v>5</v>
      </c>
      <c r="L64" s="15">
        <f>SUMPRODUCT(C64:J64,Returns!B68:I68)/K64</f>
        <v>0.14884079699683053</v>
      </c>
      <c r="M64" s="15">
        <v>0</v>
      </c>
      <c r="N64" s="15">
        <v>0</v>
      </c>
      <c r="O64" s="15">
        <f t="shared" si="5"/>
        <v>0.14884079699683053</v>
      </c>
      <c r="P64" s="20">
        <f t="shared" si="7"/>
        <v>1.4443132245437806</v>
      </c>
      <c r="Q64" s="20">
        <f>MAX($P$5:P64)</f>
        <v>1.6781386505466105</v>
      </c>
      <c r="R64" s="15">
        <f t="shared" si="6"/>
        <v>-0.13933617816779753</v>
      </c>
      <c r="S64" s="15">
        <f>O64-Benchmark_RF!D64</f>
        <v>0.14328586104018762</v>
      </c>
    </row>
    <row r="65" spans="1:19" ht="15" customHeight="1" x14ac:dyDescent="0.25">
      <c r="A65">
        <v>68</v>
      </c>
      <c r="B65" s="12">
        <f>Returns!A69</f>
        <v>44044</v>
      </c>
      <c r="C65" s="16">
        <f>IF(Rankings!C71&lt;=5,1,0)</f>
        <v>0</v>
      </c>
      <c r="D65" s="16">
        <f>IF(Rankings!D71&lt;=5,1,0)</f>
        <v>1</v>
      </c>
      <c r="E65" s="16">
        <f>IF(Rankings!E71&lt;=5,1,0)</f>
        <v>0</v>
      </c>
      <c r="F65" s="16">
        <f>IF(Rankings!F71&lt;=5,1,0)</f>
        <v>1</v>
      </c>
      <c r="G65" s="16">
        <f>IF(Rankings!G71&lt;=5,1,0)</f>
        <v>1</v>
      </c>
      <c r="H65" s="16">
        <f>IF(Rankings!H71&lt;=5,1,0)</f>
        <v>0</v>
      </c>
      <c r="I65" s="16">
        <f>IF(Rankings!I71&lt;=5,1,0)</f>
        <v>1</v>
      </c>
      <c r="J65" s="16">
        <f>IF(Rankings!J71&lt;=5,1,0)</f>
        <v>1</v>
      </c>
      <c r="K65" s="19">
        <f t="shared" si="4"/>
        <v>5</v>
      </c>
      <c r="L65" s="15">
        <f>SUMPRODUCT(C65:J65,Returns!B69:I69)/K65</f>
        <v>6.8962220090698675E-2</v>
      </c>
      <c r="M65" s="15">
        <f>-2*Assumptions!$B$13</f>
        <v>-7.0000000000000001E-3</v>
      </c>
      <c r="N65" s="15">
        <f>-Assumptions!$B$16*MAX(0,(1+O62)*(1+O63)*(1+O64)-1)</f>
        <v>-3.8604944693197939E-2</v>
      </c>
      <c r="O65" s="15">
        <f t="shared" si="5"/>
        <v>2.3357275397500737E-2</v>
      </c>
      <c r="P65" s="20">
        <f t="shared" si="7"/>
        <v>1.4780484462897019</v>
      </c>
      <c r="Q65" s="20">
        <f>MAX($P$5:P65)</f>
        <v>1.6781386505466105</v>
      </c>
      <c r="R65" s="15">
        <f t="shared" si="6"/>
        <v>-0.11923341625659734</v>
      </c>
      <c r="S65" s="15">
        <f>O65-Benchmark_RF!D65</f>
        <v>1.7631415216180807E-2</v>
      </c>
    </row>
    <row r="66" spans="1:19" ht="15" customHeight="1" x14ac:dyDescent="0.25">
      <c r="A66">
        <v>69</v>
      </c>
      <c r="B66" s="12">
        <f>Returns!A70</f>
        <v>44075</v>
      </c>
      <c r="C66" s="16">
        <f>IF(Rankings!C71&lt;=5,1,0)</f>
        <v>0</v>
      </c>
      <c r="D66" s="16">
        <f>IF(Rankings!D71&lt;=5,1,0)</f>
        <v>1</v>
      </c>
      <c r="E66" s="16">
        <f>IF(Rankings!E71&lt;=5,1,0)</f>
        <v>0</v>
      </c>
      <c r="F66" s="16">
        <f>IF(Rankings!F71&lt;=5,1,0)</f>
        <v>1</v>
      </c>
      <c r="G66" s="16">
        <f>IF(Rankings!G71&lt;=5,1,0)</f>
        <v>1</v>
      </c>
      <c r="H66" s="16">
        <f>IF(Rankings!H71&lt;=5,1,0)</f>
        <v>0</v>
      </c>
      <c r="I66" s="16">
        <f>IF(Rankings!I71&lt;=5,1,0)</f>
        <v>1</v>
      </c>
      <c r="J66" s="16">
        <f>IF(Rankings!J71&lt;=5,1,0)</f>
        <v>1</v>
      </c>
      <c r="K66" s="19">
        <f t="shared" si="4"/>
        <v>5</v>
      </c>
      <c r="L66" s="15">
        <f>SUMPRODUCT(C66:J66,Returns!B70:I70)/K66</f>
        <v>-2.7460286400208035E-3</v>
      </c>
      <c r="M66" s="15">
        <v>0</v>
      </c>
      <c r="N66" s="15">
        <v>0</v>
      </c>
      <c r="O66" s="15">
        <f t="shared" si="5"/>
        <v>-2.7460286400208035E-3</v>
      </c>
      <c r="P66" s="20">
        <f t="shared" si="7"/>
        <v>1.473989682924852</v>
      </c>
      <c r="Q66" s="20">
        <f>MAX($P$5:P66)</f>
        <v>1.6781386505466105</v>
      </c>
      <c r="R66" s="15">
        <f t="shared" si="6"/>
        <v>-0.12165202652073015</v>
      </c>
      <c r="S66" s="15">
        <f>O66-Benchmark_RF!D66</f>
        <v>-8.4771321286663866E-3</v>
      </c>
    </row>
    <row r="67" spans="1:19" ht="15" customHeight="1" x14ac:dyDescent="0.25">
      <c r="A67">
        <v>70</v>
      </c>
      <c r="B67" s="12">
        <f>Returns!A71</f>
        <v>44105</v>
      </c>
      <c r="C67" s="16">
        <f>IF(Rankings!C71&lt;=5,1,0)</f>
        <v>0</v>
      </c>
      <c r="D67" s="16">
        <f>IF(Rankings!D71&lt;=5,1,0)</f>
        <v>1</v>
      </c>
      <c r="E67" s="16">
        <f>IF(Rankings!E71&lt;=5,1,0)</f>
        <v>0</v>
      </c>
      <c r="F67" s="16">
        <f>IF(Rankings!F71&lt;=5,1,0)</f>
        <v>1</v>
      </c>
      <c r="G67" s="16">
        <f>IF(Rankings!G71&lt;=5,1,0)</f>
        <v>1</v>
      </c>
      <c r="H67" s="16">
        <f>IF(Rankings!H71&lt;=5,1,0)</f>
        <v>0</v>
      </c>
      <c r="I67" s="16">
        <f>IF(Rankings!I71&lt;=5,1,0)</f>
        <v>1</v>
      </c>
      <c r="J67" s="16">
        <f>IF(Rankings!J71&lt;=5,1,0)</f>
        <v>1</v>
      </c>
      <c r="K67" s="19">
        <f t="shared" si="4"/>
        <v>5</v>
      </c>
      <c r="L67" s="15">
        <f>SUMPRODUCT(C67:J67,Returns!B71:I71)/K67</f>
        <v>3.1005523385195154E-2</v>
      </c>
      <c r="M67" s="15">
        <v>0</v>
      </c>
      <c r="N67" s="15">
        <v>0</v>
      </c>
      <c r="O67" s="15">
        <f t="shared" si="5"/>
        <v>3.1005523385195154E-2</v>
      </c>
      <c r="P67" s="20">
        <f t="shared" si="7"/>
        <v>1.5196915045083148</v>
      </c>
      <c r="Q67" s="20">
        <f>MAX($P$5:P67)</f>
        <v>1.6781386505466105</v>
      </c>
      <c r="R67" s="15">
        <f t="shared" si="6"/>
        <v>-9.4418387888679844E-2</v>
      </c>
      <c r="S67" s="15">
        <f>O67-Benchmark_RF!D67</f>
        <v>2.5227712952091273E-2</v>
      </c>
    </row>
    <row r="68" spans="1:19" ht="15" customHeight="1" x14ac:dyDescent="0.25">
      <c r="A68">
        <v>71</v>
      </c>
      <c r="B68" s="12">
        <f>Returns!A72</f>
        <v>44136</v>
      </c>
      <c r="C68" s="16">
        <f>IF(Rankings!C74&lt;=5,1,0)</f>
        <v>1</v>
      </c>
      <c r="D68" s="16">
        <f>IF(Rankings!D74&lt;=5,1,0)</f>
        <v>0</v>
      </c>
      <c r="E68" s="16">
        <f>IF(Rankings!E74&lt;=5,1,0)</f>
        <v>0</v>
      </c>
      <c r="F68" s="16">
        <f>IF(Rankings!F74&lt;=5,1,0)</f>
        <v>1</v>
      </c>
      <c r="G68" s="16">
        <f>IF(Rankings!G74&lt;=5,1,0)</f>
        <v>0</v>
      </c>
      <c r="H68" s="16">
        <f>IF(Rankings!H74&lt;=5,1,0)</f>
        <v>1</v>
      </c>
      <c r="I68" s="16">
        <f>IF(Rankings!I74&lt;=5,1,0)</f>
        <v>1</v>
      </c>
      <c r="J68" s="16">
        <f>IF(Rankings!J74&lt;=5,1,0)</f>
        <v>1</v>
      </c>
      <c r="K68" s="19">
        <f t="shared" si="4"/>
        <v>5</v>
      </c>
      <c r="L68" s="15">
        <f>SUMPRODUCT(C68:J68,Returns!B72:I72)/K68</f>
        <v>3.312451862241983E-2</v>
      </c>
      <c r="M68" s="15">
        <f>-2*Assumptions!$B$13</f>
        <v>-7.0000000000000001E-3</v>
      </c>
      <c r="N68" s="15">
        <f>-Assumptions!$B$16*MAX(0,(1+O65)*(1+O66)*(1+O67)-1)</f>
        <v>-7.8284556303578993E-3</v>
      </c>
      <c r="O68" s="15">
        <f t="shared" si="5"/>
        <v>1.8296062992061931E-2</v>
      </c>
      <c r="P68" s="20">
        <f t="shared" si="7"/>
        <v>1.5474958760033002</v>
      </c>
      <c r="Q68" s="20">
        <f>MAX($P$5:P68)</f>
        <v>1.6781386505466105</v>
      </c>
      <c r="R68" s="15">
        <f t="shared" si="6"/>
        <v>-7.7849809669038206E-2</v>
      </c>
      <c r="S68" s="15">
        <f>O68-Benchmark_RF!D68</f>
        <v>1.2532176086350429E-2</v>
      </c>
    </row>
    <row r="69" spans="1:19" ht="15" customHeight="1" x14ac:dyDescent="0.25">
      <c r="A69">
        <v>72</v>
      </c>
      <c r="B69" s="12">
        <f>Returns!A73</f>
        <v>44166</v>
      </c>
      <c r="C69" s="16">
        <f>IF(Rankings!C74&lt;=5,1,0)</f>
        <v>1</v>
      </c>
      <c r="D69" s="16">
        <f>IF(Rankings!D74&lt;=5,1,0)</f>
        <v>0</v>
      </c>
      <c r="E69" s="16">
        <f>IF(Rankings!E74&lt;=5,1,0)</f>
        <v>0</v>
      </c>
      <c r="F69" s="16">
        <f>IF(Rankings!F74&lt;=5,1,0)</f>
        <v>1</v>
      </c>
      <c r="G69" s="16">
        <f>IF(Rankings!G74&lt;=5,1,0)</f>
        <v>0</v>
      </c>
      <c r="H69" s="16">
        <f>IF(Rankings!H74&lt;=5,1,0)</f>
        <v>1</v>
      </c>
      <c r="I69" s="16">
        <f>IF(Rankings!I74&lt;=5,1,0)</f>
        <v>1</v>
      </c>
      <c r="J69" s="16">
        <f>IF(Rankings!J74&lt;=5,1,0)</f>
        <v>1</v>
      </c>
      <c r="K69" s="19">
        <f t="shared" ref="K69:K100" si="8">SUM(C69:J69)</f>
        <v>5</v>
      </c>
      <c r="L69" s="15">
        <f>SUMPRODUCT(C69:J69,Returns!B73:I73)/K69</f>
        <v>6.7093775620135271E-2</v>
      </c>
      <c r="M69" s="15">
        <v>0</v>
      </c>
      <c r="N69" s="15">
        <v>0</v>
      </c>
      <c r="O69" s="15">
        <f t="shared" ref="O69:O100" si="9">L69+M69+N69</f>
        <v>6.7093775620135271E-2</v>
      </c>
      <c r="P69" s="20">
        <f t="shared" si="7"/>
        <v>1.6513232170809504</v>
      </c>
      <c r="Q69" s="20">
        <f>MAX($P$5:P69)</f>
        <v>1.6781386505466105</v>
      </c>
      <c r="R69" s="15">
        <f t="shared" ref="R69:R100" si="10">P69/Q69-1</f>
        <v>-1.5979271710907628E-2</v>
      </c>
      <c r="S69" s="15">
        <f>O69-Benchmark_RF!D69</f>
        <v>6.13542991149367E-2</v>
      </c>
    </row>
    <row r="70" spans="1:19" ht="15" customHeight="1" x14ac:dyDescent="0.25">
      <c r="A70">
        <v>73</v>
      </c>
      <c r="B70" s="12">
        <f>Returns!A74</f>
        <v>44197</v>
      </c>
      <c r="C70" s="16">
        <f>IF(Rankings!C74&lt;=5,1,0)</f>
        <v>1</v>
      </c>
      <c r="D70" s="16">
        <f>IF(Rankings!D74&lt;=5,1,0)</f>
        <v>0</v>
      </c>
      <c r="E70" s="16">
        <f>IF(Rankings!E74&lt;=5,1,0)</f>
        <v>0</v>
      </c>
      <c r="F70" s="16">
        <f>IF(Rankings!F74&lt;=5,1,0)</f>
        <v>1</v>
      </c>
      <c r="G70" s="16">
        <f>IF(Rankings!G74&lt;=5,1,0)</f>
        <v>0</v>
      </c>
      <c r="H70" s="16">
        <f>IF(Rankings!H74&lt;=5,1,0)</f>
        <v>1</v>
      </c>
      <c r="I70" s="16">
        <f>IF(Rankings!I74&lt;=5,1,0)</f>
        <v>1</v>
      </c>
      <c r="J70" s="16">
        <f>IF(Rankings!J74&lt;=5,1,0)</f>
        <v>1</v>
      </c>
      <c r="K70" s="19">
        <f t="shared" si="8"/>
        <v>5</v>
      </c>
      <c r="L70" s="15">
        <f>SUMPRODUCT(C70:J70,Returns!B74:I74)/K70</f>
        <v>2.8975431741142497E-2</v>
      </c>
      <c r="M70" s="15">
        <v>0</v>
      </c>
      <c r="N70" s="15">
        <v>0</v>
      </c>
      <c r="O70" s="15">
        <f t="shared" si="9"/>
        <v>2.8975431741142497E-2</v>
      </c>
      <c r="P70" s="20">
        <f t="shared" ref="P70:P101" si="11">P69*(1+O70)</f>
        <v>1.6991710202400434</v>
      </c>
      <c r="Q70" s="20">
        <f>MAX($P$5:P70)</f>
        <v>1.6991710202400434</v>
      </c>
      <c r="R70" s="15">
        <f t="shared" si="10"/>
        <v>0</v>
      </c>
      <c r="S70" s="15">
        <f>O70-Benchmark_RF!D70</f>
        <v>2.3202549055658793E-2</v>
      </c>
    </row>
    <row r="71" spans="1:19" ht="15" customHeight="1" x14ac:dyDescent="0.25">
      <c r="A71">
        <v>74</v>
      </c>
      <c r="B71" s="12">
        <f>Returns!A75</f>
        <v>44228</v>
      </c>
      <c r="C71" s="16">
        <f>IF(Rankings!C77&lt;=5,1,0)</f>
        <v>1</v>
      </c>
      <c r="D71" s="16">
        <f>IF(Rankings!D77&lt;=5,1,0)</f>
        <v>0</v>
      </c>
      <c r="E71" s="16">
        <f>IF(Rankings!E77&lt;=5,1,0)</f>
        <v>1</v>
      </c>
      <c r="F71" s="16">
        <f>IF(Rankings!F77&lt;=5,1,0)</f>
        <v>1</v>
      </c>
      <c r="G71" s="16">
        <f>IF(Rankings!G77&lt;=5,1,0)</f>
        <v>0</v>
      </c>
      <c r="H71" s="16">
        <f>IF(Rankings!H77&lt;=5,1,0)</f>
        <v>1</v>
      </c>
      <c r="I71" s="16">
        <f>IF(Rankings!I77&lt;=5,1,0)</f>
        <v>0</v>
      </c>
      <c r="J71" s="16">
        <f>IF(Rankings!J77&lt;=5,1,0)</f>
        <v>1</v>
      </c>
      <c r="K71" s="19">
        <f t="shared" si="8"/>
        <v>5</v>
      </c>
      <c r="L71" s="15">
        <f>SUMPRODUCT(C71:J71,Returns!B75:I75)/K71</f>
        <v>1.4995330875352052E-2</v>
      </c>
      <c r="M71" s="15">
        <f>-2*Assumptions!$B$13</f>
        <v>-7.0000000000000001E-3</v>
      </c>
      <c r="N71" s="15">
        <f>-Assumptions!$B$16*MAX(0,(1+O68)*(1+O69)*(1+O70)-1)</f>
        <v>-1.7715389787922586E-2</v>
      </c>
      <c r="O71" s="15">
        <f t="shared" si="9"/>
        <v>-9.7200589125705332E-3</v>
      </c>
      <c r="P71" s="20">
        <f t="shared" si="11"/>
        <v>1.6826549778207776</v>
      </c>
      <c r="Q71" s="20">
        <f>MAX($P$5:P71)</f>
        <v>1.6991710202400434</v>
      </c>
      <c r="R71" s="15">
        <f t="shared" si="10"/>
        <v>-9.7200589125705505E-3</v>
      </c>
      <c r="S71" s="15">
        <f>O71-Benchmark_RF!D71</f>
        <v>-1.5523364242335119E-2</v>
      </c>
    </row>
    <row r="72" spans="1:19" ht="15" customHeight="1" x14ac:dyDescent="0.25">
      <c r="A72">
        <v>75</v>
      </c>
      <c r="B72" s="12">
        <f>Returns!A76</f>
        <v>44256</v>
      </c>
      <c r="C72" s="16">
        <f>IF(Rankings!C77&lt;=5,1,0)</f>
        <v>1</v>
      </c>
      <c r="D72" s="16">
        <f>IF(Rankings!D77&lt;=5,1,0)</f>
        <v>0</v>
      </c>
      <c r="E72" s="16">
        <f>IF(Rankings!E77&lt;=5,1,0)</f>
        <v>1</v>
      </c>
      <c r="F72" s="16">
        <f>IF(Rankings!F77&lt;=5,1,0)</f>
        <v>1</v>
      </c>
      <c r="G72" s="16">
        <f>IF(Rankings!G77&lt;=5,1,0)</f>
        <v>0</v>
      </c>
      <c r="H72" s="16">
        <f>IF(Rankings!H77&lt;=5,1,0)</f>
        <v>1</v>
      </c>
      <c r="I72" s="16">
        <f>IF(Rankings!I77&lt;=5,1,0)</f>
        <v>0</v>
      </c>
      <c r="J72" s="16">
        <f>IF(Rankings!J77&lt;=5,1,0)</f>
        <v>1</v>
      </c>
      <c r="K72" s="19">
        <f t="shared" si="8"/>
        <v>5</v>
      </c>
      <c r="L72" s="15">
        <f>SUMPRODUCT(C72:J72,Returns!B76:I76)/K72</f>
        <v>-4.6285513691282622E-2</v>
      </c>
      <c r="M72" s="15">
        <v>0</v>
      </c>
      <c r="N72" s="15">
        <v>0</v>
      </c>
      <c r="O72" s="15">
        <f t="shared" si="9"/>
        <v>-4.6285513691282622E-2</v>
      </c>
      <c r="P72" s="20">
        <f t="shared" si="11"/>
        <v>1.6047724278071491</v>
      </c>
      <c r="Q72" s="20">
        <f>MAX($P$5:P72)</f>
        <v>1.6991710202400434</v>
      </c>
      <c r="R72" s="15">
        <f t="shared" si="10"/>
        <v>-5.5555674683975265E-2</v>
      </c>
      <c r="S72" s="15">
        <f>O72-Benchmark_RF!D72</f>
        <v>-5.2275668761952644E-2</v>
      </c>
    </row>
    <row r="73" spans="1:19" ht="15" customHeight="1" x14ac:dyDescent="0.25">
      <c r="A73">
        <v>76</v>
      </c>
      <c r="B73" s="12">
        <f>Returns!A77</f>
        <v>44287</v>
      </c>
      <c r="C73" s="16">
        <f>IF(Rankings!C77&lt;=5,1,0)</f>
        <v>1</v>
      </c>
      <c r="D73" s="16">
        <f>IF(Rankings!D77&lt;=5,1,0)</f>
        <v>0</v>
      </c>
      <c r="E73" s="16">
        <f>IF(Rankings!E77&lt;=5,1,0)</f>
        <v>1</v>
      </c>
      <c r="F73" s="16">
        <f>IF(Rankings!F77&lt;=5,1,0)</f>
        <v>1</v>
      </c>
      <c r="G73" s="16">
        <f>IF(Rankings!G77&lt;=5,1,0)</f>
        <v>0</v>
      </c>
      <c r="H73" s="16">
        <f>IF(Rankings!H77&lt;=5,1,0)</f>
        <v>1</v>
      </c>
      <c r="I73" s="16">
        <f>IF(Rankings!I77&lt;=5,1,0)</f>
        <v>0</v>
      </c>
      <c r="J73" s="16">
        <f>IF(Rankings!J77&lt;=5,1,0)</f>
        <v>1</v>
      </c>
      <c r="K73" s="19">
        <f t="shared" si="8"/>
        <v>5</v>
      </c>
      <c r="L73" s="15">
        <f>SUMPRODUCT(C73:J73,Returns!B77:I77)/K73</f>
        <v>-1.7909408951713134E-2</v>
      </c>
      <c r="M73" s="15">
        <v>0</v>
      </c>
      <c r="N73" s="15">
        <v>0</v>
      </c>
      <c r="O73" s="15">
        <f t="shared" si="9"/>
        <v>-1.7909408951713134E-2</v>
      </c>
      <c r="P73" s="20">
        <f t="shared" si="11"/>
        <v>1.5760319021231173</v>
      </c>
      <c r="Q73" s="20">
        <f>MAX($P$5:P73)</f>
        <v>1.6991710202400434</v>
      </c>
      <c r="R73" s="15">
        <f t="shared" si="10"/>
        <v>-7.2470114338184843E-2</v>
      </c>
      <c r="S73" s="15">
        <f>O73-Benchmark_RF!D73</f>
        <v>-2.385780593033917E-2</v>
      </c>
    </row>
    <row r="74" spans="1:19" ht="15" customHeight="1" x14ac:dyDescent="0.25">
      <c r="A74">
        <v>77</v>
      </c>
      <c r="B74" s="12">
        <f>Returns!A78</f>
        <v>44317</v>
      </c>
      <c r="C74" s="16">
        <f>IF(Rankings!C80&lt;=5,1,0)</f>
        <v>1</v>
      </c>
      <c r="D74" s="16">
        <f>IF(Rankings!D80&lt;=5,1,0)</f>
        <v>1</v>
      </c>
      <c r="E74" s="16">
        <f>IF(Rankings!E80&lt;=5,1,0)</f>
        <v>0</v>
      </c>
      <c r="F74" s="16">
        <f>IF(Rankings!F80&lt;=5,1,0)</f>
        <v>1</v>
      </c>
      <c r="G74" s="16">
        <f>IF(Rankings!G80&lt;=5,1,0)</f>
        <v>0</v>
      </c>
      <c r="H74" s="16">
        <f>IF(Rankings!H80&lt;=5,1,0)</f>
        <v>0</v>
      </c>
      <c r="I74" s="16">
        <f>IF(Rankings!I80&lt;=5,1,0)</f>
        <v>1</v>
      </c>
      <c r="J74" s="16">
        <f>IF(Rankings!J80&lt;=5,1,0)</f>
        <v>1</v>
      </c>
      <c r="K74" s="19">
        <f t="shared" si="8"/>
        <v>5</v>
      </c>
      <c r="L74" s="15">
        <f>SUMPRODUCT(C74:J74,Returns!B78:I78)/K74</f>
        <v>4.9860405952050303E-2</v>
      </c>
      <c r="M74" s="15">
        <f>-2*Assumptions!$B$13</f>
        <v>-7.0000000000000001E-3</v>
      </c>
      <c r="N74" s="15">
        <f>-Assumptions!$B$16*MAX(0,(1+O71)*(1+O72)*(1+O73)-1)</f>
        <v>0</v>
      </c>
      <c r="O74" s="15">
        <f t="shared" si="9"/>
        <v>4.2860405952050304E-2</v>
      </c>
      <c r="P74" s="20">
        <f t="shared" si="11"/>
        <v>1.6435812692414962</v>
      </c>
      <c r="Q74" s="20">
        <f>MAX($P$5:P74)</f>
        <v>1.6991710202400434</v>
      </c>
      <c r="R74" s="15">
        <f t="shared" si="10"/>
        <v>-3.2715806906060574E-2</v>
      </c>
      <c r="S74" s="15">
        <f>O74-Benchmark_RF!D74</f>
        <v>3.6938791018391801E-2</v>
      </c>
    </row>
    <row r="75" spans="1:19" ht="15" customHeight="1" x14ac:dyDescent="0.25">
      <c r="A75">
        <v>78</v>
      </c>
      <c r="B75" s="12">
        <f>Returns!A79</f>
        <v>44348</v>
      </c>
      <c r="C75" s="16">
        <f>IF(Rankings!C80&lt;=5,1,0)</f>
        <v>1</v>
      </c>
      <c r="D75" s="16">
        <f>IF(Rankings!D80&lt;=5,1,0)</f>
        <v>1</v>
      </c>
      <c r="E75" s="16">
        <f>IF(Rankings!E80&lt;=5,1,0)</f>
        <v>0</v>
      </c>
      <c r="F75" s="16">
        <f>IF(Rankings!F80&lt;=5,1,0)</f>
        <v>1</v>
      </c>
      <c r="G75" s="16">
        <f>IF(Rankings!G80&lt;=5,1,0)</f>
        <v>0</v>
      </c>
      <c r="H75" s="16">
        <f>IF(Rankings!H80&lt;=5,1,0)</f>
        <v>0</v>
      </c>
      <c r="I75" s="16">
        <f>IF(Rankings!I80&lt;=5,1,0)</f>
        <v>1</v>
      </c>
      <c r="J75" s="16">
        <f>IF(Rankings!J80&lt;=5,1,0)</f>
        <v>1</v>
      </c>
      <c r="K75" s="19">
        <f t="shared" si="8"/>
        <v>5</v>
      </c>
      <c r="L75" s="15">
        <f>SUMPRODUCT(C75:J75,Returns!B79:I79)/K75</f>
        <v>-1.6201719992603714E-2</v>
      </c>
      <c r="M75" s="15">
        <v>0</v>
      </c>
      <c r="N75" s="15">
        <v>0</v>
      </c>
      <c r="O75" s="15">
        <f t="shared" si="9"/>
        <v>-1.6201719992603714E-2</v>
      </c>
      <c r="P75" s="20">
        <f t="shared" si="11"/>
        <v>1.6169524257321573</v>
      </c>
      <c r="Q75" s="20">
        <f>MAX($P$5:P75)</f>
        <v>1.6991710202400434</v>
      </c>
      <c r="R75" s="15">
        <f t="shared" si="10"/>
        <v>-4.8387474555840249E-2</v>
      </c>
      <c r="S75" s="15">
        <f>O75-Benchmark_RF!D75</f>
        <v>-2.2086858128411314E-2</v>
      </c>
    </row>
    <row r="76" spans="1:19" ht="15" customHeight="1" x14ac:dyDescent="0.25">
      <c r="A76">
        <v>79</v>
      </c>
      <c r="B76" s="12">
        <f>Returns!A80</f>
        <v>44378</v>
      </c>
      <c r="C76" s="16">
        <f>IF(Rankings!C80&lt;=5,1,0)</f>
        <v>1</v>
      </c>
      <c r="D76" s="16">
        <f>IF(Rankings!D80&lt;=5,1,0)</f>
        <v>1</v>
      </c>
      <c r="E76" s="16">
        <f>IF(Rankings!E80&lt;=5,1,0)</f>
        <v>0</v>
      </c>
      <c r="F76" s="16">
        <f>IF(Rankings!F80&lt;=5,1,0)</f>
        <v>1</v>
      </c>
      <c r="G76" s="16">
        <f>IF(Rankings!G80&lt;=5,1,0)</f>
        <v>0</v>
      </c>
      <c r="H76" s="16">
        <f>IF(Rankings!H80&lt;=5,1,0)</f>
        <v>0</v>
      </c>
      <c r="I76" s="16">
        <f>IF(Rankings!I80&lt;=5,1,0)</f>
        <v>1</v>
      </c>
      <c r="J76" s="16">
        <f>IF(Rankings!J80&lt;=5,1,0)</f>
        <v>1</v>
      </c>
      <c r="K76" s="19">
        <f t="shared" si="8"/>
        <v>5</v>
      </c>
      <c r="L76" s="15">
        <f>SUMPRODUCT(C76:J76,Returns!B80:I80)/K76</f>
        <v>2.4428712510584428E-3</v>
      </c>
      <c r="M76" s="15">
        <v>0</v>
      </c>
      <c r="N76" s="15">
        <v>0</v>
      </c>
      <c r="O76" s="15">
        <f t="shared" si="9"/>
        <v>2.4428712510584428E-3</v>
      </c>
      <c r="P76" s="20">
        <f t="shared" si="11"/>
        <v>1.6209024323273076</v>
      </c>
      <c r="Q76" s="20">
        <f>MAX($P$5:P76)</f>
        <v>1.6991710202400434</v>
      </c>
      <c r="R76" s="15">
        <f t="shared" si="10"/>
        <v>-4.6062807675285589E-2</v>
      </c>
      <c r="S76" s="15">
        <f>O76-Benchmark_RF!D76</f>
        <v>-3.3931916230942826E-3</v>
      </c>
    </row>
    <row r="77" spans="1:19" ht="15" customHeight="1" x14ac:dyDescent="0.25">
      <c r="A77">
        <v>80</v>
      </c>
      <c r="B77" s="12">
        <f>Returns!A81</f>
        <v>44409</v>
      </c>
      <c r="C77" s="16">
        <f>IF(Rankings!C83&lt;=5,1,0)</f>
        <v>1</v>
      </c>
      <c r="D77" s="16">
        <f>IF(Rankings!D83&lt;=5,1,0)</f>
        <v>1</v>
      </c>
      <c r="E77" s="16">
        <f>IF(Rankings!E83&lt;=5,1,0)</f>
        <v>0</v>
      </c>
      <c r="F77" s="16">
        <f>IF(Rankings!F83&lt;=5,1,0)</f>
        <v>1</v>
      </c>
      <c r="G77" s="16">
        <f>IF(Rankings!G83&lt;=5,1,0)</f>
        <v>0</v>
      </c>
      <c r="H77" s="16">
        <f>IF(Rankings!H83&lt;=5,1,0)</f>
        <v>0</v>
      </c>
      <c r="I77" s="16">
        <f>IF(Rankings!I83&lt;=5,1,0)</f>
        <v>1</v>
      </c>
      <c r="J77" s="16">
        <f>IF(Rankings!J83&lt;=5,1,0)</f>
        <v>1</v>
      </c>
      <c r="K77" s="19">
        <f t="shared" si="8"/>
        <v>5</v>
      </c>
      <c r="L77" s="15">
        <f>SUMPRODUCT(C77:J77,Returns!B81:I81)/K77</f>
        <v>5.895022429845713E-2</v>
      </c>
      <c r="M77" s="15">
        <f>-2*Assumptions!$B$13</f>
        <v>-7.0000000000000001E-3</v>
      </c>
      <c r="N77" s="15">
        <f>-Assumptions!$B$16*MAX(0,(1+O74)*(1+O75)*(1+O76)-1)</f>
        <v>-4.2705858438281449E-3</v>
      </c>
      <c r="O77" s="15">
        <f t="shared" si="9"/>
        <v>4.7679638454628984E-2</v>
      </c>
      <c r="P77" s="20">
        <f t="shared" si="11"/>
        <v>1.6981864742709023</v>
      </c>
      <c r="Q77" s="20">
        <f>MAX($P$5:P77)</f>
        <v>1.6991710202400434</v>
      </c>
      <c r="R77" s="15">
        <f t="shared" si="10"/>
        <v>-5.7942723681925212E-4</v>
      </c>
      <c r="S77" s="15">
        <f>O77-Benchmark_RF!D77</f>
        <v>4.1846076936117318E-2</v>
      </c>
    </row>
    <row r="78" spans="1:19" ht="15" customHeight="1" x14ac:dyDescent="0.25">
      <c r="A78">
        <v>81</v>
      </c>
      <c r="B78" s="12">
        <f>Returns!A82</f>
        <v>44440</v>
      </c>
      <c r="C78" s="16">
        <f>IF(Rankings!C83&lt;=5,1,0)</f>
        <v>1</v>
      </c>
      <c r="D78" s="16">
        <f>IF(Rankings!D83&lt;=5,1,0)</f>
        <v>1</v>
      </c>
      <c r="E78" s="16">
        <f>IF(Rankings!E83&lt;=5,1,0)</f>
        <v>0</v>
      </c>
      <c r="F78" s="16">
        <f>IF(Rankings!F83&lt;=5,1,0)</f>
        <v>1</v>
      </c>
      <c r="G78" s="16">
        <f>IF(Rankings!G83&lt;=5,1,0)</f>
        <v>0</v>
      </c>
      <c r="H78" s="16">
        <f>IF(Rankings!H83&lt;=5,1,0)</f>
        <v>0</v>
      </c>
      <c r="I78" s="16">
        <f>IF(Rankings!I83&lt;=5,1,0)</f>
        <v>1</v>
      </c>
      <c r="J78" s="16">
        <f>IF(Rankings!J83&lt;=5,1,0)</f>
        <v>1</v>
      </c>
      <c r="K78" s="19">
        <f t="shared" si="8"/>
        <v>5</v>
      </c>
      <c r="L78" s="15">
        <f>SUMPRODUCT(C78:J78,Returns!B82:I82)/K78</f>
        <v>-6.3052416433259012E-2</v>
      </c>
      <c r="M78" s="15">
        <v>0</v>
      </c>
      <c r="N78" s="15">
        <v>0</v>
      </c>
      <c r="O78" s="15">
        <f t="shared" si="9"/>
        <v>-6.3052416433259012E-2</v>
      </c>
      <c r="P78" s="20">
        <f t="shared" si="11"/>
        <v>1.5911117135138455</v>
      </c>
      <c r="Q78" s="20">
        <f>MAX($P$5:P78)</f>
        <v>1.6991710202400434</v>
      </c>
      <c r="R78" s="15">
        <f t="shared" si="10"/>
        <v>-6.3595309382649567E-2</v>
      </c>
      <c r="S78" s="15">
        <f>O78-Benchmark_RF!D78</f>
        <v>-6.9152768108242363E-2</v>
      </c>
    </row>
    <row r="79" spans="1:19" ht="15" customHeight="1" x14ac:dyDescent="0.25">
      <c r="A79">
        <v>82</v>
      </c>
      <c r="B79" s="12">
        <f>Returns!A83</f>
        <v>44470</v>
      </c>
      <c r="C79" s="16">
        <f>IF(Rankings!C83&lt;=5,1,0)</f>
        <v>1</v>
      </c>
      <c r="D79" s="16">
        <f>IF(Rankings!D83&lt;=5,1,0)</f>
        <v>1</v>
      </c>
      <c r="E79" s="16">
        <f>IF(Rankings!E83&lt;=5,1,0)</f>
        <v>0</v>
      </c>
      <c r="F79" s="16">
        <f>IF(Rankings!F83&lt;=5,1,0)</f>
        <v>1</v>
      </c>
      <c r="G79" s="16">
        <f>IF(Rankings!G83&lt;=5,1,0)</f>
        <v>0</v>
      </c>
      <c r="H79" s="16">
        <f>IF(Rankings!H83&lt;=5,1,0)</f>
        <v>0</v>
      </c>
      <c r="I79" s="16">
        <f>IF(Rankings!I83&lt;=5,1,0)</f>
        <v>1</v>
      </c>
      <c r="J79" s="16">
        <f>IF(Rankings!J83&lt;=5,1,0)</f>
        <v>1</v>
      </c>
      <c r="K79" s="19">
        <f t="shared" si="8"/>
        <v>5</v>
      </c>
      <c r="L79" s="15">
        <f>SUMPRODUCT(C79:J79,Returns!B83:I83)/K79</f>
        <v>6.167285257564574E-2</v>
      </c>
      <c r="M79" s="15">
        <v>0</v>
      </c>
      <c r="N79" s="15">
        <v>0</v>
      </c>
      <c r="O79" s="15">
        <f t="shared" si="9"/>
        <v>6.167285257564574E-2</v>
      </c>
      <c r="P79" s="20">
        <f t="shared" si="11"/>
        <v>1.689240111652768</v>
      </c>
      <c r="Q79" s="20">
        <f>MAX($P$5:P79)</f>
        <v>1.6991710202400434</v>
      </c>
      <c r="R79" s="15">
        <f t="shared" si="10"/>
        <v>-5.8445609470625381E-3</v>
      </c>
      <c r="S79" s="15">
        <f>O79-Benchmark_RF!D79</f>
        <v>5.510317871669039E-2</v>
      </c>
    </row>
    <row r="80" spans="1:19" ht="15" customHeight="1" x14ac:dyDescent="0.25">
      <c r="A80">
        <v>83</v>
      </c>
      <c r="B80" s="12">
        <f>Returns!A84</f>
        <v>44501</v>
      </c>
      <c r="C80" s="16">
        <f>IF(Rankings!C86&lt;=5,1,0)</f>
        <v>1</v>
      </c>
      <c r="D80" s="16">
        <f>IF(Rankings!D86&lt;=5,1,0)</f>
        <v>1</v>
      </c>
      <c r="E80" s="16">
        <f>IF(Rankings!E86&lt;=5,1,0)</f>
        <v>1</v>
      </c>
      <c r="F80" s="16">
        <f>IF(Rankings!F86&lt;=5,1,0)</f>
        <v>0</v>
      </c>
      <c r="G80" s="16">
        <f>IF(Rankings!G86&lt;=5,1,0)</f>
        <v>0</v>
      </c>
      <c r="H80" s="16">
        <f>IF(Rankings!H86&lt;=5,1,0)</f>
        <v>0</v>
      </c>
      <c r="I80" s="16">
        <f>IF(Rankings!I86&lt;=5,1,0)</f>
        <v>1</v>
      </c>
      <c r="J80" s="16">
        <f>IF(Rankings!J86&lt;=5,1,0)</f>
        <v>1</v>
      </c>
      <c r="K80" s="19">
        <f t="shared" si="8"/>
        <v>5</v>
      </c>
      <c r="L80" s="15">
        <f>SUMPRODUCT(C80:J80,Returns!B84:I84)/K80</f>
        <v>2.9685695521320722E-3</v>
      </c>
      <c r="M80" s="15">
        <f>-2*Assumptions!$B$13</f>
        <v>-7.0000000000000001E-3</v>
      </c>
      <c r="N80" s="15">
        <f>-Assumptions!$B$16*MAX(0,(1+O77)*(1+O78)*(1+O79)-1)</f>
        <v>-6.3240400497771238E-3</v>
      </c>
      <c r="O80" s="15">
        <f t="shared" si="9"/>
        <v>-1.0355470497645052E-2</v>
      </c>
      <c r="P80" s="20">
        <f t="shared" si="11"/>
        <v>1.6717472355131091</v>
      </c>
      <c r="Q80" s="20">
        <f>MAX($P$5:P80)</f>
        <v>1.6991710202400434</v>
      </c>
      <c r="R80" s="15">
        <f t="shared" si="10"/>
        <v>-1.6139508266248659E-2</v>
      </c>
      <c r="S80" s="15">
        <f>O80-Benchmark_RF!D80</f>
        <v>-1.7177195849832443E-2</v>
      </c>
    </row>
    <row r="81" spans="1:19" ht="15" customHeight="1" x14ac:dyDescent="0.25">
      <c r="A81">
        <v>84</v>
      </c>
      <c r="B81" s="12">
        <f>Returns!A85</f>
        <v>44531</v>
      </c>
      <c r="C81" s="16">
        <f>IF(Rankings!C86&lt;=5,1,0)</f>
        <v>1</v>
      </c>
      <c r="D81" s="16">
        <f>IF(Rankings!D86&lt;=5,1,0)</f>
        <v>1</v>
      </c>
      <c r="E81" s="16">
        <f>IF(Rankings!E86&lt;=5,1,0)</f>
        <v>1</v>
      </c>
      <c r="F81" s="16">
        <f>IF(Rankings!F86&lt;=5,1,0)</f>
        <v>0</v>
      </c>
      <c r="G81" s="16">
        <f>IF(Rankings!G86&lt;=5,1,0)</f>
        <v>0</v>
      </c>
      <c r="H81" s="16">
        <f>IF(Rankings!H86&lt;=5,1,0)</f>
        <v>0</v>
      </c>
      <c r="I81" s="16">
        <f>IF(Rankings!I86&lt;=5,1,0)</f>
        <v>1</v>
      </c>
      <c r="J81" s="16">
        <f>IF(Rankings!J86&lt;=5,1,0)</f>
        <v>1</v>
      </c>
      <c r="K81" s="19">
        <f t="shared" si="8"/>
        <v>5</v>
      </c>
      <c r="L81" s="15">
        <f>SUMPRODUCT(C81:J81,Returns!B85:I85)/K81</f>
        <v>-2.7805672593667931E-2</v>
      </c>
      <c r="M81" s="15">
        <v>0</v>
      </c>
      <c r="N81" s="15">
        <v>0</v>
      </c>
      <c r="O81" s="15">
        <f t="shared" si="9"/>
        <v>-2.7805672593667931E-2</v>
      </c>
      <c r="P81" s="20">
        <f t="shared" si="11"/>
        <v>1.6252631792230621</v>
      </c>
      <c r="Q81" s="20">
        <f>MAX($P$5:P81)</f>
        <v>1.6991710202400434</v>
      </c>
      <c r="R81" s="15">
        <f t="shared" si="10"/>
        <v>-4.3496410977242439E-2</v>
      </c>
      <c r="S81" s="15">
        <f>O81-Benchmark_RF!D81</f>
        <v>-3.6075085605030678E-2</v>
      </c>
    </row>
    <row r="82" spans="1:19" ht="15" customHeight="1" x14ac:dyDescent="0.25">
      <c r="A82">
        <v>85</v>
      </c>
      <c r="B82" s="12">
        <f>Returns!A86</f>
        <v>44562</v>
      </c>
      <c r="C82" s="16">
        <f>IF(Rankings!C86&lt;=5,1,0)</f>
        <v>1</v>
      </c>
      <c r="D82" s="16">
        <f>IF(Rankings!D86&lt;=5,1,0)</f>
        <v>1</v>
      </c>
      <c r="E82" s="16">
        <f>IF(Rankings!E86&lt;=5,1,0)</f>
        <v>1</v>
      </c>
      <c r="F82" s="16">
        <f>IF(Rankings!F86&lt;=5,1,0)</f>
        <v>0</v>
      </c>
      <c r="G82" s="16">
        <f>IF(Rankings!G86&lt;=5,1,0)</f>
        <v>0</v>
      </c>
      <c r="H82" s="16">
        <f>IF(Rankings!H86&lt;=5,1,0)</f>
        <v>0</v>
      </c>
      <c r="I82" s="16">
        <f>IF(Rankings!I86&lt;=5,1,0)</f>
        <v>1</v>
      </c>
      <c r="J82" s="16">
        <f>IF(Rankings!J86&lt;=5,1,0)</f>
        <v>1</v>
      </c>
      <c r="K82" s="19">
        <f t="shared" si="8"/>
        <v>5</v>
      </c>
      <c r="L82" s="15">
        <f>SUMPRODUCT(C82:J82,Returns!B86:I86)/K82</f>
        <v>1.7529113038231882E-2</v>
      </c>
      <c r="M82" s="15">
        <v>0</v>
      </c>
      <c r="N82" s="15">
        <v>0</v>
      </c>
      <c r="O82" s="15">
        <f t="shared" si="9"/>
        <v>1.7529113038231882E-2</v>
      </c>
      <c r="P82" s="20">
        <f t="shared" si="11"/>
        <v>1.6537526012085391</v>
      </c>
      <c r="Q82" s="20">
        <f>MAX($P$5:P82)</f>
        <v>1.6991710202400434</v>
      </c>
      <c r="R82" s="15">
        <f t="shared" si="10"/>
        <v>-2.6729751443788197E-2</v>
      </c>
      <c r="S82" s="15">
        <f>O82-Benchmark_RF!D82</f>
        <v>9.4000893661966081E-3</v>
      </c>
    </row>
    <row r="83" spans="1:19" ht="15" customHeight="1" x14ac:dyDescent="0.25">
      <c r="A83">
        <v>86</v>
      </c>
      <c r="B83" s="12">
        <f>Returns!A87</f>
        <v>44593</v>
      </c>
      <c r="C83" s="16">
        <f>IF(Rankings!C89&lt;=5,1,0)</f>
        <v>1</v>
      </c>
      <c r="D83" s="16">
        <f>IF(Rankings!D89&lt;=5,1,0)</f>
        <v>1</v>
      </c>
      <c r="E83" s="16">
        <f>IF(Rankings!E89&lt;=5,1,0)</f>
        <v>1</v>
      </c>
      <c r="F83" s="16">
        <f>IF(Rankings!F89&lt;=5,1,0)</f>
        <v>0</v>
      </c>
      <c r="G83" s="16">
        <f>IF(Rankings!G89&lt;=5,1,0)</f>
        <v>1</v>
      </c>
      <c r="H83" s="16">
        <f>IF(Rankings!H89&lt;=5,1,0)</f>
        <v>0</v>
      </c>
      <c r="I83" s="16">
        <f>IF(Rankings!I89&lt;=5,1,0)</f>
        <v>1</v>
      </c>
      <c r="J83" s="16">
        <f>IF(Rankings!J89&lt;=5,1,0)</f>
        <v>0</v>
      </c>
      <c r="K83" s="19">
        <f t="shared" si="8"/>
        <v>5</v>
      </c>
      <c r="L83" s="15">
        <f>SUMPRODUCT(C83:J83,Returns!B87:I87)/K83</f>
        <v>-1.886361875483611E-3</v>
      </c>
      <c r="M83" s="15">
        <f>-2*Assumptions!$B$13</f>
        <v>-7.0000000000000001E-3</v>
      </c>
      <c r="N83" s="15">
        <f>-Assumptions!$B$16*MAX(0,(1+O80)*(1+O81)*(1+O82)-1)</f>
        <v>0</v>
      </c>
      <c r="O83" s="15">
        <f t="shared" si="9"/>
        <v>-8.8863618754836116E-3</v>
      </c>
      <c r="P83" s="20">
        <f t="shared" si="11"/>
        <v>1.6390567571416776</v>
      </c>
      <c r="Q83" s="20">
        <f>MAX($P$5:P83)</f>
        <v>1.6991710202400434</v>
      </c>
      <c r="R83" s="15">
        <f t="shared" si="10"/>
        <v>-3.5378583075100556E-2</v>
      </c>
      <c r="S83" s="15">
        <f>O83-Benchmark_RF!D83</f>
        <v>-1.7152958549776137E-2</v>
      </c>
    </row>
    <row r="84" spans="1:19" ht="15" customHeight="1" x14ac:dyDescent="0.25">
      <c r="A84">
        <v>87</v>
      </c>
      <c r="B84" s="12">
        <f>Returns!A88</f>
        <v>44621</v>
      </c>
      <c r="C84" s="16">
        <f>IF(Rankings!C89&lt;=5,1,0)</f>
        <v>1</v>
      </c>
      <c r="D84" s="16">
        <f>IF(Rankings!D89&lt;=5,1,0)</f>
        <v>1</v>
      </c>
      <c r="E84" s="16">
        <f>IF(Rankings!E89&lt;=5,1,0)</f>
        <v>1</v>
      </c>
      <c r="F84" s="16">
        <f>IF(Rankings!F89&lt;=5,1,0)</f>
        <v>0</v>
      </c>
      <c r="G84" s="16">
        <f>IF(Rankings!G89&lt;=5,1,0)</f>
        <v>1</v>
      </c>
      <c r="H84" s="16">
        <f>IF(Rankings!H89&lt;=5,1,0)</f>
        <v>0</v>
      </c>
      <c r="I84" s="16">
        <f>IF(Rankings!I89&lt;=5,1,0)</f>
        <v>1</v>
      </c>
      <c r="J84" s="16">
        <f>IF(Rankings!J89&lt;=5,1,0)</f>
        <v>0</v>
      </c>
      <c r="K84" s="19">
        <f t="shared" si="8"/>
        <v>5</v>
      </c>
      <c r="L84" s="15">
        <f>SUMPRODUCT(C84:J84,Returns!B88:I88)/K84</f>
        <v>-4.3226822361804106E-2</v>
      </c>
      <c r="M84" s="15">
        <v>0</v>
      </c>
      <c r="N84" s="15">
        <v>0</v>
      </c>
      <c r="O84" s="15">
        <f t="shared" si="9"/>
        <v>-4.3226822361804106E-2</v>
      </c>
      <c r="P84" s="20">
        <f t="shared" si="11"/>
        <v>1.5682055418597998</v>
      </c>
      <c r="Q84" s="20">
        <f>MAX($P$5:P84)</f>
        <v>1.6991710202400434</v>
      </c>
      <c r="R84" s="15">
        <f t="shared" si="10"/>
        <v>-7.7076101710904954E-2</v>
      </c>
      <c r="S84" s="15">
        <f>O84-Benchmark_RF!D84</f>
        <v>-5.2528097568293707E-2</v>
      </c>
    </row>
    <row r="85" spans="1:19" ht="15" customHeight="1" x14ac:dyDescent="0.25">
      <c r="A85">
        <v>88</v>
      </c>
      <c r="B85" s="12">
        <f>Returns!A89</f>
        <v>44652</v>
      </c>
      <c r="C85" s="16">
        <f>IF(Rankings!C89&lt;=5,1,0)</f>
        <v>1</v>
      </c>
      <c r="D85" s="16">
        <f>IF(Rankings!D89&lt;=5,1,0)</f>
        <v>1</v>
      </c>
      <c r="E85" s="16">
        <f>IF(Rankings!E89&lt;=5,1,0)</f>
        <v>1</v>
      </c>
      <c r="F85" s="16">
        <f>IF(Rankings!F89&lt;=5,1,0)</f>
        <v>0</v>
      </c>
      <c r="G85" s="16">
        <f>IF(Rankings!G89&lt;=5,1,0)</f>
        <v>1</v>
      </c>
      <c r="H85" s="16">
        <f>IF(Rankings!H89&lt;=5,1,0)</f>
        <v>0</v>
      </c>
      <c r="I85" s="16">
        <f>IF(Rankings!I89&lt;=5,1,0)</f>
        <v>1</v>
      </c>
      <c r="J85" s="16">
        <f>IF(Rankings!J89&lt;=5,1,0)</f>
        <v>0</v>
      </c>
      <c r="K85" s="19">
        <f t="shared" si="8"/>
        <v>5</v>
      </c>
      <c r="L85" s="15">
        <f>SUMPRODUCT(C85:J85,Returns!B89:I89)/K85</f>
        <v>2.9597759060493666E-3</v>
      </c>
      <c r="M85" s="15">
        <v>0</v>
      </c>
      <c r="N85" s="15">
        <v>0</v>
      </c>
      <c r="O85" s="15">
        <f t="shared" si="9"/>
        <v>2.9597759060493666E-3</v>
      </c>
      <c r="P85" s="20">
        <f t="shared" si="11"/>
        <v>1.5728470788383295</v>
      </c>
      <c r="Q85" s="20">
        <f>MAX($P$5:P85)</f>
        <v>1.6991710202400434</v>
      </c>
      <c r="R85" s="15">
        <f t="shared" si="10"/>
        <v>-7.4344453793631637E-2</v>
      </c>
      <c r="S85" s="15">
        <f>O85-Benchmark_RF!D85</f>
        <v>-8.1620390013012797E-3</v>
      </c>
    </row>
    <row r="86" spans="1:19" ht="15" customHeight="1" x14ac:dyDescent="0.25">
      <c r="A86">
        <v>89</v>
      </c>
      <c r="B86" s="12">
        <f>Returns!A90</f>
        <v>44682</v>
      </c>
      <c r="C86" s="16">
        <f>IF(Rankings!C92&lt;=5,1,0)</f>
        <v>1</v>
      </c>
      <c r="D86" s="16">
        <f>IF(Rankings!D92&lt;=5,1,0)</f>
        <v>1</v>
      </c>
      <c r="E86" s="16">
        <f>IF(Rankings!E92&lt;=5,1,0)</f>
        <v>0</v>
      </c>
      <c r="F86" s="16">
        <f>IF(Rankings!F92&lt;=5,1,0)</f>
        <v>0</v>
      </c>
      <c r="G86" s="16">
        <f>IF(Rankings!G92&lt;=5,1,0)</f>
        <v>1</v>
      </c>
      <c r="H86" s="16">
        <f>IF(Rankings!H92&lt;=5,1,0)</f>
        <v>0</v>
      </c>
      <c r="I86" s="16">
        <f>IF(Rankings!I92&lt;=5,1,0)</f>
        <v>1</v>
      </c>
      <c r="J86" s="16">
        <f>IF(Rankings!J92&lt;=5,1,0)</f>
        <v>1</v>
      </c>
      <c r="K86" s="19">
        <f t="shared" si="8"/>
        <v>5</v>
      </c>
      <c r="L86" s="15">
        <f>SUMPRODUCT(C86:J86,Returns!B90:I90)/K86</f>
        <v>-8.9426762346430544E-2</v>
      </c>
      <c r="M86" s="15">
        <f>-2*Assumptions!$B$13</f>
        <v>-7.0000000000000001E-3</v>
      </c>
      <c r="N86" s="15">
        <f>-Assumptions!$B$16*MAX(0,(1+O83)*(1+O84)*(1+O85)-1)</f>
        <v>0</v>
      </c>
      <c r="O86" s="15">
        <f t="shared" si="9"/>
        <v>-9.642676234643055E-2</v>
      </c>
      <c r="P86" s="20">
        <f t="shared" si="11"/>
        <v>1.4211825273599084</v>
      </c>
      <c r="Q86" s="20">
        <f>MAX($P$5:P86)</f>
        <v>1.6991710202400434</v>
      </c>
      <c r="R86" s="15">
        <f t="shared" si="10"/>
        <v>-0.16360242116232859</v>
      </c>
      <c r="S86" s="15">
        <f>O86-Benchmark_RF!D86</f>
        <v>-0.10771732096354869</v>
      </c>
    </row>
    <row r="87" spans="1:19" ht="15" customHeight="1" x14ac:dyDescent="0.25">
      <c r="A87">
        <v>90</v>
      </c>
      <c r="B87" s="12">
        <f>Returns!A91</f>
        <v>44713</v>
      </c>
      <c r="C87" s="16">
        <f>IF(Rankings!C92&lt;=5,1,0)</f>
        <v>1</v>
      </c>
      <c r="D87" s="16">
        <f>IF(Rankings!D92&lt;=5,1,0)</f>
        <v>1</v>
      </c>
      <c r="E87" s="16">
        <f>IF(Rankings!E92&lt;=5,1,0)</f>
        <v>0</v>
      </c>
      <c r="F87" s="16">
        <f>IF(Rankings!F92&lt;=5,1,0)</f>
        <v>0</v>
      </c>
      <c r="G87" s="16">
        <f>IF(Rankings!G92&lt;=5,1,0)</f>
        <v>1</v>
      </c>
      <c r="H87" s="16">
        <f>IF(Rankings!H92&lt;=5,1,0)</f>
        <v>0</v>
      </c>
      <c r="I87" s="16">
        <f>IF(Rankings!I92&lt;=5,1,0)</f>
        <v>1</v>
      </c>
      <c r="J87" s="16">
        <f>IF(Rankings!J92&lt;=5,1,0)</f>
        <v>1</v>
      </c>
      <c r="K87" s="19">
        <f t="shared" si="8"/>
        <v>5</v>
      </c>
      <c r="L87" s="15">
        <f>SUMPRODUCT(C87:J87,Returns!B91:I91)/K87</f>
        <v>-4.0552143750629252E-2</v>
      </c>
      <c r="M87" s="15">
        <v>0</v>
      </c>
      <c r="N87" s="15">
        <v>0</v>
      </c>
      <c r="O87" s="15">
        <f t="shared" si="9"/>
        <v>-4.0552143750629252E-2</v>
      </c>
      <c r="P87" s="20">
        <f t="shared" si="11"/>
        <v>1.3635505292145269</v>
      </c>
      <c r="Q87" s="20">
        <f>MAX($P$5:P87)</f>
        <v>1.6991710202400434</v>
      </c>
      <c r="R87" s="15">
        <f t="shared" si="10"/>
        <v>-0.197520136012032</v>
      </c>
      <c r="S87" s="15">
        <f>O87-Benchmark_RF!D87</f>
        <v>-5.2325692118856112E-2</v>
      </c>
    </row>
    <row r="88" spans="1:19" ht="15" customHeight="1" x14ac:dyDescent="0.25">
      <c r="A88">
        <v>91</v>
      </c>
      <c r="B88" s="12">
        <f>Returns!A92</f>
        <v>44743</v>
      </c>
      <c r="C88" s="16">
        <f>IF(Rankings!C92&lt;=5,1,0)</f>
        <v>1</v>
      </c>
      <c r="D88" s="16">
        <f>IF(Rankings!D92&lt;=5,1,0)</f>
        <v>1</v>
      </c>
      <c r="E88" s="16">
        <f>IF(Rankings!E92&lt;=5,1,0)</f>
        <v>0</v>
      </c>
      <c r="F88" s="16">
        <f>IF(Rankings!F92&lt;=5,1,0)</f>
        <v>0</v>
      </c>
      <c r="G88" s="16">
        <f>IF(Rankings!G92&lt;=5,1,0)</f>
        <v>1</v>
      </c>
      <c r="H88" s="16">
        <f>IF(Rankings!H92&lt;=5,1,0)</f>
        <v>0</v>
      </c>
      <c r="I88" s="16">
        <f>IF(Rankings!I92&lt;=5,1,0)</f>
        <v>1</v>
      </c>
      <c r="J88" s="16">
        <f>IF(Rankings!J92&lt;=5,1,0)</f>
        <v>1</v>
      </c>
      <c r="K88" s="19">
        <f t="shared" si="8"/>
        <v>5</v>
      </c>
      <c r="L88" s="15">
        <f>SUMPRODUCT(C88:J88,Returns!B92:I92)/K88</f>
        <v>-1.4688208783188684E-2</v>
      </c>
      <c r="M88" s="15">
        <v>0</v>
      </c>
      <c r="N88" s="15">
        <v>0</v>
      </c>
      <c r="O88" s="15">
        <f t="shared" si="9"/>
        <v>-1.4688208783188684E-2</v>
      </c>
      <c r="P88" s="20">
        <f t="shared" si="11"/>
        <v>1.3435224143549966</v>
      </c>
      <c r="Q88" s="20">
        <f>MAX($P$5:P88)</f>
        <v>1.6991710202400434</v>
      </c>
      <c r="R88" s="15">
        <f t="shared" si="10"/>
        <v>-0.20930712779859206</v>
      </c>
      <c r="S88" s="15">
        <f>O88-Benchmark_RF!D88</f>
        <v>-2.6863839904248364E-2</v>
      </c>
    </row>
    <row r="89" spans="1:19" ht="15" customHeight="1" x14ac:dyDescent="0.25">
      <c r="A89">
        <v>92</v>
      </c>
      <c r="B89" s="12">
        <f>Returns!A93</f>
        <v>44774</v>
      </c>
      <c r="C89" s="16">
        <f>IF(Rankings!C95&lt;=5,1,0)</f>
        <v>1</v>
      </c>
      <c r="D89" s="16">
        <f>IF(Rankings!D95&lt;=5,1,0)</f>
        <v>1</v>
      </c>
      <c r="E89" s="16">
        <f>IF(Rankings!E95&lt;=5,1,0)</f>
        <v>0</v>
      </c>
      <c r="F89" s="16">
        <f>IF(Rankings!F95&lt;=5,1,0)</f>
        <v>0</v>
      </c>
      <c r="G89" s="16">
        <f>IF(Rankings!G95&lt;=5,1,0)</f>
        <v>1</v>
      </c>
      <c r="H89" s="16">
        <f>IF(Rankings!H95&lt;=5,1,0)</f>
        <v>0</v>
      </c>
      <c r="I89" s="16">
        <f>IF(Rankings!I95&lt;=5,1,0)</f>
        <v>1</v>
      </c>
      <c r="J89" s="16">
        <f>IF(Rankings!J95&lt;=5,1,0)</f>
        <v>1</v>
      </c>
      <c r="K89" s="19">
        <f t="shared" si="8"/>
        <v>5</v>
      </c>
      <c r="L89" s="15">
        <f>SUMPRODUCT(C89:J89,Returns!B93:I93)/K89</f>
        <v>9.6626563566317603E-2</v>
      </c>
      <c r="M89" s="15">
        <f>-2*Assumptions!$B$13</f>
        <v>-7.0000000000000001E-3</v>
      </c>
      <c r="N89" s="15">
        <f>-Assumptions!$B$16*MAX(0,(1+O86)*(1+O87)*(1+O88)-1)</f>
        <v>0</v>
      </c>
      <c r="O89" s="15">
        <f t="shared" si="9"/>
        <v>8.9626563566317596E-2</v>
      </c>
      <c r="P89" s="20">
        <f t="shared" si="11"/>
        <v>1.4639377114279573</v>
      </c>
      <c r="Q89" s="20">
        <f>MAX($P$5:P89)</f>
        <v>1.6991710202400434</v>
      </c>
      <c r="R89" s="15">
        <f t="shared" si="10"/>
        <v>-0.13844004282679834</v>
      </c>
      <c r="S89" s="15">
        <f>O89-Benchmark_RF!D89</f>
        <v>7.7378014903152659E-2</v>
      </c>
    </row>
    <row r="90" spans="1:19" ht="15" customHeight="1" x14ac:dyDescent="0.25">
      <c r="A90">
        <v>93</v>
      </c>
      <c r="B90" s="12">
        <f>Returns!A94</f>
        <v>44805</v>
      </c>
      <c r="C90" s="16">
        <f>IF(Rankings!C95&lt;=5,1,0)</f>
        <v>1</v>
      </c>
      <c r="D90" s="16">
        <f>IF(Rankings!D95&lt;=5,1,0)</f>
        <v>1</v>
      </c>
      <c r="E90" s="16">
        <f>IF(Rankings!E95&lt;=5,1,0)</f>
        <v>0</v>
      </c>
      <c r="F90" s="16">
        <f>IF(Rankings!F95&lt;=5,1,0)</f>
        <v>0</v>
      </c>
      <c r="G90" s="16">
        <f>IF(Rankings!G95&lt;=5,1,0)</f>
        <v>1</v>
      </c>
      <c r="H90" s="16">
        <f>IF(Rankings!H95&lt;=5,1,0)</f>
        <v>0</v>
      </c>
      <c r="I90" s="16">
        <f>IF(Rankings!I95&lt;=5,1,0)</f>
        <v>1</v>
      </c>
      <c r="J90" s="16">
        <f>IF(Rankings!J95&lt;=5,1,0)</f>
        <v>1</v>
      </c>
      <c r="K90" s="19">
        <f t="shared" si="8"/>
        <v>5</v>
      </c>
      <c r="L90" s="15">
        <f>SUMPRODUCT(C90:J90,Returns!B94:I94)/K90</f>
        <v>-7.511250485086067E-2</v>
      </c>
      <c r="M90" s="15">
        <v>0</v>
      </c>
      <c r="N90" s="15">
        <v>0</v>
      </c>
      <c r="O90" s="15">
        <f t="shared" si="9"/>
        <v>-7.511250485086067E-2</v>
      </c>
      <c r="P90" s="20">
        <f t="shared" si="11"/>
        <v>1.353977682976967</v>
      </c>
      <c r="Q90" s="20">
        <f>MAX($P$5:P90)</f>
        <v>1.6991710202400434</v>
      </c>
      <c r="R90" s="15">
        <f t="shared" si="10"/>
        <v>-0.20315396928927765</v>
      </c>
      <c r="S90" s="15">
        <f>O90-Benchmark_RF!D90</f>
        <v>-8.7535820245414328E-2</v>
      </c>
    </row>
    <row r="91" spans="1:19" ht="15" customHeight="1" x14ac:dyDescent="0.25">
      <c r="A91">
        <v>94</v>
      </c>
      <c r="B91" s="12">
        <f>Returns!A95</f>
        <v>44835</v>
      </c>
      <c r="C91" s="16">
        <f>IF(Rankings!C95&lt;=5,1,0)</f>
        <v>1</v>
      </c>
      <c r="D91" s="16">
        <f>IF(Rankings!D95&lt;=5,1,0)</f>
        <v>1</v>
      </c>
      <c r="E91" s="16">
        <f>IF(Rankings!E95&lt;=5,1,0)</f>
        <v>0</v>
      </c>
      <c r="F91" s="16">
        <f>IF(Rankings!F95&lt;=5,1,0)</f>
        <v>0</v>
      </c>
      <c r="G91" s="16">
        <f>IF(Rankings!G95&lt;=5,1,0)</f>
        <v>1</v>
      </c>
      <c r="H91" s="16">
        <f>IF(Rankings!H95&lt;=5,1,0)</f>
        <v>0</v>
      </c>
      <c r="I91" s="16">
        <f>IF(Rankings!I95&lt;=5,1,0)</f>
        <v>1</v>
      </c>
      <c r="J91" s="16">
        <f>IF(Rankings!J95&lt;=5,1,0)</f>
        <v>1</v>
      </c>
      <c r="K91" s="19">
        <f t="shared" si="8"/>
        <v>5</v>
      </c>
      <c r="L91" s="15">
        <f>SUMPRODUCT(C91:J91,Returns!B95:I95)/K91</f>
        <v>-3.8979211932634317E-2</v>
      </c>
      <c r="M91" s="15">
        <v>0</v>
      </c>
      <c r="N91" s="15">
        <v>0</v>
      </c>
      <c r="O91" s="15">
        <f t="shared" si="9"/>
        <v>-3.8979211932634317E-2</v>
      </c>
      <c r="P91" s="20">
        <f t="shared" si="11"/>
        <v>1.3012006999201506</v>
      </c>
      <c r="Q91" s="20">
        <f>MAX($P$5:P91)</f>
        <v>1.6991710202400434</v>
      </c>
      <c r="R91" s="15">
        <f t="shared" si="10"/>
        <v>-0.23421439959802937</v>
      </c>
      <c r="S91" s="15">
        <f>O91-Benchmark_RF!D91</f>
        <v>-5.118401700464148E-2</v>
      </c>
    </row>
    <row r="92" spans="1:19" ht="15" customHeight="1" x14ac:dyDescent="0.25">
      <c r="A92">
        <v>95</v>
      </c>
      <c r="B92" s="12">
        <f>Returns!A96</f>
        <v>44866</v>
      </c>
      <c r="C92" s="16">
        <f>IF(Rankings!C98&lt;=5,1,0)</f>
        <v>0</v>
      </c>
      <c r="D92" s="16">
        <f>IF(Rankings!D98&lt;=5,1,0)</f>
        <v>1</v>
      </c>
      <c r="E92" s="16">
        <f>IF(Rankings!E98&lt;=5,1,0)</f>
        <v>0</v>
      </c>
      <c r="F92" s="16">
        <f>IF(Rankings!F98&lt;=5,1,0)</f>
        <v>1</v>
      </c>
      <c r="G92" s="16">
        <f>IF(Rankings!G98&lt;=5,1,0)</f>
        <v>1</v>
      </c>
      <c r="H92" s="16">
        <f>IF(Rankings!H98&lt;=5,1,0)</f>
        <v>0</v>
      </c>
      <c r="I92" s="16">
        <f>IF(Rankings!I98&lt;=5,1,0)</f>
        <v>1</v>
      </c>
      <c r="J92" s="16">
        <f>IF(Rankings!J98&lt;=5,1,0)</f>
        <v>1</v>
      </c>
      <c r="K92" s="19">
        <f t="shared" si="8"/>
        <v>5</v>
      </c>
      <c r="L92" s="15">
        <f>SUMPRODUCT(C92:J92,Returns!B96:I96)/K92</f>
        <v>2.3405672252761311E-2</v>
      </c>
      <c r="M92" s="15">
        <f>-2*Assumptions!$B$13</f>
        <v>-7.0000000000000001E-3</v>
      </c>
      <c r="N92" s="15">
        <f>-Assumptions!$B$16*MAX(0,(1+O89)*(1+O90)*(1+O91)-1)</f>
        <v>0</v>
      </c>
      <c r="O92" s="15">
        <f t="shared" si="9"/>
        <v>1.6405672252761311E-2</v>
      </c>
      <c r="P92" s="20">
        <f t="shared" si="11"/>
        <v>1.3225477721381043</v>
      </c>
      <c r="Q92" s="20">
        <f>MAX($P$5:P92)</f>
        <v>1.6991710202400434</v>
      </c>
      <c r="R92" s="15">
        <f t="shared" si="10"/>
        <v>-0.22165117202195062</v>
      </c>
      <c r="S92" s="15">
        <f>O92-Benchmark_RF!D92</f>
        <v>3.3226975486294226E-3</v>
      </c>
    </row>
    <row r="93" spans="1:19" ht="15" customHeight="1" x14ac:dyDescent="0.25">
      <c r="A93">
        <v>96</v>
      </c>
      <c r="B93" s="12">
        <f>Returns!A97</f>
        <v>44896</v>
      </c>
      <c r="C93" s="16">
        <f>IF(Rankings!C98&lt;=5,1,0)</f>
        <v>0</v>
      </c>
      <c r="D93" s="16">
        <f>IF(Rankings!D98&lt;=5,1,0)</f>
        <v>1</v>
      </c>
      <c r="E93" s="16">
        <f>IF(Rankings!E98&lt;=5,1,0)</f>
        <v>0</v>
      </c>
      <c r="F93" s="16">
        <f>IF(Rankings!F98&lt;=5,1,0)</f>
        <v>1</v>
      </c>
      <c r="G93" s="16">
        <f>IF(Rankings!G98&lt;=5,1,0)</f>
        <v>1</v>
      </c>
      <c r="H93" s="16">
        <f>IF(Rankings!H98&lt;=5,1,0)</f>
        <v>0</v>
      </c>
      <c r="I93" s="16">
        <f>IF(Rankings!I98&lt;=5,1,0)</f>
        <v>1</v>
      </c>
      <c r="J93" s="16">
        <f>IF(Rankings!J98&lt;=5,1,0)</f>
        <v>1</v>
      </c>
      <c r="K93" s="19">
        <f t="shared" si="8"/>
        <v>5</v>
      </c>
      <c r="L93" s="15">
        <f>SUMPRODUCT(C93:J93,Returns!B97:I97)/K93</f>
        <v>-8.3574951293751504E-2</v>
      </c>
      <c r="M93" s="15">
        <v>0</v>
      </c>
      <c r="N93" s="15">
        <v>0</v>
      </c>
      <c r="O93" s="15">
        <f t="shared" si="9"/>
        <v>-8.3574951293751504E-2</v>
      </c>
      <c r="P93" s="20">
        <f t="shared" si="11"/>
        <v>1.2120159064980027</v>
      </c>
      <c r="Q93" s="20">
        <f>MAX($P$5:P93)</f>
        <v>1.6991710202400434</v>
      </c>
      <c r="R93" s="15">
        <f t="shared" si="10"/>
        <v>-0.28670163740976462</v>
      </c>
      <c r="S93" s="15">
        <f>O93-Benchmark_RF!D93</f>
        <v>-9.6715692670097525E-2</v>
      </c>
    </row>
    <row r="94" spans="1:19" ht="15" customHeight="1" x14ac:dyDescent="0.25">
      <c r="A94">
        <v>97</v>
      </c>
      <c r="B94" s="12">
        <f>Returns!A98</f>
        <v>44927</v>
      </c>
      <c r="C94" s="16">
        <f>IF(Rankings!C98&lt;=5,1,0)</f>
        <v>0</v>
      </c>
      <c r="D94" s="16">
        <f>IF(Rankings!D98&lt;=5,1,0)</f>
        <v>1</v>
      </c>
      <c r="E94" s="16">
        <f>IF(Rankings!E98&lt;=5,1,0)</f>
        <v>0</v>
      </c>
      <c r="F94" s="16">
        <f>IF(Rankings!F98&lt;=5,1,0)</f>
        <v>1</v>
      </c>
      <c r="G94" s="16">
        <f>IF(Rankings!G98&lt;=5,1,0)</f>
        <v>1</v>
      </c>
      <c r="H94" s="16">
        <f>IF(Rankings!H98&lt;=5,1,0)</f>
        <v>0</v>
      </c>
      <c r="I94" s="16">
        <f>IF(Rankings!I98&lt;=5,1,0)</f>
        <v>1</v>
      </c>
      <c r="J94" s="16">
        <f>IF(Rankings!J98&lt;=5,1,0)</f>
        <v>1</v>
      </c>
      <c r="K94" s="19">
        <f t="shared" si="8"/>
        <v>5</v>
      </c>
      <c r="L94" s="15">
        <f>SUMPRODUCT(C94:J94,Returns!B98:I98)/K94</f>
        <v>-4.2481797888492732E-2</v>
      </c>
      <c r="M94" s="15">
        <v>0</v>
      </c>
      <c r="N94" s="15">
        <v>0</v>
      </c>
      <c r="O94" s="15">
        <f t="shared" si="9"/>
        <v>-4.2481797888492732E-2</v>
      </c>
      <c r="P94" s="20">
        <f t="shared" si="11"/>
        <v>1.1605272917205163</v>
      </c>
      <c r="Q94" s="20">
        <f>MAX($P$5:P94)</f>
        <v>1.6991710202400434</v>
      </c>
      <c r="R94" s="15">
        <f t="shared" si="10"/>
        <v>-0.31700383428351575</v>
      </c>
      <c r="S94" s="15">
        <f>O94-Benchmark_RF!D94</f>
        <v>-5.6241253916822352E-2</v>
      </c>
    </row>
    <row r="95" spans="1:19" ht="15" customHeight="1" x14ac:dyDescent="0.25">
      <c r="A95">
        <v>98</v>
      </c>
      <c r="B95" s="12">
        <f>Returns!A99</f>
        <v>44958</v>
      </c>
      <c r="C95" s="16">
        <f>IF(Rankings!C101&lt;=5,1,0)</f>
        <v>0</v>
      </c>
      <c r="D95" s="16">
        <f>IF(Rankings!D101&lt;=5,1,0)</f>
        <v>1</v>
      </c>
      <c r="E95" s="16">
        <f>IF(Rankings!E101&lt;=5,1,0)</f>
        <v>1</v>
      </c>
      <c r="F95" s="16">
        <f>IF(Rankings!F101&lt;=5,1,0)</f>
        <v>1</v>
      </c>
      <c r="G95" s="16">
        <f>IF(Rankings!G101&lt;=5,1,0)</f>
        <v>1</v>
      </c>
      <c r="H95" s="16">
        <f>IF(Rankings!H101&lt;=5,1,0)</f>
        <v>0</v>
      </c>
      <c r="I95" s="16">
        <f>IF(Rankings!I101&lt;=5,1,0)</f>
        <v>0</v>
      </c>
      <c r="J95" s="16">
        <f>IF(Rankings!J101&lt;=5,1,0)</f>
        <v>1</v>
      </c>
      <c r="K95" s="19">
        <f t="shared" si="8"/>
        <v>5</v>
      </c>
      <c r="L95" s="15">
        <f>SUMPRODUCT(C95:J95,Returns!B99:I99)/K95</f>
        <v>1.0286984317173408E-2</v>
      </c>
      <c r="M95" s="15">
        <f>-2*Assumptions!$B$13</f>
        <v>-7.0000000000000001E-3</v>
      </c>
      <c r="N95" s="15">
        <f>-Assumptions!$B$16*MAX(0,(1+O92)*(1+O93)*(1+O94)-1)</f>
        <v>0</v>
      </c>
      <c r="O95" s="15">
        <f t="shared" si="9"/>
        <v>3.2869843171734079E-3</v>
      </c>
      <c r="P95" s="20">
        <f t="shared" si="11"/>
        <v>1.1643419267280535</v>
      </c>
      <c r="Q95" s="20">
        <f>MAX($P$5:P95)</f>
        <v>1.6991710202400434</v>
      </c>
      <c r="R95" s="15">
        <f t="shared" si="10"/>
        <v>-0.31475883659811599</v>
      </c>
      <c r="S95" s="15">
        <f>O95-Benchmark_RF!D95</f>
        <v>-1.1506339985615049E-2</v>
      </c>
    </row>
    <row r="96" spans="1:19" ht="15" customHeight="1" x14ac:dyDescent="0.25">
      <c r="A96">
        <v>99</v>
      </c>
      <c r="B96" s="12">
        <f>Returns!A100</f>
        <v>44986</v>
      </c>
      <c r="C96" s="16">
        <f>IF(Rankings!C101&lt;=5,1,0)</f>
        <v>0</v>
      </c>
      <c r="D96" s="16">
        <f>IF(Rankings!D101&lt;=5,1,0)</f>
        <v>1</v>
      </c>
      <c r="E96" s="16">
        <f>IF(Rankings!E101&lt;=5,1,0)</f>
        <v>1</v>
      </c>
      <c r="F96" s="16">
        <f>IF(Rankings!F101&lt;=5,1,0)</f>
        <v>1</v>
      </c>
      <c r="G96" s="16">
        <f>IF(Rankings!G101&lt;=5,1,0)</f>
        <v>1</v>
      </c>
      <c r="H96" s="16">
        <f>IF(Rankings!H101&lt;=5,1,0)</f>
        <v>0</v>
      </c>
      <c r="I96" s="16">
        <f>IF(Rankings!I101&lt;=5,1,0)</f>
        <v>0</v>
      </c>
      <c r="J96" s="16">
        <f>IF(Rankings!J101&lt;=5,1,0)</f>
        <v>1</v>
      </c>
      <c r="K96" s="19">
        <f t="shared" si="8"/>
        <v>5</v>
      </c>
      <c r="L96" s="15">
        <f>SUMPRODUCT(C96:J96,Returns!B100:I100)/K96</f>
        <v>4.8368023382873385E-3</v>
      </c>
      <c r="M96" s="15">
        <v>0</v>
      </c>
      <c r="N96" s="15">
        <v>0</v>
      </c>
      <c r="O96" s="15">
        <f t="shared" si="9"/>
        <v>4.8368023382873385E-3</v>
      </c>
      <c r="P96" s="20">
        <f t="shared" si="11"/>
        <v>1.1699736184818179</v>
      </c>
      <c r="Q96" s="20">
        <f>MAX($P$5:P96)</f>
        <v>1.6991710202400434</v>
      </c>
      <c r="R96" s="15">
        <f t="shared" si="10"/>
        <v>-0.31144446053668295</v>
      </c>
      <c r="S96" s="15">
        <f>O96-Benchmark_RF!D96</f>
        <v>-1.1217039857790522E-2</v>
      </c>
    </row>
    <row r="97" spans="1:19" ht="15" customHeight="1" x14ac:dyDescent="0.25">
      <c r="A97">
        <v>100</v>
      </c>
      <c r="B97" s="12">
        <f>Returns!A101</f>
        <v>45017</v>
      </c>
      <c r="C97" s="16">
        <f>IF(Rankings!C101&lt;=5,1,0)</f>
        <v>0</v>
      </c>
      <c r="D97" s="16">
        <f>IF(Rankings!D101&lt;=5,1,0)</f>
        <v>1</v>
      </c>
      <c r="E97" s="16">
        <f>IF(Rankings!E101&lt;=5,1,0)</f>
        <v>1</v>
      </c>
      <c r="F97" s="16">
        <f>IF(Rankings!F101&lt;=5,1,0)</f>
        <v>1</v>
      </c>
      <c r="G97" s="16">
        <f>IF(Rankings!G101&lt;=5,1,0)</f>
        <v>1</v>
      </c>
      <c r="H97" s="16">
        <f>IF(Rankings!H101&lt;=5,1,0)</f>
        <v>0</v>
      </c>
      <c r="I97" s="16">
        <f>IF(Rankings!I101&lt;=5,1,0)</f>
        <v>0</v>
      </c>
      <c r="J97" s="16">
        <f>IF(Rankings!J101&lt;=5,1,0)</f>
        <v>1</v>
      </c>
      <c r="K97" s="19">
        <f t="shared" si="8"/>
        <v>5</v>
      </c>
      <c r="L97" s="15">
        <f>SUMPRODUCT(C97:J97,Returns!B101:I101)/K97</f>
        <v>2.4079299046415769E-2</v>
      </c>
      <c r="M97" s="15">
        <v>0</v>
      </c>
      <c r="N97" s="15">
        <v>0</v>
      </c>
      <c r="O97" s="15">
        <f t="shared" si="9"/>
        <v>2.4079299046415769E-2</v>
      </c>
      <c r="P97" s="20">
        <f t="shared" si="11"/>
        <v>1.1981457631176589</v>
      </c>
      <c r="Q97" s="20">
        <f>MAX($P$5:P97)</f>
        <v>1.6991710202400434</v>
      </c>
      <c r="R97" s="15">
        <f t="shared" si="10"/>
        <v>-0.29486452579187949</v>
      </c>
      <c r="S97" s="15">
        <f>O97-Benchmark_RF!D97</f>
        <v>7.3842256837239433E-3</v>
      </c>
    </row>
    <row r="98" spans="1:19" ht="15" customHeight="1" x14ac:dyDescent="0.25">
      <c r="A98">
        <v>101</v>
      </c>
      <c r="B98" s="12">
        <f>Returns!A102</f>
        <v>45047</v>
      </c>
      <c r="C98" s="16">
        <f>IF(Rankings!C104&lt;=5,1,0)</f>
        <v>0</v>
      </c>
      <c r="D98" s="16">
        <f>IF(Rankings!D104&lt;=5,1,0)</f>
        <v>1</v>
      </c>
      <c r="E98" s="16">
        <f>IF(Rankings!E104&lt;=5,1,0)</f>
        <v>1</v>
      </c>
      <c r="F98" s="16">
        <f>IF(Rankings!F104&lt;=5,1,0)</f>
        <v>0</v>
      </c>
      <c r="G98" s="16">
        <f>IF(Rankings!G104&lt;=5,1,0)</f>
        <v>1</v>
      </c>
      <c r="H98" s="16">
        <f>IF(Rankings!H104&lt;=5,1,0)</f>
        <v>1</v>
      </c>
      <c r="I98" s="16">
        <f>IF(Rankings!I104&lt;=5,1,0)</f>
        <v>0</v>
      </c>
      <c r="J98" s="16">
        <f>IF(Rankings!J104&lt;=5,1,0)</f>
        <v>1</v>
      </c>
      <c r="K98" s="19">
        <f t="shared" si="8"/>
        <v>5</v>
      </c>
      <c r="L98" s="15">
        <f>SUMPRODUCT(C98:J98,Returns!B102:I102)/K98</f>
        <v>3.0584286078839763E-2</v>
      </c>
      <c r="M98" s="15">
        <f>-2*Assumptions!$B$13</f>
        <v>-7.0000000000000001E-3</v>
      </c>
      <c r="N98" s="15">
        <f>-Assumptions!$B$16*MAX(0,(1+O95)*(1+O96)*(1+O97)-1)</f>
        <v>-4.8622473162227781E-3</v>
      </c>
      <c r="O98" s="15">
        <f t="shared" si="9"/>
        <v>1.8722038762616987E-2</v>
      </c>
      <c r="P98" s="20">
        <f t="shared" si="11"/>
        <v>1.220577494538013</v>
      </c>
      <c r="Q98" s="20">
        <f>MAX($P$5:P98)</f>
        <v>1.6991710202400434</v>
      </c>
      <c r="R98" s="15">
        <f t="shared" si="10"/>
        <v>-0.28166295211085879</v>
      </c>
      <c r="S98" s="15">
        <f>O98-Benchmark_RF!D98</f>
        <v>2.0269653999251611E-3</v>
      </c>
    </row>
    <row r="99" spans="1:19" ht="15" customHeight="1" x14ac:dyDescent="0.25">
      <c r="A99">
        <v>102</v>
      </c>
      <c r="B99" s="12">
        <f>Returns!A103</f>
        <v>45078</v>
      </c>
      <c r="C99" s="16">
        <f>IF(Rankings!C104&lt;=5,1,0)</f>
        <v>0</v>
      </c>
      <c r="D99" s="16">
        <f>IF(Rankings!D104&lt;=5,1,0)</f>
        <v>1</v>
      </c>
      <c r="E99" s="16">
        <f>IF(Rankings!E104&lt;=5,1,0)</f>
        <v>1</v>
      </c>
      <c r="F99" s="16">
        <f>IF(Rankings!F104&lt;=5,1,0)</f>
        <v>0</v>
      </c>
      <c r="G99" s="16">
        <f>IF(Rankings!G104&lt;=5,1,0)</f>
        <v>1</v>
      </c>
      <c r="H99" s="16">
        <f>IF(Rankings!H104&lt;=5,1,0)</f>
        <v>1</v>
      </c>
      <c r="I99" s="16">
        <f>IF(Rankings!I104&lt;=5,1,0)</f>
        <v>0</v>
      </c>
      <c r="J99" s="16">
        <f>IF(Rankings!J104&lt;=5,1,0)</f>
        <v>1</v>
      </c>
      <c r="K99" s="19">
        <f t="shared" si="8"/>
        <v>5</v>
      </c>
      <c r="L99" s="15">
        <f>SUMPRODUCT(C99:J99,Returns!B103:I103)/K99</f>
        <v>-2.3300312469331664E-2</v>
      </c>
      <c r="M99" s="15">
        <v>0</v>
      </c>
      <c r="N99" s="15">
        <v>0</v>
      </c>
      <c r="O99" s="15">
        <f t="shared" si="9"/>
        <v>-2.3300312469331664E-2</v>
      </c>
      <c r="P99" s="20">
        <f t="shared" si="11"/>
        <v>1.1921376575222433</v>
      </c>
      <c r="Q99" s="20">
        <f>MAX($P$5:P99)</f>
        <v>1.6991710202400434</v>
      </c>
      <c r="R99" s="15">
        <f t="shared" si="10"/>
        <v>-0.29840042978497305</v>
      </c>
      <c r="S99" s="15">
        <f>O99-Benchmark_RF!D99</f>
        <v>-4.000233134818458E-2</v>
      </c>
    </row>
    <row r="100" spans="1:19" ht="15" customHeight="1" x14ac:dyDescent="0.25">
      <c r="A100">
        <v>103</v>
      </c>
      <c r="B100" s="12">
        <f>Returns!A104</f>
        <v>45108</v>
      </c>
      <c r="C100" s="16">
        <f>IF(Rankings!C104&lt;=5,1,0)</f>
        <v>0</v>
      </c>
      <c r="D100" s="16">
        <f>IF(Rankings!D104&lt;=5,1,0)</f>
        <v>1</v>
      </c>
      <c r="E100" s="16">
        <f>IF(Rankings!E104&lt;=5,1,0)</f>
        <v>1</v>
      </c>
      <c r="F100" s="16">
        <f>IF(Rankings!F104&lt;=5,1,0)</f>
        <v>0</v>
      </c>
      <c r="G100" s="16">
        <f>IF(Rankings!G104&lt;=5,1,0)</f>
        <v>1</v>
      </c>
      <c r="H100" s="16">
        <f>IF(Rankings!H104&lt;=5,1,0)</f>
        <v>1</v>
      </c>
      <c r="I100" s="16">
        <f>IF(Rankings!I104&lt;=5,1,0)</f>
        <v>0</v>
      </c>
      <c r="J100" s="16">
        <f>IF(Rankings!J104&lt;=5,1,0)</f>
        <v>1</v>
      </c>
      <c r="K100" s="19">
        <f t="shared" si="8"/>
        <v>5</v>
      </c>
      <c r="L100" s="15">
        <f>SUMPRODUCT(C100:J100,Returns!B104:I104)/K100</f>
        <v>0.15104706411062901</v>
      </c>
      <c r="M100" s="15">
        <v>0</v>
      </c>
      <c r="N100" s="15">
        <v>0</v>
      </c>
      <c r="O100" s="15">
        <f t="shared" si="9"/>
        <v>0.15104706411062901</v>
      </c>
      <c r="P100" s="20">
        <f t="shared" si="11"/>
        <v>1.3722065507067007</v>
      </c>
      <c r="Q100" s="20">
        <f>MAX($P$5:P100)</f>
        <v>1.6991710202400434</v>
      </c>
      <c r="R100" s="15">
        <f t="shared" si="10"/>
        <v>-0.19242587452271409</v>
      </c>
      <c r="S100" s="15">
        <f>O100-Benchmark_RF!D100</f>
        <v>0.13371697115683473</v>
      </c>
    </row>
    <row r="101" spans="1:19" ht="15" customHeight="1" x14ac:dyDescent="0.25">
      <c r="A101">
        <v>104</v>
      </c>
      <c r="B101" s="12">
        <f>Returns!A105</f>
        <v>45139</v>
      </c>
      <c r="C101" s="16">
        <f>IF(Rankings!C107&lt;=5,1,0)</f>
        <v>1</v>
      </c>
      <c r="D101" s="16">
        <f>IF(Rankings!D107&lt;=5,1,0)</f>
        <v>0</v>
      </c>
      <c r="E101" s="16">
        <f>IF(Rankings!E107&lt;=5,1,0)</f>
        <v>1</v>
      </c>
      <c r="F101" s="16">
        <f>IF(Rankings!F107&lt;=5,1,0)</f>
        <v>1</v>
      </c>
      <c r="G101" s="16">
        <f>IF(Rankings!G107&lt;=5,1,0)</f>
        <v>0</v>
      </c>
      <c r="H101" s="16">
        <f>IF(Rankings!H107&lt;=5,1,0)</f>
        <v>1</v>
      </c>
      <c r="I101" s="16">
        <f>IF(Rankings!I107&lt;=5,1,0)</f>
        <v>0</v>
      </c>
      <c r="J101" s="16">
        <f>IF(Rankings!J107&lt;=5,1,0)</f>
        <v>1</v>
      </c>
      <c r="K101" s="19">
        <f t="shared" ref="K101:K132" si="12">SUM(C101:J101)</f>
        <v>5</v>
      </c>
      <c r="L101" s="15">
        <f>SUMPRODUCT(C101:J101,Returns!B105:I105)/K101</f>
        <v>-5.2482404056168087E-2</v>
      </c>
      <c r="M101" s="15">
        <f>-2*Assumptions!$B$13</f>
        <v>-7.0000000000000001E-3</v>
      </c>
      <c r="N101" s="15">
        <f>-Assumptions!$B$16*MAX(0,(1+O98)*(1+O99)*(1+O100)-1)</f>
        <v>-2.1791270262825558E-2</v>
      </c>
      <c r="O101" s="15">
        <f t="shared" ref="O101:O132" si="13">L101+M101+N101</f>
        <v>-8.1273674318993641E-2</v>
      </c>
      <c r="P101" s="20">
        <f t="shared" si="11"/>
        <v>1.2606822824061747</v>
      </c>
      <c r="Q101" s="20">
        <f>MAX($P$5:P101)</f>
        <v>1.6991710202400434</v>
      </c>
      <c r="R101" s="15">
        <f t="shared" ref="R101:R132" si="14">P101/Q101-1</f>
        <v>-0.25806039098520106</v>
      </c>
      <c r="S101" s="15">
        <f>O101-Benchmark_RF!D101</f>
        <v>-9.8584864178718104E-2</v>
      </c>
    </row>
    <row r="102" spans="1:19" ht="15" customHeight="1" x14ac:dyDescent="0.25">
      <c r="A102">
        <v>105</v>
      </c>
      <c r="B102" s="12">
        <f>Returns!A106</f>
        <v>45170</v>
      </c>
      <c r="C102" s="16">
        <f>IF(Rankings!C107&lt;=5,1,0)</f>
        <v>1</v>
      </c>
      <c r="D102" s="16">
        <f>IF(Rankings!D107&lt;=5,1,0)</f>
        <v>0</v>
      </c>
      <c r="E102" s="16">
        <f>IF(Rankings!E107&lt;=5,1,0)</f>
        <v>1</v>
      </c>
      <c r="F102" s="16">
        <f>IF(Rankings!F107&lt;=5,1,0)</f>
        <v>1</v>
      </c>
      <c r="G102" s="16">
        <f>IF(Rankings!G107&lt;=5,1,0)</f>
        <v>0</v>
      </c>
      <c r="H102" s="16">
        <f>IF(Rankings!H107&lt;=5,1,0)</f>
        <v>1</v>
      </c>
      <c r="I102" s="16">
        <f>IF(Rankings!I107&lt;=5,1,0)</f>
        <v>0</v>
      </c>
      <c r="J102" s="16">
        <f>IF(Rankings!J107&lt;=5,1,0)</f>
        <v>1</v>
      </c>
      <c r="K102" s="19">
        <f t="shared" si="12"/>
        <v>5</v>
      </c>
      <c r="L102" s="15">
        <f>SUMPRODUCT(C102:J102,Returns!B106:I106)/K102</f>
        <v>-5.9248804294029789E-3</v>
      </c>
      <c r="M102" s="15">
        <v>0</v>
      </c>
      <c r="N102" s="15">
        <v>0</v>
      </c>
      <c r="O102" s="15">
        <f t="shared" si="13"/>
        <v>-5.9248804294029789E-3</v>
      </c>
      <c r="P102" s="20">
        <f t="shared" ref="P102:P133" si="15">P101*(1+O102)</f>
        <v>1.2532128906234514</v>
      </c>
      <c r="Q102" s="20">
        <f>MAX($P$5:P102)</f>
        <v>1.6991710202400434</v>
      </c>
      <c r="R102" s="15">
        <f t="shared" si="14"/>
        <v>-0.26245629445445173</v>
      </c>
      <c r="S102" s="15">
        <f>O102-Benchmark_RF!D102</f>
        <v>-2.3157657093666684E-2</v>
      </c>
    </row>
    <row r="103" spans="1:19" ht="15" customHeight="1" x14ac:dyDescent="0.25">
      <c r="A103">
        <v>106</v>
      </c>
      <c r="B103" s="12">
        <f>Returns!A107</f>
        <v>45200</v>
      </c>
      <c r="C103" s="16">
        <f>IF(Rankings!C107&lt;=5,1,0)</f>
        <v>1</v>
      </c>
      <c r="D103" s="16">
        <f>IF(Rankings!D107&lt;=5,1,0)</f>
        <v>0</v>
      </c>
      <c r="E103" s="16">
        <f>IF(Rankings!E107&lt;=5,1,0)</f>
        <v>1</v>
      </c>
      <c r="F103" s="16">
        <f>IF(Rankings!F107&lt;=5,1,0)</f>
        <v>1</v>
      </c>
      <c r="G103" s="16">
        <f>IF(Rankings!G107&lt;=5,1,0)</f>
        <v>0</v>
      </c>
      <c r="H103" s="16">
        <f>IF(Rankings!H107&lt;=5,1,0)</f>
        <v>1</v>
      </c>
      <c r="I103" s="16">
        <f>IF(Rankings!I107&lt;=5,1,0)</f>
        <v>0</v>
      </c>
      <c r="J103" s="16">
        <f>IF(Rankings!J107&lt;=5,1,0)</f>
        <v>1</v>
      </c>
      <c r="K103" s="19">
        <f t="shared" si="12"/>
        <v>5</v>
      </c>
      <c r="L103" s="15">
        <f>SUMPRODUCT(C103:J103,Returns!B107:I107)/K103</f>
        <v>9.6391296841642354E-2</v>
      </c>
      <c r="M103" s="15">
        <v>0</v>
      </c>
      <c r="N103" s="15">
        <v>0</v>
      </c>
      <c r="O103" s="15">
        <f t="shared" si="13"/>
        <v>9.6391296841642354E-2</v>
      </c>
      <c r="P103" s="20">
        <f t="shared" si="15"/>
        <v>1.3740117063693091</v>
      </c>
      <c r="Q103" s="20">
        <f>MAX($P$5:P103)</f>
        <v>1.6991710202400434</v>
      </c>
      <c r="R103" s="15">
        <f t="shared" si="14"/>
        <v>-0.19136350019952597</v>
      </c>
      <c r="S103" s="15">
        <f>O103-Benchmark_RF!D103</f>
        <v>7.9585157800783429E-2</v>
      </c>
    </row>
    <row r="104" spans="1:19" ht="15" customHeight="1" x14ac:dyDescent="0.25">
      <c r="A104">
        <v>107</v>
      </c>
      <c r="B104" s="12">
        <f>Returns!A108</f>
        <v>45231</v>
      </c>
      <c r="C104" s="16">
        <f>IF(Rankings!C110&lt;=5,1,0)</f>
        <v>1</v>
      </c>
      <c r="D104" s="16">
        <f>IF(Rankings!D110&lt;=5,1,0)</f>
        <v>0</v>
      </c>
      <c r="E104" s="16">
        <f>IF(Rankings!E110&lt;=5,1,0)</f>
        <v>1</v>
      </c>
      <c r="F104" s="16">
        <f>IF(Rankings!F110&lt;=5,1,0)</f>
        <v>1</v>
      </c>
      <c r="G104" s="16">
        <f>IF(Rankings!G110&lt;=5,1,0)</f>
        <v>0</v>
      </c>
      <c r="H104" s="16">
        <f>IF(Rankings!H110&lt;=5,1,0)</f>
        <v>1</v>
      </c>
      <c r="I104" s="16">
        <f>IF(Rankings!I110&lt;=5,1,0)</f>
        <v>0</v>
      </c>
      <c r="J104" s="16">
        <f>IF(Rankings!J110&lt;=5,1,0)</f>
        <v>1</v>
      </c>
      <c r="K104" s="19">
        <f t="shared" si="12"/>
        <v>5</v>
      </c>
      <c r="L104" s="15">
        <f>SUMPRODUCT(C104:J104,Returns!B108:I108)/K104</f>
        <v>0.10309878634574057</v>
      </c>
      <c r="M104" s="15">
        <f>-2*Assumptions!$B$13</f>
        <v>-7.0000000000000001E-3</v>
      </c>
      <c r="N104" s="15">
        <f>-Assumptions!$B$16*MAX(0,(1+O101)*(1+O102)*(1+O103)-1)</f>
        <v>-1.9732696163835551E-4</v>
      </c>
      <c r="O104" s="15">
        <f t="shared" si="13"/>
        <v>9.5901459384102217E-2</v>
      </c>
      <c r="P104" s="20">
        <f t="shared" si="15"/>
        <v>1.5057814342209666</v>
      </c>
      <c r="Q104" s="20">
        <f>MAX($P$5:P104)</f>
        <v>1.6991710202400434</v>
      </c>
      <c r="R104" s="15">
        <f t="shared" si="14"/>
        <v>-0.11381407975740809</v>
      </c>
      <c r="S104" s="15">
        <f>O104-Benchmark_RF!D104</f>
        <v>7.9651988344845104E-2</v>
      </c>
    </row>
    <row r="105" spans="1:19" ht="15" customHeight="1" x14ac:dyDescent="0.25">
      <c r="A105">
        <v>108</v>
      </c>
      <c r="B105" s="12">
        <f>Returns!A109</f>
        <v>45261</v>
      </c>
      <c r="C105" s="16">
        <f>IF(Rankings!C110&lt;=5,1,0)</f>
        <v>1</v>
      </c>
      <c r="D105" s="16">
        <f>IF(Rankings!D110&lt;=5,1,0)</f>
        <v>0</v>
      </c>
      <c r="E105" s="16">
        <f>IF(Rankings!E110&lt;=5,1,0)</f>
        <v>1</v>
      </c>
      <c r="F105" s="16">
        <f>IF(Rankings!F110&lt;=5,1,0)</f>
        <v>1</v>
      </c>
      <c r="G105" s="16">
        <f>IF(Rankings!G110&lt;=5,1,0)</f>
        <v>0</v>
      </c>
      <c r="H105" s="16">
        <f>IF(Rankings!H110&lt;=5,1,0)</f>
        <v>1</v>
      </c>
      <c r="I105" s="16">
        <f>IF(Rankings!I110&lt;=5,1,0)</f>
        <v>0</v>
      </c>
      <c r="J105" s="16">
        <f>IF(Rankings!J110&lt;=5,1,0)</f>
        <v>1</v>
      </c>
      <c r="K105" s="19">
        <f t="shared" si="12"/>
        <v>5</v>
      </c>
      <c r="L105" s="15">
        <f>SUMPRODUCT(C105:J105,Returns!B109:I109)/K105</f>
        <v>8.074415980341651E-2</v>
      </c>
      <c r="M105" s="15">
        <v>0</v>
      </c>
      <c r="N105" s="15">
        <v>0</v>
      </c>
      <c r="O105" s="15">
        <f t="shared" si="13"/>
        <v>8.074415980341651E-2</v>
      </c>
      <c r="P105" s="20">
        <f t="shared" si="15"/>
        <v>1.6273644909747218</v>
      </c>
      <c r="Q105" s="20">
        <f>MAX($P$5:P105)</f>
        <v>1.6991710202400434</v>
      </c>
      <c r="R105" s="15">
        <f t="shared" si="14"/>
        <v>-4.2259742197802708E-2</v>
      </c>
      <c r="S105" s="15">
        <f>O105-Benchmark_RF!D105</f>
        <v>6.4508648522579287E-2</v>
      </c>
    </row>
    <row r="106" spans="1:19" ht="15" customHeight="1" x14ac:dyDescent="0.25">
      <c r="A106">
        <v>109</v>
      </c>
      <c r="B106" s="12">
        <f>Returns!A110</f>
        <v>45292</v>
      </c>
      <c r="C106" s="16">
        <f>IF(Rankings!C110&lt;=5,1,0)</f>
        <v>1</v>
      </c>
      <c r="D106" s="16">
        <f>IF(Rankings!D110&lt;=5,1,0)</f>
        <v>0</v>
      </c>
      <c r="E106" s="16">
        <f>IF(Rankings!E110&lt;=5,1,0)</f>
        <v>1</v>
      </c>
      <c r="F106" s="16">
        <f>IF(Rankings!F110&lt;=5,1,0)</f>
        <v>1</v>
      </c>
      <c r="G106" s="16">
        <f>IF(Rankings!G110&lt;=5,1,0)</f>
        <v>0</v>
      </c>
      <c r="H106" s="16">
        <f>IF(Rankings!H110&lt;=5,1,0)</f>
        <v>1</v>
      </c>
      <c r="I106" s="16">
        <f>IF(Rankings!I110&lt;=5,1,0)</f>
        <v>0</v>
      </c>
      <c r="J106" s="16">
        <f>IF(Rankings!J110&lt;=5,1,0)</f>
        <v>1</v>
      </c>
      <c r="K106" s="19">
        <f t="shared" si="12"/>
        <v>5</v>
      </c>
      <c r="L106" s="15">
        <f>SUMPRODUCT(C106:J106,Returns!B110:I110)/K106</f>
        <v>8.1805148517194962E-2</v>
      </c>
      <c r="M106" s="15">
        <v>0</v>
      </c>
      <c r="N106" s="15">
        <v>0</v>
      </c>
      <c r="O106" s="15">
        <f t="shared" si="13"/>
        <v>8.1805148517194962E-2</v>
      </c>
      <c r="P106" s="20">
        <f t="shared" si="15"/>
        <v>1.7604912848505181</v>
      </c>
      <c r="Q106" s="20">
        <f>MAX($P$5:P106)</f>
        <v>1.7604912848505181</v>
      </c>
      <c r="R106" s="15">
        <f t="shared" si="14"/>
        <v>0</v>
      </c>
      <c r="S106" s="15">
        <f>O106-Benchmark_RF!D106</f>
        <v>6.5816234828093137E-2</v>
      </c>
    </row>
    <row r="107" spans="1:19" ht="15" customHeight="1" x14ac:dyDescent="0.25">
      <c r="A107">
        <v>110</v>
      </c>
      <c r="B107" s="12">
        <f>Returns!A111</f>
        <v>45323</v>
      </c>
      <c r="C107" s="16">
        <f>IF(Rankings!C113&lt;=5,1,0)</f>
        <v>0</v>
      </c>
      <c r="D107" s="16">
        <f>IF(Rankings!D113&lt;=5,1,0)</f>
        <v>1</v>
      </c>
      <c r="E107" s="16">
        <f>IF(Rankings!E113&lt;=5,1,0)</f>
        <v>0</v>
      </c>
      <c r="F107" s="16">
        <f>IF(Rankings!F113&lt;=5,1,0)</f>
        <v>1</v>
      </c>
      <c r="G107" s="16">
        <f>IF(Rankings!G113&lt;=5,1,0)</f>
        <v>0</v>
      </c>
      <c r="H107" s="16">
        <f>IF(Rankings!H113&lt;=5,1,0)</f>
        <v>1</v>
      </c>
      <c r="I107" s="16">
        <f>IF(Rankings!I113&lt;=5,1,0)</f>
        <v>1</v>
      </c>
      <c r="J107" s="16">
        <f>IF(Rankings!J113&lt;=5,1,0)</f>
        <v>1</v>
      </c>
      <c r="K107" s="19">
        <f t="shared" si="12"/>
        <v>5</v>
      </c>
      <c r="L107" s="15">
        <f>SUMPRODUCT(C107:J107,Returns!B111:I111)/K107</f>
        <v>0.21496384356589818</v>
      </c>
      <c r="M107" s="15">
        <f>-2*Assumptions!$B$13</f>
        <v>-7.0000000000000001E-3</v>
      </c>
      <c r="N107" s="15">
        <f>-Assumptions!$B$16*MAX(0,(1+O104)*(1+O105)*(1+O106)-1)</f>
        <v>-4.2191734250479208E-2</v>
      </c>
      <c r="O107" s="15">
        <f t="shared" si="13"/>
        <v>0.16577210931541897</v>
      </c>
      <c r="P107" s="20">
        <f t="shared" si="15"/>
        <v>2.0523316385716006</v>
      </c>
      <c r="Q107" s="20">
        <f>MAX($P$5:P107)</f>
        <v>2.0523316385716006</v>
      </c>
      <c r="R107" s="15">
        <f t="shared" si="14"/>
        <v>0</v>
      </c>
      <c r="S107" s="15">
        <f>O107-Benchmark_RF!D107</f>
        <v>0.14954357870488577</v>
      </c>
    </row>
    <row r="108" spans="1:19" ht="15" customHeight="1" x14ac:dyDescent="0.25">
      <c r="A108">
        <v>111</v>
      </c>
      <c r="B108" s="12">
        <f>Returns!A112</f>
        <v>45352</v>
      </c>
      <c r="C108" s="16">
        <f>IF(Rankings!C113&lt;=5,1,0)</f>
        <v>0</v>
      </c>
      <c r="D108" s="16">
        <f>IF(Rankings!D113&lt;=5,1,0)</f>
        <v>1</v>
      </c>
      <c r="E108" s="16">
        <f>IF(Rankings!E113&lt;=5,1,0)</f>
        <v>0</v>
      </c>
      <c r="F108" s="16">
        <f>IF(Rankings!F113&lt;=5,1,0)</f>
        <v>1</v>
      </c>
      <c r="G108" s="16">
        <f>IF(Rankings!G113&lt;=5,1,0)</f>
        <v>0</v>
      </c>
      <c r="H108" s="16">
        <f>IF(Rankings!H113&lt;=5,1,0)</f>
        <v>1</v>
      </c>
      <c r="I108" s="16">
        <f>IF(Rankings!I113&lt;=5,1,0)</f>
        <v>1</v>
      </c>
      <c r="J108" s="16">
        <f>IF(Rankings!J113&lt;=5,1,0)</f>
        <v>1</v>
      </c>
      <c r="K108" s="19">
        <f t="shared" si="12"/>
        <v>5</v>
      </c>
      <c r="L108" s="15">
        <f>SUMPRODUCT(C108:J108,Returns!B112:I112)/K108</f>
        <v>7.5150799014356021E-2</v>
      </c>
      <c r="M108" s="15">
        <v>0</v>
      </c>
      <c r="N108" s="15">
        <v>0</v>
      </c>
      <c r="O108" s="15">
        <f t="shared" si="13"/>
        <v>7.5150799014356021E-2</v>
      </c>
      <c r="P108" s="20">
        <f t="shared" si="15"/>
        <v>2.2065660010526988</v>
      </c>
      <c r="Q108" s="20">
        <f>MAX($P$5:P108)</f>
        <v>2.2065660010526988</v>
      </c>
      <c r="R108" s="15">
        <f t="shared" si="14"/>
        <v>0</v>
      </c>
      <c r="S108" s="15">
        <f>O108-Benchmark_RF!D108</f>
        <v>5.8838535151828977E-2</v>
      </c>
    </row>
    <row r="109" spans="1:19" ht="15" customHeight="1" x14ac:dyDescent="0.25">
      <c r="A109">
        <v>112</v>
      </c>
      <c r="B109" s="12">
        <f>Returns!A113</f>
        <v>45383</v>
      </c>
      <c r="C109" s="16">
        <f>IF(Rankings!C113&lt;=5,1,0)</f>
        <v>0</v>
      </c>
      <c r="D109" s="16">
        <f>IF(Rankings!D113&lt;=5,1,0)</f>
        <v>1</v>
      </c>
      <c r="E109" s="16">
        <f>IF(Rankings!E113&lt;=5,1,0)</f>
        <v>0</v>
      </c>
      <c r="F109" s="16">
        <f>IF(Rankings!F113&lt;=5,1,0)</f>
        <v>1</v>
      </c>
      <c r="G109" s="16">
        <f>IF(Rankings!G113&lt;=5,1,0)</f>
        <v>0</v>
      </c>
      <c r="H109" s="16">
        <f>IF(Rankings!H113&lt;=5,1,0)</f>
        <v>1</v>
      </c>
      <c r="I109" s="16">
        <f>IF(Rankings!I113&lt;=5,1,0)</f>
        <v>1</v>
      </c>
      <c r="J109" s="16">
        <f>IF(Rankings!J113&lt;=5,1,0)</f>
        <v>1</v>
      </c>
      <c r="K109" s="19">
        <f t="shared" si="12"/>
        <v>5</v>
      </c>
      <c r="L109" s="15">
        <f>SUMPRODUCT(C109:J109,Returns!B113:I113)/K109</f>
        <v>0.21306761832919402</v>
      </c>
      <c r="M109" s="15">
        <v>0</v>
      </c>
      <c r="N109" s="15">
        <v>0</v>
      </c>
      <c r="O109" s="15">
        <f t="shared" si="13"/>
        <v>0.21306761832919402</v>
      </c>
      <c r="P109" s="20">
        <f t="shared" si="15"/>
        <v>2.6767137635831713</v>
      </c>
      <c r="Q109" s="20">
        <f>MAX($P$5:P109)</f>
        <v>2.6767137635831713</v>
      </c>
      <c r="R109" s="15">
        <f t="shared" si="14"/>
        <v>0</v>
      </c>
      <c r="S109" s="15">
        <f>O109-Benchmark_RF!D109</f>
        <v>0.19664382804383124</v>
      </c>
    </row>
    <row r="110" spans="1:19" ht="15" customHeight="1" x14ac:dyDescent="0.25">
      <c r="A110">
        <v>113</v>
      </c>
      <c r="B110" s="12">
        <f>Returns!A114</f>
        <v>45413</v>
      </c>
      <c r="C110" s="16">
        <f>IF(Rankings!C116&lt;=5,1,0)</f>
        <v>1</v>
      </c>
      <c r="D110" s="16">
        <f>IF(Rankings!D116&lt;=5,1,0)</f>
        <v>1</v>
      </c>
      <c r="E110" s="16">
        <f>IF(Rankings!E116&lt;=5,1,0)</f>
        <v>0</v>
      </c>
      <c r="F110" s="16">
        <f>IF(Rankings!F116&lt;=5,1,0)</f>
        <v>0</v>
      </c>
      <c r="G110" s="16">
        <f>IF(Rankings!G116&lt;=5,1,0)</f>
        <v>1</v>
      </c>
      <c r="H110" s="16">
        <f>IF(Rankings!H116&lt;=5,1,0)</f>
        <v>1</v>
      </c>
      <c r="I110" s="16">
        <f>IF(Rankings!I116&lt;=5,1,0)</f>
        <v>1</v>
      </c>
      <c r="J110" s="16">
        <f>IF(Rankings!J116&lt;=5,1,0)</f>
        <v>0</v>
      </c>
      <c r="K110" s="19">
        <f t="shared" si="12"/>
        <v>5</v>
      </c>
      <c r="L110" s="15">
        <f>SUMPRODUCT(C110:J110,Returns!B114:I114)/K110</f>
        <v>6.5275216888113996E-2</v>
      </c>
      <c r="M110" s="15">
        <f>-2*Assumptions!$B$13</f>
        <v>-7.0000000000000001E-3</v>
      </c>
      <c r="N110" s="15">
        <f>-Assumptions!$B$16*MAX(0,(1+O107)*(1+O108)*(1+O109)-1)</f>
        <v>-7.8065351980181663E-2</v>
      </c>
      <c r="O110" s="15">
        <f t="shared" si="13"/>
        <v>-1.9790135092067666E-2</v>
      </c>
      <c r="P110" s="20">
        <f t="shared" si="15"/>
        <v>2.6237412365990638</v>
      </c>
      <c r="Q110" s="20">
        <f>MAX($P$5:P110)</f>
        <v>2.6767137635831713</v>
      </c>
      <c r="R110" s="15">
        <f t="shared" si="14"/>
        <v>-1.9790135092067507E-2</v>
      </c>
      <c r="S110" s="15">
        <f>O110-Benchmark_RF!D110</f>
        <v>-3.5760009359143412E-2</v>
      </c>
    </row>
    <row r="111" spans="1:19" ht="15" customHeight="1" x14ac:dyDescent="0.25">
      <c r="A111">
        <v>114</v>
      </c>
      <c r="B111" s="12">
        <f>Returns!A115</f>
        <v>45444</v>
      </c>
      <c r="C111" s="16">
        <f>IF(Rankings!C116&lt;=5,1,0)</f>
        <v>1</v>
      </c>
      <c r="D111" s="16">
        <f>IF(Rankings!D116&lt;=5,1,0)</f>
        <v>1</v>
      </c>
      <c r="E111" s="16">
        <f>IF(Rankings!E116&lt;=5,1,0)</f>
        <v>0</v>
      </c>
      <c r="F111" s="16">
        <f>IF(Rankings!F116&lt;=5,1,0)</f>
        <v>0</v>
      </c>
      <c r="G111" s="16">
        <f>IF(Rankings!G116&lt;=5,1,0)</f>
        <v>1</v>
      </c>
      <c r="H111" s="16">
        <f>IF(Rankings!H116&lt;=5,1,0)</f>
        <v>1</v>
      </c>
      <c r="I111" s="16">
        <f>IF(Rankings!I116&lt;=5,1,0)</f>
        <v>1</v>
      </c>
      <c r="J111" s="16">
        <f>IF(Rankings!J116&lt;=5,1,0)</f>
        <v>0</v>
      </c>
      <c r="K111" s="19">
        <f t="shared" si="12"/>
        <v>5</v>
      </c>
      <c r="L111" s="15">
        <f>SUMPRODUCT(C111:J111,Returns!B115:I115)/K111</f>
        <v>3.9346304760415694E-2</v>
      </c>
      <c r="M111" s="15">
        <v>0</v>
      </c>
      <c r="N111" s="15">
        <v>0</v>
      </c>
      <c r="O111" s="15">
        <f t="shared" si="13"/>
        <v>3.9346304760415694E-2</v>
      </c>
      <c r="P111" s="20">
        <f t="shared" si="15"/>
        <v>2.7269757589067605</v>
      </c>
      <c r="Q111" s="20">
        <f>MAX($P$5:P111)</f>
        <v>2.7269757589067605</v>
      </c>
      <c r="R111" s="15">
        <f t="shared" si="14"/>
        <v>0</v>
      </c>
      <c r="S111" s="15">
        <f>O111-Benchmark_RF!D111</f>
        <v>2.4026611224536663E-2</v>
      </c>
    </row>
    <row r="112" spans="1:19" ht="15" customHeight="1" x14ac:dyDescent="0.25">
      <c r="A112">
        <v>115</v>
      </c>
      <c r="B112" s="12">
        <f>Returns!A116</f>
        <v>45474</v>
      </c>
      <c r="C112" s="16">
        <f>IF(Rankings!C116&lt;=5,1,0)</f>
        <v>1</v>
      </c>
      <c r="D112" s="16">
        <f>IF(Rankings!D116&lt;=5,1,0)</f>
        <v>1</v>
      </c>
      <c r="E112" s="16">
        <f>IF(Rankings!E116&lt;=5,1,0)</f>
        <v>0</v>
      </c>
      <c r="F112" s="16">
        <f>IF(Rankings!F116&lt;=5,1,0)</f>
        <v>0</v>
      </c>
      <c r="G112" s="16">
        <f>IF(Rankings!G116&lt;=5,1,0)</f>
        <v>1</v>
      </c>
      <c r="H112" s="16">
        <f>IF(Rankings!H116&lt;=5,1,0)</f>
        <v>1</v>
      </c>
      <c r="I112" s="16">
        <f>IF(Rankings!I116&lt;=5,1,0)</f>
        <v>1</v>
      </c>
      <c r="J112" s="16">
        <f>IF(Rankings!J116&lt;=5,1,0)</f>
        <v>0</v>
      </c>
      <c r="K112" s="19">
        <f t="shared" si="12"/>
        <v>5</v>
      </c>
      <c r="L112" s="15">
        <f>SUMPRODUCT(C112:J112,Returns!B116:I116)/K112</f>
        <v>6.0230385897123859E-2</v>
      </c>
      <c r="M112" s="15">
        <v>0</v>
      </c>
      <c r="N112" s="15">
        <v>0</v>
      </c>
      <c r="O112" s="15">
        <f t="shared" si="13"/>
        <v>6.0230385897123859E-2</v>
      </c>
      <c r="P112" s="20">
        <f t="shared" si="15"/>
        <v>2.8912225611978166</v>
      </c>
      <c r="Q112" s="20">
        <f>MAX($P$5:P112)</f>
        <v>2.8912225611978166</v>
      </c>
      <c r="R112" s="15">
        <f t="shared" si="14"/>
        <v>0</v>
      </c>
      <c r="S112" s="15">
        <f>O112-Benchmark_RF!D112</f>
        <v>4.5281206524981507E-2</v>
      </c>
    </row>
    <row r="113" spans="1:19" ht="15" customHeight="1" x14ac:dyDescent="0.25">
      <c r="A113">
        <v>116</v>
      </c>
      <c r="B113" s="12">
        <f>Returns!A117</f>
        <v>45505</v>
      </c>
      <c r="C113" s="16">
        <f>IF(Rankings!C119&lt;=5,1,0)</f>
        <v>1</v>
      </c>
      <c r="D113" s="16">
        <f>IF(Rankings!D119&lt;=5,1,0)</f>
        <v>1</v>
      </c>
      <c r="E113" s="16">
        <f>IF(Rankings!E119&lt;=5,1,0)</f>
        <v>1</v>
      </c>
      <c r="F113" s="16">
        <f>IF(Rankings!F119&lt;=5,1,0)</f>
        <v>0</v>
      </c>
      <c r="G113" s="16">
        <f>IF(Rankings!G119&lt;=5,1,0)</f>
        <v>1</v>
      </c>
      <c r="H113" s="16">
        <f>IF(Rankings!H119&lt;=5,1,0)</f>
        <v>1</v>
      </c>
      <c r="I113" s="16">
        <f>IF(Rankings!I119&lt;=5,1,0)</f>
        <v>0</v>
      </c>
      <c r="J113" s="16">
        <f>IF(Rankings!J119&lt;=5,1,0)</f>
        <v>0</v>
      </c>
      <c r="K113" s="19">
        <f t="shared" si="12"/>
        <v>5</v>
      </c>
      <c r="L113" s="15">
        <f>SUMPRODUCT(C113:J113,Returns!B117:I117)/K113</f>
        <v>-1.4414920996641744E-2</v>
      </c>
      <c r="M113" s="15">
        <f>-2*Assumptions!$B$13</f>
        <v>-7.0000000000000001E-3</v>
      </c>
      <c r="N113" s="15">
        <f>-Assumptions!$B$16*MAX(0,(1+O110)*(1+O111)*(1+O112)-1)</f>
        <v>-1.2020829451380721E-2</v>
      </c>
      <c r="O113" s="15">
        <f t="shared" si="13"/>
        <v>-3.3435750448022467E-2</v>
      </c>
      <c r="P113" s="20">
        <f t="shared" si="15"/>
        <v>2.794552365151914</v>
      </c>
      <c r="Q113" s="20">
        <f>MAX($P$5:P113)</f>
        <v>2.8912225611978166</v>
      </c>
      <c r="R113" s="15">
        <f t="shared" si="14"/>
        <v>-3.3435750448022494E-2</v>
      </c>
      <c r="S113" s="15">
        <f>O113-Benchmark_RF!D113</f>
        <v>-4.6943905180264894E-2</v>
      </c>
    </row>
    <row r="114" spans="1:19" ht="15" customHeight="1" x14ac:dyDescent="0.25">
      <c r="A114">
        <v>117</v>
      </c>
      <c r="B114" s="12">
        <f>Returns!A118</f>
        <v>45536</v>
      </c>
      <c r="C114" s="16">
        <f>IF(Rankings!C119&lt;=5,1,0)</f>
        <v>1</v>
      </c>
      <c r="D114" s="16">
        <f>IF(Rankings!D119&lt;=5,1,0)</f>
        <v>1</v>
      </c>
      <c r="E114" s="16">
        <f>IF(Rankings!E119&lt;=5,1,0)</f>
        <v>1</v>
      </c>
      <c r="F114" s="16">
        <f>IF(Rankings!F119&lt;=5,1,0)</f>
        <v>0</v>
      </c>
      <c r="G114" s="16">
        <f>IF(Rankings!G119&lt;=5,1,0)</f>
        <v>1</v>
      </c>
      <c r="H114" s="16">
        <f>IF(Rankings!H119&lt;=5,1,0)</f>
        <v>1</v>
      </c>
      <c r="I114" s="16">
        <f>IF(Rankings!I119&lt;=5,1,0)</f>
        <v>0</v>
      </c>
      <c r="J114" s="16">
        <f>IF(Rankings!J119&lt;=5,1,0)</f>
        <v>0</v>
      </c>
      <c r="K114" s="19">
        <f t="shared" si="12"/>
        <v>5</v>
      </c>
      <c r="L114" s="15">
        <f>SUMPRODUCT(C114:J114,Returns!B118:I118)/K114</f>
        <v>0.10526988383405242</v>
      </c>
      <c r="M114" s="15">
        <v>0</v>
      </c>
      <c r="N114" s="15">
        <v>0</v>
      </c>
      <c r="O114" s="15">
        <f t="shared" si="13"/>
        <v>0.10526988383405242</v>
      </c>
      <c r="P114" s="20">
        <f t="shared" si="15"/>
        <v>3.0887345679996323</v>
      </c>
      <c r="Q114" s="20">
        <f>MAX($P$5:P114)</f>
        <v>3.0887345679996323</v>
      </c>
      <c r="R114" s="15">
        <f t="shared" si="14"/>
        <v>0</v>
      </c>
      <c r="S114" s="15">
        <f>O114-Benchmark_RF!D114</f>
        <v>9.1804878224854142E-2</v>
      </c>
    </row>
    <row r="115" spans="1:19" ht="15" customHeight="1" x14ac:dyDescent="0.25">
      <c r="A115">
        <v>118</v>
      </c>
      <c r="B115" s="12">
        <f>Returns!A119</f>
        <v>45566</v>
      </c>
      <c r="C115" s="16">
        <f>IF(Rankings!C119&lt;=5,1,0)</f>
        <v>1</v>
      </c>
      <c r="D115" s="16">
        <f>IF(Rankings!D119&lt;=5,1,0)</f>
        <v>1</v>
      </c>
      <c r="E115" s="16">
        <f>IF(Rankings!E119&lt;=5,1,0)</f>
        <v>1</v>
      </c>
      <c r="F115" s="16">
        <f>IF(Rankings!F119&lt;=5,1,0)</f>
        <v>0</v>
      </c>
      <c r="G115" s="16">
        <f>IF(Rankings!G119&lt;=5,1,0)</f>
        <v>1</v>
      </c>
      <c r="H115" s="16">
        <f>IF(Rankings!H119&lt;=5,1,0)</f>
        <v>1</v>
      </c>
      <c r="I115" s="16">
        <f>IF(Rankings!I119&lt;=5,1,0)</f>
        <v>0</v>
      </c>
      <c r="J115" s="16">
        <f>IF(Rankings!J119&lt;=5,1,0)</f>
        <v>0</v>
      </c>
      <c r="K115" s="19">
        <f t="shared" si="12"/>
        <v>5</v>
      </c>
      <c r="L115" s="15">
        <f>SUMPRODUCT(C115:J115,Returns!B119:I119)/K115</f>
        <v>9.9924759783808173E-2</v>
      </c>
      <c r="M115" s="15">
        <v>0</v>
      </c>
      <c r="N115" s="15">
        <v>0</v>
      </c>
      <c r="O115" s="15">
        <f t="shared" si="13"/>
        <v>9.9924759783808173E-2</v>
      </c>
      <c r="P115" s="20">
        <f t="shared" si="15"/>
        <v>3.3973756277429401</v>
      </c>
      <c r="Q115" s="20">
        <f>MAX($P$5:P115)</f>
        <v>3.3973756277429401</v>
      </c>
      <c r="R115" s="15">
        <f t="shared" si="14"/>
        <v>0</v>
      </c>
      <c r="S115" s="15">
        <f>O115-Benchmark_RF!D115</f>
        <v>8.904203063532741E-2</v>
      </c>
    </row>
    <row r="116" spans="1:19" ht="15" customHeight="1" x14ac:dyDescent="0.25">
      <c r="A116">
        <v>119</v>
      </c>
      <c r="B116" s="12">
        <f>Returns!A120</f>
        <v>45597</v>
      </c>
      <c r="C116" s="16">
        <f>IF(Rankings!C122&lt;=5,1,0)</f>
        <v>0</v>
      </c>
      <c r="D116" s="16">
        <f>IF(Rankings!D122&lt;=5,1,0)</f>
        <v>1</v>
      </c>
      <c r="E116" s="16">
        <f>IF(Rankings!E122&lt;=5,1,0)</f>
        <v>0</v>
      </c>
      <c r="F116" s="16">
        <f>IF(Rankings!F122&lt;=5,1,0)</f>
        <v>0</v>
      </c>
      <c r="G116" s="16">
        <f>IF(Rankings!G122&lt;=5,1,0)</f>
        <v>1</v>
      </c>
      <c r="H116" s="16">
        <f>IF(Rankings!H122&lt;=5,1,0)</f>
        <v>1</v>
      </c>
      <c r="I116" s="16">
        <f>IF(Rankings!I122&lt;=5,1,0)</f>
        <v>1</v>
      </c>
      <c r="J116" s="16">
        <f>IF(Rankings!J122&lt;=5,1,0)</f>
        <v>1</v>
      </c>
      <c r="K116" s="19">
        <f t="shared" si="12"/>
        <v>5</v>
      </c>
      <c r="L116" s="15">
        <f>SUMPRODUCT(C116:J116,Returns!B120:I120)/K116</f>
        <v>7.7549008926565577E-2</v>
      </c>
      <c r="M116" s="15">
        <f>-2*Assumptions!$B$13</f>
        <v>-7.0000000000000001E-3</v>
      </c>
      <c r="N116" s="15">
        <f>-Assumptions!$B$16*MAX(0,(1+O113)*(1+O114)*(1+O115)-1)</f>
        <v>-2.6259811679912346E-2</v>
      </c>
      <c r="O116" s="15">
        <f t="shared" si="13"/>
        <v>4.4289197246653228E-2</v>
      </c>
      <c r="P116" s="20">
        <f t="shared" si="15"/>
        <v>3.5478426670410195</v>
      </c>
      <c r="Q116" s="20">
        <f>MAX($P$5:P116)</f>
        <v>3.5478426670410195</v>
      </c>
      <c r="R116" s="15">
        <f t="shared" si="14"/>
        <v>0</v>
      </c>
      <c r="S116" s="15">
        <f>O116-Benchmark_RF!D116</f>
        <v>3.3406468098172465E-2</v>
      </c>
    </row>
    <row r="117" spans="1:19" ht="15" customHeight="1" x14ac:dyDescent="0.25">
      <c r="A117">
        <v>120</v>
      </c>
      <c r="B117" s="12">
        <f>Returns!A121</f>
        <v>45627</v>
      </c>
      <c r="C117" s="16">
        <f>IF(Rankings!C122&lt;=5,1,0)</f>
        <v>0</v>
      </c>
      <c r="D117" s="16">
        <f>IF(Rankings!D122&lt;=5,1,0)</f>
        <v>1</v>
      </c>
      <c r="E117" s="16">
        <f>IF(Rankings!E122&lt;=5,1,0)</f>
        <v>0</v>
      </c>
      <c r="F117" s="16">
        <f>IF(Rankings!F122&lt;=5,1,0)</f>
        <v>0</v>
      </c>
      <c r="G117" s="16">
        <f>IF(Rankings!G122&lt;=5,1,0)</f>
        <v>1</v>
      </c>
      <c r="H117" s="16">
        <f>IF(Rankings!H122&lt;=5,1,0)</f>
        <v>1</v>
      </c>
      <c r="I117" s="16">
        <f>IF(Rankings!I122&lt;=5,1,0)</f>
        <v>1</v>
      </c>
      <c r="J117" s="16">
        <f>IF(Rankings!J122&lt;=5,1,0)</f>
        <v>1</v>
      </c>
      <c r="K117" s="19">
        <f t="shared" si="12"/>
        <v>5</v>
      </c>
      <c r="L117" s="15">
        <f>SUMPRODUCT(C117:J117,Returns!B121:I121)/K117</f>
        <v>0.1882621450060688</v>
      </c>
      <c r="M117" s="15">
        <v>0</v>
      </c>
      <c r="N117" s="15">
        <v>0</v>
      </c>
      <c r="O117" s="15">
        <f t="shared" si="13"/>
        <v>0.1882621450060688</v>
      </c>
      <c r="P117" s="20">
        <f t="shared" si="15"/>
        <v>4.2157671376822137</v>
      </c>
      <c r="Q117" s="20">
        <f>MAX($P$5:P117)</f>
        <v>4.2157671376822137</v>
      </c>
      <c r="R117" s="15">
        <f t="shared" si="14"/>
        <v>0</v>
      </c>
      <c r="S117" s="15">
        <f>O117-Benchmark_RF!D117</f>
        <v>0.17888608744956075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17"/>
  <sheetViews>
    <sheetView showGridLines="0" zoomScaleNormal="100" workbookViewId="0"/>
  </sheetViews>
  <sheetFormatPr defaultColWidth="8.7109375" defaultRowHeight="15" x14ac:dyDescent="0.25"/>
  <cols>
    <col min="1" max="1" width="9" customWidth="1"/>
    <col min="2" max="2" width="11" customWidth="1"/>
    <col min="3" max="6" width="15" customWidth="1"/>
  </cols>
  <sheetData>
    <row r="1" spans="1:6" ht="17.25" customHeight="1" x14ac:dyDescent="0.25">
      <c r="A1" s="1" t="s">
        <v>88</v>
      </c>
    </row>
    <row r="4" spans="1:6" ht="15" customHeight="1" x14ac:dyDescent="0.25">
      <c r="A4" s="11" t="s">
        <v>70</v>
      </c>
      <c r="B4" s="11" t="s">
        <v>51</v>
      </c>
      <c r="C4" s="11" t="s">
        <v>89</v>
      </c>
      <c r="D4" s="11" t="s">
        <v>90</v>
      </c>
      <c r="E4" s="11" t="s">
        <v>91</v>
      </c>
      <c r="F4" s="11" t="s">
        <v>92</v>
      </c>
    </row>
    <row r="5" spans="1:6" ht="15" customHeight="1" x14ac:dyDescent="0.25">
      <c r="A5" s="19">
        <v>8</v>
      </c>
      <c r="B5" s="21">
        <f>Returns!A9</f>
        <v>42217</v>
      </c>
      <c r="C5" s="15">
        <f>Returns!J9</f>
        <v>-2.8398624345019274E-2</v>
      </c>
      <c r="D5" s="15">
        <f>(1+RiskFree!B9)^(1/12)-1</f>
        <v>5.5999305093261675E-3</v>
      </c>
      <c r="E5" s="15">
        <f t="shared" ref="E5:E36" si="0">C5-D5</f>
        <v>-3.3998554854345442E-2</v>
      </c>
      <c r="F5" s="20">
        <f>1*(1+C5)</f>
        <v>0.97160137565498073</v>
      </c>
    </row>
    <row r="6" spans="1:6" ht="15" customHeight="1" x14ac:dyDescent="0.25">
      <c r="A6" s="19">
        <v>9</v>
      </c>
      <c r="B6" s="21">
        <f>Returns!A10</f>
        <v>42248</v>
      </c>
      <c r="C6" s="15">
        <f>Returns!J10</f>
        <v>-7.0237406523143364E-2</v>
      </c>
      <c r="D6" s="15">
        <f>(1+RiskFree!B10)^(1/12)-1</f>
        <v>5.2351823571590295E-3</v>
      </c>
      <c r="E6" s="15">
        <f t="shared" si="0"/>
        <v>-7.5472588880302394E-2</v>
      </c>
      <c r="F6" s="20">
        <f t="shared" ref="F6:F37" si="1">F5*(1+C6)</f>
        <v>0.90335861485465652</v>
      </c>
    </row>
    <row r="7" spans="1:6" ht="15" customHeight="1" x14ac:dyDescent="0.25">
      <c r="A7" s="19">
        <v>10</v>
      </c>
      <c r="B7" s="21">
        <f>Returns!A11</f>
        <v>42278</v>
      </c>
      <c r="C7" s="15">
        <f>Returns!J11</f>
        <v>6.1144266449368212E-2</v>
      </c>
      <c r="D7" s="15">
        <f>(1+RiskFree!B11)^(1/12)-1</f>
        <v>5.1072349051592969E-3</v>
      </c>
      <c r="E7" s="15">
        <f t="shared" si="0"/>
        <v>5.6037031544208915E-2</v>
      </c>
      <c r="F7" s="20">
        <f t="shared" si="1"/>
        <v>0.95859381470066185</v>
      </c>
    </row>
    <row r="8" spans="1:6" ht="15" customHeight="1" x14ac:dyDescent="0.25">
      <c r="A8" s="19">
        <v>11</v>
      </c>
      <c r="B8" s="21">
        <f>Returns!A12</f>
        <v>42309</v>
      </c>
      <c r="C8" s="15">
        <f>Returns!J12</f>
        <v>-5.8561188035584966E-2</v>
      </c>
      <c r="D8" s="15">
        <f>(1+RiskFree!B12)^(1/12)-1</f>
        <v>5.1586716294251822E-3</v>
      </c>
      <c r="E8" s="15">
        <f t="shared" si="0"/>
        <v>-6.3719859665010148E-2</v>
      </c>
      <c r="F8" s="20">
        <f t="shared" si="1"/>
        <v>0.90245742206822765</v>
      </c>
    </row>
    <row r="9" spans="1:6" ht="15" customHeight="1" x14ac:dyDescent="0.25">
      <c r="A9" s="19">
        <v>12</v>
      </c>
      <c r="B9" s="21">
        <f>Returns!A13</f>
        <v>42339</v>
      </c>
      <c r="C9" s="15">
        <f>Returns!J13</f>
        <v>1.7395954760782706E-2</v>
      </c>
      <c r="D9" s="15">
        <f>(1+RiskFree!B13)^(1/12)-1</f>
        <v>5.1337051972701886E-3</v>
      </c>
      <c r="E9" s="15">
        <f t="shared" si="0"/>
        <v>1.2262249563512517E-2</v>
      </c>
      <c r="F9" s="20">
        <f t="shared" si="1"/>
        <v>0.91815653055605917</v>
      </c>
    </row>
    <row r="10" spans="1:6" ht="15" customHeight="1" x14ac:dyDescent="0.25">
      <c r="A10" s="19">
        <v>13</v>
      </c>
      <c r="B10" s="21">
        <f>Returns!A14</f>
        <v>42370</v>
      </c>
      <c r="C10" s="15">
        <f>Returns!J14</f>
        <v>-4.6248648918784552E-2</v>
      </c>
      <c r="D10" s="15">
        <f>(1+RiskFree!B14)^(1/12)-1</f>
        <v>4.9952027561417367E-3</v>
      </c>
      <c r="E10" s="15">
        <f t="shared" si="0"/>
        <v>-5.1243851674926288E-2</v>
      </c>
      <c r="F10" s="20">
        <f t="shared" si="1"/>
        <v>0.87569303152188271</v>
      </c>
    </row>
    <row r="11" spans="1:6" ht="15" customHeight="1" x14ac:dyDescent="0.25">
      <c r="A11" s="19">
        <v>14</v>
      </c>
      <c r="B11" s="21">
        <f>Returns!A15</f>
        <v>42401</v>
      </c>
      <c r="C11" s="15">
        <f>Returns!J15</f>
        <v>2.2655965442544002E-3</v>
      </c>
      <c r="D11" s="15">
        <f>(1+RiskFree!B15)^(1/12)-1</f>
        <v>5.0365310936830721E-3</v>
      </c>
      <c r="E11" s="15">
        <f t="shared" si="0"/>
        <v>-2.7709345494286719E-3</v>
      </c>
      <c r="F11" s="20">
        <f t="shared" si="1"/>
        <v>0.87767699862792636</v>
      </c>
    </row>
    <row r="12" spans="1:6" ht="15" customHeight="1" x14ac:dyDescent="0.25">
      <c r="A12" s="19">
        <v>15</v>
      </c>
      <c r="B12" s="21">
        <f>Returns!A16</f>
        <v>42430</v>
      </c>
      <c r="C12" s="15">
        <f>Returns!J16</f>
        <v>5.6407957918373608E-2</v>
      </c>
      <c r="D12" s="15">
        <f>(1+RiskFree!B16)^(1/12)-1</f>
        <v>5.0015136353218637E-3</v>
      </c>
      <c r="E12" s="15">
        <f t="shared" si="0"/>
        <v>5.1406444283051744E-2</v>
      </c>
      <c r="F12" s="20">
        <f t="shared" si="1"/>
        <v>0.92718496583245491</v>
      </c>
    </row>
    <row r="13" spans="1:6" ht="15" customHeight="1" x14ac:dyDescent="0.25">
      <c r="A13" s="19">
        <v>16</v>
      </c>
      <c r="B13" s="21">
        <f>Returns!A17</f>
        <v>42461</v>
      </c>
      <c r="C13" s="15">
        <f>Returns!J17</f>
        <v>4.7686713539937919E-2</v>
      </c>
      <c r="D13" s="15">
        <f>(1+RiskFree!B17)^(1/12)-1</f>
        <v>5.0015136353218637E-3</v>
      </c>
      <c r="E13" s="15">
        <f t="shared" si="0"/>
        <v>4.2685199904616056E-2</v>
      </c>
      <c r="F13" s="20">
        <f t="shared" si="1"/>
        <v>0.97139936969664431</v>
      </c>
    </row>
    <row r="14" spans="1:6" ht="15" customHeight="1" x14ac:dyDescent="0.25">
      <c r="A14" s="19">
        <v>17</v>
      </c>
      <c r="B14" s="21">
        <f>Returns!A18</f>
        <v>42491</v>
      </c>
      <c r="C14" s="15">
        <f>Returns!J18</f>
        <v>3.8660640813795277E-2</v>
      </c>
      <c r="D14" s="15">
        <f>(1+RiskFree!B18)^(1/12)-1</f>
        <v>4.8576751539193275E-3</v>
      </c>
      <c r="E14" s="15">
        <f t="shared" si="0"/>
        <v>3.380296565987595E-2</v>
      </c>
      <c r="F14" s="20">
        <f t="shared" si="1"/>
        <v>1.0089542918152334</v>
      </c>
    </row>
    <row r="15" spans="1:6" ht="15" customHeight="1" x14ac:dyDescent="0.25">
      <c r="A15" s="19">
        <v>18</v>
      </c>
      <c r="B15" s="21">
        <f>Returns!A19</f>
        <v>42522</v>
      </c>
      <c r="C15" s="15">
        <f>Returns!J19</f>
        <v>4.7751123356837732E-2</v>
      </c>
      <c r="D15" s="15">
        <f>(1+RiskFree!B19)^(1/12)-1</f>
        <v>4.7883592301514177E-3</v>
      </c>
      <c r="E15" s="15">
        <f t="shared" si="0"/>
        <v>4.2962764126686315E-2</v>
      </c>
      <c r="F15" s="20">
        <f t="shared" si="1"/>
        <v>1.0571329926651134</v>
      </c>
    </row>
    <row r="16" spans="1:6" ht="15" customHeight="1" x14ac:dyDescent="0.25">
      <c r="A16" s="19">
        <v>19</v>
      </c>
      <c r="B16" s="21">
        <f>Returns!A20</f>
        <v>42552</v>
      </c>
      <c r="C16" s="15">
        <f>Returns!J20</f>
        <v>4.5568520048677286E-2</v>
      </c>
      <c r="D16" s="15">
        <f>(1+RiskFree!B20)^(1/12)-1</f>
        <v>4.6993649117679226E-3</v>
      </c>
      <c r="E16" s="15">
        <f t="shared" si="0"/>
        <v>4.0869155136909363E-2</v>
      </c>
      <c r="F16" s="20">
        <f t="shared" si="1"/>
        <v>1.1053049786354918</v>
      </c>
    </row>
    <row r="17" spans="1:6" ht="15" customHeight="1" x14ac:dyDescent="0.25">
      <c r="A17" s="19">
        <v>20</v>
      </c>
      <c r="B17" s="21">
        <f>Returns!A21</f>
        <v>42583</v>
      </c>
      <c r="C17" s="15">
        <f>Returns!J21</f>
        <v>7.7027678325531923E-3</v>
      </c>
      <c r="D17" s="15">
        <f>(1+RiskFree!B21)^(1/12)-1</f>
        <v>4.7568849285870574E-3</v>
      </c>
      <c r="E17" s="15">
        <f t="shared" si="0"/>
        <v>2.9458829039661349E-3</v>
      </c>
      <c r="F17" s="20">
        <f t="shared" si="1"/>
        <v>1.1138188862700862</v>
      </c>
    </row>
    <row r="18" spans="1:6" ht="15" customHeight="1" x14ac:dyDescent="0.25">
      <c r="A18" s="19">
        <v>21</v>
      </c>
      <c r="B18" s="21">
        <f>Returns!A22</f>
        <v>42614</v>
      </c>
      <c r="C18" s="15">
        <f>Returns!J22</f>
        <v>1.839331135872313E-2</v>
      </c>
      <c r="D18" s="15">
        <f>(1+RiskFree!B22)^(1/12)-1</f>
        <v>4.7568849285870574E-3</v>
      </c>
      <c r="E18" s="15">
        <f t="shared" si="0"/>
        <v>1.3636426430136073E-2</v>
      </c>
      <c r="F18" s="20">
        <f t="shared" si="1"/>
        <v>1.1343057038424782</v>
      </c>
    </row>
    <row r="19" spans="1:6" ht="15" customHeight="1" x14ac:dyDescent="0.25">
      <c r="A19" s="19">
        <v>22</v>
      </c>
      <c r="B19" s="21">
        <f>Returns!A23</f>
        <v>42644</v>
      </c>
      <c r="C19" s="15">
        <f>Returns!J23</f>
        <v>-1.5982759526523393E-2</v>
      </c>
      <c r="D19" s="15">
        <f>(1+RiskFree!B23)^(1/12)-1</f>
        <v>4.7727025161425907E-3</v>
      </c>
      <c r="E19" s="15">
        <f t="shared" si="0"/>
        <v>-2.0755462042665984E-2</v>
      </c>
      <c r="F19" s="20">
        <f t="shared" si="1"/>
        <v>1.1161763685484001</v>
      </c>
    </row>
    <row r="20" spans="1:6" ht="15" customHeight="1" x14ac:dyDescent="0.25">
      <c r="A20" s="19">
        <v>23</v>
      </c>
      <c r="B20" s="21">
        <f>Returns!A24</f>
        <v>42675</v>
      </c>
      <c r="C20" s="15">
        <f>Returns!J24</f>
        <v>6.8394769718833848E-2</v>
      </c>
      <c r="D20" s="15">
        <f>(1+RiskFree!B24)^(1/12)-1</f>
        <v>4.8280425125377668E-3</v>
      </c>
      <c r="E20" s="15">
        <f t="shared" si="0"/>
        <v>6.3566727206296081E-2</v>
      </c>
      <c r="F20" s="20">
        <f t="shared" si="1"/>
        <v>1.1925169942408722</v>
      </c>
    </row>
    <row r="21" spans="1:6" ht="15" customHeight="1" x14ac:dyDescent="0.25">
      <c r="A21" s="19">
        <v>24</v>
      </c>
      <c r="B21" s="21">
        <f>Returns!A25</f>
        <v>42705</v>
      </c>
      <c r="C21" s="15">
        <f>Returns!J25</f>
        <v>0.12164034989138339</v>
      </c>
      <c r="D21" s="15">
        <f>(1+RiskFree!B25)^(1/12)-1</f>
        <v>4.8398176996395925E-3</v>
      </c>
      <c r="E21" s="15">
        <f t="shared" si="0"/>
        <v>0.1168005321917438</v>
      </c>
      <c r="F21" s="20">
        <f t="shared" si="1"/>
        <v>1.3375751786717527</v>
      </c>
    </row>
    <row r="22" spans="1:6" ht="15" customHeight="1" x14ac:dyDescent="0.25">
      <c r="A22" s="19">
        <v>25</v>
      </c>
      <c r="B22" s="21">
        <f>Returns!A26</f>
        <v>42736</v>
      </c>
      <c r="C22" s="15">
        <f>Returns!J26</f>
        <v>1.988622161161846E-2</v>
      </c>
      <c r="D22" s="15">
        <f>(1+RiskFree!B26)^(1/12)-1</f>
        <v>4.7743632039449757E-3</v>
      </c>
      <c r="E22" s="15">
        <f t="shared" si="0"/>
        <v>1.5111858407673484E-2</v>
      </c>
      <c r="F22" s="20">
        <f t="shared" si="1"/>
        <v>1.3641744950970194</v>
      </c>
    </row>
    <row r="23" spans="1:6" ht="15" customHeight="1" x14ac:dyDescent="0.25">
      <c r="A23" s="19">
        <v>26</v>
      </c>
      <c r="B23" s="21">
        <f>Returns!A27</f>
        <v>42767</v>
      </c>
      <c r="C23" s="15">
        <f>Returns!J27</f>
        <v>-4.5826636096432116E-3</v>
      </c>
      <c r="D23" s="15">
        <f>(1+RiskFree!B27)^(1/12)-1</f>
        <v>4.8214825218027002E-3</v>
      </c>
      <c r="E23" s="15">
        <f t="shared" si="0"/>
        <v>-9.4041461314459118E-3</v>
      </c>
      <c r="F23" s="20">
        <f t="shared" si="1"/>
        <v>1.357922942281135</v>
      </c>
    </row>
    <row r="24" spans="1:6" ht="15" customHeight="1" x14ac:dyDescent="0.25">
      <c r="A24" s="19">
        <v>27</v>
      </c>
      <c r="B24" s="21">
        <f>Returns!A28</f>
        <v>42795</v>
      </c>
      <c r="C24" s="15">
        <f>Returns!J28</f>
        <v>-7.7944988516353009E-3</v>
      </c>
      <c r="D24" s="15">
        <f>(1+RiskFree!B28)^(1/12)-1</f>
        <v>4.8452701244716678E-3</v>
      </c>
      <c r="E24" s="15">
        <f t="shared" si="0"/>
        <v>-1.2639768976106969E-2</v>
      </c>
      <c r="F24" s="20">
        <f t="shared" si="1"/>
        <v>1.3473386134669154</v>
      </c>
    </row>
    <row r="25" spans="1:6" ht="15" customHeight="1" x14ac:dyDescent="0.25">
      <c r="A25" s="19">
        <v>28</v>
      </c>
      <c r="B25" s="21">
        <f>Returns!A29</f>
        <v>42826</v>
      </c>
      <c r="C25" s="15">
        <f>Returns!J29</f>
        <v>2.3776303354540174E-2</v>
      </c>
      <c r="D25" s="15">
        <f>(1+RiskFree!B29)^(1/12)-1</f>
        <v>4.8557789527552409E-3</v>
      </c>
      <c r="E25" s="15">
        <f t="shared" si="0"/>
        <v>1.8920524401784933E-2</v>
      </c>
      <c r="F25" s="20">
        <f t="shared" si="1"/>
        <v>1.3793733450619903</v>
      </c>
    </row>
    <row r="26" spans="1:6" ht="15" customHeight="1" x14ac:dyDescent="0.25">
      <c r="A26" s="19">
        <v>29</v>
      </c>
      <c r="B26" s="21">
        <f>Returns!A30</f>
        <v>42856</v>
      </c>
      <c r="C26" s="15">
        <f>Returns!J30</f>
        <v>2.6179440943268739E-2</v>
      </c>
      <c r="D26" s="15">
        <f>(1+RiskFree!B30)^(1/12)-1</f>
        <v>4.8557789527552409E-3</v>
      </c>
      <c r="E26" s="15">
        <f t="shared" si="0"/>
        <v>2.1323661990513498E-2</v>
      </c>
      <c r="F26" s="20">
        <f t="shared" si="1"/>
        <v>1.4154845680877597</v>
      </c>
    </row>
    <row r="27" spans="1:6" ht="15" customHeight="1" x14ac:dyDescent="0.25">
      <c r="A27" s="19">
        <v>30</v>
      </c>
      <c r="B27" s="21">
        <f>Returns!A31</f>
        <v>42887</v>
      </c>
      <c r="C27" s="15">
        <f>Returns!J31</f>
        <v>-7.9584009747078355E-2</v>
      </c>
      <c r="D27" s="15">
        <f>(1+RiskFree!B31)^(1/12)-1</f>
        <v>4.8604403767307236E-3</v>
      </c>
      <c r="E27" s="15">
        <f t="shared" si="0"/>
        <v>-8.4444450123809078E-2</v>
      </c>
      <c r="F27" s="20">
        <f t="shared" si="1"/>
        <v>1.3028346304242244</v>
      </c>
    </row>
    <row r="28" spans="1:6" ht="15" customHeight="1" x14ac:dyDescent="0.25">
      <c r="A28" s="19">
        <v>31</v>
      </c>
      <c r="B28" s="21">
        <f>Returns!A32</f>
        <v>42917</v>
      </c>
      <c r="C28" s="15">
        <f>Returns!J32</f>
        <v>-1.1915312886486951E-2</v>
      </c>
      <c r="D28" s="15">
        <f>(1+RiskFree!B32)^(1/12)-1</f>
        <v>4.860361371526345E-3</v>
      </c>
      <c r="E28" s="15">
        <f t="shared" si="0"/>
        <v>-1.6775674258013296E-2</v>
      </c>
      <c r="F28" s="20">
        <f t="shared" si="1"/>
        <v>1.2873109481633691</v>
      </c>
    </row>
    <row r="29" spans="1:6" ht="15" customHeight="1" x14ac:dyDescent="0.25">
      <c r="A29" s="19">
        <v>32</v>
      </c>
      <c r="B29" s="21">
        <f>Returns!A33</f>
        <v>42948</v>
      </c>
      <c r="C29" s="15">
        <f>Returns!J33</f>
        <v>-0.10439932667470109</v>
      </c>
      <c r="D29" s="15">
        <f>(1+RiskFree!B33)^(1/12)-1</f>
        <v>4.859808333182114E-3</v>
      </c>
      <c r="E29" s="15">
        <f t="shared" si="0"/>
        <v>-0.1092591350078832</v>
      </c>
      <c r="F29" s="20">
        <f t="shared" si="1"/>
        <v>1.1529165519541424</v>
      </c>
    </row>
    <row r="30" spans="1:6" ht="15" customHeight="1" x14ac:dyDescent="0.25">
      <c r="A30" s="19">
        <v>33</v>
      </c>
      <c r="B30" s="21">
        <f>Returns!A34</f>
        <v>42979</v>
      </c>
      <c r="C30" s="15">
        <f>Returns!J34</f>
        <v>2.9176603289878811E-2</v>
      </c>
      <c r="D30" s="15">
        <f>(1+RiskFree!B34)^(1/12)-1</f>
        <v>4.8604403767307236E-3</v>
      </c>
      <c r="E30" s="15">
        <f t="shared" si="0"/>
        <v>2.4316162913148087E-2</v>
      </c>
      <c r="F30" s="20">
        <f t="shared" si="1"/>
        <v>1.1865547408168433</v>
      </c>
    </row>
    <row r="31" spans="1:6" ht="15" customHeight="1" x14ac:dyDescent="0.25">
      <c r="A31" s="19">
        <v>34</v>
      </c>
      <c r="B31" s="21">
        <f>Returns!A35</f>
        <v>43009</v>
      </c>
      <c r="C31" s="15">
        <f>Returns!J35</f>
        <v>-6.5836549414785894E-2</v>
      </c>
      <c r="D31" s="15">
        <f>(1+RiskFree!B35)^(1/12)-1</f>
        <v>4.8604403767307236E-3</v>
      </c>
      <c r="E31" s="15">
        <f t="shared" si="0"/>
        <v>-7.0696989791516618E-2</v>
      </c>
      <c r="F31" s="20">
        <f t="shared" si="1"/>
        <v>1.1084360709897068</v>
      </c>
    </row>
    <row r="32" spans="1:6" ht="15" customHeight="1" x14ac:dyDescent="0.25">
      <c r="A32" s="19">
        <v>35</v>
      </c>
      <c r="B32" s="21">
        <f>Returns!A36</f>
        <v>43040</v>
      </c>
      <c r="C32" s="15">
        <f>Returns!J36</f>
        <v>9.9242273366686451E-3</v>
      </c>
      <c r="D32" s="15">
        <f>(1+RiskFree!B36)^(1/12)-1</f>
        <v>4.860361371526345E-3</v>
      </c>
      <c r="E32" s="15">
        <f t="shared" si="0"/>
        <v>5.0638659651423001E-3</v>
      </c>
      <c r="F32" s="20">
        <f t="shared" si="1"/>
        <v>1.1194364425463723</v>
      </c>
    </row>
    <row r="33" spans="1:6" ht="15" customHeight="1" x14ac:dyDescent="0.25">
      <c r="A33" s="19">
        <v>36</v>
      </c>
      <c r="B33" s="21">
        <f>Returns!A37</f>
        <v>43070</v>
      </c>
      <c r="C33" s="15">
        <f>Returns!J37</f>
        <v>1.1525015021109697E-2</v>
      </c>
      <c r="D33" s="15">
        <f>(1+RiskFree!B37)^(1/12)-1</f>
        <v>4.8604403767307236E-3</v>
      </c>
      <c r="E33" s="15">
        <f t="shared" si="0"/>
        <v>6.6645746443789733E-3</v>
      </c>
      <c r="F33" s="20">
        <f t="shared" si="1"/>
        <v>1.1323379643618969</v>
      </c>
    </row>
    <row r="34" spans="1:6" ht="15" customHeight="1" x14ac:dyDescent="0.25">
      <c r="A34" s="19">
        <v>37</v>
      </c>
      <c r="B34" s="21">
        <f>Returns!A38</f>
        <v>43101</v>
      </c>
      <c r="C34" s="15">
        <f>Returns!J38</f>
        <v>8.8397310896463299E-2</v>
      </c>
      <c r="D34" s="15">
        <f>(1+RiskFree!B38)^(1/12)-1</f>
        <v>5.0254121388362272E-3</v>
      </c>
      <c r="E34" s="15">
        <f t="shared" si="0"/>
        <v>8.3371898757627072E-2</v>
      </c>
      <c r="F34" s="20">
        <f t="shared" si="1"/>
        <v>1.2324335954374639</v>
      </c>
    </row>
    <row r="35" spans="1:6" ht="15" customHeight="1" x14ac:dyDescent="0.25">
      <c r="A35" s="19">
        <v>38</v>
      </c>
      <c r="B35" s="21">
        <f>Returns!A39</f>
        <v>43132</v>
      </c>
      <c r="C35" s="15">
        <f>Returns!J39</f>
        <v>-1.8379738042023641E-2</v>
      </c>
      <c r="D35" s="15">
        <f>(1+RiskFree!B39)^(1/12)-1</f>
        <v>5.0508023788748968E-3</v>
      </c>
      <c r="E35" s="15">
        <f t="shared" si="0"/>
        <v>-2.3430540420898538E-2</v>
      </c>
      <c r="F35" s="20">
        <f t="shared" si="1"/>
        <v>1.209781788799134</v>
      </c>
    </row>
    <row r="36" spans="1:6" ht="15" customHeight="1" x14ac:dyDescent="0.25">
      <c r="A36" s="19">
        <v>39</v>
      </c>
      <c r="B36" s="21">
        <f>Returns!A40</f>
        <v>43160</v>
      </c>
      <c r="C36" s="15">
        <f>Returns!J40</f>
        <v>5.3674608181789596E-2</v>
      </c>
      <c r="D36" s="15">
        <f>(1+RiskFree!B40)^(1/12)-1</f>
        <v>5.0720080721151639E-3</v>
      </c>
      <c r="E36" s="15">
        <f t="shared" si="0"/>
        <v>4.8602600109674432E-2</v>
      </c>
      <c r="F36" s="20">
        <f t="shared" si="1"/>
        <v>1.274716352298392</v>
      </c>
    </row>
    <row r="37" spans="1:6" ht="15" customHeight="1" x14ac:dyDescent="0.25">
      <c r="A37" s="19">
        <v>40</v>
      </c>
      <c r="B37" s="21">
        <f>Returns!A41</f>
        <v>43191</v>
      </c>
      <c r="C37" s="15">
        <f>Returns!J41</f>
        <v>-1.5680318171742424E-3</v>
      </c>
      <c r="D37" s="15">
        <f>(1+RiskFree!B41)^(1/12)-1</f>
        <v>5.0545078176733593E-3</v>
      </c>
      <c r="E37" s="15">
        <f t="shared" ref="E37:E68" si="2">C37-D37</f>
        <v>-6.6225396348476018E-3</v>
      </c>
      <c r="F37" s="20">
        <f t="shared" si="1"/>
        <v>1.2727175565001159</v>
      </c>
    </row>
    <row r="38" spans="1:6" ht="15" customHeight="1" x14ac:dyDescent="0.25">
      <c r="A38" s="19">
        <v>41</v>
      </c>
      <c r="B38" s="21">
        <f>Returns!A42</f>
        <v>43221</v>
      </c>
      <c r="C38" s="15">
        <f>Returns!J42</f>
        <v>-5.808499047898763E-2</v>
      </c>
      <c r="D38" s="15">
        <f>(1+RiskFree!B42)^(1/12)-1</f>
        <v>5.07153513633396E-3</v>
      </c>
      <c r="E38" s="15">
        <f t="shared" si="2"/>
        <v>-6.315652561532159E-2</v>
      </c>
      <c r="F38" s="20">
        <f t="shared" ref="F38:F69" si="3">F37*(1+C38)</f>
        <v>1.1987917693483663</v>
      </c>
    </row>
    <row r="39" spans="1:6" ht="15" customHeight="1" x14ac:dyDescent="0.25">
      <c r="A39" s="19">
        <v>42</v>
      </c>
      <c r="B39" s="21">
        <f>Returns!A43</f>
        <v>43252</v>
      </c>
      <c r="C39" s="15">
        <f>Returns!J43</f>
        <v>-2.1839285414212095E-2</v>
      </c>
      <c r="D39" s="15">
        <f>(1+RiskFree!B43)^(1/12)-1</f>
        <v>5.4655867119477453E-3</v>
      </c>
      <c r="E39" s="15">
        <f t="shared" si="2"/>
        <v>-2.730487212615984E-2</v>
      </c>
      <c r="F39" s="20">
        <f t="shared" si="3"/>
        <v>1.1726110137453589</v>
      </c>
    </row>
    <row r="40" spans="1:6" ht="15" customHeight="1" x14ac:dyDescent="0.25">
      <c r="A40" s="19">
        <v>43</v>
      </c>
      <c r="B40" s="21">
        <f>Returns!A44</f>
        <v>43282</v>
      </c>
      <c r="C40" s="15">
        <f>Returns!J44</f>
        <v>1.912461913249297E-2</v>
      </c>
      <c r="D40" s="15">
        <f>(1+RiskFree!B44)^(1/12)-1</f>
        <v>6.2173437930501674E-3</v>
      </c>
      <c r="E40" s="15">
        <f t="shared" si="2"/>
        <v>1.2907275339442803E-2</v>
      </c>
      <c r="F40" s="20">
        <f t="shared" si="3"/>
        <v>1.1950367527738055</v>
      </c>
    </row>
    <row r="41" spans="1:6" ht="15" customHeight="1" x14ac:dyDescent="0.25">
      <c r="A41" s="19">
        <v>44</v>
      </c>
      <c r="B41" s="21">
        <f>Returns!A45</f>
        <v>43313</v>
      </c>
      <c r="C41" s="15">
        <f>Returns!J45</f>
        <v>-2.2714465086627111E-2</v>
      </c>
      <c r="D41" s="15">
        <f>(1+RiskFree!B45)^(1/12)-1</f>
        <v>6.2396814612857288E-3</v>
      </c>
      <c r="E41" s="15">
        <f t="shared" si="2"/>
        <v>-2.895414654791284E-2</v>
      </c>
      <c r="F41" s="20">
        <f t="shared" si="3"/>
        <v>1.1678921321756888</v>
      </c>
    </row>
    <row r="42" spans="1:6" ht="15" customHeight="1" x14ac:dyDescent="0.25">
      <c r="A42" s="19">
        <v>45</v>
      </c>
      <c r="B42" s="21">
        <f>Returns!A46</f>
        <v>43344</v>
      </c>
      <c r="C42" s="15">
        <f>Returns!J46</f>
        <v>-1.7815287344426167E-2</v>
      </c>
      <c r="D42" s="15">
        <f>(1+RiskFree!B46)^(1/12)-1</f>
        <v>6.2396814612857288E-3</v>
      </c>
      <c r="E42" s="15">
        <f t="shared" si="2"/>
        <v>-2.4054968805711896E-2</v>
      </c>
      <c r="F42" s="20">
        <f t="shared" si="3"/>
        <v>1.1470857982536844</v>
      </c>
    </row>
    <row r="43" spans="1:6" ht="15" customHeight="1" x14ac:dyDescent="0.25">
      <c r="A43" s="19">
        <v>46</v>
      </c>
      <c r="B43" s="21">
        <f>Returns!A47</f>
        <v>43374</v>
      </c>
      <c r="C43" s="15">
        <f>Returns!J47</f>
        <v>1.5872984900212606E-2</v>
      </c>
      <c r="D43" s="15">
        <f>(1+RiskFree!B47)^(1/12)-1</f>
        <v>7.0469383957378895E-3</v>
      </c>
      <c r="E43" s="15">
        <f t="shared" si="2"/>
        <v>8.8260465044747161E-3</v>
      </c>
      <c r="F43" s="20">
        <f t="shared" si="3"/>
        <v>1.1652934738086134</v>
      </c>
    </row>
    <row r="44" spans="1:6" ht="15" customHeight="1" x14ac:dyDescent="0.25">
      <c r="A44" s="19">
        <v>47</v>
      </c>
      <c r="B44" s="21">
        <f>Returns!A48</f>
        <v>43405</v>
      </c>
      <c r="C44" s="15">
        <f>Returns!J48</f>
        <v>-2.7691421909004199E-2</v>
      </c>
      <c r="D44" s="15">
        <f>(1+RiskFree!B48)^(1/12)-1</f>
        <v>7.0517208657085995E-3</v>
      </c>
      <c r="E44" s="15">
        <f t="shared" si="2"/>
        <v>-3.4743142774712799E-2</v>
      </c>
      <c r="F44" s="20">
        <f t="shared" si="3"/>
        <v>1.13302484057757</v>
      </c>
    </row>
    <row r="45" spans="1:6" ht="15" customHeight="1" x14ac:dyDescent="0.25">
      <c r="A45" s="19">
        <v>48</v>
      </c>
      <c r="B45" s="21">
        <f>Returns!A49</f>
        <v>43435</v>
      </c>
      <c r="C45" s="15">
        <f>Returns!J49</f>
        <v>-8.4683856664468093E-2</v>
      </c>
      <c r="D45" s="15">
        <f>(1+RiskFree!B49)^(1/12)-1</f>
        <v>8.2003497426981209E-3</v>
      </c>
      <c r="E45" s="15">
        <f t="shared" si="2"/>
        <v>-9.2884206407166214E-2</v>
      </c>
      <c r="F45" s="20">
        <f t="shared" si="3"/>
        <v>1.0370759273808172</v>
      </c>
    </row>
    <row r="46" spans="1:6" ht="15" customHeight="1" x14ac:dyDescent="0.25">
      <c r="A46" s="19">
        <v>49</v>
      </c>
      <c r="B46" s="21">
        <f>Returns!A50</f>
        <v>43466</v>
      </c>
      <c r="C46" s="15">
        <f>Returns!J50</f>
        <v>0.10070637583575759</v>
      </c>
      <c r="D46" s="15">
        <f>(1+RiskFree!B50)^(1/12)-1</f>
        <v>8.2037013120357383E-3</v>
      </c>
      <c r="E46" s="15">
        <f t="shared" si="2"/>
        <v>9.2502674523721851E-2</v>
      </c>
      <c r="F46" s="20">
        <f t="shared" si="3"/>
        <v>1.1415160854938466</v>
      </c>
    </row>
    <row r="47" spans="1:6" ht="15" customHeight="1" x14ac:dyDescent="0.25">
      <c r="A47" s="19">
        <v>50</v>
      </c>
      <c r="B47" s="21">
        <f>Returns!A51</f>
        <v>43497</v>
      </c>
      <c r="C47" s="15">
        <f>Returns!J51</f>
        <v>-4.2768150213531864E-2</v>
      </c>
      <c r="D47" s="15">
        <f>(1+RiskFree!B51)^(1/12)-1</f>
        <v>8.3930182153464372E-3</v>
      </c>
      <c r="E47" s="15">
        <f t="shared" si="2"/>
        <v>-5.1161168428878301E-2</v>
      </c>
      <c r="F47" s="20">
        <f t="shared" si="3"/>
        <v>1.092695554078283</v>
      </c>
    </row>
    <row r="48" spans="1:6" ht="15" customHeight="1" x14ac:dyDescent="0.25">
      <c r="A48" s="19">
        <v>51</v>
      </c>
      <c r="B48" s="21">
        <f>Returns!A52</f>
        <v>43525</v>
      </c>
      <c r="C48" s="15">
        <f>Returns!J52</f>
        <v>-1.0376754594849324E-2</v>
      </c>
      <c r="D48" s="15">
        <f>(1+RiskFree!B52)^(1/12)-1</f>
        <v>8.387697117228976E-3</v>
      </c>
      <c r="E48" s="15">
        <f t="shared" si="2"/>
        <v>-1.8764451712078301E-2</v>
      </c>
      <c r="F48" s="20">
        <f t="shared" si="3"/>
        <v>1.0813569204667297</v>
      </c>
    </row>
    <row r="49" spans="1:6" ht="15" customHeight="1" x14ac:dyDescent="0.25">
      <c r="A49" s="19">
        <v>52</v>
      </c>
      <c r="B49" s="21">
        <f>Returns!A53</f>
        <v>43556</v>
      </c>
      <c r="C49" s="15">
        <f>Returns!J53</f>
        <v>-4.825179420916359E-2</v>
      </c>
      <c r="D49" s="15">
        <f>(1+RiskFree!B53)^(1/12)-1</f>
        <v>8.6969478771070641E-3</v>
      </c>
      <c r="E49" s="15">
        <f t="shared" si="2"/>
        <v>-5.6948742086270654E-2</v>
      </c>
      <c r="F49" s="20">
        <f t="shared" si="3"/>
        <v>1.0291795088737141</v>
      </c>
    </row>
    <row r="50" spans="1:6" ht="15" customHeight="1" x14ac:dyDescent="0.25">
      <c r="A50" s="19">
        <v>53</v>
      </c>
      <c r="B50" s="21">
        <f>Returns!A54</f>
        <v>43586</v>
      </c>
      <c r="C50" s="15">
        <f>Returns!J54</f>
        <v>-2.2010665379165739E-2</v>
      </c>
      <c r="D50" s="15">
        <f>(1+RiskFree!B54)^(1/12)-1</f>
        <v>9.9194426726680884E-3</v>
      </c>
      <c r="E50" s="15">
        <f t="shared" si="2"/>
        <v>-3.1930108051833828E-2</v>
      </c>
      <c r="F50" s="20">
        <f t="shared" si="3"/>
        <v>1.0065265830888006</v>
      </c>
    </row>
    <row r="51" spans="1:6" ht="15" customHeight="1" x14ac:dyDescent="0.25">
      <c r="A51" s="19">
        <v>54</v>
      </c>
      <c r="B51" s="21">
        <f>Returns!A55</f>
        <v>43617</v>
      </c>
      <c r="C51" s="15">
        <f>Returns!J55</f>
        <v>-5.7629523341206412E-2</v>
      </c>
      <c r="D51" s="15">
        <f>(1+RiskFree!B55)^(1/12)-1</f>
        <v>1.0041518026886687E-2</v>
      </c>
      <c r="E51" s="15">
        <f t="shared" si="2"/>
        <v>-6.7671041368093099E-2</v>
      </c>
      <c r="F51" s="20">
        <f t="shared" si="3"/>
        <v>0.94852093587513986</v>
      </c>
    </row>
    <row r="52" spans="1:6" ht="15" customHeight="1" x14ac:dyDescent="0.25">
      <c r="A52" s="19">
        <v>55</v>
      </c>
      <c r="B52" s="21">
        <f>Returns!A56</f>
        <v>43647</v>
      </c>
      <c r="C52" s="15">
        <f>Returns!J56</f>
        <v>-5.7905855715279397E-2</v>
      </c>
      <c r="D52" s="15">
        <f>(1+RiskFree!B56)^(1/12)-1</f>
        <v>1.0790726841014564E-2</v>
      </c>
      <c r="E52" s="15">
        <f t="shared" si="2"/>
        <v>-6.8696582556293961E-2</v>
      </c>
      <c r="F52" s="20">
        <f t="shared" si="3"/>
        <v>0.89359601941943223</v>
      </c>
    </row>
    <row r="53" spans="1:6" ht="15" customHeight="1" x14ac:dyDescent="0.25">
      <c r="A53" s="19">
        <v>56</v>
      </c>
      <c r="B53" s="21">
        <f>Returns!A57</f>
        <v>43678</v>
      </c>
      <c r="C53" s="15">
        <f>Returns!J57</f>
        <v>-7.0960170928610289E-2</v>
      </c>
      <c r="D53" s="15">
        <f>(1+RiskFree!B57)^(1/12)-1</f>
        <v>1.0793170570788657E-2</v>
      </c>
      <c r="E53" s="15">
        <f t="shared" si="2"/>
        <v>-8.1753341499398946E-2</v>
      </c>
      <c r="F53" s="20">
        <f t="shared" si="3"/>
        <v>0.83018629314030357</v>
      </c>
    </row>
    <row r="54" spans="1:6" ht="15" customHeight="1" x14ac:dyDescent="0.25">
      <c r="A54" s="19">
        <v>57</v>
      </c>
      <c r="B54" s="21">
        <f>Returns!A58</f>
        <v>43709</v>
      </c>
      <c r="C54" s="15">
        <f>Returns!J58</f>
        <v>8.1110820527822147E-2</v>
      </c>
      <c r="D54" s="15">
        <f>(1+RiskFree!B58)^(1/12)-1</f>
        <v>1.0770137688760562E-2</v>
      </c>
      <c r="E54" s="15">
        <f t="shared" si="2"/>
        <v>7.0340682839061586E-2</v>
      </c>
      <c r="F54" s="20">
        <f t="shared" si="3"/>
        <v>0.89752338456786462</v>
      </c>
    </row>
    <row r="55" spans="1:6" ht="15" customHeight="1" x14ac:dyDescent="0.25">
      <c r="A55" s="19">
        <v>58</v>
      </c>
      <c r="B55" s="21">
        <f>Returns!A59</f>
        <v>43739</v>
      </c>
      <c r="C55" s="15">
        <f>Returns!J59</f>
        <v>6.6237723609169352E-2</v>
      </c>
      <c r="D55" s="15">
        <f>(1+RiskFree!B59)^(1/12)-1</f>
        <v>1.0423206268780127E-2</v>
      </c>
      <c r="E55" s="15">
        <f t="shared" si="2"/>
        <v>5.5814517340389225E-2</v>
      </c>
      <c r="F55" s="20">
        <f t="shared" si="3"/>
        <v>0.95697329044763701</v>
      </c>
    </row>
    <row r="56" spans="1:6" ht="15" customHeight="1" x14ac:dyDescent="0.25">
      <c r="A56" s="19">
        <v>59</v>
      </c>
      <c r="B56" s="21">
        <f>Returns!A60</f>
        <v>43770</v>
      </c>
      <c r="C56" s="15">
        <f>Returns!J60</f>
        <v>0.14863809976002584</v>
      </c>
      <c r="D56" s="15">
        <f>(1+RiskFree!B60)^(1/12)-1</f>
        <v>1.0579506108956416E-2</v>
      </c>
      <c r="E56" s="15">
        <f t="shared" si="2"/>
        <v>0.13805859365106943</v>
      </c>
      <c r="F56" s="20">
        <f t="shared" si="3"/>
        <v>1.0992159818608731</v>
      </c>
    </row>
    <row r="57" spans="1:6" ht="15" customHeight="1" x14ac:dyDescent="0.25">
      <c r="A57" s="19">
        <v>60</v>
      </c>
      <c r="B57" s="21">
        <f>Returns!A61</f>
        <v>43800</v>
      </c>
      <c r="C57" s="15">
        <f>Returns!J61</f>
        <v>3.6841857428479452E-2</v>
      </c>
      <c r="D57" s="15">
        <f>(1+RiskFree!B61)^(1/12)-1</f>
        <v>1.0568668789631142E-2</v>
      </c>
      <c r="E57" s="15">
        <f t="shared" si="2"/>
        <v>2.627318863884831E-2</v>
      </c>
      <c r="F57" s="20">
        <f t="shared" si="3"/>
        <v>1.1397131403476974</v>
      </c>
    </row>
    <row r="58" spans="1:6" ht="15" customHeight="1" x14ac:dyDescent="0.25">
      <c r="A58" s="19">
        <v>61</v>
      </c>
      <c r="B58" s="21">
        <f>Returns!A62</f>
        <v>43831</v>
      </c>
      <c r="C58" s="15">
        <f>Returns!J62</f>
        <v>2.1992346645692162E-2</v>
      </c>
      <c r="D58" s="15">
        <f>(1+RiskFree!B62)^(1/12)-1</f>
        <v>1.0525826595557231E-2</v>
      </c>
      <c r="E58" s="15">
        <f t="shared" si="2"/>
        <v>1.1466520050134932E-2</v>
      </c>
      <c r="F58" s="20">
        <f t="shared" si="3"/>
        <v>1.1647781068068743</v>
      </c>
    </row>
    <row r="59" spans="1:6" ht="15" customHeight="1" x14ac:dyDescent="0.25">
      <c r="A59" s="19">
        <v>62</v>
      </c>
      <c r="B59" s="21">
        <f>Returns!A63</f>
        <v>43862</v>
      </c>
      <c r="C59" s="15">
        <f>Returns!J63</f>
        <v>-8.7610801005213901E-2</v>
      </c>
      <c r="D59" s="15">
        <f>(1+RiskFree!B63)^(1/12)-1</f>
        <v>1.0520330656959453E-2</v>
      </c>
      <c r="E59" s="15">
        <f t="shared" si="2"/>
        <v>-9.8131131662173354E-2</v>
      </c>
      <c r="F59" s="20">
        <f t="shared" si="3"/>
        <v>1.0627309638761875</v>
      </c>
    </row>
    <row r="60" spans="1:6" ht="15" customHeight="1" x14ac:dyDescent="0.25">
      <c r="A60" s="19">
        <v>63</v>
      </c>
      <c r="B60" s="21">
        <f>Returns!A64</f>
        <v>43891</v>
      </c>
      <c r="C60" s="15">
        <f>Returns!J64</f>
        <v>-0.23041484724204808</v>
      </c>
      <c r="D60" s="15">
        <f>(1+RiskFree!B64)^(1/12)-1</f>
        <v>8.8990850307930636E-3</v>
      </c>
      <c r="E60" s="15">
        <f t="shared" si="2"/>
        <v>-0.23931393227284115</v>
      </c>
      <c r="F60" s="20">
        <f t="shared" si="3"/>
        <v>0.81786197117526127</v>
      </c>
    </row>
    <row r="61" spans="1:6" ht="15" customHeight="1" x14ac:dyDescent="0.25">
      <c r="A61" s="19">
        <v>64</v>
      </c>
      <c r="B61" s="21">
        <f>Returns!A65</f>
        <v>43922</v>
      </c>
      <c r="C61" s="15">
        <f>Returns!J65</f>
        <v>0.16694279450034077</v>
      </c>
      <c r="D61" s="15">
        <f>(1+RiskFree!B65)^(1/12)-1</f>
        <v>6.6000652403599425E-3</v>
      </c>
      <c r="E61" s="15">
        <f t="shared" si="2"/>
        <v>0.16034272925998083</v>
      </c>
      <c r="F61" s="20">
        <f t="shared" si="3"/>
        <v>0.95439813415881658</v>
      </c>
    </row>
    <row r="62" spans="1:6" ht="15" customHeight="1" x14ac:dyDescent="0.25">
      <c r="A62" s="19">
        <v>65</v>
      </c>
      <c r="B62" s="21">
        <f>Returns!A66</f>
        <v>43952</v>
      </c>
      <c r="C62" s="15">
        <f>Returns!J66</f>
        <v>-5.2888105057392609E-3</v>
      </c>
      <c r="D62" s="15">
        <f>(1+RiskFree!B66)^(1/12)-1</f>
        <v>6.5277140667026057E-3</v>
      </c>
      <c r="E62" s="15">
        <f t="shared" si="2"/>
        <v>-1.1816524572441867E-2</v>
      </c>
      <c r="F62" s="20">
        <f t="shared" si="3"/>
        <v>0.94935050328021953</v>
      </c>
    </row>
    <row r="63" spans="1:6" ht="15" customHeight="1" x14ac:dyDescent="0.25">
      <c r="A63" s="19">
        <v>66</v>
      </c>
      <c r="B63" s="21">
        <f>Returns!A67</f>
        <v>43983</v>
      </c>
      <c r="C63" s="15">
        <f>Returns!J67</f>
        <v>1.446130894753872E-2</v>
      </c>
      <c r="D63" s="15">
        <f>(1+RiskFree!B67)^(1/12)-1</f>
        <v>5.5356457953463778E-3</v>
      </c>
      <c r="E63" s="15">
        <f t="shared" si="2"/>
        <v>8.9256631521923424E-3</v>
      </c>
      <c r="F63" s="20">
        <f t="shared" si="3"/>
        <v>0.96307935420765611</v>
      </c>
    </row>
    <row r="64" spans="1:6" ht="15" customHeight="1" x14ac:dyDescent="0.25">
      <c r="A64" s="19">
        <v>67</v>
      </c>
      <c r="B64" s="21">
        <f>Returns!A68</f>
        <v>44013</v>
      </c>
      <c r="C64" s="15">
        <f>Returns!J68</f>
        <v>0.14050697927367217</v>
      </c>
      <c r="D64" s="15">
        <f>(1+RiskFree!B68)^(1/12)-1</f>
        <v>5.5549359566429146E-3</v>
      </c>
      <c r="E64" s="15">
        <f t="shared" si="2"/>
        <v>0.13495204331702926</v>
      </c>
      <c r="F64" s="20">
        <f t="shared" si="3"/>
        <v>1.0983987250682128</v>
      </c>
    </row>
    <row r="65" spans="1:6" ht="15" customHeight="1" x14ac:dyDescent="0.25">
      <c r="A65" s="19">
        <v>68</v>
      </c>
      <c r="B65" s="21">
        <f>Returns!A69</f>
        <v>44044</v>
      </c>
      <c r="C65" s="15">
        <f>Returns!J69</f>
        <v>4.718705073354923E-2</v>
      </c>
      <c r="D65" s="15">
        <f>(1+RiskFree!B69)^(1/12)-1</f>
        <v>5.7258601813199306E-3</v>
      </c>
      <c r="E65" s="15">
        <f t="shared" si="2"/>
        <v>4.1461190552229299E-2</v>
      </c>
      <c r="F65" s="20">
        <f t="shared" si="3"/>
        <v>1.1502289214336723</v>
      </c>
    </row>
    <row r="66" spans="1:6" ht="15" customHeight="1" x14ac:dyDescent="0.25">
      <c r="A66" s="19">
        <v>69</v>
      </c>
      <c r="B66" s="21">
        <f>Returns!A70</f>
        <v>44075</v>
      </c>
      <c r="C66" s="15">
        <f>Returns!J70</f>
        <v>-1.3121814563669454E-2</v>
      </c>
      <c r="D66" s="15">
        <f>(1+RiskFree!B70)^(1/12)-1</f>
        <v>5.7311034886455836E-3</v>
      </c>
      <c r="E66" s="15">
        <f t="shared" si="2"/>
        <v>-1.8852918052315037E-2</v>
      </c>
      <c r="F66" s="20">
        <f t="shared" si="3"/>
        <v>1.1351358308208501</v>
      </c>
    </row>
    <row r="67" spans="1:6" ht="15" customHeight="1" x14ac:dyDescent="0.25">
      <c r="A67" s="19">
        <v>70</v>
      </c>
      <c r="B67" s="21">
        <f>Returns!A71</f>
        <v>44105</v>
      </c>
      <c r="C67" s="15">
        <f>Returns!J71</f>
        <v>-1.6846316673683193E-2</v>
      </c>
      <c r="D67" s="15">
        <f>(1+RiskFree!B71)^(1/12)-1</f>
        <v>5.7778104331038804E-3</v>
      </c>
      <c r="E67" s="15">
        <f t="shared" si="2"/>
        <v>-2.2624127106787073E-2</v>
      </c>
      <c r="F67" s="20">
        <f t="shared" si="3"/>
        <v>1.1160129731471977</v>
      </c>
    </row>
    <row r="68" spans="1:6" ht="15" customHeight="1" x14ac:dyDescent="0.25">
      <c r="A68" s="19">
        <v>71</v>
      </c>
      <c r="B68" s="21">
        <f>Returns!A72</f>
        <v>44136</v>
      </c>
      <c r="C68" s="15">
        <f>Returns!J72</f>
        <v>2.9603389490573617E-2</v>
      </c>
      <c r="D68" s="15">
        <f>(1+RiskFree!B72)^(1/12)-1</f>
        <v>5.7638869057115016E-3</v>
      </c>
      <c r="E68" s="15">
        <f t="shared" si="2"/>
        <v>2.3839502584862116E-2</v>
      </c>
      <c r="F68" s="20">
        <f t="shared" si="3"/>
        <v>1.1490507398678074</v>
      </c>
    </row>
    <row r="69" spans="1:6" ht="15" customHeight="1" x14ac:dyDescent="0.25">
      <c r="A69" s="19">
        <v>72</v>
      </c>
      <c r="B69" s="21">
        <f>Returns!A73</f>
        <v>44166</v>
      </c>
      <c r="C69" s="15">
        <f>Returns!J73</f>
        <v>6.5416050424628613E-2</v>
      </c>
      <c r="D69" s="15">
        <f>(1+RiskFree!B73)^(1/12)-1</f>
        <v>5.7394765051985708E-3</v>
      </c>
      <c r="E69" s="15">
        <f t="shared" ref="E69:E100" si="4">C69-D69</f>
        <v>5.9676573919430043E-2</v>
      </c>
      <c r="F69" s="20">
        <f t="shared" si="3"/>
        <v>1.2242171010074567</v>
      </c>
    </row>
    <row r="70" spans="1:6" ht="15" customHeight="1" x14ac:dyDescent="0.25">
      <c r="A70" s="19">
        <v>73</v>
      </c>
      <c r="B70" s="21">
        <f>Returns!A74</f>
        <v>44197</v>
      </c>
      <c r="C70" s="15">
        <f>Returns!J74</f>
        <v>6.0110550976817168E-2</v>
      </c>
      <c r="D70" s="15">
        <f>(1+RiskFree!B74)^(1/12)-1</f>
        <v>5.7728826854837045E-3</v>
      </c>
      <c r="E70" s="15">
        <f t="shared" si="4"/>
        <v>5.4337668291333463E-2</v>
      </c>
      <c r="F70" s="20">
        <f t="shared" ref="F70:F101" si="5">F69*(1+C70)</f>
        <v>1.2978054654642568</v>
      </c>
    </row>
    <row r="71" spans="1:6" ht="15" customHeight="1" x14ac:dyDescent="0.25">
      <c r="A71" s="19">
        <v>74</v>
      </c>
      <c r="B71" s="21">
        <f>Returns!A75</f>
        <v>44228</v>
      </c>
      <c r="C71" s="15">
        <f>Returns!J75</f>
        <v>-1.122160052464638E-2</v>
      </c>
      <c r="D71" s="15">
        <f>(1+RiskFree!B75)^(1/12)-1</f>
        <v>5.8033053297645854E-3</v>
      </c>
      <c r="E71" s="15">
        <f t="shared" si="4"/>
        <v>-1.7024905854410965E-2</v>
      </c>
      <c r="F71" s="20">
        <f t="shared" si="5"/>
        <v>1.2832420109721141</v>
      </c>
    </row>
    <row r="72" spans="1:6" ht="15" customHeight="1" x14ac:dyDescent="0.25">
      <c r="A72" s="19">
        <v>75</v>
      </c>
      <c r="B72" s="21">
        <f>Returns!A76</f>
        <v>44256</v>
      </c>
      <c r="C72" s="15">
        <f>Returns!J76</f>
        <v>-2.7846275876474036E-2</v>
      </c>
      <c r="D72" s="15">
        <f>(1+RiskFree!B76)^(1/12)-1</f>
        <v>5.9901550706700224E-3</v>
      </c>
      <c r="E72" s="15">
        <f t="shared" si="4"/>
        <v>-3.3836430947144058E-2</v>
      </c>
      <c r="F72" s="20">
        <f t="shared" si="5"/>
        <v>1.2475084999183033</v>
      </c>
    </row>
    <row r="73" spans="1:6" ht="15" customHeight="1" x14ac:dyDescent="0.25">
      <c r="A73" s="19">
        <v>76</v>
      </c>
      <c r="B73" s="21">
        <f>Returns!A77</f>
        <v>44287</v>
      </c>
      <c r="C73" s="15">
        <f>Returns!J77</f>
        <v>-7.3001950082813849E-3</v>
      </c>
      <c r="D73" s="15">
        <f>(1+RiskFree!B77)^(1/12)-1</f>
        <v>5.948396978626036E-3</v>
      </c>
      <c r="E73" s="15">
        <f t="shared" si="4"/>
        <v>-1.3248591986907421E-2</v>
      </c>
      <c r="F73" s="20">
        <f t="shared" si="5"/>
        <v>1.2384014445944111</v>
      </c>
    </row>
    <row r="74" spans="1:6" ht="15" customHeight="1" x14ac:dyDescent="0.25">
      <c r="A74" s="19">
        <v>77</v>
      </c>
      <c r="B74" s="21">
        <f>Returns!A78</f>
        <v>44317</v>
      </c>
      <c r="C74" s="15">
        <f>Returns!J78</f>
        <v>8.2101153689309259E-2</v>
      </c>
      <c r="D74" s="15">
        <f>(1+RiskFree!B78)^(1/12)-1</f>
        <v>5.9216149336585033E-3</v>
      </c>
      <c r="E74" s="15">
        <f t="shared" si="4"/>
        <v>7.6179538755650755E-2</v>
      </c>
      <c r="F74" s="20">
        <f t="shared" si="5"/>
        <v>1.3400756319261196</v>
      </c>
    </row>
    <row r="75" spans="1:6" ht="15" customHeight="1" x14ac:dyDescent="0.25">
      <c r="A75" s="19">
        <v>78</v>
      </c>
      <c r="B75" s="21">
        <f>Returns!A79</f>
        <v>44348</v>
      </c>
      <c r="C75" s="15">
        <f>Returns!J79</f>
        <v>-1.1281028988853858E-2</v>
      </c>
      <c r="D75" s="15">
        <f>(1+RiskFree!B79)^(1/12)-1</f>
        <v>5.8851381358075994E-3</v>
      </c>
      <c r="E75" s="15">
        <f t="shared" si="4"/>
        <v>-1.7166167124661458E-2</v>
      </c>
      <c r="F75" s="20">
        <f t="shared" si="5"/>
        <v>1.3249581998751043</v>
      </c>
    </row>
    <row r="76" spans="1:6" ht="15" customHeight="1" x14ac:dyDescent="0.25">
      <c r="A76" s="19">
        <v>79</v>
      </c>
      <c r="B76" s="21">
        <f>Returns!A80</f>
        <v>44378</v>
      </c>
      <c r="C76" s="15">
        <f>Returns!J80</f>
        <v>-6.350406980991985E-3</v>
      </c>
      <c r="D76" s="15">
        <f>(1+RiskFree!B80)^(1/12)-1</f>
        <v>5.8360628741527254E-3</v>
      </c>
      <c r="E76" s="15">
        <f t="shared" si="4"/>
        <v>-1.218646985514471E-2</v>
      </c>
      <c r="F76" s="20">
        <f t="shared" si="5"/>
        <v>1.3165441760730949</v>
      </c>
    </row>
    <row r="77" spans="1:6" ht="15" customHeight="1" x14ac:dyDescent="0.25">
      <c r="A77" s="19">
        <v>80</v>
      </c>
      <c r="B77" s="21">
        <f>Returns!A81</f>
        <v>44409</v>
      </c>
      <c r="C77" s="15">
        <f>Returns!J81</f>
        <v>7.7451440635047941E-3</v>
      </c>
      <c r="D77" s="15">
        <f>(1+RiskFree!B81)^(1/12)-1</f>
        <v>5.8335615185116652E-3</v>
      </c>
      <c r="E77" s="15">
        <f t="shared" si="4"/>
        <v>1.911582544993129E-3</v>
      </c>
      <c r="F77" s="20">
        <f t="shared" si="5"/>
        <v>1.3267410003827493</v>
      </c>
    </row>
    <row r="78" spans="1:6" ht="15" customHeight="1" x14ac:dyDescent="0.25">
      <c r="A78" s="19">
        <v>81</v>
      </c>
      <c r="B78" s="21">
        <f>Returns!A82</f>
        <v>44440</v>
      </c>
      <c r="C78" s="15">
        <f>Returns!J82</f>
        <v>-5.3145377853189402E-2</v>
      </c>
      <c r="D78" s="15">
        <f>(1+RiskFree!B82)^(1/12)-1</f>
        <v>6.1003516749833508E-3</v>
      </c>
      <c r="E78" s="15">
        <f t="shared" si="4"/>
        <v>-5.9245729528172753E-2</v>
      </c>
      <c r="F78" s="20">
        <f t="shared" si="5"/>
        <v>1.2562308486040896</v>
      </c>
    </row>
    <row r="79" spans="1:6" ht="15" customHeight="1" x14ac:dyDescent="0.25">
      <c r="A79" s="19">
        <v>82</v>
      </c>
      <c r="B79" s="21">
        <f>Returns!A83</f>
        <v>44470</v>
      </c>
      <c r="C79" s="15">
        <f>Returns!J83</f>
        <v>2.9384003420966032E-2</v>
      </c>
      <c r="D79" s="15">
        <f>(1+RiskFree!B83)^(1/12)-1</f>
        <v>6.5696738589553494E-3</v>
      </c>
      <c r="E79" s="15">
        <f t="shared" si="4"/>
        <v>2.2814329562010682E-2</v>
      </c>
      <c r="F79" s="20">
        <f t="shared" si="5"/>
        <v>1.2931439401569953</v>
      </c>
    </row>
    <row r="80" spans="1:6" ht="15" customHeight="1" x14ac:dyDescent="0.25">
      <c r="A80" s="19">
        <v>83</v>
      </c>
      <c r="B80" s="21">
        <f>Returns!A84</f>
        <v>44501</v>
      </c>
      <c r="C80" s="15">
        <f>Returns!J84</f>
        <v>-2.4806935167040911E-2</v>
      </c>
      <c r="D80" s="15">
        <f>(1+RiskFree!B84)^(1/12)-1</f>
        <v>6.8217253521873911E-3</v>
      </c>
      <c r="E80" s="15">
        <f t="shared" si="4"/>
        <v>-3.1628660519228302E-2</v>
      </c>
      <c r="F80" s="20">
        <f t="shared" si="5"/>
        <v>1.2610650022718688</v>
      </c>
    </row>
    <row r="81" spans="1:6" ht="15" customHeight="1" x14ac:dyDescent="0.25">
      <c r="A81" s="19">
        <v>84</v>
      </c>
      <c r="B81" s="21">
        <f>Returns!A85</f>
        <v>44531</v>
      </c>
      <c r="C81" s="15">
        <f>Returns!J85</f>
        <v>-1.0567669157918846E-2</v>
      </c>
      <c r="D81" s="15">
        <f>(1+RiskFree!B85)^(1/12)-1</f>
        <v>8.2694130113627473E-3</v>
      </c>
      <c r="E81" s="15">
        <f t="shared" si="4"/>
        <v>-1.8837082169281594E-2</v>
      </c>
      <c r="F81" s="20">
        <f t="shared" si="5"/>
        <v>1.2477384845412296</v>
      </c>
    </row>
    <row r="82" spans="1:6" ht="15" customHeight="1" x14ac:dyDescent="0.25">
      <c r="A82" s="19">
        <v>85</v>
      </c>
      <c r="B82" s="21">
        <f>Returns!A86</f>
        <v>44562</v>
      </c>
      <c r="C82" s="15">
        <f>Returns!J86</f>
        <v>1.7459161760218E-2</v>
      </c>
      <c r="D82" s="15">
        <f>(1+RiskFree!B86)^(1/12)-1</f>
        <v>8.1290236720352738E-3</v>
      </c>
      <c r="E82" s="15">
        <f t="shared" si="4"/>
        <v>9.3301380881827267E-3</v>
      </c>
      <c r="F82" s="20">
        <f t="shared" si="5"/>
        <v>1.2695229525772842</v>
      </c>
    </row>
    <row r="83" spans="1:6" ht="15" customHeight="1" x14ac:dyDescent="0.25">
      <c r="A83" s="19">
        <v>86</v>
      </c>
      <c r="B83" s="21">
        <f>Returns!A87</f>
        <v>44593</v>
      </c>
      <c r="C83" s="15">
        <f>Returns!J87</f>
        <v>-2.0136119968228949E-2</v>
      </c>
      <c r="D83" s="15">
        <f>(1+RiskFree!B87)^(1/12)-1</f>
        <v>8.2665966742925256E-3</v>
      </c>
      <c r="E83" s="15">
        <f t="shared" si="4"/>
        <v>-2.8402716642521475E-2</v>
      </c>
      <c r="F83" s="20">
        <f t="shared" si="5"/>
        <v>1.2439596861017679</v>
      </c>
    </row>
    <row r="84" spans="1:6" ht="15" customHeight="1" x14ac:dyDescent="0.25">
      <c r="A84" s="19">
        <v>87</v>
      </c>
      <c r="B84" s="21">
        <f>Returns!A88</f>
        <v>44621</v>
      </c>
      <c r="C84" s="15">
        <f>Returns!J88</f>
        <v>1.0522028177047726E-2</v>
      </c>
      <c r="D84" s="15">
        <f>(1+RiskFree!B88)^(1/12)-1</f>
        <v>9.3012752064896009E-3</v>
      </c>
      <c r="E84" s="15">
        <f t="shared" si="4"/>
        <v>1.2207529705581255E-3</v>
      </c>
      <c r="F84" s="20">
        <f t="shared" si="5"/>
        <v>1.2570486649700421</v>
      </c>
    </row>
    <row r="85" spans="1:6" ht="15" customHeight="1" x14ac:dyDescent="0.25">
      <c r="A85" s="19">
        <v>88</v>
      </c>
      <c r="B85" s="21">
        <f>Returns!A89</f>
        <v>44652</v>
      </c>
      <c r="C85" s="15">
        <f>Returns!J89</f>
        <v>7.1352848493939636E-3</v>
      </c>
      <c r="D85" s="15">
        <f>(1+RiskFree!B89)^(1/12)-1</f>
        <v>1.1121814907350647E-2</v>
      </c>
      <c r="E85" s="15">
        <f t="shared" si="4"/>
        <v>-3.9865300579566831E-3</v>
      </c>
      <c r="F85" s="20">
        <f t="shared" si="5"/>
        <v>1.2660180652641537</v>
      </c>
    </row>
    <row r="86" spans="1:6" ht="15" customHeight="1" x14ac:dyDescent="0.25">
      <c r="A86" s="19">
        <v>89</v>
      </c>
      <c r="B86" s="21">
        <f>Returns!A90</f>
        <v>44682</v>
      </c>
      <c r="C86" s="15">
        <f>Returns!J90</f>
        <v>-4.798449305747865E-2</v>
      </c>
      <c r="D86" s="15">
        <f>(1+RiskFree!B90)^(1/12)-1</f>
        <v>1.129055861711814E-2</v>
      </c>
      <c r="E86" s="15">
        <f t="shared" si="4"/>
        <v>-5.927505167459679E-2</v>
      </c>
      <c r="F86" s="20">
        <f t="shared" si="5"/>
        <v>1.2052688302008434</v>
      </c>
    </row>
    <row r="87" spans="1:6" ht="15" customHeight="1" x14ac:dyDescent="0.25">
      <c r="A87" s="19">
        <v>90</v>
      </c>
      <c r="B87" s="21">
        <f>Returns!A91</f>
        <v>44713</v>
      </c>
      <c r="C87" s="15">
        <f>Returns!J91</f>
        <v>-3.5686545426520166E-2</v>
      </c>
      <c r="D87" s="15">
        <f>(1+RiskFree!B91)^(1/12)-1</f>
        <v>1.177354836822686E-2</v>
      </c>
      <c r="E87" s="15">
        <f t="shared" si="4"/>
        <v>-4.7460093794747027E-2</v>
      </c>
      <c r="F87" s="20">
        <f t="shared" si="5"/>
        <v>1.1622569493407122</v>
      </c>
    </row>
    <row r="88" spans="1:6" ht="15" customHeight="1" x14ac:dyDescent="0.25">
      <c r="A88" s="19">
        <v>91</v>
      </c>
      <c r="B88" s="21">
        <f>Returns!A92</f>
        <v>44743</v>
      </c>
      <c r="C88" s="15">
        <f>Returns!J92</f>
        <v>-3.3472369232872889E-2</v>
      </c>
      <c r="D88" s="15">
        <f>(1+RiskFree!B92)^(1/12)-1</f>
        <v>1.2175631121059682E-2</v>
      </c>
      <c r="E88" s="15">
        <f t="shared" si="4"/>
        <v>-4.5648000353932572E-2</v>
      </c>
      <c r="F88" s="20">
        <f t="shared" si="5"/>
        <v>1.1233534555889075</v>
      </c>
    </row>
    <row r="89" spans="1:6" ht="15" customHeight="1" x14ac:dyDescent="0.25">
      <c r="A89" s="19">
        <v>92</v>
      </c>
      <c r="B89" s="21">
        <f>Returns!A93</f>
        <v>44774</v>
      </c>
      <c r="C89" s="15">
        <f>Returns!J93</f>
        <v>5.4813705281845593E-2</v>
      </c>
      <c r="D89" s="15">
        <f>(1+RiskFree!B93)^(1/12)-1</f>
        <v>1.2248548663164938E-2</v>
      </c>
      <c r="E89" s="15">
        <f t="shared" si="4"/>
        <v>4.2565156618680655E-2</v>
      </c>
      <c r="F89" s="20">
        <f t="shared" si="5"/>
        <v>1.1849286208309007</v>
      </c>
    </row>
    <row r="90" spans="1:6" ht="15" customHeight="1" x14ac:dyDescent="0.25">
      <c r="A90" s="19">
        <v>93</v>
      </c>
      <c r="B90" s="21">
        <f>Returns!A94</f>
        <v>44805</v>
      </c>
      <c r="C90" s="15">
        <f>Returns!J94</f>
        <v>-2.8865331874105005E-2</v>
      </c>
      <c r="D90" s="15">
        <f>(1+RiskFree!B94)^(1/12)-1</f>
        <v>1.2423315394553658E-2</v>
      </c>
      <c r="E90" s="15">
        <f t="shared" si="4"/>
        <v>-4.1288647268658663E-2</v>
      </c>
      <c r="F90" s="20">
        <f t="shared" si="5"/>
        <v>1.1507252629434912</v>
      </c>
    </row>
    <row r="91" spans="1:6" ht="15" customHeight="1" x14ac:dyDescent="0.25">
      <c r="A91" s="19">
        <v>94</v>
      </c>
      <c r="B91" s="21">
        <f>Returns!A95</f>
        <v>44835</v>
      </c>
      <c r="C91" s="15">
        <f>Returns!J95</f>
        <v>3.3064526521282556E-3</v>
      </c>
      <c r="D91" s="15">
        <f>(1+RiskFree!B95)^(1/12)-1</f>
        <v>1.2204805072007163E-2</v>
      </c>
      <c r="E91" s="15">
        <f t="shared" si="4"/>
        <v>-8.8983524198789077E-3</v>
      </c>
      <c r="F91" s="20">
        <f t="shared" si="5"/>
        <v>1.1545300815410218</v>
      </c>
    </row>
    <row r="92" spans="1:6" ht="15" customHeight="1" x14ac:dyDescent="0.25">
      <c r="A92" s="19">
        <v>95</v>
      </c>
      <c r="B92" s="21">
        <f>Returns!A96</f>
        <v>44866</v>
      </c>
      <c r="C92" s="15">
        <f>Returns!J96</f>
        <v>2.6268724860449399E-2</v>
      </c>
      <c r="D92" s="15">
        <f>(1+RiskFree!B96)^(1/12)-1</f>
        <v>1.3082974704131889E-2</v>
      </c>
      <c r="E92" s="15">
        <f t="shared" si="4"/>
        <v>1.3185750156317511E-2</v>
      </c>
      <c r="F92" s="20">
        <f t="shared" si="5"/>
        <v>1.184858114596135</v>
      </c>
    </row>
    <row r="93" spans="1:6" ht="15" customHeight="1" x14ac:dyDescent="0.25">
      <c r="A93" s="19">
        <v>96</v>
      </c>
      <c r="B93" s="21">
        <f>Returns!A97</f>
        <v>44896</v>
      </c>
      <c r="C93" s="15">
        <f>Returns!J97</f>
        <v>-4.5531106909479702E-2</v>
      </c>
      <c r="D93" s="15">
        <f>(1+RiskFree!B97)^(1/12)-1</f>
        <v>1.3140741376346021E-2</v>
      </c>
      <c r="E93" s="15">
        <f t="shared" si="4"/>
        <v>-5.8671848285825723E-2</v>
      </c>
      <c r="F93" s="20">
        <f t="shared" si="5"/>
        <v>1.1309102131078939</v>
      </c>
    </row>
    <row r="94" spans="1:6" ht="15" customHeight="1" x14ac:dyDescent="0.25">
      <c r="A94" s="19">
        <v>97</v>
      </c>
      <c r="B94" s="21">
        <f>Returns!A98</f>
        <v>44927</v>
      </c>
      <c r="C94" s="15">
        <f>Returns!J98</f>
        <v>6.2495593196019161E-3</v>
      </c>
      <c r="D94" s="15">
        <f>(1+RiskFree!B98)^(1/12)-1</f>
        <v>1.375945602832962E-2</v>
      </c>
      <c r="E94" s="15">
        <f t="shared" si="4"/>
        <v>-7.5098967087277035E-3</v>
      </c>
      <c r="F94" s="20">
        <f t="shared" si="5"/>
        <v>1.1379779035698552</v>
      </c>
    </row>
    <row r="95" spans="1:6" ht="15" customHeight="1" x14ac:dyDescent="0.25">
      <c r="A95" s="19">
        <v>98</v>
      </c>
      <c r="B95" s="21">
        <f>Returns!A99</f>
        <v>44958</v>
      </c>
      <c r="C95" s="15">
        <f>Returns!J99</f>
        <v>-3.9999449266908682E-3</v>
      </c>
      <c r="D95" s="15">
        <f>(1+RiskFree!B99)^(1/12)-1</f>
        <v>1.4793324302788458E-2</v>
      </c>
      <c r="E95" s="15">
        <f t="shared" si="4"/>
        <v>-1.8793269229479326E-2</v>
      </c>
      <c r="F95" s="20">
        <f t="shared" si="5"/>
        <v>1.1334260546277846</v>
      </c>
    </row>
    <row r="96" spans="1:6" ht="15" customHeight="1" x14ac:dyDescent="0.25">
      <c r="A96" s="19">
        <v>99</v>
      </c>
      <c r="B96" s="21">
        <f>Returns!A100</f>
        <v>44986</v>
      </c>
      <c r="C96" s="15">
        <f>Returns!J100</f>
        <v>-1.2578013975187097E-2</v>
      </c>
      <c r="D96" s="15">
        <f>(1+RiskFree!B100)^(1/12)-1</f>
        <v>1.6053842196077861E-2</v>
      </c>
      <c r="E96" s="15">
        <f t="shared" si="4"/>
        <v>-2.8631856171264958E-2</v>
      </c>
      <c r="F96" s="20">
        <f t="shared" si="5"/>
        <v>1.1191698058728352</v>
      </c>
    </row>
    <row r="97" spans="1:6" ht="15" customHeight="1" x14ac:dyDescent="0.25">
      <c r="A97" s="19">
        <v>100</v>
      </c>
      <c r="B97" s="21">
        <f>Returns!A101</f>
        <v>45017</v>
      </c>
      <c r="C97" s="15">
        <f>Returns!J101</f>
        <v>3.9499680381632096E-2</v>
      </c>
      <c r="D97" s="15">
        <f>(1+RiskFree!B101)^(1/12)-1</f>
        <v>1.6695073362691826E-2</v>
      </c>
      <c r="E97" s="15">
        <f t="shared" si="4"/>
        <v>2.2804607018940271E-2</v>
      </c>
      <c r="F97" s="20">
        <f t="shared" si="5"/>
        <v>1.1633766554975855</v>
      </c>
    </row>
    <row r="98" spans="1:6" ht="15" customHeight="1" x14ac:dyDescent="0.25">
      <c r="A98" s="19">
        <v>101</v>
      </c>
      <c r="B98" s="21">
        <f>Returns!A102</f>
        <v>45047</v>
      </c>
      <c r="C98" s="15">
        <f>Returns!J102</f>
        <v>-5.8447578632951913E-3</v>
      </c>
      <c r="D98" s="15">
        <f>(1+RiskFree!B102)^(1/12)-1</f>
        <v>1.6695073362691826E-2</v>
      </c>
      <c r="E98" s="15">
        <f t="shared" si="4"/>
        <v>-2.2539831225987017E-2</v>
      </c>
      <c r="F98" s="20">
        <f t="shared" si="5"/>
        <v>1.1565770006423919</v>
      </c>
    </row>
    <row r="99" spans="1:6" ht="15" customHeight="1" x14ac:dyDescent="0.25">
      <c r="A99" s="19">
        <v>102</v>
      </c>
      <c r="B99" s="21">
        <f>Returns!A103</f>
        <v>45078</v>
      </c>
      <c r="C99" s="15">
        <f>Returns!J103</f>
        <v>2.7785693585196114E-3</v>
      </c>
      <c r="D99" s="15">
        <f>(1+RiskFree!B103)^(1/12)-1</f>
        <v>1.670201887885292E-2</v>
      </c>
      <c r="E99" s="15">
        <f t="shared" si="4"/>
        <v>-1.3923449520333309E-2</v>
      </c>
      <c r="F99" s="20">
        <f t="shared" si="5"/>
        <v>1.1597906300571454</v>
      </c>
    </row>
    <row r="100" spans="1:6" ht="15" customHeight="1" x14ac:dyDescent="0.25">
      <c r="A100" s="19">
        <v>103</v>
      </c>
      <c r="B100" s="21">
        <f>Returns!A104</f>
        <v>45108</v>
      </c>
      <c r="C100" s="15">
        <f>Returns!J104</f>
        <v>0.15878128989488727</v>
      </c>
      <c r="D100" s="15">
        <f>(1+RiskFree!B104)^(1/12)-1</f>
        <v>1.7330092953794285E-2</v>
      </c>
      <c r="E100" s="15">
        <f t="shared" si="4"/>
        <v>0.14145119694109298</v>
      </c>
      <c r="F100" s="20">
        <f t="shared" si="5"/>
        <v>1.343943682305623</v>
      </c>
    </row>
    <row r="101" spans="1:6" ht="15" customHeight="1" x14ac:dyDescent="0.25">
      <c r="A101" s="19">
        <v>104</v>
      </c>
      <c r="B101" s="21">
        <f>Returns!A105</f>
        <v>45139</v>
      </c>
      <c r="C101" s="15">
        <f>Returns!J105</f>
        <v>-6.3124927265955533E-2</v>
      </c>
      <c r="D101" s="15">
        <f>(1+RiskFree!B105)^(1/12)-1</f>
        <v>1.7311189859724463E-2</v>
      </c>
      <c r="E101" s="15">
        <f t="shared" ref="E101:E132" si="6">C101-D101</f>
        <v>-8.0436117125679996E-2</v>
      </c>
      <c r="F101" s="20">
        <f t="shared" si="5"/>
        <v>1.2591073351105402</v>
      </c>
    </row>
    <row r="102" spans="1:6" ht="15" customHeight="1" x14ac:dyDescent="0.25">
      <c r="A102" s="19">
        <v>105</v>
      </c>
      <c r="B102" s="21">
        <f>Returns!A106</f>
        <v>45170</v>
      </c>
      <c r="C102" s="15">
        <f>Returns!J106</f>
        <v>2.7335869345663788E-2</v>
      </c>
      <c r="D102" s="15">
        <f>(1+RiskFree!B106)^(1/12)-1</f>
        <v>1.7232776664263705E-2</v>
      </c>
      <c r="E102" s="15">
        <f t="shared" si="6"/>
        <v>1.0103092681400083E-2</v>
      </c>
      <c r="F102" s="20">
        <f t="shared" ref="F102:F117" si="7">F101*(1+C102)</f>
        <v>1.2935261287152888</v>
      </c>
    </row>
    <row r="103" spans="1:6" ht="15" customHeight="1" x14ac:dyDescent="0.25">
      <c r="A103" s="19">
        <v>106</v>
      </c>
      <c r="B103" s="21">
        <f>Returns!A107</f>
        <v>45200</v>
      </c>
      <c r="C103" s="15">
        <f>Returns!J107</f>
        <v>0.12423530673925032</v>
      </c>
      <c r="D103" s="15">
        <f>(1+RiskFree!B107)^(1/12)-1</f>
        <v>1.6806139040858925E-2</v>
      </c>
      <c r="E103" s="15">
        <f t="shared" si="6"/>
        <v>0.10742916769839139</v>
      </c>
      <c r="F103" s="20">
        <f t="shared" si="7"/>
        <v>1.4542277440914677</v>
      </c>
    </row>
    <row r="104" spans="1:6" ht="15" customHeight="1" x14ac:dyDescent="0.25">
      <c r="A104" s="19">
        <v>107</v>
      </c>
      <c r="B104" s="21">
        <f>Returns!A108</f>
        <v>45231</v>
      </c>
      <c r="C104" s="15">
        <f>Returns!J108</f>
        <v>0.16450686860994934</v>
      </c>
      <c r="D104" s="15">
        <f>(1+RiskFree!B108)^(1/12)-1</f>
        <v>1.6249471039257113E-2</v>
      </c>
      <c r="E104" s="15">
        <f t="shared" si="6"/>
        <v>0.14825739757069223</v>
      </c>
      <c r="F104" s="20">
        <f t="shared" si="7"/>
        <v>1.6934581965176658</v>
      </c>
    </row>
    <row r="105" spans="1:6" ht="15" customHeight="1" x14ac:dyDescent="0.25">
      <c r="A105" s="19">
        <v>108</v>
      </c>
      <c r="B105" s="21">
        <f>Returns!A109</f>
        <v>45261</v>
      </c>
      <c r="C105" s="15">
        <f>Returns!J109</f>
        <v>3.1792048377932591E-2</v>
      </c>
      <c r="D105" s="15">
        <f>(1+RiskFree!B109)^(1/12)-1</f>
        <v>1.6235511280837223E-2</v>
      </c>
      <c r="E105" s="15">
        <f t="shared" si="6"/>
        <v>1.5556537097095369E-2</v>
      </c>
      <c r="F105" s="20">
        <f t="shared" si="7"/>
        <v>1.7472967014273619</v>
      </c>
    </row>
    <row r="106" spans="1:6" ht="15" customHeight="1" x14ac:dyDescent="0.25">
      <c r="A106" s="19">
        <v>109</v>
      </c>
      <c r="B106" s="21">
        <f>Returns!A110</f>
        <v>45292</v>
      </c>
      <c r="C106" s="15">
        <f>Returns!J110</f>
        <v>-7.5556788165577204E-3</v>
      </c>
      <c r="D106" s="15">
        <f>(1+RiskFree!B110)^(1/12)-1</f>
        <v>1.5988913689101825E-2</v>
      </c>
      <c r="E106" s="15">
        <f t="shared" si="6"/>
        <v>-2.3544592505659545E-2</v>
      </c>
      <c r="F106" s="20">
        <f t="shared" si="7"/>
        <v>1.734094688754146</v>
      </c>
    </row>
    <row r="107" spans="1:6" ht="15" customHeight="1" x14ac:dyDescent="0.25">
      <c r="A107" s="19">
        <v>110</v>
      </c>
      <c r="B107" s="21">
        <f>Returns!A111</f>
        <v>45323</v>
      </c>
      <c r="C107" s="15">
        <f>Returns!J111</f>
        <v>4.1938922070282159E-2</v>
      </c>
      <c r="D107" s="15">
        <f>(1+RiskFree!B111)^(1/12)-1</f>
        <v>1.6228530610533198E-2</v>
      </c>
      <c r="E107" s="15">
        <f t="shared" si="6"/>
        <v>2.571039145974896E-2</v>
      </c>
      <c r="F107" s="20">
        <f t="shared" si="7"/>
        <v>1.8068207507682963</v>
      </c>
    </row>
    <row r="108" spans="1:6" ht="15" customHeight="1" x14ac:dyDescent="0.25">
      <c r="A108" s="19">
        <v>111</v>
      </c>
      <c r="B108" s="21">
        <f>Returns!A112</f>
        <v>45352</v>
      </c>
      <c r="C108" s="15">
        <f>Returns!J112</f>
        <v>3.7575806940140621E-2</v>
      </c>
      <c r="D108" s="15">
        <f>(1+RiskFree!B112)^(1/12)-1</f>
        <v>1.6312263862527043E-2</v>
      </c>
      <c r="E108" s="15">
        <f t="shared" si="6"/>
        <v>2.1263543077613578E-2</v>
      </c>
      <c r="F108" s="20">
        <f t="shared" si="7"/>
        <v>1.8747134984746057</v>
      </c>
    </row>
    <row r="109" spans="1:6" ht="15" customHeight="1" x14ac:dyDescent="0.25">
      <c r="A109" s="19">
        <v>112</v>
      </c>
      <c r="B109" s="21">
        <f>Returns!A113</f>
        <v>45383</v>
      </c>
      <c r="C109" s="15">
        <f>Returns!J113</f>
        <v>6.1151156978922927E-2</v>
      </c>
      <c r="D109" s="15">
        <f>(1+RiskFree!B113)^(1/12)-1</f>
        <v>1.6423790285362783E-2</v>
      </c>
      <c r="E109" s="15">
        <f t="shared" si="6"/>
        <v>4.4727366693560144E-2</v>
      </c>
      <c r="F109" s="20">
        <f t="shared" si="7"/>
        <v>1.9893543979103321</v>
      </c>
    </row>
    <row r="110" spans="1:6" ht="15" customHeight="1" x14ac:dyDescent="0.25">
      <c r="A110" s="19">
        <v>113</v>
      </c>
      <c r="B110" s="21">
        <f>Returns!A114</f>
        <v>45413</v>
      </c>
      <c r="C110" s="15">
        <f>Returns!J114</f>
        <v>6.7169602215391588E-2</v>
      </c>
      <c r="D110" s="15">
        <f>(1+RiskFree!B114)^(1/12)-1</f>
        <v>1.5969874267075745E-2</v>
      </c>
      <c r="E110" s="15">
        <f t="shared" si="6"/>
        <v>5.1199727948315843E-2</v>
      </c>
      <c r="F110" s="20">
        <f t="shared" si="7"/>
        <v>2.122978541483409</v>
      </c>
    </row>
    <row r="111" spans="1:6" ht="15" customHeight="1" x14ac:dyDescent="0.25">
      <c r="A111" s="19">
        <v>114</v>
      </c>
      <c r="B111" s="21">
        <f>Returns!A115</f>
        <v>45444</v>
      </c>
      <c r="C111" s="15">
        <f>Returns!J115</f>
        <v>3.3823555769699309E-2</v>
      </c>
      <c r="D111" s="15">
        <f>(1+RiskFree!B115)^(1/12)-1</f>
        <v>1.5319693535879031E-2</v>
      </c>
      <c r="E111" s="15">
        <f t="shared" si="6"/>
        <v>1.8503862233820279E-2</v>
      </c>
      <c r="F111" s="20">
        <f t="shared" si="7"/>
        <v>2.1947852245791482</v>
      </c>
    </row>
    <row r="112" spans="1:6" ht="15" customHeight="1" x14ac:dyDescent="0.25">
      <c r="A112" s="19">
        <v>115</v>
      </c>
      <c r="B112" s="21">
        <f>Returns!A116</f>
        <v>45474</v>
      </c>
      <c r="C112" s="15">
        <f>Returns!J116</f>
        <v>-7.1128852637569739E-3</v>
      </c>
      <c r="D112" s="15">
        <f>(1+RiskFree!B116)^(1/12)-1</f>
        <v>1.4949179372142352E-2</v>
      </c>
      <c r="E112" s="15">
        <f t="shared" si="6"/>
        <v>-2.2062064635899326E-2</v>
      </c>
      <c r="F112" s="20">
        <f t="shared" si="7"/>
        <v>2.1791739690981276</v>
      </c>
    </row>
    <row r="113" spans="1:6" ht="15" customHeight="1" x14ac:dyDescent="0.25">
      <c r="A113" s="19">
        <v>116</v>
      </c>
      <c r="B113" s="21">
        <f>Returns!A117</f>
        <v>45505</v>
      </c>
      <c r="C113" s="15">
        <f>Returns!J117</f>
        <v>7.7192609446070648E-3</v>
      </c>
      <c r="D113" s="15">
        <f>(1+RiskFree!B117)^(1/12)-1</f>
        <v>1.3508154732242428E-2</v>
      </c>
      <c r="E113" s="15">
        <f t="shared" si="6"/>
        <v>-5.788893787635363E-3</v>
      </c>
      <c r="F113" s="20">
        <f t="shared" si="7"/>
        <v>2.1959955816092909</v>
      </c>
    </row>
    <row r="114" spans="1:6" ht="15" customHeight="1" x14ac:dyDescent="0.25">
      <c r="A114" s="19">
        <v>117</v>
      </c>
      <c r="B114" s="21">
        <f>Returns!A118</f>
        <v>45536</v>
      </c>
      <c r="C114" s="15">
        <f>Returns!J118</f>
        <v>3.3456995202592044E-2</v>
      </c>
      <c r="D114" s="15">
        <f>(1+RiskFree!B118)^(1/12)-1</f>
        <v>1.3465005609198277E-2</v>
      </c>
      <c r="E114" s="15">
        <f t="shared" si="6"/>
        <v>1.9991989593393766E-2</v>
      </c>
      <c r="F114" s="20">
        <f t="shared" si="7"/>
        <v>2.2694669952481061</v>
      </c>
    </row>
    <row r="115" spans="1:6" ht="15" customHeight="1" x14ac:dyDescent="0.25">
      <c r="A115" s="19">
        <v>118</v>
      </c>
      <c r="B115" s="21">
        <f>Returns!A119</f>
        <v>45566</v>
      </c>
      <c r="C115" s="15">
        <f>Returns!J119</f>
        <v>9.6808820157259889E-2</v>
      </c>
      <c r="D115" s="15">
        <f>(1+RiskFree!B119)^(1/12)-1</f>
        <v>1.0882729148480763E-2</v>
      </c>
      <c r="E115" s="15">
        <f t="shared" si="6"/>
        <v>8.5926091008779126E-2</v>
      </c>
      <c r="F115" s="20">
        <f t="shared" si="7"/>
        <v>2.489171417443917</v>
      </c>
    </row>
    <row r="116" spans="1:6" ht="15" customHeight="1" x14ac:dyDescent="0.25">
      <c r="A116" s="19">
        <v>119</v>
      </c>
      <c r="B116" s="21">
        <f>Returns!A120</f>
        <v>45597</v>
      </c>
      <c r="C116" s="15">
        <f>Returns!J120</f>
        <v>0.13927166289166171</v>
      </c>
      <c r="D116" s="15">
        <f>(1+RiskFree!B120)^(1/12)-1</f>
        <v>1.0882729148480763E-2</v>
      </c>
      <c r="E116" s="15">
        <f t="shared" si="6"/>
        <v>0.12838893374318094</v>
      </c>
      <c r="F116" s="20">
        <f t="shared" si="7"/>
        <v>2.8358424599737257</v>
      </c>
    </row>
    <row r="117" spans="1:6" ht="15" customHeight="1" x14ac:dyDescent="0.25">
      <c r="A117" s="19">
        <v>120</v>
      </c>
      <c r="B117" s="21">
        <f>Returns!A121</f>
        <v>45627</v>
      </c>
      <c r="C117" s="15">
        <f>Returns!J121</f>
        <v>0.13585185559365609</v>
      </c>
      <c r="D117" s="15">
        <f>(1+RiskFree!B121)^(1/12)-1</f>
        <v>9.3760575565080551E-3</v>
      </c>
      <c r="E117" s="15">
        <f t="shared" si="6"/>
        <v>0.12647579803714804</v>
      </c>
      <c r="F117" s="20">
        <f t="shared" si="7"/>
        <v>3.2210969203324349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4"/>
  <sheetViews>
    <sheetView showGridLines="0" zoomScaleNormal="100" workbookViewId="0">
      <selection activeCell="G18" sqref="G18"/>
    </sheetView>
  </sheetViews>
  <sheetFormatPr defaultColWidth="8.7109375" defaultRowHeight="15" x14ac:dyDescent="0.25"/>
  <cols>
    <col min="1" max="2" width="14" customWidth="1"/>
    <col min="3" max="4" width="18" customWidth="1"/>
    <col min="5" max="5" width="19.85546875" customWidth="1"/>
    <col min="6" max="8" width="18" customWidth="1"/>
    <col min="9" max="9" width="24.140625" customWidth="1"/>
    <col min="10" max="10" width="25.140625" customWidth="1"/>
  </cols>
  <sheetData>
    <row r="1" spans="1:10" ht="17.25" customHeight="1" x14ac:dyDescent="0.25">
      <c r="A1" s="1" t="s">
        <v>93</v>
      </c>
    </row>
    <row r="2" spans="1:10" ht="15" customHeight="1" x14ac:dyDescent="0.25">
      <c r="A2" s="4" t="s">
        <v>94</v>
      </c>
    </row>
    <row r="4" spans="1:10" ht="15" customHeight="1" x14ac:dyDescent="0.25">
      <c r="A4" s="11" t="s">
        <v>95</v>
      </c>
      <c r="B4" s="11" t="s">
        <v>96</v>
      </c>
      <c r="C4" s="11" t="s">
        <v>97</v>
      </c>
      <c r="D4" s="11" t="s">
        <v>98</v>
      </c>
      <c r="E4" s="11" t="s">
        <v>99</v>
      </c>
      <c r="F4" s="11" t="s">
        <v>100</v>
      </c>
      <c r="G4" s="11" t="s">
        <v>101</v>
      </c>
      <c r="H4" s="11" t="s">
        <v>102</v>
      </c>
      <c r="I4" s="11" t="s">
        <v>103</v>
      </c>
      <c r="J4" s="11" t="s">
        <v>104</v>
      </c>
    </row>
    <row r="5" spans="1:10" ht="15" customHeight="1" x14ac:dyDescent="0.25">
      <c r="A5" s="19" t="s">
        <v>105</v>
      </c>
      <c r="B5" s="19" t="s">
        <v>106</v>
      </c>
      <c r="C5" s="22">
        <f>S_Top2_Annual!P117</f>
        <v>9.4996097072543115</v>
      </c>
      <c r="D5" s="23">
        <f t="shared" ref="D5:D13" si="0">C5^(12/113)-1</f>
        <v>0.27006854609444253</v>
      </c>
      <c r="E5" s="23">
        <f>STDEV(S_Top2_Annual!O5:O117)*SQRT(12)</f>
        <v>0.38119141628133879</v>
      </c>
      <c r="F5" s="22">
        <f>(AVERAGE(S_Top2_Annual!O5:O117)-AVERAGE(Benchmark_RF!D5:D117))/STDEV(S_Top2_Annual!O5:O117)*SQRT(12)</f>
        <v>0.55733743296373706</v>
      </c>
      <c r="G5" s="23">
        <f>MIN(S_Top2_Annual!R5:R117)</f>
        <v>-0.53936655269666089</v>
      </c>
      <c r="H5" s="22">
        <f>SLOPE(S_Top2_Annual!S5:S117,Benchmark_RF!E5:E117)</f>
        <v>1.1755988180679733</v>
      </c>
      <c r="I5" s="23">
        <f>INTERCEPT(S_Top2_Annual!S5:S117,Benchmark_RF!E5:E117)*12</f>
        <v>0.16313443882782178</v>
      </c>
      <c r="J5" s="23">
        <f>D5-(Benchmark_RF!F117^(12/113)-1)</f>
        <v>0.13780557293928086</v>
      </c>
    </row>
    <row r="6" spans="1:10" ht="15" customHeight="1" x14ac:dyDescent="0.25">
      <c r="A6" s="19" t="s">
        <v>105</v>
      </c>
      <c r="B6" s="19" t="s">
        <v>107</v>
      </c>
      <c r="C6" s="22">
        <f>S_Top2_SemiAnnual!P117</f>
        <v>3.0971287080356977</v>
      </c>
      <c r="D6" s="23">
        <f t="shared" si="0"/>
        <v>0.12755378171760601</v>
      </c>
      <c r="E6" s="23">
        <f>STDEV(S_Top2_SemiAnnual!O5:O117)*SQRT(12)</f>
        <v>0.33695792654110662</v>
      </c>
      <c r="F6" s="22">
        <f>(AVERAGE(S_Top2_SemiAnnual!O5:O117)-AVERAGE(Benchmark_RF!D5:D117))/STDEV(S_Top2_SemiAnnual!O5:O117)*SQRT(12)</f>
        <v>0.21370413435452656</v>
      </c>
      <c r="G6" s="23">
        <f>MIN(S_Top2_SemiAnnual!R5:R117)</f>
        <v>-0.52819000210493072</v>
      </c>
      <c r="H6" s="22">
        <f>SLOPE(S_Top2_SemiAnnual!S5:S117,Benchmark_RF!E5:E117)</f>
        <v>1.1384449990885661</v>
      </c>
      <c r="I6" s="23">
        <f>INTERCEPT(S_Top2_SemiAnnual!S5:S117,Benchmark_RF!E5:E117)*12</f>
        <v>2.4250143510344321E-2</v>
      </c>
      <c r="J6" s="23">
        <f>D6-(Benchmark_RF!F117^(12/113)-1)</f>
        <v>-4.7091914375556598E-3</v>
      </c>
    </row>
    <row r="7" spans="1:10" ht="15" customHeight="1" x14ac:dyDescent="0.25">
      <c r="A7" s="19" t="s">
        <v>105</v>
      </c>
      <c r="B7" s="19" t="s">
        <v>108</v>
      </c>
      <c r="C7" s="22">
        <f>S_Top2_Quarterly!P117</f>
        <v>1.7897316151860061</v>
      </c>
      <c r="D7" s="23">
        <f t="shared" si="0"/>
        <v>6.3762640561899619E-2</v>
      </c>
      <c r="E7" s="23">
        <f>STDEV(S_Top2_Quarterly!O5:O117)*SQRT(12)</f>
        <v>0.33697658625963706</v>
      </c>
      <c r="F7" s="22">
        <f>(AVERAGE(S_Top2_Quarterly!O5:O117)-AVERAGE(Benchmark_RF!D5:D117))/STDEV(S_Top2_Quarterly!O5:O117)*SQRT(12)</f>
        <v>3.9196800252586997E-2</v>
      </c>
      <c r="G7" s="23">
        <f>MIN(S_Top2_Quarterly!R5:R117)</f>
        <v>-0.679450940147871</v>
      </c>
      <c r="H7" s="22">
        <f>SLOPE(S_Top2_Quarterly!S5:S117,Benchmark_RF!E5:E117)</f>
        <v>1.086375757961147</v>
      </c>
      <c r="I7" s="23">
        <f>INTERCEPT(S_Top2_Quarterly!S5:S117,Benchmark_RF!E5:E117)*12</f>
        <v>-3.2366386277829937E-2</v>
      </c>
      <c r="J7" s="23">
        <f>D7-(Benchmark_RF!F117^(12/113)-1)</f>
        <v>-6.8500332593262048E-2</v>
      </c>
    </row>
    <row r="8" spans="1:10" ht="15" customHeight="1" x14ac:dyDescent="0.25">
      <c r="A8" s="19" t="s">
        <v>109</v>
      </c>
      <c r="B8" s="19" t="s">
        <v>106</v>
      </c>
      <c r="C8" s="22">
        <f>S_Top3_Annual!P117</f>
        <v>8.6645312680201467</v>
      </c>
      <c r="D8" s="23">
        <f t="shared" si="0"/>
        <v>0.25771878534880988</v>
      </c>
      <c r="E8" s="23">
        <f>STDEV(S_Top3_Annual!O5:O117)*SQRT(12)</f>
        <v>0.3279183794885917</v>
      </c>
      <c r="F8" s="22">
        <f>(AVERAGE(S_Top3_Annual!O5:O117)-AVERAGE(Benchmark_RF!D5:D117))/STDEV(S_Top3_Annual!O5:O117)*SQRT(12)</f>
        <v>0.55549513208027812</v>
      </c>
      <c r="G8" s="23">
        <f>MIN(S_Top3_Annual!R5:R117)</f>
        <v>-0.42346846356745027</v>
      </c>
      <c r="H8" s="22">
        <f>SLOPE(S_Top3_Annual!S5:S117,Benchmark_RF!E5:E117)</f>
        <v>1.1388197200628787</v>
      </c>
      <c r="I8" s="23">
        <f>INTERCEPT(S_Top3_Annual!S5:S117,Benchmark_RF!E5:E117)*12</f>
        <v>0.13438218502789595</v>
      </c>
      <c r="J8" s="23">
        <f>D8-(Benchmark_RF!F117^(12/113)-1)</f>
        <v>0.12545581219364821</v>
      </c>
    </row>
    <row r="9" spans="1:10" ht="15" customHeight="1" x14ac:dyDescent="0.25">
      <c r="A9" s="19" t="s">
        <v>109</v>
      </c>
      <c r="B9" s="19" t="s">
        <v>107</v>
      </c>
      <c r="C9" s="22">
        <f>S_Top3_SemiAnnual!P117</f>
        <v>8.3819794724742707</v>
      </c>
      <c r="D9" s="23">
        <f t="shared" si="0"/>
        <v>0.25329845831100761</v>
      </c>
      <c r="E9" s="23">
        <f>STDEV(S_Top3_SemiAnnual!O5:O117)*SQRT(12)</f>
        <v>0.34402119092735917</v>
      </c>
      <c r="F9" s="22">
        <f>(AVERAGE(S_Top3_SemiAnnual!O5:O117)-AVERAGE(Benchmark_RF!D5:D117))/STDEV(S_Top3_SemiAnnual!O5:O117)*SQRT(12)</f>
        <v>0.52706529285105486</v>
      </c>
      <c r="G9" s="23">
        <f>MIN(S_Top3_SemiAnnual!R5:R117)</f>
        <v>-0.42635925545091502</v>
      </c>
      <c r="H9" s="22">
        <f>SLOPE(S_Top3_SemiAnnual!S5:S117,Benchmark_RF!E5:E117)</f>
        <v>1.1359832964013847</v>
      </c>
      <c r="I9" s="23">
        <f>INTERCEPT(S_Top3_SemiAnnual!S5:S117,Benchmark_RF!E5:E117)*12</f>
        <v>0.13366574268314863</v>
      </c>
      <c r="J9" s="23">
        <f>D9-(Benchmark_RF!F117^(12/113)-1)</f>
        <v>0.12103548515584595</v>
      </c>
    </row>
    <row r="10" spans="1:10" ht="15" customHeight="1" x14ac:dyDescent="0.25">
      <c r="A10" s="19" t="s">
        <v>109</v>
      </c>
      <c r="B10" s="19" t="s">
        <v>108</v>
      </c>
      <c r="C10" s="22">
        <f>S_Top3_Quarterly!P117</f>
        <v>4.1425101218949809</v>
      </c>
      <c r="D10" s="23">
        <f t="shared" si="0"/>
        <v>0.16292073607193713</v>
      </c>
      <c r="E10" s="23">
        <f>STDEV(S_Top3_Quarterly!O5:O117)*SQRT(12)</f>
        <v>0.32026876197519943</v>
      </c>
      <c r="F10" s="22">
        <f>(AVERAGE(S_Top3_Quarterly!O5:O117)-AVERAGE(Benchmark_RF!D5:D117))/STDEV(S_Top3_Quarterly!O5:O117)*SQRT(12)</f>
        <v>0.30384592188079901</v>
      </c>
      <c r="G10" s="23">
        <f>MIN(S_Top3_Quarterly!R5:R117)</f>
        <v>-0.49874030443920059</v>
      </c>
      <c r="H10" s="22">
        <f>SLOPE(S_Top3_Quarterly!S5:S117,Benchmark_RF!E5:E117)</f>
        <v>1.068441605946282</v>
      </c>
      <c r="I10" s="23">
        <f>INTERCEPT(S_Top3_Quarterly!S5:S117,Benchmark_RF!E5:E117)*12</f>
        <v>5.2489926599039817E-2</v>
      </c>
      <c r="J10" s="23">
        <f>D10-(Benchmark_RF!F117^(12/113)-1)</f>
        <v>3.0657762916775466E-2</v>
      </c>
    </row>
    <row r="11" spans="1:10" ht="15" customHeight="1" x14ac:dyDescent="0.25">
      <c r="A11" s="19" t="s">
        <v>110</v>
      </c>
      <c r="B11" s="19" t="s">
        <v>106</v>
      </c>
      <c r="C11" s="22">
        <f>S_Top5_Annual!P117</f>
        <v>4.9612325599463478</v>
      </c>
      <c r="D11" s="23">
        <f t="shared" si="0"/>
        <v>0.18540818208147281</v>
      </c>
      <c r="E11" s="23">
        <f>STDEV(S_Top5_Annual!O5:O117)*SQRT(12)</f>
        <v>0.2437854436629017</v>
      </c>
      <c r="F11" s="22">
        <f>(AVERAGE(S_Top5_Annual!O5:O117)-AVERAGE(Benchmark_RF!D5:D117))/STDEV(S_Top5_Annual!O5:O117)*SQRT(12)</f>
        <v>0.39270310035920364</v>
      </c>
      <c r="G11" s="23">
        <f>MIN(S_Top5_Annual!R5:R117)</f>
        <v>-0.30643336132876109</v>
      </c>
      <c r="H11" s="22">
        <f>SLOPE(S_Top5_Annual!S5:S117,Benchmark_RF!E5:E117)</f>
        <v>0.93302628965568479</v>
      </c>
      <c r="I11" s="23">
        <f>INTERCEPT(S_Top5_Annual!S5:S117,Benchmark_RF!E5:E117)*12</f>
        <v>5.6593706864668747E-2</v>
      </c>
      <c r="J11" s="23">
        <f>D11-(Benchmark_RF!F117^(12/113)-1)</f>
        <v>5.3145208926311138E-2</v>
      </c>
    </row>
    <row r="12" spans="1:10" ht="15" customHeight="1" x14ac:dyDescent="0.25">
      <c r="A12" s="19" t="s">
        <v>110</v>
      </c>
      <c r="B12" s="19" t="s">
        <v>107</v>
      </c>
      <c r="C12" s="22">
        <f>S_Top5_SemiAnnual!P117</f>
        <v>5.0511570546571249</v>
      </c>
      <c r="D12" s="23">
        <f t="shared" si="0"/>
        <v>0.18767161149399469</v>
      </c>
      <c r="E12" s="23">
        <f>STDEV(S_Top5_SemiAnnual!O5:O117)*SQRT(12)</f>
        <v>0.25660327518185905</v>
      </c>
      <c r="F12" s="22">
        <f>(AVERAGE(S_Top5_SemiAnnual!O5:O117)-AVERAGE(Benchmark_RF!D5:D117))/STDEV(S_Top5_SemiAnnual!O5:O117)*SQRT(12)</f>
        <v>0.39387923998763247</v>
      </c>
      <c r="G12" s="23">
        <f>MIN(S_Top5_SemiAnnual!R5:R117)</f>
        <v>-0.36941748924441953</v>
      </c>
      <c r="H12" s="22">
        <f>SLOPE(S_Top5_SemiAnnual!S5:S117,Benchmark_RF!E5:E117)</f>
        <v>0.9504661393467031</v>
      </c>
      <c r="I12" s="23">
        <f>INTERCEPT(S_Top5_SemiAnnual!S5:S117,Benchmark_RF!E5:E117)*12</f>
        <v>6.1197487322811168E-2</v>
      </c>
      <c r="J12" s="23">
        <f>D12-(Benchmark_RF!F117^(12/113)-1)</f>
        <v>5.5408638338833027E-2</v>
      </c>
    </row>
    <row r="13" spans="1:10" ht="15" customHeight="1" x14ac:dyDescent="0.25">
      <c r="A13" s="19" t="s">
        <v>110</v>
      </c>
      <c r="B13" s="19" t="s">
        <v>108</v>
      </c>
      <c r="C13" s="22">
        <f>S_Top5_Quarterly!P117</f>
        <v>4.2157671376822137</v>
      </c>
      <c r="D13" s="23">
        <f t="shared" si="0"/>
        <v>0.16508759570049758</v>
      </c>
      <c r="E13" s="23">
        <f>STDEV(S_Top5_Quarterly!O5:O117)*SQRT(12)</f>
        <v>0.25258122805452055</v>
      </c>
      <c r="F13" s="22">
        <f>(AVERAGE(S_Top5_Quarterly!O5:O117)-AVERAGE(Benchmark_RF!D5:D117))/STDEV(S_Top5_Quarterly!O5:O117)*SQRT(12)</f>
        <v>0.31841752402341106</v>
      </c>
      <c r="G13" s="23">
        <f>MIN(S_Top5_Quarterly!R5:R117)</f>
        <v>-0.41066777004577337</v>
      </c>
      <c r="H13" s="22">
        <f>SLOPE(S_Top5_Quarterly!S5:S117,Benchmark_RF!E5:E117)</f>
        <v>0.94836308337952624</v>
      </c>
      <c r="I13" s="23">
        <f>INTERCEPT(S_Top5_Quarterly!S5:S117,Benchmark_RF!E5:E117)*12</f>
        <v>4.0641299334781111E-2</v>
      </c>
      <c r="J13" s="23">
        <f>D13-(Benchmark_RF!F117^(12/113)-1)</f>
        <v>3.2824622545335913E-2</v>
      </c>
    </row>
    <row r="14" spans="1:10" ht="15" customHeight="1" x14ac:dyDescent="0.25">
      <c r="A14" s="24" t="s">
        <v>60</v>
      </c>
      <c r="B14" s="24" t="s">
        <v>40</v>
      </c>
      <c r="C14" s="25">
        <f>Benchmark_RF!F117</f>
        <v>3.2210969203324349</v>
      </c>
      <c r="D14" s="26">
        <f>Benchmark_RF!F117^(12/113)-1</f>
        <v>0.13226297315516167</v>
      </c>
      <c r="E14" s="26">
        <f>STDEV(Benchmark_RF!C5:C117)*SQRT(12)</f>
        <v>0.21239379707533423</v>
      </c>
      <c r="F14" s="25">
        <f>(AVERAGE(Benchmark_RF!C5:C117)-AVERAGE(Benchmark_RF!D5:D117))/STDEV(Benchmark_RF!C5:C117)*SQRT(12)</f>
        <v>0.19751622801303975</v>
      </c>
      <c r="G14" s="24"/>
      <c r="H14" s="24"/>
      <c r="I14" s="24"/>
      <c r="J14" s="2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Assumptions</vt:lpstr>
      <vt:lpstr>Raw_Prices</vt:lpstr>
      <vt:lpstr>KSE100_Benchmark</vt:lpstr>
      <vt:lpstr>RiskFree</vt:lpstr>
      <vt:lpstr>Returns</vt:lpstr>
      <vt:lpstr>Momentum_Signal</vt:lpstr>
      <vt:lpstr>Rankings</vt:lpstr>
      <vt:lpstr>S_Top2_Annual</vt:lpstr>
      <vt:lpstr>S_Top2_SemiAnnual</vt:lpstr>
      <vt:lpstr>S_Top2_Quarterly</vt:lpstr>
      <vt:lpstr>S_Top3_Annual</vt:lpstr>
      <vt:lpstr>S_Top3_SemiAnnual</vt:lpstr>
      <vt:lpstr>S_Top3_Quarterly</vt:lpstr>
      <vt:lpstr>S_Top5_Annual</vt:lpstr>
      <vt:lpstr>S_Top5_SemiAnnual</vt:lpstr>
      <vt:lpstr>S_Top5_Quarterly</vt:lpstr>
      <vt:lpstr>Benchmark_RF</vt:lpstr>
      <vt:lpstr>Scenario_Summary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 Rasheed</cp:lastModifiedBy>
  <cp:revision>2</cp:revision>
  <dcterms:created xsi:type="dcterms:W3CDTF">2026-06-21T09:47:07Z</dcterms:created>
  <dcterms:modified xsi:type="dcterms:W3CDTF">2026-07-09T17:03:24Z</dcterms:modified>
  <dc:language>en-US</dc:language>
</cp:coreProperties>
</file>