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Raw_Prices" sheetId="3" state="visible" r:id="rId5"/>
    <sheet name="KSE100_Benchmark" sheetId="4" state="visible" r:id="rId6"/>
    <sheet name="RiskFree" sheetId="5" state="visible" r:id="rId7"/>
    <sheet name="Returns" sheetId="6" state="visible" r:id="rId8"/>
    <sheet name="Momentum_Signal" sheetId="7" state="visible" r:id="rId9"/>
    <sheet name="Rankings" sheetId="8" state="visible" r:id="rId10"/>
    <sheet name="S_Top2_Annual" sheetId="9" state="visible" r:id="rId11"/>
    <sheet name="S_Top2_SemiAnnual" sheetId="10" state="visible" r:id="rId12"/>
    <sheet name="S_Top2_Quarterly" sheetId="11" state="visible" r:id="rId13"/>
    <sheet name="S_Top3_Annual" sheetId="12" state="visible" r:id="rId14"/>
    <sheet name="S_Top3_SemiAnnual" sheetId="13" state="visible" r:id="rId15"/>
    <sheet name="S_Top3_Quarterly" sheetId="14" state="visible" r:id="rId16"/>
    <sheet name="S_Top5_Annual" sheetId="15" state="visible" r:id="rId17"/>
    <sheet name="S_Top5_SemiAnnual" sheetId="16" state="visible" r:id="rId18"/>
    <sheet name="S_Top5_Quarterly" sheetId="17" state="visible" r:id="rId19"/>
    <sheet name="Benchmark_RF" sheetId="18" state="visible" r:id="rId20"/>
    <sheet name="Scenario_Summary" sheetId="19" state="visible" r:id="rId21"/>
    <sheet name="Charts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<sst xmlns="http://schemas.openxmlformats.org/spreadsheetml/2006/main" count="341" uniqueCount="121">
  <si>
    <t xml:space="preserve">PSX Momentum Investing Case Study — Workbook</t>
  </si>
  <si>
    <t xml:space="preserve">A Case Study of Momentum Investing on Selected PSX Stocks: Evaluating Rebalancing Frequency for Pakistani Retail Investors</t>
  </si>
  <si>
    <t xml:space="preserve">Data period: Jan 2015 – Dec 2024 (120 months). Original instructions stated Jan 2014; corrected after data review — no 2014 data exists in any source.</t>
  </si>
  <si>
    <t xml:space="preserve">Sheet guide:</t>
  </si>
  <si>
    <t xml:space="preserve">  Raw_Prices       Monthly close prices for 8 PSX stocks (source: FYP.xlsx, "Mutual Fund" placeholder column removed — out of scope)</t>
  </si>
  <si>
    <t xml:space="preserve">  KSE100_Benchmark  Monthly KSE-100 index level (source: Karachi_100_Historical_Data_1.csv, cleaned)</t>
  </si>
  <si>
    <t xml:space="preserve">  RiskFree          Monthly 3-Month T-Bill yield (source: data_series.csv, originally bi-weekly auction data)</t>
  </si>
  <si>
    <t xml:space="preserve">  Returns           Monthly simple returns for all 8 stocks + KSE-100, computed via formula from Raw_Prices/KSE100_Benchmark</t>
  </si>
  <si>
    <t xml:space="preserve">  Assumptions       All model assumptions: costs, CGT brackets, strategy parameters (single source of truth — referenced by formula in later sheets, not retyped)</t>
  </si>
  <si>
    <t xml:space="preserve">Data cleaning notes (see also project report, Data &amp; Methodology section):</t>
  </si>
  <si>
    <t xml:space="preserve">  1. Raw_Prices dates: the source file stored the calendar month number in the "day" field of the date (a data entry artifact). Corrected so each row maps to the correct Year-Month.</t>
  </si>
  <si>
    <t xml:space="preserve">  2. KSE100_Benchmark: prices were stored as text with thousand-separator commas; converted to numeric.</t>
  </si>
  <si>
    <t xml:space="preserve">  3. RiskFree: T-Bill auction data is irregular/bi-weekly. Converted to monthly by taking the last auction yield observed within each calendar month (documented assumption).</t>
  </si>
  <si>
    <t xml:space="preserve">  4. "Mutual fund" column in original FYP.xlsx was an empty placeholder for an out-of-scope dataset; removed entirely.</t>
  </si>
  <si>
    <t xml:space="preserve">Model Assumptions</t>
  </si>
  <si>
    <t xml:space="preserve">Strategy Parameters</t>
  </si>
  <si>
    <t xml:space="preserve">Formation Period (months)</t>
  </si>
  <si>
    <t xml:space="preserve">Holding Period (months)</t>
  </si>
  <si>
    <t xml:space="preserve">Portfolio Sizes (Top N)</t>
  </si>
  <si>
    <t xml:space="preserve">2 / 3 / 5</t>
  </si>
  <si>
    <t xml:space="preserve">Tested as separate scenarios</t>
  </si>
  <si>
    <t xml:space="preserve">Rebalancing Frequencies</t>
  </si>
  <si>
    <t xml:space="preserve">Annual / Semi-Annual / Quarterly</t>
  </si>
  <si>
    <t xml:space="preserve">Weighting Scheme</t>
  </si>
  <si>
    <t xml:space="preserve">Equal-weighted</t>
  </si>
  <si>
    <t xml:space="preserve">Trading Costs</t>
  </si>
  <si>
    <t xml:space="preserve">Brokerage (per trade, one-way)</t>
  </si>
  <si>
    <t xml:space="preserve">%</t>
  </si>
  <si>
    <t xml:space="preserve">CDC Charges (per trade, one-way)</t>
  </si>
  <si>
    <t xml:space="preserve">Total Transaction Cost (per trade)</t>
  </si>
  <si>
    <t xml:space="preserve">Applied on buy and sell</t>
  </si>
  <si>
    <t xml:space="preserve">Capital Gains Tax (CGT)</t>
  </si>
  <si>
    <t xml:space="preserve">CGT — Holding &lt; 1 year</t>
  </si>
  <si>
    <t xml:space="preserve">Applies to positions closed before 12 full months</t>
  </si>
  <si>
    <t xml:space="preserve">CGT — Holding 1–2 years</t>
  </si>
  <si>
    <t xml:space="preserve">CGT — Holding &gt; 2 years</t>
  </si>
  <si>
    <t xml:space="preserve">CGT convention for exactly 12-month holds</t>
  </si>
  <si>
    <t xml:space="preserve">Treated as &lt; 1 year (15%)</t>
  </si>
  <si>
    <t xml:space="preserve">Documented assumption — strategy holding period is exactly 12 months, so this bracket choice is applied consistently across all scenarios</t>
  </si>
  <si>
    <t xml:space="preserve">Benchmark &amp; Risk-Free</t>
  </si>
  <si>
    <t xml:space="preserve">Benchmark</t>
  </si>
  <si>
    <t xml:space="preserve">KSE-100 Index</t>
  </si>
  <si>
    <t xml:space="preserve">Risk-Free Rate</t>
  </si>
  <si>
    <t xml:space="preserve">3-Month T-Bill (monthly, see RiskFree sheet)</t>
  </si>
  <si>
    <t xml:space="preserve">Sample Period</t>
  </si>
  <si>
    <t xml:space="preserve">Start</t>
  </si>
  <si>
    <t xml:space="preserve">Jan-2015</t>
  </si>
  <si>
    <t xml:space="preserve">Corrected from Jan-2014 — no 2014 data available in source files</t>
  </si>
  <si>
    <t xml:space="preserve">End</t>
  </si>
  <si>
    <t xml:space="preserve">Dec-2024</t>
  </si>
  <si>
    <t xml:space="preserve">Number of months</t>
  </si>
  <si>
    <t xml:space="preserve">Date</t>
  </si>
  <si>
    <t xml:space="preserve">OGDC</t>
  </si>
  <si>
    <t xml:space="preserve">MEBL</t>
  </si>
  <si>
    <t xml:space="preserve">EFERT</t>
  </si>
  <si>
    <t xml:space="preserve">MCB</t>
  </si>
  <si>
    <t xml:space="preserve">LUCK</t>
  </si>
  <si>
    <t xml:space="preserve">FFC</t>
  </si>
  <si>
    <t xml:space="preserve">SAZEW</t>
  </si>
  <si>
    <t xml:space="preserve">MARI</t>
  </si>
  <si>
    <t xml:space="preserve">KSE-100</t>
  </si>
  <si>
    <t xml:space="preserve">T-Bill 3M Yield (Annualized %)</t>
  </si>
  <si>
    <t xml:space="preserve">Note: converted from bi-weekly auction data — last observed yield per calendar month.</t>
  </si>
  <si>
    <t xml:space="preserve">Row 2 (Jan-2015) is blank — no prior month to compute return from.</t>
  </si>
  <si>
    <t xml:space="preserve">6-Month Trailing Formation Return (Momentum Signal)</t>
  </si>
  <si>
    <t xml:space="preserve">Signal at month i = cumulative return over months (i-5) to i. First available i=7 (Jul-2015), needs 6 prior monthly returns.</t>
  </si>
  <si>
    <t xml:space="preserve">Month (i)</t>
  </si>
  <si>
    <t xml:space="preserve">Momentum Rank (1 = strongest 6-month trailing return)</t>
  </si>
  <si>
    <t xml:space="preserve">Scenario: Top 2 stocks, Annual rebalancing (hold 12 months)</t>
  </si>
  <si>
    <t xml:space="preserve">Holdings flag in each row = lookup of Rankings at the governing formation-month (decision row), held constant until next rebalance. Decision i -&gt; holding starts month i+1.</t>
  </si>
  <si>
    <t xml:space="preserve">Month (j)</t>
  </si>
  <si>
    <t xml:space="preserve">Held N</t>
  </si>
  <si>
    <t xml:space="preserve">Gross Return</t>
  </si>
  <si>
    <t xml:space="preserve">Txn Cost</t>
  </si>
  <si>
    <t xml:space="preserve">CGT</t>
  </si>
  <si>
    <t xml:space="preserve">Net Return</t>
  </si>
  <si>
    <t xml:space="preserve">Growth of Rs.1</t>
  </si>
  <si>
    <t xml:space="preserve">Running Max</t>
  </si>
  <si>
    <t xml:space="preserve">Drawdown</t>
  </si>
  <si>
    <t xml:space="preserve">Excess Return</t>
  </si>
  <si>
    <t xml:space="preserve">Scenario: Top 2 stocks, SemiAnnual rebalancing (hold 6 months)</t>
  </si>
  <si>
    <t xml:space="preserve">Scenario: Top 2 stocks, Quarterly rebalancing (hold 3 months)</t>
  </si>
  <si>
    <t xml:space="preserve">Scenario: Top 3 stocks, Annual rebalancing (hold 12 months)</t>
  </si>
  <si>
    <t xml:space="preserve">Scenario: Top 3 stocks, SemiAnnual rebalancing (hold 6 months)</t>
  </si>
  <si>
    <t xml:space="preserve">Scenario: Top 3 stocks, Quarterly rebalancing (hold 3 months)</t>
  </si>
  <si>
    <t xml:space="preserve">Scenario: Top 5 stocks, Annual rebalancing (hold 12 months)</t>
  </si>
  <si>
    <t xml:space="preserve">Scenario: Top 5 stocks, SemiAnnual rebalancing (hold 6 months)</t>
  </si>
  <si>
    <t xml:space="preserve">Scenario: Top 5 stocks, Quarterly rebalancing (hold 3 months)</t>
  </si>
  <si>
    <t xml:space="preserve">Benchmark (KSE-100) and Risk-Free Series, aligned to portfolio holding months (j = 8 .. 120)</t>
  </si>
  <si>
    <t xml:space="preserve">KSE-100 Return</t>
  </si>
  <si>
    <t xml:space="preserve">RF Monthly (from annual T-Bill)</t>
  </si>
  <si>
    <t xml:space="preserve">KSE-100 Excess</t>
  </si>
  <si>
    <t xml:space="preserve">Growth of Rs.1 (KSE-100)</t>
  </si>
  <si>
    <t xml:space="preserve">Risk-Adjusted Performance Summary — All 9 Momentum Scenarios</t>
  </si>
  <si>
    <t xml:space="preserve">All metrics computed by formula directly from each scenario engine sheet (S_TopN_Frequency) and the Benchmark_RF sheet. Period: Aug-2015 to Dec-2024 (113 holding months).</t>
  </si>
  <si>
    <t xml:space="preserve">Portfolio Size</t>
  </si>
  <si>
    <t xml:space="preserve">Rebalancing</t>
  </si>
  <si>
    <t xml:space="preserve">Final Growth (Rs.1)</t>
  </si>
  <si>
    <t xml:space="preserve">Annualized Return</t>
  </si>
  <si>
    <t xml:space="preserve">Annualized Volatility</t>
  </si>
  <si>
    <t xml:space="preserve">Sharpe Ratio</t>
  </si>
  <si>
    <t xml:space="preserve">Max Drawdown</t>
  </si>
  <si>
    <t xml:space="preserve">CAPM Beta</t>
  </si>
  <si>
    <t xml:space="preserve">CAPM Alpha (annualized)</t>
  </si>
  <si>
    <t xml:space="preserve">Excess Return vs KSE-100</t>
  </si>
  <si>
    <t xml:space="preserve">Top 2</t>
  </si>
  <si>
    <t xml:space="preserve">Annual</t>
  </si>
  <si>
    <t xml:space="preserve">Semi-Annual</t>
  </si>
  <si>
    <t xml:space="preserve">Quarterly</t>
  </si>
  <si>
    <t xml:space="preserve">Top 3</t>
  </si>
  <si>
    <t xml:space="preserve">Top 5</t>
  </si>
  <si>
    <t xml:space="preserve">Charts &amp; Visualizations</t>
  </si>
  <si>
    <t xml:space="preserve">Top2-Annual</t>
  </si>
  <si>
    <t xml:space="preserve">Top2-SemiAnnual</t>
  </si>
  <si>
    <t xml:space="preserve">Top2-Quarterly</t>
  </si>
  <si>
    <t xml:space="preserve">Top3-Annual</t>
  </si>
  <si>
    <t xml:space="preserve">Top3-SemiAnnual</t>
  </si>
  <si>
    <t xml:space="preserve">Top3-Quarterly</t>
  </si>
  <si>
    <t xml:space="preserve">Top5-Annual</t>
  </si>
  <si>
    <t xml:space="preserve">Top5-SemiAnnual</t>
  </si>
  <si>
    <t xml:space="preserve">Top5-Quarterly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</si>
</sst>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General"/>
    <numFmt numFmtId="167" formatCode="mmm\-yyyy"/>
    <numFmt numFmtId="168" formatCode="#,##0.00"/>
    <numFmt numFmtId="169" formatCode="0.0000"/>
    <numFmt numFmtId="170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B3B3B3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Growth of Rs. 1 Invested — All Scenarios vs KSE-100 (Aug 2015 - Dec 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Charts!B3</c:f>
              <c:strCache>
                <c:ptCount val="1"/>
                <c:pt idx="0">
                  <c:v>Top2-Annual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Charts!$A$4:$A$116</c:f>
              <c:strCache>
                <c:ptCount val="113"/>
                <c:pt idx="0">
                  <c:v>Aug-2015</c:v>
                </c:pt>
                <c:pt idx="1">
                  <c:v>Sep-2015</c:v>
                </c:pt>
                <c:pt idx="2">
                  <c:v>Oct-2015</c:v>
                </c:pt>
                <c:pt idx="3">
                  <c:v>Nov-2015</c:v>
                </c:pt>
                <c:pt idx="4">
                  <c:v>Dec-2015</c:v>
                </c:pt>
                <c:pt idx="5">
                  <c:v>Jan-2016</c:v>
                </c:pt>
                <c:pt idx="6">
                  <c:v>Feb-2016</c:v>
                </c:pt>
                <c:pt idx="7">
                  <c:v>Mar-2016</c:v>
                </c:pt>
                <c:pt idx="8">
                  <c:v>Apr-2016</c:v>
                </c:pt>
                <c:pt idx="9">
                  <c:v>May-2016</c:v>
                </c:pt>
                <c:pt idx="10">
                  <c:v>Jun-2016</c:v>
                </c:pt>
                <c:pt idx="11">
                  <c:v>Jul-2016</c:v>
                </c:pt>
                <c:pt idx="12">
                  <c:v>Aug-2016</c:v>
                </c:pt>
                <c:pt idx="13">
                  <c:v>Sep-2016</c:v>
                </c:pt>
                <c:pt idx="14">
                  <c:v>Oct-2016</c:v>
                </c:pt>
                <c:pt idx="15">
                  <c:v>Nov-2016</c:v>
                </c:pt>
                <c:pt idx="16">
                  <c:v>Dec-2016</c:v>
                </c:pt>
                <c:pt idx="17">
                  <c:v>Jan-2017</c:v>
                </c:pt>
                <c:pt idx="18">
                  <c:v>Feb-2017</c:v>
                </c:pt>
                <c:pt idx="19">
                  <c:v>Mar-2017</c:v>
                </c:pt>
                <c:pt idx="20">
                  <c:v>Apr-2017</c:v>
                </c:pt>
                <c:pt idx="21">
                  <c:v>May-2017</c:v>
                </c:pt>
                <c:pt idx="22">
                  <c:v>Jun-2017</c:v>
                </c:pt>
                <c:pt idx="23">
                  <c:v>Jul-2017</c:v>
                </c:pt>
                <c:pt idx="24">
                  <c:v>Aug-2017</c:v>
                </c:pt>
                <c:pt idx="25">
                  <c:v>Sep-2017</c:v>
                </c:pt>
                <c:pt idx="26">
                  <c:v>Oct-2017</c:v>
                </c:pt>
                <c:pt idx="27">
                  <c:v>Nov-2017</c:v>
                </c:pt>
                <c:pt idx="28">
                  <c:v>Dec-2017</c:v>
                </c:pt>
                <c:pt idx="29">
                  <c:v>Jan-2018</c:v>
                </c:pt>
                <c:pt idx="30">
                  <c:v>Feb-2018</c:v>
                </c:pt>
                <c:pt idx="31">
                  <c:v>Mar-2018</c:v>
                </c:pt>
                <c:pt idx="32">
                  <c:v>Apr-2018</c:v>
                </c:pt>
                <c:pt idx="33">
                  <c:v>May-2018</c:v>
                </c:pt>
                <c:pt idx="34">
                  <c:v>Jun-2018</c:v>
                </c:pt>
                <c:pt idx="35">
                  <c:v>Jul-2018</c:v>
                </c:pt>
                <c:pt idx="36">
                  <c:v>Aug-2018</c:v>
                </c:pt>
                <c:pt idx="37">
                  <c:v>Sep-2018</c:v>
                </c:pt>
                <c:pt idx="38">
                  <c:v>Oct-2018</c:v>
                </c:pt>
                <c:pt idx="39">
                  <c:v>Nov-2018</c:v>
                </c:pt>
                <c:pt idx="40">
                  <c:v>Dec-2018</c:v>
                </c:pt>
                <c:pt idx="41">
                  <c:v>Jan-2019</c:v>
                </c:pt>
                <c:pt idx="42">
                  <c:v>Feb-2019</c:v>
                </c:pt>
                <c:pt idx="43">
                  <c:v>Mar-2019</c:v>
                </c:pt>
                <c:pt idx="44">
                  <c:v>Apr-2019</c:v>
                </c:pt>
                <c:pt idx="45">
                  <c:v>May-2019</c:v>
                </c:pt>
                <c:pt idx="46">
                  <c:v>Jun-2019</c:v>
                </c:pt>
                <c:pt idx="47">
                  <c:v>Jul-2019</c:v>
                </c:pt>
                <c:pt idx="48">
                  <c:v>Aug-2019</c:v>
                </c:pt>
                <c:pt idx="49">
                  <c:v>Sep-2019</c:v>
                </c:pt>
                <c:pt idx="50">
                  <c:v>Oct-2019</c:v>
                </c:pt>
                <c:pt idx="51">
                  <c:v>Nov-2019</c:v>
                </c:pt>
                <c:pt idx="52">
                  <c:v>Dec-2019</c:v>
                </c:pt>
                <c:pt idx="53">
                  <c:v>Jan-2020</c:v>
                </c:pt>
                <c:pt idx="54">
                  <c:v>Feb-2020</c:v>
                </c:pt>
                <c:pt idx="55">
                  <c:v>Mar-2020</c:v>
                </c:pt>
                <c:pt idx="56">
                  <c:v>Apr-2020</c:v>
                </c:pt>
                <c:pt idx="57">
                  <c:v>May-2020</c:v>
                </c:pt>
                <c:pt idx="58">
                  <c:v>Jun-2020</c:v>
                </c:pt>
                <c:pt idx="59">
                  <c:v>Jul-2020</c:v>
                </c:pt>
                <c:pt idx="60">
                  <c:v>Aug-2020</c:v>
                </c:pt>
                <c:pt idx="61">
                  <c:v>Sep-2020</c:v>
                </c:pt>
                <c:pt idx="62">
                  <c:v>Oct-2020</c:v>
                </c:pt>
                <c:pt idx="63">
                  <c:v>Nov-2020</c:v>
                </c:pt>
                <c:pt idx="64">
                  <c:v>Dec-2020</c:v>
                </c:pt>
                <c:pt idx="65">
                  <c:v>Jan-2021</c:v>
                </c:pt>
                <c:pt idx="66">
                  <c:v>Feb-2021</c:v>
                </c:pt>
                <c:pt idx="67">
                  <c:v>Mar-2021</c:v>
                </c:pt>
                <c:pt idx="68">
                  <c:v>Apr-2021</c:v>
                </c:pt>
                <c:pt idx="69">
                  <c:v>May-2021</c:v>
                </c:pt>
                <c:pt idx="70">
                  <c:v>Jun-2021</c:v>
                </c:pt>
                <c:pt idx="71">
                  <c:v>Jul-2021</c:v>
                </c:pt>
                <c:pt idx="72">
                  <c:v>Aug-2021</c:v>
                </c:pt>
                <c:pt idx="73">
                  <c:v>Sep-2021</c:v>
                </c:pt>
                <c:pt idx="74">
                  <c:v>Oct-2021</c:v>
                </c:pt>
                <c:pt idx="75">
                  <c:v>Nov-2021</c:v>
                </c:pt>
                <c:pt idx="76">
                  <c:v>Dec-2021</c:v>
                </c:pt>
                <c:pt idx="77">
                  <c:v>Jan-2022</c:v>
                </c:pt>
                <c:pt idx="78">
                  <c:v>Feb-2022</c:v>
                </c:pt>
                <c:pt idx="79">
                  <c:v>Mar-2022</c:v>
                </c:pt>
                <c:pt idx="80">
                  <c:v>Apr-2022</c:v>
                </c:pt>
                <c:pt idx="81">
                  <c:v>May-2022</c:v>
                </c:pt>
                <c:pt idx="82">
                  <c:v>Jun-2022</c:v>
                </c:pt>
                <c:pt idx="83">
                  <c:v>Jul-2022</c:v>
                </c:pt>
                <c:pt idx="84">
                  <c:v>Aug-2022</c:v>
                </c:pt>
                <c:pt idx="85">
                  <c:v>Sep-2022</c:v>
                </c:pt>
                <c:pt idx="86">
                  <c:v>Oct-2022</c:v>
                </c:pt>
                <c:pt idx="87">
                  <c:v>Nov-2022</c:v>
                </c:pt>
                <c:pt idx="88">
                  <c:v>Dec-2022</c:v>
                </c:pt>
                <c:pt idx="89">
                  <c:v>Jan-2023</c:v>
                </c:pt>
                <c:pt idx="90">
                  <c:v>Feb-2023</c:v>
                </c:pt>
                <c:pt idx="91">
                  <c:v>Mar-2023</c:v>
                </c:pt>
                <c:pt idx="92">
                  <c:v>Apr-2023</c:v>
                </c:pt>
                <c:pt idx="93">
                  <c:v>May-2023</c:v>
                </c:pt>
                <c:pt idx="94">
                  <c:v>Jun-2023</c:v>
                </c:pt>
                <c:pt idx="95">
                  <c:v>Jul-2023</c:v>
                </c:pt>
                <c:pt idx="96">
                  <c:v>Aug-2023</c:v>
                </c:pt>
                <c:pt idx="97">
                  <c:v>Sep-2023</c:v>
                </c:pt>
                <c:pt idx="98">
                  <c:v>Oct-2023</c:v>
                </c:pt>
                <c:pt idx="99">
                  <c:v>Nov-2023</c:v>
                </c:pt>
                <c:pt idx="100">
                  <c:v>Dec-2023</c:v>
                </c:pt>
                <c:pt idx="101">
                  <c:v>Jan-2024</c:v>
                </c:pt>
                <c:pt idx="102">
                  <c:v>Feb-2024</c:v>
                </c:pt>
                <c:pt idx="103">
                  <c:v>Mar-2024</c:v>
                </c:pt>
                <c:pt idx="104">
                  <c:v>Apr-2024</c:v>
                </c:pt>
                <c:pt idx="105">
                  <c:v>May-2024</c:v>
                </c:pt>
                <c:pt idx="106">
                  <c:v>Jun-2024</c:v>
                </c:pt>
                <c:pt idx="107">
                  <c:v>Jul-2024</c:v>
                </c:pt>
                <c:pt idx="108">
                  <c:v>Aug-2024</c:v>
                </c:pt>
                <c:pt idx="109">
                  <c:v>Sep-2024</c:v>
                </c:pt>
                <c:pt idx="110">
                  <c:v>Oct-2024</c:v>
                </c:pt>
                <c:pt idx="111">
                  <c:v>Nov-2024</c:v>
                </c:pt>
                <c:pt idx="112">
                  <c:v>Dec-2024</c:v>
                </c:pt>
              </c:strCache>
            </c:strRef>
          </c:cat>
          <c:val>
            <c:numRef>
              <c:f>Charts!$B$4:$B$116</c:f>
              <c:numCache>
                <c:formatCode>0.0000</c:formatCode>
                <c:ptCount val="113"/>
                <c:pt idx="0">
                  <c:v>0.936318870657574</c:v>
                </c:pt>
                <c:pt idx="1">
                  <c:v>0.88868479095783</c:v>
                </c:pt>
                <c:pt idx="2">
                  <c:v>0.906249530267276</c:v>
                </c:pt>
                <c:pt idx="3">
                  <c:v>0.836795174410135</c:v>
                </c:pt>
                <c:pt idx="4">
                  <c:v>0.839850961876856</c:v>
                </c:pt>
                <c:pt idx="5">
                  <c:v>0.80682234374286</c:v>
                </c:pt>
                <c:pt idx="6">
                  <c:v>0.804048381407801</c:v>
                </c:pt>
                <c:pt idx="7">
                  <c:v>0.833778840853777</c:v>
                </c:pt>
                <c:pt idx="8">
                  <c:v>0.848359706599209</c:v>
                </c:pt>
                <c:pt idx="9">
                  <c:v>0.906938049299464</c:v>
                </c:pt>
                <c:pt idx="10">
                  <c:v>0.952382266314441</c:v>
                </c:pt>
                <c:pt idx="11">
                  <c:v>1.0169651887498</c:v>
                </c:pt>
                <c:pt idx="12">
                  <c:v>1.05064596209193</c:v>
                </c:pt>
                <c:pt idx="13">
                  <c:v>1.36804626247639</c:v>
                </c:pt>
                <c:pt idx="14">
                  <c:v>1.51062736375615</c:v>
                </c:pt>
                <c:pt idx="15">
                  <c:v>1.84599604609788</c:v>
                </c:pt>
                <c:pt idx="16">
                  <c:v>1.86178568604823</c:v>
                </c:pt>
                <c:pt idx="17">
                  <c:v>1.85276541908305</c:v>
                </c:pt>
                <c:pt idx="18">
                  <c:v>1.76602413935258</c:v>
                </c:pt>
                <c:pt idx="19">
                  <c:v>1.79418985485446</c:v>
                </c:pt>
                <c:pt idx="20">
                  <c:v>2.00093983077198</c:v>
                </c:pt>
                <c:pt idx="21">
                  <c:v>2.74345995785826</c:v>
                </c:pt>
                <c:pt idx="22">
                  <c:v>3.15054724963469</c:v>
                </c:pt>
                <c:pt idx="23">
                  <c:v>2.84281642388892</c:v>
                </c:pt>
                <c:pt idx="24">
                  <c:v>1.45124744049128</c:v>
                </c:pt>
                <c:pt idx="25">
                  <c:v>1.60022202482037</c:v>
                </c:pt>
                <c:pt idx="26">
                  <c:v>1.52716965872016</c:v>
                </c:pt>
                <c:pt idx="27">
                  <c:v>1.91701547689513</c:v>
                </c:pt>
                <c:pt idx="28">
                  <c:v>1.86132374655861</c:v>
                </c:pt>
                <c:pt idx="29">
                  <c:v>1.97088267594466</c:v>
                </c:pt>
                <c:pt idx="30">
                  <c:v>1.99154344311892</c:v>
                </c:pt>
                <c:pt idx="31">
                  <c:v>2.41645186334033</c:v>
                </c:pt>
                <c:pt idx="32">
                  <c:v>2.47313071403867</c:v>
                </c:pt>
                <c:pt idx="33">
                  <c:v>2.52211335278393</c:v>
                </c:pt>
                <c:pt idx="34">
                  <c:v>2.62815707973326</c:v>
                </c:pt>
                <c:pt idx="35">
                  <c:v>2.80861572565959</c:v>
                </c:pt>
                <c:pt idx="36">
                  <c:v>2.77652522593576</c:v>
                </c:pt>
                <c:pt idx="37">
                  <c:v>2.78419766892251</c:v>
                </c:pt>
                <c:pt idx="38">
                  <c:v>2.84046314696326</c:v>
                </c:pt>
                <c:pt idx="39">
                  <c:v>2.74996093799543</c:v>
                </c:pt>
                <c:pt idx="40">
                  <c:v>2.48826418100854</c:v>
                </c:pt>
                <c:pt idx="41">
                  <c:v>2.88640494168644</c:v>
                </c:pt>
                <c:pt idx="42">
                  <c:v>2.88596415847083</c:v>
                </c:pt>
                <c:pt idx="43">
                  <c:v>2.83264716441644</c:v>
                </c:pt>
                <c:pt idx="44">
                  <c:v>2.75728455945916</c:v>
                </c:pt>
                <c:pt idx="45">
                  <c:v>2.57231514776202</c:v>
                </c:pt>
                <c:pt idx="46">
                  <c:v>2.43540202507124</c:v>
                </c:pt>
                <c:pt idx="47">
                  <c:v>2.51155893712959</c:v>
                </c:pt>
                <c:pt idx="48">
                  <c:v>2.17814066228916</c:v>
                </c:pt>
                <c:pt idx="49">
                  <c:v>2.35519210051634</c:v>
                </c:pt>
                <c:pt idx="50">
                  <c:v>2.42643458819638</c:v>
                </c:pt>
                <c:pt idx="51">
                  <c:v>2.70028394807742</c:v>
                </c:pt>
                <c:pt idx="52">
                  <c:v>2.82655106965663</c:v>
                </c:pt>
                <c:pt idx="53">
                  <c:v>2.94952417715313</c:v>
                </c:pt>
                <c:pt idx="54">
                  <c:v>2.77246775508892</c:v>
                </c:pt>
                <c:pt idx="55">
                  <c:v>1.95442080554318</c:v>
                </c:pt>
                <c:pt idx="56">
                  <c:v>2.57763091614596</c:v>
                </c:pt>
                <c:pt idx="57">
                  <c:v>2.6628240782735</c:v>
                </c:pt>
                <c:pt idx="58">
                  <c:v>2.63660438050183</c:v>
                </c:pt>
                <c:pt idx="59">
                  <c:v>3.0144831364566</c:v>
                </c:pt>
                <c:pt idx="60">
                  <c:v>2.93040239474971</c:v>
                </c:pt>
                <c:pt idx="61">
                  <c:v>3.03741548054266</c:v>
                </c:pt>
                <c:pt idx="62">
                  <c:v>3.02182211775257</c:v>
                </c:pt>
                <c:pt idx="63">
                  <c:v>3.07626120048345</c:v>
                </c:pt>
                <c:pt idx="64">
                  <c:v>3.27585637352588</c:v>
                </c:pt>
                <c:pt idx="65">
                  <c:v>3.39198966608205</c:v>
                </c:pt>
                <c:pt idx="66">
                  <c:v>3.67572610119218</c:v>
                </c:pt>
                <c:pt idx="67">
                  <c:v>3.42880677659146</c:v>
                </c:pt>
                <c:pt idx="68">
                  <c:v>3.37154672023725</c:v>
                </c:pt>
                <c:pt idx="69">
                  <c:v>3.5983830442764</c:v>
                </c:pt>
                <c:pt idx="70">
                  <c:v>3.41483020247802</c:v>
                </c:pt>
                <c:pt idx="71">
                  <c:v>3.46108294305973</c:v>
                </c:pt>
                <c:pt idx="72">
                  <c:v>3.79810975816434</c:v>
                </c:pt>
                <c:pt idx="73">
                  <c:v>3.74401154143652</c:v>
                </c:pt>
                <c:pt idx="74">
                  <c:v>3.78636374171625</c:v>
                </c:pt>
                <c:pt idx="75">
                  <c:v>3.93322128249619</c:v>
                </c:pt>
                <c:pt idx="76">
                  <c:v>3.69105743884698</c:v>
                </c:pt>
                <c:pt idx="77">
                  <c:v>3.82518970830138</c:v>
                </c:pt>
                <c:pt idx="78">
                  <c:v>3.81551586442315</c:v>
                </c:pt>
                <c:pt idx="79">
                  <c:v>3.55592841839254</c:v>
                </c:pt>
                <c:pt idx="80">
                  <c:v>3.74863272051472</c:v>
                </c:pt>
                <c:pt idx="81">
                  <c:v>3.40993759038798</c:v>
                </c:pt>
                <c:pt idx="82">
                  <c:v>3.03871451786778</c:v>
                </c:pt>
                <c:pt idx="83">
                  <c:v>3.10678479586309</c:v>
                </c:pt>
                <c:pt idx="84">
                  <c:v>3.59911761766999</c:v>
                </c:pt>
                <c:pt idx="85">
                  <c:v>3.37400124183604</c:v>
                </c:pt>
                <c:pt idx="86">
                  <c:v>3.11268502083478</c:v>
                </c:pt>
                <c:pt idx="87">
                  <c:v>3.28242214676871</c:v>
                </c:pt>
                <c:pt idx="88">
                  <c:v>2.90282228650906</c:v>
                </c:pt>
                <c:pt idx="89">
                  <c:v>2.7734080853278</c:v>
                </c:pt>
                <c:pt idx="90">
                  <c:v>2.90987556323072</c:v>
                </c:pt>
                <c:pt idx="91">
                  <c:v>2.6920090620489</c:v>
                </c:pt>
                <c:pt idx="92">
                  <c:v>2.91866556075859</c:v>
                </c:pt>
                <c:pt idx="93">
                  <c:v>3.20053091604357</c:v>
                </c:pt>
                <c:pt idx="94">
                  <c:v>3.28796548711799</c:v>
                </c:pt>
                <c:pt idx="95">
                  <c:v>4.14794869555791</c:v>
                </c:pt>
                <c:pt idx="96">
                  <c:v>3.5305243366612</c:v>
                </c:pt>
                <c:pt idx="97">
                  <c:v>3.49654046875397</c:v>
                </c:pt>
                <c:pt idx="98">
                  <c:v>4.00482644596563</c:v>
                </c:pt>
                <c:pt idx="99">
                  <c:v>4.37259508168146</c:v>
                </c:pt>
                <c:pt idx="100">
                  <c:v>4.45572118743883</c:v>
                </c:pt>
                <c:pt idx="101">
                  <c:v>4.5482625262083</c:v>
                </c:pt>
                <c:pt idx="102">
                  <c:v>4.92270957639058</c:v>
                </c:pt>
                <c:pt idx="103">
                  <c:v>5.11854601263728</c:v>
                </c:pt>
                <c:pt idx="104">
                  <c:v>5.58539420423869</c:v>
                </c:pt>
                <c:pt idx="105">
                  <c:v>5.48436343398155</c:v>
                </c:pt>
                <c:pt idx="106">
                  <c:v>6.15870467107402</c:v>
                </c:pt>
                <c:pt idx="107">
                  <c:v>6.50267390606858</c:v>
                </c:pt>
                <c:pt idx="108">
                  <c:v>5.74589885809376</c:v>
                </c:pt>
                <c:pt idx="109">
                  <c:v>6.58738616034973</c:v>
                </c:pt>
                <c:pt idx="110">
                  <c:v>7.45724438385614</c:v>
                </c:pt>
                <c:pt idx="111">
                  <c:v>8.60897644698989</c:v>
                </c:pt>
                <c:pt idx="112">
                  <c:v>9.49960970725431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Charts!C3</c:f>
              <c:strCache>
                <c:ptCount val="1"/>
                <c:pt idx="0">
                  <c:v>Top2-SemiAnnual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Charts!$A$4:$A$116</c:f>
              <c:strCache>
                <c:ptCount val="113"/>
                <c:pt idx="0">
                  <c:v>Aug-2015</c:v>
                </c:pt>
                <c:pt idx="1">
                  <c:v>Sep-2015</c:v>
                </c:pt>
                <c:pt idx="2">
                  <c:v>Oct-2015</c:v>
                </c:pt>
                <c:pt idx="3">
                  <c:v>Nov-2015</c:v>
                </c:pt>
                <c:pt idx="4">
                  <c:v>Dec-2015</c:v>
                </c:pt>
                <c:pt idx="5">
                  <c:v>Jan-2016</c:v>
                </c:pt>
                <c:pt idx="6">
                  <c:v>Feb-2016</c:v>
                </c:pt>
                <c:pt idx="7">
                  <c:v>Mar-2016</c:v>
                </c:pt>
                <c:pt idx="8">
                  <c:v>Apr-2016</c:v>
                </c:pt>
                <c:pt idx="9">
                  <c:v>May-2016</c:v>
                </c:pt>
                <c:pt idx="10">
                  <c:v>Jun-2016</c:v>
                </c:pt>
                <c:pt idx="11">
                  <c:v>Jul-2016</c:v>
                </c:pt>
                <c:pt idx="12">
                  <c:v>Aug-2016</c:v>
                </c:pt>
                <c:pt idx="13">
                  <c:v>Sep-2016</c:v>
                </c:pt>
                <c:pt idx="14">
                  <c:v>Oct-2016</c:v>
                </c:pt>
                <c:pt idx="15">
                  <c:v>Nov-2016</c:v>
                </c:pt>
                <c:pt idx="16">
                  <c:v>Dec-2016</c:v>
                </c:pt>
                <c:pt idx="17">
                  <c:v>Jan-2017</c:v>
                </c:pt>
                <c:pt idx="18">
                  <c:v>Feb-2017</c:v>
                </c:pt>
                <c:pt idx="19">
                  <c:v>Mar-2017</c:v>
                </c:pt>
                <c:pt idx="20">
                  <c:v>Apr-2017</c:v>
                </c:pt>
                <c:pt idx="21">
                  <c:v>May-2017</c:v>
                </c:pt>
                <c:pt idx="22">
                  <c:v>Jun-2017</c:v>
                </c:pt>
                <c:pt idx="23">
                  <c:v>Jul-2017</c:v>
                </c:pt>
                <c:pt idx="24">
                  <c:v>Aug-2017</c:v>
                </c:pt>
                <c:pt idx="25">
                  <c:v>Sep-2017</c:v>
                </c:pt>
                <c:pt idx="26">
                  <c:v>Oct-2017</c:v>
                </c:pt>
                <c:pt idx="27">
                  <c:v>Nov-2017</c:v>
                </c:pt>
                <c:pt idx="28">
                  <c:v>Dec-2017</c:v>
                </c:pt>
                <c:pt idx="29">
                  <c:v>Jan-2018</c:v>
                </c:pt>
                <c:pt idx="30">
                  <c:v>Feb-2018</c:v>
                </c:pt>
                <c:pt idx="31">
                  <c:v>Mar-2018</c:v>
                </c:pt>
                <c:pt idx="32">
                  <c:v>Apr-2018</c:v>
                </c:pt>
                <c:pt idx="33">
                  <c:v>May-2018</c:v>
                </c:pt>
                <c:pt idx="34">
                  <c:v>Jun-2018</c:v>
                </c:pt>
                <c:pt idx="35">
                  <c:v>Jul-2018</c:v>
                </c:pt>
                <c:pt idx="36">
                  <c:v>Aug-2018</c:v>
                </c:pt>
                <c:pt idx="37">
                  <c:v>Sep-2018</c:v>
                </c:pt>
                <c:pt idx="38">
                  <c:v>Oct-2018</c:v>
                </c:pt>
                <c:pt idx="39">
                  <c:v>Nov-2018</c:v>
                </c:pt>
                <c:pt idx="40">
                  <c:v>Dec-2018</c:v>
                </c:pt>
                <c:pt idx="41">
                  <c:v>Jan-2019</c:v>
                </c:pt>
                <c:pt idx="42">
                  <c:v>Feb-2019</c:v>
                </c:pt>
                <c:pt idx="43">
                  <c:v>Mar-2019</c:v>
                </c:pt>
                <c:pt idx="44">
                  <c:v>Apr-2019</c:v>
                </c:pt>
                <c:pt idx="45">
                  <c:v>May-2019</c:v>
                </c:pt>
                <c:pt idx="46">
                  <c:v>Jun-2019</c:v>
                </c:pt>
                <c:pt idx="47">
                  <c:v>Jul-2019</c:v>
                </c:pt>
                <c:pt idx="48">
                  <c:v>Aug-2019</c:v>
                </c:pt>
                <c:pt idx="49">
                  <c:v>Sep-2019</c:v>
                </c:pt>
                <c:pt idx="50">
                  <c:v>Oct-2019</c:v>
                </c:pt>
                <c:pt idx="51">
                  <c:v>Nov-2019</c:v>
                </c:pt>
                <c:pt idx="52">
                  <c:v>Dec-2019</c:v>
                </c:pt>
                <c:pt idx="53">
                  <c:v>Jan-2020</c:v>
                </c:pt>
                <c:pt idx="54">
                  <c:v>Feb-2020</c:v>
                </c:pt>
                <c:pt idx="55">
                  <c:v>Mar-2020</c:v>
                </c:pt>
                <c:pt idx="56">
                  <c:v>Apr-2020</c:v>
                </c:pt>
                <c:pt idx="57">
                  <c:v>May-2020</c:v>
                </c:pt>
                <c:pt idx="58">
                  <c:v>Jun-2020</c:v>
                </c:pt>
                <c:pt idx="59">
                  <c:v>Jul-2020</c:v>
                </c:pt>
                <c:pt idx="60">
                  <c:v>Aug-2020</c:v>
                </c:pt>
                <c:pt idx="61">
                  <c:v>Sep-2020</c:v>
                </c:pt>
                <c:pt idx="62">
                  <c:v>Oct-2020</c:v>
                </c:pt>
                <c:pt idx="63">
                  <c:v>Nov-2020</c:v>
                </c:pt>
                <c:pt idx="64">
                  <c:v>Dec-2020</c:v>
                </c:pt>
                <c:pt idx="65">
                  <c:v>Jan-2021</c:v>
                </c:pt>
                <c:pt idx="66">
                  <c:v>Feb-2021</c:v>
                </c:pt>
                <c:pt idx="67">
                  <c:v>Mar-2021</c:v>
                </c:pt>
                <c:pt idx="68">
                  <c:v>Apr-2021</c:v>
                </c:pt>
                <c:pt idx="69">
                  <c:v>May-2021</c:v>
                </c:pt>
                <c:pt idx="70">
                  <c:v>Jun-2021</c:v>
                </c:pt>
                <c:pt idx="71">
                  <c:v>Jul-2021</c:v>
                </c:pt>
                <c:pt idx="72">
                  <c:v>Aug-2021</c:v>
                </c:pt>
                <c:pt idx="73">
                  <c:v>Sep-2021</c:v>
                </c:pt>
                <c:pt idx="74">
                  <c:v>Oct-2021</c:v>
                </c:pt>
                <c:pt idx="75">
                  <c:v>Nov-2021</c:v>
                </c:pt>
                <c:pt idx="76">
                  <c:v>Dec-2021</c:v>
                </c:pt>
                <c:pt idx="77">
                  <c:v>Jan-2022</c:v>
                </c:pt>
                <c:pt idx="78">
                  <c:v>Feb-2022</c:v>
                </c:pt>
                <c:pt idx="79">
                  <c:v>Mar-2022</c:v>
                </c:pt>
                <c:pt idx="80">
                  <c:v>Apr-2022</c:v>
                </c:pt>
                <c:pt idx="81">
                  <c:v>May-2022</c:v>
                </c:pt>
                <c:pt idx="82">
                  <c:v>Jun-2022</c:v>
                </c:pt>
                <c:pt idx="83">
                  <c:v>Jul-2022</c:v>
                </c:pt>
                <c:pt idx="84">
                  <c:v>Aug-2022</c:v>
                </c:pt>
                <c:pt idx="85">
                  <c:v>Sep-2022</c:v>
                </c:pt>
                <c:pt idx="86">
                  <c:v>Oct-2022</c:v>
                </c:pt>
                <c:pt idx="87">
                  <c:v>Nov-2022</c:v>
                </c:pt>
                <c:pt idx="88">
                  <c:v>Dec-2022</c:v>
                </c:pt>
                <c:pt idx="89">
                  <c:v>Jan-2023</c:v>
                </c:pt>
                <c:pt idx="90">
                  <c:v>Feb-2023</c:v>
                </c:pt>
                <c:pt idx="91">
                  <c:v>Mar-2023</c:v>
                </c:pt>
                <c:pt idx="92">
                  <c:v>Apr-2023</c:v>
                </c:pt>
                <c:pt idx="93">
                  <c:v>May-2023</c:v>
                </c:pt>
                <c:pt idx="94">
                  <c:v>Jun-2023</c:v>
                </c:pt>
                <c:pt idx="95">
                  <c:v>Jul-2023</c:v>
                </c:pt>
                <c:pt idx="96">
                  <c:v>Aug-2023</c:v>
                </c:pt>
                <c:pt idx="97">
                  <c:v>Sep-2023</c:v>
                </c:pt>
                <c:pt idx="98">
                  <c:v>Oct-2023</c:v>
                </c:pt>
                <c:pt idx="99">
                  <c:v>Nov-2023</c:v>
                </c:pt>
                <c:pt idx="100">
                  <c:v>Dec-2023</c:v>
                </c:pt>
                <c:pt idx="101">
                  <c:v>Jan-2024</c:v>
                </c:pt>
                <c:pt idx="102">
                  <c:v>Feb-2024</c:v>
                </c:pt>
                <c:pt idx="103">
                  <c:v>Mar-2024</c:v>
                </c:pt>
                <c:pt idx="104">
                  <c:v>Apr-2024</c:v>
                </c:pt>
                <c:pt idx="105">
                  <c:v>May-2024</c:v>
                </c:pt>
                <c:pt idx="106">
                  <c:v>Jun-2024</c:v>
                </c:pt>
                <c:pt idx="107">
                  <c:v>Jul-2024</c:v>
                </c:pt>
                <c:pt idx="108">
                  <c:v>Aug-2024</c:v>
                </c:pt>
                <c:pt idx="109">
                  <c:v>Sep-2024</c:v>
                </c:pt>
                <c:pt idx="110">
                  <c:v>Oct-2024</c:v>
                </c:pt>
                <c:pt idx="111">
                  <c:v>Nov-2024</c:v>
                </c:pt>
                <c:pt idx="112">
                  <c:v>Dec-2024</c:v>
                </c:pt>
              </c:strCache>
            </c:strRef>
          </c:cat>
          <c:val>
            <c:numRef>
              <c:f>Charts!$C$4:$C$116</c:f>
              <c:numCache>
                <c:formatCode>0.0000</c:formatCode>
                <c:ptCount val="113"/>
                <c:pt idx="0">
                  <c:v>0.936318870657574</c:v>
                </c:pt>
                <c:pt idx="1">
                  <c:v>0.88868479095783</c:v>
                </c:pt>
                <c:pt idx="2">
                  <c:v>0.906249530267276</c:v>
                </c:pt>
                <c:pt idx="3">
                  <c:v>0.836795174410135</c:v>
                </c:pt>
                <c:pt idx="4">
                  <c:v>0.839850961876856</c:v>
                </c:pt>
                <c:pt idx="5">
                  <c:v>0.80682234374286</c:v>
                </c:pt>
                <c:pt idx="6">
                  <c:v>0.780686606590614</c:v>
                </c:pt>
                <c:pt idx="7">
                  <c:v>0.838530625380059</c:v>
                </c:pt>
                <c:pt idx="8">
                  <c:v>0.944668106326472</c:v>
                </c:pt>
                <c:pt idx="9">
                  <c:v>0.937038320933748</c:v>
                </c:pt>
                <c:pt idx="10">
                  <c:v>0.931903384679807</c:v>
                </c:pt>
                <c:pt idx="11">
                  <c:v>0.952509471553813</c:v>
                </c:pt>
                <c:pt idx="12">
                  <c:v>0.960680410905858</c:v>
                </c:pt>
                <c:pt idx="13">
                  <c:v>1.2509021049843</c:v>
                </c:pt>
                <c:pt idx="14">
                  <c:v>1.38127415789936</c:v>
                </c:pt>
                <c:pt idx="15">
                  <c:v>1.68792562298044</c:v>
                </c:pt>
                <c:pt idx="16">
                  <c:v>1.70236321503605</c:v>
                </c:pt>
                <c:pt idx="17">
                  <c:v>1.69411534269156</c:v>
                </c:pt>
                <c:pt idx="18">
                  <c:v>1.4088100314642</c:v>
                </c:pt>
                <c:pt idx="19">
                  <c:v>1.34460515107885</c:v>
                </c:pt>
                <c:pt idx="20">
                  <c:v>1.32220614350149</c:v>
                </c:pt>
                <c:pt idx="21">
                  <c:v>1.41724326438325</c:v>
                </c:pt>
                <c:pt idx="22">
                  <c:v>1.17099632148297</c:v>
                </c:pt>
                <c:pt idx="23">
                  <c:v>1.21996653479296</c:v>
                </c:pt>
                <c:pt idx="24">
                  <c:v>0.951336213325176</c:v>
                </c:pt>
                <c:pt idx="25">
                  <c:v>1.04899352039981</c:v>
                </c:pt>
                <c:pt idx="26">
                  <c:v>1.00110550392434</c:v>
                </c:pt>
                <c:pt idx="27">
                  <c:v>1.25666112738004</c:v>
                </c:pt>
                <c:pt idx="28">
                  <c:v>1.22015352821147</c:v>
                </c:pt>
                <c:pt idx="29">
                  <c:v>1.29197269158088</c:v>
                </c:pt>
                <c:pt idx="30">
                  <c:v>1.23949702962525</c:v>
                </c:pt>
                <c:pt idx="31">
                  <c:v>1.36763330819541</c:v>
                </c:pt>
                <c:pt idx="32">
                  <c:v>1.3308162469613</c:v>
                </c:pt>
                <c:pt idx="33">
                  <c:v>1.18650042095809</c:v>
                </c:pt>
                <c:pt idx="34">
                  <c:v>1.19740492658937</c:v>
                </c:pt>
                <c:pt idx="35">
                  <c:v>1.30661256352345</c:v>
                </c:pt>
                <c:pt idx="36">
                  <c:v>1.28946268993788</c:v>
                </c:pt>
                <c:pt idx="37">
                  <c:v>1.29302589508353</c:v>
                </c:pt>
                <c:pt idx="38">
                  <c:v>1.31915648233243</c:v>
                </c:pt>
                <c:pt idx="39">
                  <c:v>1.27712581006232</c:v>
                </c:pt>
                <c:pt idx="40">
                  <c:v>1.1555896536247</c:v>
                </c:pt>
                <c:pt idx="41">
                  <c:v>1.34049258605335</c:v>
                </c:pt>
                <c:pt idx="42">
                  <c:v>1.31804934797432</c:v>
                </c:pt>
                <c:pt idx="43">
                  <c:v>1.25557673931857</c:v>
                </c:pt>
                <c:pt idx="44">
                  <c:v>1.16230028904111</c:v>
                </c:pt>
                <c:pt idx="45">
                  <c:v>1.20379835840733</c:v>
                </c:pt>
                <c:pt idx="46">
                  <c:v>1.11589427780296</c:v>
                </c:pt>
                <c:pt idx="47">
                  <c:v>1.09799820212522</c:v>
                </c:pt>
                <c:pt idx="48">
                  <c:v>0.952235082288229</c:v>
                </c:pt>
                <c:pt idx="49">
                  <c:v>1.02963806813228</c:v>
                </c:pt>
                <c:pt idx="50">
                  <c:v>1.06078371326574</c:v>
                </c:pt>
                <c:pt idx="51">
                  <c:v>1.18050461662872</c:v>
                </c:pt>
                <c:pt idx="52">
                  <c:v>1.23570581873148</c:v>
                </c:pt>
                <c:pt idx="53">
                  <c:v>1.28946695049104</c:v>
                </c:pt>
                <c:pt idx="54">
                  <c:v>1.23332510118375</c:v>
                </c:pt>
                <c:pt idx="55">
                  <c:v>0.8031919849028</c:v>
                </c:pt>
                <c:pt idx="56">
                  <c:v>0.862980620785785</c:v>
                </c:pt>
                <c:pt idx="57">
                  <c:v>1.04061456013041</c:v>
                </c:pt>
                <c:pt idx="58">
                  <c:v>1.1072701974071</c:v>
                </c:pt>
                <c:pt idx="59">
                  <c:v>1.26187542214769</c:v>
                </c:pt>
                <c:pt idx="60">
                  <c:v>1.2645812836921</c:v>
                </c:pt>
                <c:pt idx="61">
                  <c:v>1.31076154400255</c:v>
                </c:pt>
                <c:pt idx="62">
                  <c:v>1.30403240851948</c:v>
                </c:pt>
                <c:pt idx="63">
                  <c:v>1.3275249654619</c:v>
                </c:pt>
                <c:pt idx="64">
                  <c:v>1.41365795545568</c:v>
                </c:pt>
                <c:pt idx="65">
                  <c:v>1.46377393558292</c:v>
                </c:pt>
                <c:pt idx="66">
                  <c:v>1.40873336091089</c:v>
                </c:pt>
                <c:pt idx="67">
                  <c:v>1.34414522947344</c:v>
                </c:pt>
                <c:pt idx="68">
                  <c:v>1.28108271290497</c:v>
                </c:pt>
                <c:pt idx="69">
                  <c:v>1.34071171668843</c:v>
                </c:pt>
                <c:pt idx="70">
                  <c:v>1.31742486578928</c:v>
                </c:pt>
                <c:pt idx="71">
                  <c:v>1.30748169954493</c:v>
                </c:pt>
                <c:pt idx="72">
                  <c:v>1.46385497031051</c:v>
                </c:pt>
                <c:pt idx="73">
                  <c:v>1.44300461355825</c:v>
                </c:pt>
                <c:pt idx="74">
                  <c:v>1.45932785928589</c:v>
                </c:pt>
                <c:pt idx="75">
                  <c:v>1.51592920961185</c:v>
                </c:pt>
                <c:pt idx="76">
                  <c:v>1.42259521751397</c:v>
                </c:pt>
                <c:pt idx="77">
                  <c:v>1.47429203562139</c:v>
                </c:pt>
                <c:pt idx="78">
                  <c:v>1.3837564194915</c:v>
                </c:pt>
                <c:pt idx="79">
                  <c:v>1.27190005451596</c:v>
                </c:pt>
                <c:pt idx="80">
                  <c:v>1.28582333658057</c:v>
                </c:pt>
                <c:pt idx="81">
                  <c:v>1.18123763290733</c:v>
                </c:pt>
                <c:pt idx="82">
                  <c:v>1.12055637184298</c:v>
                </c:pt>
                <c:pt idx="83">
                  <c:v>1.11779495333393</c:v>
                </c:pt>
                <c:pt idx="84">
                  <c:v>1.29493214813069</c:v>
                </c:pt>
                <c:pt idx="85">
                  <c:v>1.21393717572221</c:v>
                </c:pt>
                <c:pt idx="86">
                  <c:v>1.11991780449043</c:v>
                </c:pt>
                <c:pt idx="87">
                  <c:v>1.1809877900958</c:v>
                </c:pt>
                <c:pt idx="88">
                  <c:v>1.04441096358065</c:v>
                </c:pt>
                <c:pt idx="89">
                  <c:v>0.997848826041297</c:v>
                </c:pt>
                <c:pt idx="90">
                  <c:v>0.977279236705818</c:v>
                </c:pt>
                <c:pt idx="91">
                  <c:v>1.00509551002718</c:v>
                </c:pt>
                <c:pt idx="92">
                  <c:v>1.05188206068215</c:v>
                </c:pt>
                <c:pt idx="93">
                  <c:v>0.980709839162023</c:v>
                </c:pt>
                <c:pt idx="94">
                  <c:v>0.954779817912534</c:v>
                </c:pt>
                <c:pt idx="95">
                  <c:v>1.24070127255995</c:v>
                </c:pt>
                <c:pt idx="96">
                  <c:v>1.07309735676761</c:v>
                </c:pt>
                <c:pt idx="97">
                  <c:v>1.06276801320657</c:v>
                </c:pt>
                <c:pt idx="98">
                  <c:v>1.21726074193924</c:v>
                </c:pt>
                <c:pt idx="99">
                  <c:v>1.32904344423946</c:v>
                </c:pt>
                <c:pt idx="100">
                  <c:v>1.35430949422539</c:v>
                </c:pt>
                <c:pt idx="101">
                  <c:v>1.38243728957694</c:v>
                </c:pt>
                <c:pt idx="102">
                  <c:v>1.49702266811353</c:v>
                </c:pt>
                <c:pt idx="103">
                  <c:v>1.64923792694679</c:v>
                </c:pt>
                <c:pt idx="104">
                  <c:v>1.76928745106613</c:v>
                </c:pt>
                <c:pt idx="105">
                  <c:v>1.88557901205366</c:v>
                </c:pt>
                <c:pt idx="106">
                  <c:v>1.9969441818863</c:v>
                </c:pt>
                <c:pt idx="107">
                  <c:v>2.10361574784758</c:v>
                </c:pt>
                <c:pt idx="108">
                  <c:v>1.87331783676145</c:v>
                </c:pt>
                <c:pt idx="109">
                  <c:v>2.14766536908946</c:v>
                </c:pt>
                <c:pt idx="110">
                  <c:v>2.43126258612937</c:v>
                </c:pt>
                <c:pt idx="111">
                  <c:v>2.80675826928073</c:v>
                </c:pt>
                <c:pt idx="112">
                  <c:v>3.0971287080357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Charts!D3</c:f>
              <c:strCache>
                <c:ptCount val="1"/>
                <c:pt idx="0">
                  <c:v>Top2-Quarterly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Charts!$A$4:$A$116</c:f>
              <c:strCache>
                <c:ptCount val="113"/>
                <c:pt idx="0">
                  <c:v>Aug-2015</c:v>
                </c:pt>
                <c:pt idx="1">
                  <c:v>Sep-2015</c:v>
                </c:pt>
                <c:pt idx="2">
                  <c:v>Oct-2015</c:v>
                </c:pt>
                <c:pt idx="3">
                  <c:v>Nov-2015</c:v>
                </c:pt>
                <c:pt idx="4">
                  <c:v>Dec-2015</c:v>
                </c:pt>
                <c:pt idx="5">
                  <c:v>Jan-2016</c:v>
                </c:pt>
                <c:pt idx="6">
                  <c:v>Feb-2016</c:v>
                </c:pt>
                <c:pt idx="7">
                  <c:v>Mar-2016</c:v>
                </c:pt>
                <c:pt idx="8">
                  <c:v>Apr-2016</c:v>
                </c:pt>
                <c:pt idx="9">
                  <c:v>May-2016</c:v>
                </c:pt>
                <c:pt idx="10">
                  <c:v>Jun-2016</c:v>
                </c:pt>
                <c:pt idx="11">
                  <c:v>Jul-2016</c:v>
                </c:pt>
                <c:pt idx="12">
                  <c:v>Aug-2016</c:v>
                </c:pt>
                <c:pt idx="13">
                  <c:v>Sep-2016</c:v>
                </c:pt>
                <c:pt idx="14">
                  <c:v>Oct-2016</c:v>
                </c:pt>
                <c:pt idx="15">
                  <c:v>Nov-2016</c:v>
                </c:pt>
                <c:pt idx="16">
                  <c:v>Dec-2016</c:v>
                </c:pt>
                <c:pt idx="17">
                  <c:v>Jan-2017</c:v>
                </c:pt>
                <c:pt idx="18">
                  <c:v>Feb-2017</c:v>
                </c:pt>
                <c:pt idx="19">
                  <c:v>Mar-2017</c:v>
                </c:pt>
                <c:pt idx="20">
                  <c:v>Apr-2017</c:v>
                </c:pt>
                <c:pt idx="21">
                  <c:v>May-2017</c:v>
                </c:pt>
                <c:pt idx="22">
                  <c:v>Jun-2017</c:v>
                </c:pt>
                <c:pt idx="23">
                  <c:v>Jul-2017</c:v>
                </c:pt>
                <c:pt idx="24">
                  <c:v>Aug-2017</c:v>
                </c:pt>
                <c:pt idx="25">
                  <c:v>Sep-2017</c:v>
                </c:pt>
                <c:pt idx="26">
                  <c:v>Oct-2017</c:v>
                </c:pt>
                <c:pt idx="27">
                  <c:v>Nov-2017</c:v>
                </c:pt>
                <c:pt idx="28">
                  <c:v>Dec-2017</c:v>
                </c:pt>
                <c:pt idx="29">
                  <c:v>Jan-2018</c:v>
                </c:pt>
                <c:pt idx="30">
                  <c:v>Feb-2018</c:v>
                </c:pt>
                <c:pt idx="31">
                  <c:v>Mar-2018</c:v>
                </c:pt>
                <c:pt idx="32">
                  <c:v>Apr-2018</c:v>
                </c:pt>
                <c:pt idx="33">
                  <c:v>May-2018</c:v>
                </c:pt>
                <c:pt idx="34">
                  <c:v>Jun-2018</c:v>
                </c:pt>
                <c:pt idx="35">
                  <c:v>Jul-2018</c:v>
                </c:pt>
                <c:pt idx="36">
                  <c:v>Aug-2018</c:v>
                </c:pt>
                <c:pt idx="37">
                  <c:v>Sep-2018</c:v>
                </c:pt>
                <c:pt idx="38">
                  <c:v>Oct-2018</c:v>
                </c:pt>
                <c:pt idx="39">
                  <c:v>Nov-2018</c:v>
                </c:pt>
                <c:pt idx="40">
                  <c:v>Dec-2018</c:v>
                </c:pt>
                <c:pt idx="41">
                  <c:v>Jan-2019</c:v>
                </c:pt>
                <c:pt idx="42">
                  <c:v>Feb-2019</c:v>
                </c:pt>
                <c:pt idx="43">
                  <c:v>Mar-2019</c:v>
                </c:pt>
                <c:pt idx="44">
                  <c:v>Apr-2019</c:v>
                </c:pt>
                <c:pt idx="45">
                  <c:v>May-2019</c:v>
                </c:pt>
                <c:pt idx="46">
                  <c:v>Jun-2019</c:v>
                </c:pt>
                <c:pt idx="47">
                  <c:v>Jul-2019</c:v>
                </c:pt>
                <c:pt idx="48">
                  <c:v>Aug-2019</c:v>
                </c:pt>
                <c:pt idx="49">
                  <c:v>Sep-2019</c:v>
                </c:pt>
                <c:pt idx="50">
                  <c:v>Oct-2019</c:v>
                </c:pt>
                <c:pt idx="51">
                  <c:v>Nov-2019</c:v>
                </c:pt>
                <c:pt idx="52">
                  <c:v>Dec-2019</c:v>
                </c:pt>
                <c:pt idx="53">
                  <c:v>Jan-2020</c:v>
                </c:pt>
                <c:pt idx="54">
                  <c:v>Feb-2020</c:v>
                </c:pt>
                <c:pt idx="55">
                  <c:v>Mar-2020</c:v>
                </c:pt>
                <c:pt idx="56">
                  <c:v>Apr-2020</c:v>
                </c:pt>
                <c:pt idx="57">
                  <c:v>May-2020</c:v>
                </c:pt>
                <c:pt idx="58">
                  <c:v>Jun-2020</c:v>
                </c:pt>
                <c:pt idx="59">
                  <c:v>Jul-2020</c:v>
                </c:pt>
                <c:pt idx="60">
                  <c:v>Aug-2020</c:v>
                </c:pt>
                <c:pt idx="61">
                  <c:v>Sep-2020</c:v>
                </c:pt>
                <c:pt idx="62">
                  <c:v>Oct-2020</c:v>
                </c:pt>
                <c:pt idx="63">
                  <c:v>Nov-2020</c:v>
                </c:pt>
                <c:pt idx="64">
                  <c:v>Dec-2020</c:v>
                </c:pt>
                <c:pt idx="65">
                  <c:v>Jan-2021</c:v>
                </c:pt>
                <c:pt idx="66">
                  <c:v>Feb-2021</c:v>
                </c:pt>
                <c:pt idx="67">
                  <c:v>Mar-2021</c:v>
                </c:pt>
                <c:pt idx="68">
                  <c:v>Apr-2021</c:v>
                </c:pt>
                <c:pt idx="69">
                  <c:v>May-2021</c:v>
                </c:pt>
                <c:pt idx="70">
                  <c:v>Jun-2021</c:v>
                </c:pt>
                <c:pt idx="71">
                  <c:v>Jul-2021</c:v>
                </c:pt>
                <c:pt idx="72">
                  <c:v>Aug-2021</c:v>
                </c:pt>
                <c:pt idx="73">
                  <c:v>Sep-2021</c:v>
                </c:pt>
                <c:pt idx="74">
                  <c:v>Oct-2021</c:v>
                </c:pt>
                <c:pt idx="75">
                  <c:v>Nov-2021</c:v>
                </c:pt>
                <c:pt idx="76">
                  <c:v>Dec-2021</c:v>
                </c:pt>
                <c:pt idx="77">
                  <c:v>Jan-2022</c:v>
                </c:pt>
                <c:pt idx="78">
                  <c:v>Feb-2022</c:v>
                </c:pt>
                <c:pt idx="79">
                  <c:v>Mar-2022</c:v>
                </c:pt>
                <c:pt idx="80">
                  <c:v>Apr-2022</c:v>
                </c:pt>
                <c:pt idx="81">
                  <c:v>May-2022</c:v>
                </c:pt>
                <c:pt idx="82">
                  <c:v>Jun-2022</c:v>
                </c:pt>
                <c:pt idx="83">
                  <c:v>Jul-2022</c:v>
                </c:pt>
                <c:pt idx="84">
                  <c:v>Aug-2022</c:v>
                </c:pt>
                <c:pt idx="85">
                  <c:v>Sep-2022</c:v>
                </c:pt>
                <c:pt idx="86">
                  <c:v>Oct-2022</c:v>
                </c:pt>
                <c:pt idx="87">
                  <c:v>Nov-2022</c:v>
                </c:pt>
                <c:pt idx="88">
                  <c:v>Dec-2022</c:v>
                </c:pt>
                <c:pt idx="89">
                  <c:v>Jan-2023</c:v>
                </c:pt>
                <c:pt idx="90">
                  <c:v>Feb-2023</c:v>
                </c:pt>
                <c:pt idx="91">
                  <c:v>Mar-2023</c:v>
                </c:pt>
                <c:pt idx="92">
                  <c:v>Apr-2023</c:v>
                </c:pt>
                <c:pt idx="93">
                  <c:v>May-2023</c:v>
                </c:pt>
                <c:pt idx="94">
                  <c:v>Jun-2023</c:v>
                </c:pt>
                <c:pt idx="95">
                  <c:v>Jul-2023</c:v>
                </c:pt>
                <c:pt idx="96">
                  <c:v>Aug-2023</c:v>
                </c:pt>
                <c:pt idx="97">
                  <c:v>Sep-2023</c:v>
                </c:pt>
                <c:pt idx="98">
                  <c:v>Oct-2023</c:v>
                </c:pt>
                <c:pt idx="99">
                  <c:v>Nov-2023</c:v>
                </c:pt>
                <c:pt idx="100">
                  <c:v>Dec-2023</c:v>
                </c:pt>
                <c:pt idx="101">
                  <c:v>Jan-2024</c:v>
                </c:pt>
                <c:pt idx="102">
                  <c:v>Feb-2024</c:v>
                </c:pt>
                <c:pt idx="103">
                  <c:v>Mar-2024</c:v>
                </c:pt>
                <c:pt idx="104">
                  <c:v>Apr-2024</c:v>
                </c:pt>
                <c:pt idx="105">
                  <c:v>May-2024</c:v>
                </c:pt>
                <c:pt idx="106">
                  <c:v>Jun-2024</c:v>
                </c:pt>
                <c:pt idx="107">
                  <c:v>Jul-2024</c:v>
                </c:pt>
                <c:pt idx="108">
                  <c:v>Aug-2024</c:v>
                </c:pt>
                <c:pt idx="109">
                  <c:v>Sep-2024</c:v>
                </c:pt>
                <c:pt idx="110">
                  <c:v>Oct-2024</c:v>
                </c:pt>
                <c:pt idx="111">
                  <c:v>Nov-2024</c:v>
                </c:pt>
                <c:pt idx="112">
                  <c:v>Dec-2024</c:v>
                </c:pt>
              </c:strCache>
            </c:strRef>
          </c:cat>
          <c:val>
            <c:numRef>
              <c:f>Charts!$D$4:$D$116</c:f>
              <c:numCache>
                <c:formatCode>0.0000</c:formatCode>
                <c:ptCount val="113"/>
                <c:pt idx="0">
                  <c:v>0.936318870657574</c:v>
                </c:pt>
                <c:pt idx="1">
                  <c:v>0.88868479095783</c:v>
                </c:pt>
                <c:pt idx="2">
                  <c:v>0.906249530267276</c:v>
                </c:pt>
                <c:pt idx="3">
                  <c:v>0.769847852224841</c:v>
                </c:pt>
                <c:pt idx="4">
                  <c:v>0.782867789509692</c:v>
                </c:pt>
                <c:pt idx="5">
                  <c:v>0.710360713843999</c:v>
                </c:pt>
                <c:pt idx="6">
                  <c:v>0.687349699034738</c:v>
                </c:pt>
                <c:pt idx="7">
                  <c:v>0.738278033875168</c:v>
                </c:pt>
                <c:pt idx="8">
                  <c:v>0.83172598721386</c:v>
                </c:pt>
                <c:pt idx="9">
                  <c:v>0.762753626283346</c:v>
                </c:pt>
                <c:pt idx="10">
                  <c:v>0.781979376557211</c:v>
                </c:pt>
                <c:pt idx="11">
                  <c:v>0.807135552834832</c:v>
                </c:pt>
                <c:pt idx="12">
                  <c:v>0.835920979476301</c:v>
                </c:pt>
                <c:pt idx="13">
                  <c:v>1.08845283088624</c:v>
                </c:pt>
                <c:pt idx="14">
                  <c:v>1.20189402624312</c:v>
                </c:pt>
                <c:pt idx="15">
                  <c:v>1.35317181719222</c:v>
                </c:pt>
                <c:pt idx="16">
                  <c:v>1.3127723845148</c:v>
                </c:pt>
                <c:pt idx="17">
                  <c:v>1.36326337267755</c:v>
                </c:pt>
                <c:pt idx="18">
                  <c:v>1.26543309755236</c:v>
                </c:pt>
                <c:pt idx="19">
                  <c:v>1.20776245435033</c:v>
                </c:pt>
                <c:pt idx="20">
                  <c:v>1.1876430309308</c:v>
                </c:pt>
                <c:pt idx="21">
                  <c:v>1.60995738957571</c:v>
                </c:pt>
                <c:pt idx="22">
                  <c:v>1.76853418125443</c:v>
                </c:pt>
                <c:pt idx="23">
                  <c:v>1.58938649755089</c:v>
                </c:pt>
                <c:pt idx="24">
                  <c:v>1.15876565398389</c:v>
                </c:pt>
                <c:pt idx="25">
                  <c:v>1.27771616980953</c:v>
                </c:pt>
                <c:pt idx="26">
                  <c:v>1.21938664555519</c:v>
                </c:pt>
                <c:pt idx="27">
                  <c:v>1.22840959734842</c:v>
                </c:pt>
                <c:pt idx="28">
                  <c:v>1.22190100378206</c:v>
                </c:pt>
                <c:pt idx="29">
                  <c:v>1.39524075804943</c:v>
                </c:pt>
                <c:pt idx="30">
                  <c:v>1.32074115229752</c:v>
                </c:pt>
                <c:pt idx="31">
                  <c:v>1.45727625658982</c:v>
                </c:pt>
                <c:pt idx="32">
                  <c:v>1.41804598276395</c:v>
                </c:pt>
                <c:pt idx="33">
                  <c:v>1.37694160191962</c:v>
                </c:pt>
                <c:pt idx="34">
                  <c:v>1.36182059512743</c:v>
                </c:pt>
                <c:pt idx="35">
                  <c:v>1.39821224053462</c:v>
                </c:pt>
                <c:pt idx="36">
                  <c:v>1.38223663763929</c:v>
                </c:pt>
                <c:pt idx="37">
                  <c:v>1.38605620740131</c:v>
                </c:pt>
                <c:pt idx="38">
                  <c:v>1.41406683178021</c:v>
                </c:pt>
                <c:pt idx="39">
                  <c:v>1.34418990617476</c:v>
                </c:pt>
                <c:pt idx="40">
                  <c:v>1.20187293007759</c:v>
                </c:pt>
                <c:pt idx="41">
                  <c:v>1.30928511598332</c:v>
                </c:pt>
                <c:pt idx="42">
                  <c:v>1.29245676806234</c:v>
                </c:pt>
                <c:pt idx="43">
                  <c:v>1.23119719079407</c:v>
                </c:pt>
                <c:pt idx="44">
                  <c:v>1.13973189046429</c:v>
                </c:pt>
                <c:pt idx="45">
                  <c:v>1.18452969473522</c:v>
                </c:pt>
                <c:pt idx="46">
                  <c:v>1.07406220818098</c:v>
                </c:pt>
                <c:pt idx="47">
                  <c:v>1.07982298543238</c:v>
                </c:pt>
                <c:pt idx="48">
                  <c:v>0.936472689481377</c:v>
                </c:pt>
                <c:pt idx="49">
                  <c:v>1.01259442000309</c:v>
                </c:pt>
                <c:pt idx="50">
                  <c:v>1.04322450978478</c:v>
                </c:pt>
                <c:pt idx="51">
                  <c:v>1.09621532765087</c:v>
                </c:pt>
                <c:pt idx="52">
                  <c:v>1.25344102883953</c:v>
                </c:pt>
                <c:pt idx="53">
                  <c:v>1.29820254541472</c:v>
                </c:pt>
                <c:pt idx="54">
                  <c:v>1.22804269900786</c:v>
                </c:pt>
                <c:pt idx="55">
                  <c:v>0.799751867544747</c:v>
                </c:pt>
                <c:pt idx="56">
                  <c:v>0.859284425269605</c:v>
                </c:pt>
                <c:pt idx="57">
                  <c:v>0.810729034988918</c:v>
                </c:pt>
                <c:pt idx="58">
                  <c:v>0.843270910371673</c:v>
                </c:pt>
                <c:pt idx="59">
                  <c:v>0.994556176239601</c:v>
                </c:pt>
                <c:pt idx="60">
                  <c:v>0.973203810460566</c:v>
                </c:pt>
                <c:pt idx="61">
                  <c:v>1.00874348345887</c:v>
                </c:pt>
                <c:pt idx="62">
                  <c:v>1.00356483628318</c:v>
                </c:pt>
                <c:pt idx="63">
                  <c:v>1.01577489680398</c:v>
                </c:pt>
                <c:pt idx="64">
                  <c:v>1.06881831062844</c:v>
                </c:pt>
                <c:pt idx="65">
                  <c:v>1.08929368702976</c:v>
                </c:pt>
                <c:pt idx="66">
                  <c:v>1.06051927421159</c:v>
                </c:pt>
                <c:pt idx="67">
                  <c:v>1.01189619182044</c:v>
                </c:pt>
                <c:pt idx="68">
                  <c:v>0.964421619160432</c:v>
                </c:pt>
                <c:pt idx="69">
                  <c:v>1.00045944066858</c:v>
                </c:pt>
                <c:pt idx="70">
                  <c:v>0.974350248603191</c:v>
                </c:pt>
                <c:pt idx="71">
                  <c:v>0.967045838281034</c:v>
                </c:pt>
                <c:pt idx="72">
                  <c:v>1.082308677193</c:v>
                </c:pt>
                <c:pt idx="73">
                  <c:v>1.06689285903258</c:v>
                </c:pt>
                <c:pt idx="74">
                  <c:v>1.07896153444735</c:v>
                </c:pt>
                <c:pt idx="75">
                  <c:v>0.973777783893008</c:v>
                </c:pt>
                <c:pt idx="76">
                  <c:v>0.956627388785289</c:v>
                </c:pt>
                <c:pt idx="77">
                  <c:v>0.938114121869784</c:v>
                </c:pt>
                <c:pt idx="78">
                  <c:v>0.898457838117731</c:v>
                </c:pt>
                <c:pt idx="79">
                  <c:v>0.825830729444542</c:v>
                </c:pt>
                <c:pt idx="80">
                  <c:v>0.834870963496624</c:v>
                </c:pt>
                <c:pt idx="81">
                  <c:v>0.73467071707672</c:v>
                </c:pt>
                <c:pt idx="82">
                  <c:v>0.668978715503501</c:v>
                </c:pt>
                <c:pt idx="83">
                  <c:v>0.65434629510823</c:v>
                </c:pt>
                <c:pt idx="84">
                  <c:v>0.758040686280255</c:v>
                </c:pt>
                <c:pt idx="85">
                  <c:v>0.710627017109708</c:v>
                </c:pt>
                <c:pt idx="86">
                  <c:v>0.655588991530484</c:v>
                </c:pt>
                <c:pt idx="87">
                  <c:v>0.693164593827818</c:v>
                </c:pt>
                <c:pt idx="88">
                  <c:v>0.613274390289357</c:v>
                </c:pt>
                <c:pt idx="89">
                  <c:v>0.600280275610828</c:v>
                </c:pt>
                <c:pt idx="90">
                  <c:v>0.58790613793259</c:v>
                </c:pt>
                <c:pt idx="91">
                  <c:v>0.604639694940474</c:v>
                </c:pt>
                <c:pt idx="92">
                  <c:v>0.632785284521878</c:v>
                </c:pt>
                <c:pt idx="93">
                  <c:v>0.584049329504961</c:v>
                </c:pt>
                <c:pt idx="94">
                  <c:v>0.566901969117463</c:v>
                </c:pt>
                <c:pt idx="95">
                  <c:v>0.725671901272343</c:v>
                </c:pt>
                <c:pt idx="96">
                  <c:v>0.638155748807256</c:v>
                </c:pt>
                <c:pt idx="97">
                  <c:v>0.632013034976762</c:v>
                </c:pt>
                <c:pt idx="98">
                  <c:v>0.723887665333364</c:v>
                </c:pt>
                <c:pt idx="99">
                  <c:v>0.785296036244584</c:v>
                </c:pt>
                <c:pt idx="100">
                  <c:v>0.80022506583463</c:v>
                </c:pt>
                <c:pt idx="101">
                  <c:v>0.816845023815392</c:v>
                </c:pt>
                <c:pt idx="102">
                  <c:v>0.882813573226275</c:v>
                </c:pt>
                <c:pt idx="103">
                  <c:v>0.972576874352159</c:v>
                </c:pt>
                <c:pt idx="104">
                  <c:v>1.04337162690287</c:v>
                </c:pt>
                <c:pt idx="105">
                  <c:v>1.0612446503739</c:v>
                </c:pt>
                <c:pt idx="106">
                  <c:v>1.12392337662582</c:v>
                </c:pt>
                <c:pt idx="107">
                  <c:v>1.18396044110296</c:v>
                </c:pt>
                <c:pt idx="108">
                  <c:v>1.12305973808761</c:v>
                </c:pt>
                <c:pt idx="109">
                  <c:v>1.28753191774396</c:v>
                </c:pt>
                <c:pt idx="110">
                  <c:v>1.45754931150445</c:v>
                </c:pt>
                <c:pt idx="111">
                  <c:v>1.62193582645858</c:v>
                </c:pt>
                <c:pt idx="112">
                  <c:v>1.78973161518601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Charts!E3</c:f>
              <c:strCache>
                <c:ptCount val="1"/>
                <c:pt idx="0">
                  <c:v>Top3-Annual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Charts!$A$4:$A$116</c:f>
              <c:strCache>
                <c:ptCount val="113"/>
                <c:pt idx="0">
                  <c:v>Aug-2015</c:v>
                </c:pt>
                <c:pt idx="1">
                  <c:v>Sep-2015</c:v>
                </c:pt>
                <c:pt idx="2">
                  <c:v>Oct-2015</c:v>
                </c:pt>
                <c:pt idx="3">
                  <c:v>Nov-2015</c:v>
                </c:pt>
                <c:pt idx="4">
                  <c:v>Dec-2015</c:v>
                </c:pt>
                <c:pt idx="5">
                  <c:v>Jan-2016</c:v>
                </c:pt>
                <c:pt idx="6">
                  <c:v>Feb-2016</c:v>
                </c:pt>
                <c:pt idx="7">
                  <c:v>Mar-2016</c:v>
                </c:pt>
                <c:pt idx="8">
                  <c:v>Apr-2016</c:v>
                </c:pt>
                <c:pt idx="9">
                  <c:v>May-2016</c:v>
                </c:pt>
                <c:pt idx="10">
                  <c:v>Jun-2016</c:v>
                </c:pt>
                <c:pt idx="11">
                  <c:v>Jul-2016</c:v>
                </c:pt>
                <c:pt idx="12">
                  <c:v>Aug-2016</c:v>
                </c:pt>
                <c:pt idx="13">
                  <c:v>Sep-2016</c:v>
                </c:pt>
                <c:pt idx="14">
                  <c:v>Oct-2016</c:v>
                </c:pt>
                <c:pt idx="15">
                  <c:v>Nov-2016</c:v>
                </c:pt>
                <c:pt idx="16">
                  <c:v>Dec-2016</c:v>
                </c:pt>
                <c:pt idx="17">
                  <c:v>Jan-2017</c:v>
                </c:pt>
                <c:pt idx="18">
                  <c:v>Feb-2017</c:v>
                </c:pt>
                <c:pt idx="19">
                  <c:v>Mar-2017</c:v>
                </c:pt>
                <c:pt idx="20">
                  <c:v>Apr-2017</c:v>
                </c:pt>
                <c:pt idx="21">
                  <c:v>May-2017</c:v>
                </c:pt>
                <c:pt idx="22">
                  <c:v>Jun-2017</c:v>
                </c:pt>
                <c:pt idx="23">
                  <c:v>Jul-2017</c:v>
                </c:pt>
                <c:pt idx="24">
                  <c:v>Aug-2017</c:v>
                </c:pt>
                <c:pt idx="25">
                  <c:v>Sep-2017</c:v>
                </c:pt>
                <c:pt idx="26">
                  <c:v>Oct-2017</c:v>
                </c:pt>
                <c:pt idx="27">
                  <c:v>Nov-2017</c:v>
                </c:pt>
                <c:pt idx="28">
                  <c:v>Dec-2017</c:v>
                </c:pt>
                <c:pt idx="29">
                  <c:v>Jan-2018</c:v>
                </c:pt>
                <c:pt idx="30">
                  <c:v>Feb-2018</c:v>
                </c:pt>
                <c:pt idx="31">
                  <c:v>Mar-2018</c:v>
                </c:pt>
                <c:pt idx="32">
                  <c:v>Apr-2018</c:v>
                </c:pt>
                <c:pt idx="33">
                  <c:v>May-2018</c:v>
                </c:pt>
                <c:pt idx="34">
                  <c:v>Jun-2018</c:v>
                </c:pt>
                <c:pt idx="35">
                  <c:v>Jul-2018</c:v>
                </c:pt>
                <c:pt idx="36">
                  <c:v>Aug-2018</c:v>
                </c:pt>
                <c:pt idx="37">
                  <c:v>Sep-2018</c:v>
                </c:pt>
                <c:pt idx="38">
                  <c:v>Oct-2018</c:v>
                </c:pt>
                <c:pt idx="39">
                  <c:v>Nov-2018</c:v>
                </c:pt>
                <c:pt idx="40">
                  <c:v>Dec-2018</c:v>
                </c:pt>
                <c:pt idx="41">
                  <c:v>Jan-2019</c:v>
                </c:pt>
                <c:pt idx="42">
                  <c:v>Feb-2019</c:v>
                </c:pt>
                <c:pt idx="43">
                  <c:v>Mar-2019</c:v>
                </c:pt>
                <c:pt idx="44">
                  <c:v>Apr-2019</c:v>
                </c:pt>
                <c:pt idx="45">
                  <c:v>May-2019</c:v>
                </c:pt>
                <c:pt idx="46">
                  <c:v>Jun-2019</c:v>
                </c:pt>
                <c:pt idx="47">
                  <c:v>Jul-2019</c:v>
                </c:pt>
                <c:pt idx="48">
                  <c:v>Aug-2019</c:v>
                </c:pt>
                <c:pt idx="49">
                  <c:v>Sep-2019</c:v>
                </c:pt>
                <c:pt idx="50">
                  <c:v>Oct-2019</c:v>
                </c:pt>
                <c:pt idx="51">
                  <c:v>Nov-2019</c:v>
                </c:pt>
                <c:pt idx="52">
                  <c:v>Dec-2019</c:v>
                </c:pt>
                <c:pt idx="53">
                  <c:v>Jan-2020</c:v>
                </c:pt>
                <c:pt idx="54">
                  <c:v>Feb-2020</c:v>
                </c:pt>
                <c:pt idx="55">
                  <c:v>Mar-2020</c:v>
                </c:pt>
                <c:pt idx="56">
                  <c:v>Apr-2020</c:v>
                </c:pt>
                <c:pt idx="57">
                  <c:v>May-2020</c:v>
                </c:pt>
                <c:pt idx="58">
                  <c:v>Jun-2020</c:v>
                </c:pt>
                <c:pt idx="59">
                  <c:v>Jul-2020</c:v>
                </c:pt>
                <c:pt idx="60">
                  <c:v>Aug-2020</c:v>
                </c:pt>
                <c:pt idx="61">
                  <c:v>Sep-2020</c:v>
                </c:pt>
                <c:pt idx="62">
                  <c:v>Oct-2020</c:v>
                </c:pt>
                <c:pt idx="63">
                  <c:v>Nov-2020</c:v>
                </c:pt>
                <c:pt idx="64">
                  <c:v>Dec-2020</c:v>
                </c:pt>
                <c:pt idx="65">
                  <c:v>Jan-2021</c:v>
                </c:pt>
                <c:pt idx="66">
                  <c:v>Feb-2021</c:v>
                </c:pt>
                <c:pt idx="67">
                  <c:v>Mar-2021</c:v>
                </c:pt>
                <c:pt idx="68">
                  <c:v>Apr-2021</c:v>
                </c:pt>
                <c:pt idx="69">
                  <c:v>May-2021</c:v>
                </c:pt>
                <c:pt idx="70">
                  <c:v>Jun-2021</c:v>
                </c:pt>
                <c:pt idx="71">
                  <c:v>Jul-2021</c:v>
                </c:pt>
                <c:pt idx="72">
                  <c:v>Aug-2021</c:v>
                </c:pt>
                <c:pt idx="73">
                  <c:v>Sep-2021</c:v>
                </c:pt>
                <c:pt idx="74">
                  <c:v>Oct-2021</c:v>
                </c:pt>
                <c:pt idx="75">
                  <c:v>Nov-2021</c:v>
                </c:pt>
                <c:pt idx="76">
                  <c:v>Dec-2021</c:v>
                </c:pt>
                <c:pt idx="77">
                  <c:v>Jan-2022</c:v>
                </c:pt>
                <c:pt idx="78">
                  <c:v>Feb-2022</c:v>
                </c:pt>
                <c:pt idx="79">
                  <c:v>Mar-2022</c:v>
                </c:pt>
                <c:pt idx="80">
                  <c:v>Apr-2022</c:v>
                </c:pt>
                <c:pt idx="81">
                  <c:v>May-2022</c:v>
                </c:pt>
                <c:pt idx="82">
                  <c:v>Jun-2022</c:v>
                </c:pt>
                <c:pt idx="83">
                  <c:v>Jul-2022</c:v>
                </c:pt>
                <c:pt idx="84">
                  <c:v>Aug-2022</c:v>
                </c:pt>
                <c:pt idx="85">
                  <c:v>Sep-2022</c:v>
                </c:pt>
                <c:pt idx="86">
                  <c:v>Oct-2022</c:v>
                </c:pt>
                <c:pt idx="87">
                  <c:v>Nov-2022</c:v>
                </c:pt>
                <c:pt idx="88">
                  <c:v>Dec-2022</c:v>
                </c:pt>
                <c:pt idx="89">
                  <c:v>Jan-2023</c:v>
                </c:pt>
                <c:pt idx="90">
                  <c:v>Feb-2023</c:v>
                </c:pt>
                <c:pt idx="91">
                  <c:v>Mar-2023</c:v>
                </c:pt>
                <c:pt idx="92">
                  <c:v>Apr-2023</c:v>
                </c:pt>
                <c:pt idx="93">
                  <c:v>May-2023</c:v>
                </c:pt>
                <c:pt idx="94">
                  <c:v>Jun-2023</c:v>
                </c:pt>
                <c:pt idx="95">
                  <c:v>Jul-2023</c:v>
                </c:pt>
                <c:pt idx="96">
                  <c:v>Aug-2023</c:v>
                </c:pt>
                <c:pt idx="97">
                  <c:v>Sep-2023</c:v>
                </c:pt>
                <c:pt idx="98">
                  <c:v>Oct-2023</c:v>
                </c:pt>
                <c:pt idx="99">
                  <c:v>Nov-2023</c:v>
                </c:pt>
                <c:pt idx="100">
                  <c:v>Dec-2023</c:v>
                </c:pt>
                <c:pt idx="101">
                  <c:v>Jan-2024</c:v>
                </c:pt>
                <c:pt idx="102">
                  <c:v>Feb-2024</c:v>
                </c:pt>
                <c:pt idx="103">
                  <c:v>Mar-2024</c:v>
                </c:pt>
                <c:pt idx="104">
                  <c:v>Apr-2024</c:v>
                </c:pt>
                <c:pt idx="105">
                  <c:v>May-2024</c:v>
                </c:pt>
                <c:pt idx="106">
                  <c:v>Jun-2024</c:v>
                </c:pt>
                <c:pt idx="107">
                  <c:v>Jul-2024</c:v>
                </c:pt>
                <c:pt idx="108">
                  <c:v>Aug-2024</c:v>
                </c:pt>
                <c:pt idx="109">
                  <c:v>Sep-2024</c:v>
                </c:pt>
                <c:pt idx="110">
                  <c:v>Oct-2024</c:v>
                </c:pt>
                <c:pt idx="111">
                  <c:v>Nov-2024</c:v>
                </c:pt>
                <c:pt idx="112">
                  <c:v>Dec-2024</c:v>
                </c:pt>
              </c:strCache>
            </c:strRef>
          </c:cat>
          <c:val>
            <c:numRef>
              <c:f>Charts!$E$4:$E$116</c:f>
              <c:numCache>
                <c:formatCode>0.0000</c:formatCode>
                <c:ptCount val="113"/>
                <c:pt idx="0">
                  <c:v>0.978977897928171</c:v>
                </c:pt>
                <c:pt idx="1">
                  <c:v>0.948489697579945</c:v>
                </c:pt>
                <c:pt idx="2">
                  <c:v>0.942619866140631</c:v>
                </c:pt>
                <c:pt idx="3">
                  <c:v>0.887119564034888</c:v>
                </c:pt>
                <c:pt idx="4">
                  <c:v>0.887621723469989</c:v>
                </c:pt>
                <c:pt idx="5">
                  <c:v>0.849784440537479</c:v>
                </c:pt>
                <c:pt idx="6">
                  <c:v>0.837088397687198</c:v>
                </c:pt>
                <c:pt idx="7">
                  <c:v>0.858754905616668</c:v>
                </c:pt>
                <c:pt idx="8">
                  <c:v>0.868415148689906</c:v>
                </c:pt>
                <c:pt idx="9">
                  <c:v>0.905306047220521</c:v>
                </c:pt>
                <c:pt idx="10">
                  <c:v>0.942798123958281</c:v>
                </c:pt>
                <c:pt idx="11">
                  <c:v>1.01872825804498</c:v>
                </c:pt>
                <c:pt idx="12">
                  <c:v>1.03523761640446</c:v>
                </c:pt>
                <c:pt idx="13">
                  <c:v>1.2389055683992</c:v>
                </c:pt>
                <c:pt idx="14">
                  <c:v>1.33779598757361</c:v>
                </c:pt>
                <c:pt idx="15">
                  <c:v>1.5649036975504</c:v>
                </c:pt>
                <c:pt idx="16">
                  <c:v>1.74505993964345</c:v>
                </c:pt>
                <c:pt idx="17">
                  <c:v>1.6985328765942</c:v>
                </c:pt>
                <c:pt idx="18">
                  <c:v>1.66725848978068</c:v>
                </c:pt>
                <c:pt idx="19">
                  <c:v>1.75982358273081</c:v>
                </c:pt>
                <c:pt idx="20">
                  <c:v>1.91799879983693</c:v>
                </c:pt>
                <c:pt idx="21">
                  <c:v>2.43708674931188</c:v>
                </c:pt>
                <c:pt idx="22">
                  <c:v>2.62279564330366</c:v>
                </c:pt>
                <c:pt idx="23">
                  <c:v>2.54914788971237</c:v>
                </c:pt>
                <c:pt idx="24">
                  <c:v>1.51212440198246</c:v>
                </c:pt>
                <c:pt idx="25">
                  <c:v>1.64132696428675</c:v>
                </c:pt>
                <c:pt idx="26">
                  <c:v>1.57274390697443</c:v>
                </c:pt>
                <c:pt idx="27">
                  <c:v>1.88519142993236</c:v>
                </c:pt>
                <c:pt idx="28">
                  <c:v>1.87498947034492</c:v>
                </c:pt>
                <c:pt idx="29">
                  <c:v>1.95728409336042</c:v>
                </c:pt>
                <c:pt idx="30">
                  <c:v>1.9698110445658</c:v>
                </c:pt>
                <c:pt idx="31">
                  <c:v>2.29007634049901</c:v>
                </c:pt>
                <c:pt idx="32">
                  <c:v>2.2940758429481</c:v>
                </c:pt>
                <c:pt idx="33">
                  <c:v>2.3067548940237</c:v>
                </c:pt>
                <c:pt idx="34">
                  <c:v>2.33709627181139</c:v>
                </c:pt>
                <c:pt idx="35">
                  <c:v>2.41969935077159</c:v>
                </c:pt>
                <c:pt idx="36">
                  <c:v>2.43104568269353</c:v>
                </c:pt>
                <c:pt idx="37">
                  <c:v>2.4723847116602</c:v>
                </c:pt>
                <c:pt idx="38">
                  <c:v>2.60660198316659</c:v>
                </c:pt>
                <c:pt idx="39">
                  <c:v>2.53805589050591</c:v>
                </c:pt>
                <c:pt idx="40">
                  <c:v>2.30964850641795</c:v>
                </c:pt>
                <c:pt idx="41">
                  <c:v>2.55901557788319</c:v>
                </c:pt>
                <c:pt idx="42">
                  <c:v>2.61591889637001</c:v>
                </c:pt>
                <c:pt idx="43">
                  <c:v>2.59278183506344</c:v>
                </c:pt>
                <c:pt idx="44">
                  <c:v>2.52033893116972</c:v>
                </c:pt>
                <c:pt idx="45">
                  <c:v>2.47935793323584</c:v>
                </c:pt>
                <c:pt idx="46">
                  <c:v>2.33335633465282</c:v>
                </c:pt>
                <c:pt idx="47">
                  <c:v>2.33580992069454</c:v>
                </c:pt>
                <c:pt idx="48">
                  <c:v>2.060997917766</c:v>
                </c:pt>
                <c:pt idx="49">
                  <c:v>2.1445347256744</c:v>
                </c:pt>
                <c:pt idx="50">
                  <c:v>2.24418774502556</c:v>
                </c:pt>
                <c:pt idx="51">
                  <c:v>2.49951051678881</c:v>
                </c:pt>
                <c:pt idx="52">
                  <c:v>2.65389913753042</c:v>
                </c:pt>
                <c:pt idx="53">
                  <c:v>2.80524078319807</c:v>
                </c:pt>
                <c:pt idx="54">
                  <c:v>2.66480611910435</c:v>
                </c:pt>
                <c:pt idx="55">
                  <c:v>1.83030061970088</c:v>
                </c:pt>
                <c:pt idx="56">
                  <c:v>2.22422112602342</c:v>
                </c:pt>
                <c:pt idx="57">
                  <c:v>2.23354505776687</c:v>
                </c:pt>
                <c:pt idx="58">
                  <c:v>2.30242394514157</c:v>
                </c:pt>
                <c:pt idx="59">
                  <c:v>2.69755727000535</c:v>
                </c:pt>
                <c:pt idx="60">
                  <c:v>2.82379600447572</c:v>
                </c:pt>
                <c:pt idx="61">
                  <c:v>2.85161036031907</c:v>
                </c:pt>
                <c:pt idx="62">
                  <c:v>3.04035675605243</c:v>
                </c:pt>
                <c:pt idx="63">
                  <c:v>3.05458292771262</c:v>
                </c:pt>
                <c:pt idx="64">
                  <c:v>3.35686170424657</c:v>
                </c:pt>
                <c:pt idx="65">
                  <c:v>3.47579177776153</c:v>
                </c:pt>
                <c:pt idx="66">
                  <c:v>3.66272963535116</c:v>
                </c:pt>
                <c:pt idx="67">
                  <c:v>3.44448899097537</c:v>
                </c:pt>
                <c:pt idx="68">
                  <c:v>3.2838910605087</c:v>
                </c:pt>
                <c:pt idx="69">
                  <c:v>3.51353297197385</c:v>
                </c:pt>
                <c:pt idx="70">
                  <c:v>3.37567253539508</c:v>
                </c:pt>
                <c:pt idx="71">
                  <c:v>3.35008787710888</c:v>
                </c:pt>
                <c:pt idx="72">
                  <c:v>3.48077086106842</c:v>
                </c:pt>
                <c:pt idx="73">
                  <c:v>3.3326932448893</c:v>
                </c:pt>
                <c:pt idx="74">
                  <c:v>3.38373824959018</c:v>
                </c:pt>
                <c:pt idx="75">
                  <c:v>3.46266271723973</c:v>
                </c:pt>
                <c:pt idx="76">
                  <c:v>3.33820823200966</c:v>
                </c:pt>
                <c:pt idx="77">
                  <c:v>3.42940845012027</c:v>
                </c:pt>
                <c:pt idx="78">
                  <c:v>3.43860552928337</c:v>
                </c:pt>
                <c:pt idx="79">
                  <c:v>3.21749084643851</c:v>
                </c:pt>
                <c:pt idx="80">
                  <c:v>3.35269833897165</c:v>
                </c:pt>
                <c:pt idx="81">
                  <c:v>3.09883516190643</c:v>
                </c:pt>
                <c:pt idx="82">
                  <c:v>2.85126780649112</c:v>
                </c:pt>
                <c:pt idx="83">
                  <c:v>2.91215845027251</c:v>
                </c:pt>
                <c:pt idx="84">
                  <c:v>3.33490447057804</c:v>
                </c:pt>
                <c:pt idx="85">
                  <c:v>3.09082585595096</c:v>
                </c:pt>
                <c:pt idx="86">
                  <c:v>2.89603329326753</c:v>
                </c:pt>
                <c:pt idx="87">
                  <c:v>3.03546658884983</c:v>
                </c:pt>
                <c:pt idx="88">
                  <c:v>2.70731024678262</c:v>
                </c:pt>
                <c:pt idx="89">
                  <c:v>2.56301987433719</c:v>
                </c:pt>
                <c:pt idx="90">
                  <c:v>2.66972512431968</c:v>
                </c:pt>
                <c:pt idx="91">
                  <c:v>2.53599910619313</c:v>
                </c:pt>
                <c:pt idx="92">
                  <c:v>2.7176290912622</c:v>
                </c:pt>
                <c:pt idx="93">
                  <c:v>2.79672704654661</c:v>
                </c:pt>
                <c:pt idx="94">
                  <c:v>2.81826744796036</c:v>
                </c:pt>
                <c:pt idx="95">
                  <c:v>3.81326254217776</c:v>
                </c:pt>
                <c:pt idx="96">
                  <c:v>3.35743384843046</c:v>
                </c:pt>
                <c:pt idx="97">
                  <c:v>3.36687671433589</c:v>
                </c:pt>
                <c:pt idx="98">
                  <c:v>3.73968792241272</c:v>
                </c:pt>
                <c:pt idx="99">
                  <c:v>4.07406566423053</c:v>
                </c:pt>
                <c:pt idx="100">
                  <c:v>4.16432220622533</c:v>
                </c:pt>
                <c:pt idx="101">
                  <c:v>4.5057945619276</c:v>
                </c:pt>
                <c:pt idx="102">
                  <c:v>4.64497202344486</c:v>
                </c:pt>
                <c:pt idx="103">
                  <c:v>4.71935373720766</c:v>
                </c:pt>
                <c:pt idx="104">
                  <c:v>5.16381930489576</c:v>
                </c:pt>
                <c:pt idx="105">
                  <c:v>5.10412788422142</c:v>
                </c:pt>
                <c:pt idx="106">
                  <c:v>5.54097199855418</c:v>
                </c:pt>
                <c:pt idx="107">
                  <c:v>5.66405687595504</c:v>
                </c:pt>
                <c:pt idx="108">
                  <c:v>5.17381458336028</c:v>
                </c:pt>
                <c:pt idx="109">
                  <c:v>5.81840155952111</c:v>
                </c:pt>
                <c:pt idx="110">
                  <c:v>6.71869398632598</c:v>
                </c:pt>
                <c:pt idx="111">
                  <c:v>7.71128368520568</c:v>
                </c:pt>
                <c:pt idx="112">
                  <c:v>8.66453126802015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Charts!F3</c:f>
              <c:strCache>
                <c:ptCount val="1"/>
                <c:pt idx="0">
                  <c:v>Top3-SemiAnnual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Charts!$A$4:$A$116</c:f>
              <c:strCache>
                <c:ptCount val="113"/>
                <c:pt idx="0">
                  <c:v>Aug-2015</c:v>
                </c:pt>
                <c:pt idx="1">
                  <c:v>Sep-2015</c:v>
                </c:pt>
                <c:pt idx="2">
                  <c:v>Oct-2015</c:v>
                </c:pt>
                <c:pt idx="3">
                  <c:v>Nov-2015</c:v>
                </c:pt>
                <c:pt idx="4">
                  <c:v>Dec-2015</c:v>
                </c:pt>
                <c:pt idx="5">
                  <c:v>Jan-2016</c:v>
                </c:pt>
                <c:pt idx="6">
                  <c:v>Feb-2016</c:v>
                </c:pt>
                <c:pt idx="7">
                  <c:v>Mar-2016</c:v>
                </c:pt>
                <c:pt idx="8">
                  <c:v>Apr-2016</c:v>
                </c:pt>
                <c:pt idx="9">
                  <c:v>May-2016</c:v>
                </c:pt>
                <c:pt idx="10">
                  <c:v>Jun-2016</c:v>
                </c:pt>
                <c:pt idx="11">
                  <c:v>Jul-2016</c:v>
                </c:pt>
                <c:pt idx="12">
                  <c:v>Aug-2016</c:v>
                </c:pt>
                <c:pt idx="13">
                  <c:v>Sep-2016</c:v>
                </c:pt>
                <c:pt idx="14">
                  <c:v>Oct-2016</c:v>
                </c:pt>
                <c:pt idx="15">
                  <c:v>Nov-2016</c:v>
                </c:pt>
                <c:pt idx="16">
                  <c:v>Dec-2016</c:v>
                </c:pt>
                <c:pt idx="17">
                  <c:v>Jan-2017</c:v>
                </c:pt>
                <c:pt idx="18">
                  <c:v>Feb-2017</c:v>
                </c:pt>
                <c:pt idx="19">
                  <c:v>Mar-2017</c:v>
                </c:pt>
                <c:pt idx="20">
                  <c:v>Apr-2017</c:v>
                </c:pt>
                <c:pt idx="21">
                  <c:v>May-2017</c:v>
                </c:pt>
                <c:pt idx="22">
                  <c:v>Jun-2017</c:v>
                </c:pt>
                <c:pt idx="23">
                  <c:v>Jul-2017</c:v>
                </c:pt>
                <c:pt idx="24">
                  <c:v>Aug-2017</c:v>
                </c:pt>
                <c:pt idx="25">
                  <c:v>Sep-2017</c:v>
                </c:pt>
                <c:pt idx="26">
                  <c:v>Oct-2017</c:v>
                </c:pt>
                <c:pt idx="27">
                  <c:v>Nov-2017</c:v>
                </c:pt>
                <c:pt idx="28">
                  <c:v>Dec-2017</c:v>
                </c:pt>
                <c:pt idx="29">
                  <c:v>Jan-2018</c:v>
                </c:pt>
                <c:pt idx="30">
                  <c:v>Feb-2018</c:v>
                </c:pt>
                <c:pt idx="31">
                  <c:v>Mar-2018</c:v>
                </c:pt>
                <c:pt idx="32">
                  <c:v>Apr-2018</c:v>
                </c:pt>
                <c:pt idx="33">
                  <c:v>May-2018</c:v>
                </c:pt>
                <c:pt idx="34">
                  <c:v>Jun-2018</c:v>
                </c:pt>
                <c:pt idx="35">
                  <c:v>Jul-2018</c:v>
                </c:pt>
                <c:pt idx="36">
                  <c:v>Aug-2018</c:v>
                </c:pt>
                <c:pt idx="37">
                  <c:v>Sep-2018</c:v>
                </c:pt>
                <c:pt idx="38">
                  <c:v>Oct-2018</c:v>
                </c:pt>
                <c:pt idx="39">
                  <c:v>Nov-2018</c:v>
                </c:pt>
                <c:pt idx="40">
                  <c:v>Dec-2018</c:v>
                </c:pt>
                <c:pt idx="41">
                  <c:v>Jan-2019</c:v>
                </c:pt>
                <c:pt idx="42">
                  <c:v>Feb-2019</c:v>
                </c:pt>
                <c:pt idx="43">
                  <c:v>Mar-2019</c:v>
                </c:pt>
                <c:pt idx="44">
                  <c:v>Apr-2019</c:v>
                </c:pt>
                <c:pt idx="45">
                  <c:v>May-2019</c:v>
                </c:pt>
                <c:pt idx="46">
                  <c:v>Jun-2019</c:v>
                </c:pt>
                <c:pt idx="47">
                  <c:v>Jul-2019</c:v>
                </c:pt>
                <c:pt idx="48">
                  <c:v>Aug-2019</c:v>
                </c:pt>
                <c:pt idx="49">
                  <c:v>Sep-2019</c:v>
                </c:pt>
                <c:pt idx="50">
                  <c:v>Oct-2019</c:v>
                </c:pt>
                <c:pt idx="51">
                  <c:v>Nov-2019</c:v>
                </c:pt>
                <c:pt idx="52">
                  <c:v>Dec-2019</c:v>
                </c:pt>
                <c:pt idx="53">
                  <c:v>Jan-2020</c:v>
                </c:pt>
                <c:pt idx="54">
                  <c:v>Feb-2020</c:v>
                </c:pt>
                <c:pt idx="55">
                  <c:v>Mar-2020</c:v>
                </c:pt>
                <c:pt idx="56">
                  <c:v>Apr-2020</c:v>
                </c:pt>
                <c:pt idx="57">
                  <c:v>May-2020</c:v>
                </c:pt>
                <c:pt idx="58">
                  <c:v>Jun-2020</c:v>
                </c:pt>
                <c:pt idx="59">
                  <c:v>Jul-2020</c:v>
                </c:pt>
                <c:pt idx="60">
                  <c:v>Aug-2020</c:v>
                </c:pt>
                <c:pt idx="61">
                  <c:v>Sep-2020</c:v>
                </c:pt>
                <c:pt idx="62">
                  <c:v>Oct-2020</c:v>
                </c:pt>
                <c:pt idx="63">
                  <c:v>Nov-2020</c:v>
                </c:pt>
                <c:pt idx="64">
                  <c:v>Dec-2020</c:v>
                </c:pt>
                <c:pt idx="65">
                  <c:v>Jan-2021</c:v>
                </c:pt>
                <c:pt idx="66">
                  <c:v>Feb-2021</c:v>
                </c:pt>
                <c:pt idx="67">
                  <c:v>Mar-2021</c:v>
                </c:pt>
                <c:pt idx="68">
                  <c:v>Apr-2021</c:v>
                </c:pt>
                <c:pt idx="69">
                  <c:v>May-2021</c:v>
                </c:pt>
                <c:pt idx="70">
                  <c:v>Jun-2021</c:v>
                </c:pt>
                <c:pt idx="71">
                  <c:v>Jul-2021</c:v>
                </c:pt>
                <c:pt idx="72">
                  <c:v>Aug-2021</c:v>
                </c:pt>
                <c:pt idx="73">
                  <c:v>Sep-2021</c:v>
                </c:pt>
                <c:pt idx="74">
                  <c:v>Oct-2021</c:v>
                </c:pt>
                <c:pt idx="75">
                  <c:v>Nov-2021</c:v>
                </c:pt>
                <c:pt idx="76">
                  <c:v>Dec-2021</c:v>
                </c:pt>
                <c:pt idx="77">
                  <c:v>Jan-2022</c:v>
                </c:pt>
                <c:pt idx="78">
                  <c:v>Feb-2022</c:v>
                </c:pt>
                <c:pt idx="79">
                  <c:v>Mar-2022</c:v>
                </c:pt>
                <c:pt idx="80">
                  <c:v>Apr-2022</c:v>
                </c:pt>
                <c:pt idx="81">
                  <c:v>May-2022</c:v>
                </c:pt>
                <c:pt idx="82">
                  <c:v>Jun-2022</c:v>
                </c:pt>
                <c:pt idx="83">
                  <c:v>Jul-2022</c:v>
                </c:pt>
                <c:pt idx="84">
                  <c:v>Aug-2022</c:v>
                </c:pt>
                <c:pt idx="85">
                  <c:v>Sep-2022</c:v>
                </c:pt>
                <c:pt idx="86">
                  <c:v>Oct-2022</c:v>
                </c:pt>
                <c:pt idx="87">
                  <c:v>Nov-2022</c:v>
                </c:pt>
                <c:pt idx="88">
                  <c:v>Dec-2022</c:v>
                </c:pt>
                <c:pt idx="89">
                  <c:v>Jan-2023</c:v>
                </c:pt>
                <c:pt idx="90">
                  <c:v>Feb-2023</c:v>
                </c:pt>
                <c:pt idx="91">
                  <c:v>Mar-2023</c:v>
                </c:pt>
                <c:pt idx="92">
                  <c:v>Apr-2023</c:v>
                </c:pt>
                <c:pt idx="93">
                  <c:v>May-2023</c:v>
                </c:pt>
                <c:pt idx="94">
                  <c:v>Jun-2023</c:v>
                </c:pt>
                <c:pt idx="95">
                  <c:v>Jul-2023</c:v>
                </c:pt>
                <c:pt idx="96">
                  <c:v>Aug-2023</c:v>
                </c:pt>
                <c:pt idx="97">
                  <c:v>Sep-2023</c:v>
                </c:pt>
                <c:pt idx="98">
                  <c:v>Oct-2023</c:v>
                </c:pt>
                <c:pt idx="99">
                  <c:v>Nov-2023</c:v>
                </c:pt>
                <c:pt idx="100">
                  <c:v>Dec-2023</c:v>
                </c:pt>
                <c:pt idx="101">
                  <c:v>Jan-2024</c:v>
                </c:pt>
                <c:pt idx="102">
                  <c:v>Feb-2024</c:v>
                </c:pt>
                <c:pt idx="103">
                  <c:v>Mar-2024</c:v>
                </c:pt>
                <c:pt idx="104">
                  <c:v>Apr-2024</c:v>
                </c:pt>
                <c:pt idx="105">
                  <c:v>May-2024</c:v>
                </c:pt>
                <c:pt idx="106">
                  <c:v>Jun-2024</c:v>
                </c:pt>
                <c:pt idx="107">
                  <c:v>Jul-2024</c:v>
                </c:pt>
                <c:pt idx="108">
                  <c:v>Aug-2024</c:v>
                </c:pt>
                <c:pt idx="109">
                  <c:v>Sep-2024</c:v>
                </c:pt>
                <c:pt idx="110">
                  <c:v>Oct-2024</c:v>
                </c:pt>
                <c:pt idx="111">
                  <c:v>Nov-2024</c:v>
                </c:pt>
                <c:pt idx="112">
                  <c:v>Dec-2024</c:v>
                </c:pt>
              </c:strCache>
            </c:strRef>
          </c:cat>
          <c:val>
            <c:numRef>
              <c:f>Charts!$F$4:$F$116</c:f>
              <c:numCache>
                <c:formatCode>0.0000</c:formatCode>
                <c:ptCount val="113"/>
                <c:pt idx="0">
                  <c:v>0.978977897928171</c:v>
                </c:pt>
                <c:pt idx="1">
                  <c:v>0.948489697579945</c:v>
                </c:pt>
                <c:pt idx="2">
                  <c:v>0.942619866140631</c:v>
                </c:pt>
                <c:pt idx="3">
                  <c:v>0.887119564034888</c:v>
                </c:pt>
                <c:pt idx="4">
                  <c:v>0.887621723469989</c:v>
                </c:pt>
                <c:pt idx="5">
                  <c:v>0.849784440537479</c:v>
                </c:pt>
                <c:pt idx="6">
                  <c:v>0.813875132826535</c:v>
                </c:pt>
                <c:pt idx="7">
                  <c:v>0.911360065666962</c:v>
                </c:pt>
                <c:pt idx="8">
                  <c:v>1.01213194958871</c:v>
                </c:pt>
                <c:pt idx="9">
                  <c:v>1.06102124632865</c:v>
                </c:pt>
                <c:pt idx="10">
                  <c:v>1.06760510230017</c:v>
                </c:pt>
                <c:pt idx="11">
                  <c:v>1.10926312222753</c:v>
                </c:pt>
                <c:pt idx="12">
                  <c:v>1.07954942271254</c:v>
                </c:pt>
                <c:pt idx="13">
                  <c:v>1.29193507844692</c:v>
                </c:pt>
                <c:pt idx="14">
                  <c:v>1.39505835491974</c:v>
                </c:pt>
                <c:pt idx="15">
                  <c:v>1.63188707261118</c:v>
                </c:pt>
                <c:pt idx="16">
                  <c:v>1.81975463467398</c:v>
                </c:pt>
                <c:pt idx="17">
                  <c:v>1.77123604989749</c:v>
                </c:pt>
                <c:pt idx="18">
                  <c:v>1.53183149670802</c:v>
                </c:pt>
                <c:pt idx="19">
                  <c:v>1.49980226883804</c:v>
                </c:pt>
                <c:pt idx="20">
                  <c:v>1.62467622126134</c:v>
                </c:pt>
                <c:pt idx="21">
                  <c:v>2.09367656327863</c:v>
                </c:pt>
                <c:pt idx="22">
                  <c:v>2.08852467546973</c:v>
                </c:pt>
                <c:pt idx="23">
                  <c:v>2.02452831626962</c:v>
                </c:pt>
                <c:pt idx="24">
                  <c:v>1.6137118082035</c:v>
                </c:pt>
                <c:pt idx="25">
                  <c:v>1.75159444548337</c:v>
                </c:pt>
                <c:pt idx="26">
                  <c:v>1.67840384735369</c:v>
                </c:pt>
                <c:pt idx="27">
                  <c:v>2.01184219183124</c:v>
                </c:pt>
                <c:pt idx="28">
                  <c:v>2.00095484510799</c:v>
                </c:pt>
                <c:pt idx="29">
                  <c:v>2.08877817812058</c:v>
                </c:pt>
                <c:pt idx="30">
                  <c:v>2.02563448296673</c:v>
                </c:pt>
                <c:pt idx="31">
                  <c:v>2.16328908191794</c:v>
                </c:pt>
                <c:pt idx="32">
                  <c:v>2.15692411240598</c:v>
                </c:pt>
                <c:pt idx="33">
                  <c:v>2.02359547971293</c:v>
                </c:pt>
                <c:pt idx="34">
                  <c:v>2.03997943609652</c:v>
                </c:pt>
                <c:pt idx="35">
                  <c:v>2.2011419233967</c:v>
                </c:pt>
                <c:pt idx="36">
                  <c:v>2.19370217068952</c:v>
                </c:pt>
                <c:pt idx="37">
                  <c:v>2.23100526138171</c:v>
                </c:pt>
                <c:pt idx="38">
                  <c:v>2.35211887185133</c:v>
                </c:pt>
                <c:pt idx="39">
                  <c:v>2.29026494893557</c:v>
                </c:pt>
                <c:pt idx="40">
                  <c:v>2.08415702680055</c:v>
                </c:pt>
                <c:pt idx="41">
                  <c:v>2.30917833753367</c:v>
                </c:pt>
                <c:pt idx="42">
                  <c:v>2.2430534021937</c:v>
                </c:pt>
                <c:pt idx="43">
                  <c:v>2.15213353421935</c:v>
                </c:pt>
                <c:pt idx="44">
                  <c:v>2.02528441835061</c:v>
                </c:pt>
                <c:pt idx="45">
                  <c:v>2.06863397776385</c:v>
                </c:pt>
                <c:pt idx="46">
                  <c:v>1.91466492795174</c:v>
                </c:pt>
                <c:pt idx="47">
                  <c:v>1.89850433542883</c:v>
                </c:pt>
                <c:pt idx="48">
                  <c:v>1.67514207706811</c:v>
                </c:pt>
                <c:pt idx="49">
                  <c:v>1.74303929360824</c:v>
                </c:pt>
                <c:pt idx="50">
                  <c:v>1.82403547724483</c:v>
                </c:pt>
                <c:pt idx="51">
                  <c:v>2.03155723868255</c:v>
                </c:pt>
                <c:pt idx="52">
                  <c:v>2.15704153568034</c:v>
                </c:pt>
                <c:pt idx="53">
                  <c:v>2.28004930608382</c:v>
                </c:pt>
                <c:pt idx="54">
                  <c:v>2.06742833941209</c:v>
                </c:pt>
                <c:pt idx="55">
                  <c:v>1.34927122091675</c:v>
                </c:pt>
                <c:pt idx="56">
                  <c:v>1.58116228058489</c:v>
                </c:pt>
                <c:pt idx="57">
                  <c:v>1.84636072557186</c:v>
                </c:pt>
                <c:pt idx="58">
                  <c:v>1.90647418918302</c:v>
                </c:pt>
                <c:pt idx="59">
                  <c:v>2.1010365961553</c:v>
                </c:pt>
                <c:pt idx="60">
                  <c:v>2.24816789267379</c:v>
                </c:pt>
                <c:pt idx="61">
                  <c:v>2.27031231870998</c:v>
                </c:pt>
                <c:pt idx="62">
                  <c:v>2.42058294239281</c:v>
                </c:pt>
                <c:pt idx="63">
                  <c:v>2.43190912258126</c:v>
                </c:pt>
                <c:pt idx="64">
                  <c:v>2.67256865994274</c:v>
                </c:pt>
                <c:pt idx="65">
                  <c:v>2.76725495184409</c:v>
                </c:pt>
                <c:pt idx="66">
                  <c:v>2.55872237774886</c:v>
                </c:pt>
                <c:pt idx="67">
                  <c:v>2.42880806371452</c:v>
                </c:pt>
                <c:pt idx="68">
                  <c:v>2.31047777140346</c:v>
                </c:pt>
                <c:pt idx="69">
                  <c:v>2.39634781997548</c:v>
                </c:pt>
                <c:pt idx="70">
                  <c:v>2.34453995805192</c:v>
                </c:pt>
                <c:pt idx="71">
                  <c:v>2.33628663828026</c:v>
                </c:pt>
                <c:pt idx="72">
                  <c:v>2.51219348635967</c:v>
                </c:pt>
                <c:pt idx="73">
                  <c:v>2.40532071659434</c:v>
                </c:pt>
                <c:pt idx="74">
                  <c:v>2.44216167322122</c:v>
                </c:pt>
                <c:pt idx="75">
                  <c:v>2.49912420866452</c:v>
                </c:pt>
                <c:pt idx="76">
                  <c:v>2.40930107476042</c:v>
                </c:pt>
                <c:pt idx="77">
                  <c:v>2.47512344659611</c:v>
                </c:pt>
                <c:pt idx="78">
                  <c:v>2.392040316897</c:v>
                </c:pt>
                <c:pt idx="79">
                  <c:v>2.21481255252502</c:v>
                </c:pt>
                <c:pt idx="80">
                  <c:v>2.28195111946892</c:v>
                </c:pt>
                <c:pt idx="81">
                  <c:v>2.11069776277956</c:v>
                </c:pt>
                <c:pt idx="82">
                  <c:v>1.93787742109978</c:v>
                </c:pt>
                <c:pt idx="83">
                  <c:v>1.96886442491006</c:v>
                </c:pt>
                <c:pt idx="84">
                  <c:v>2.25467634564328</c:v>
                </c:pt>
                <c:pt idx="85">
                  <c:v>2.08965864161841</c:v>
                </c:pt>
                <c:pt idx="86">
                  <c:v>1.95796246043411</c:v>
                </c:pt>
                <c:pt idx="87">
                  <c:v>2.0522311137398</c:v>
                </c:pt>
                <c:pt idx="88">
                  <c:v>1.83036978348001</c:v>
                </c:pt>
                <c:pt idx="89">
                  <c:v>1.73281733706754</c:v>
                </c:pt>
                <c:pt idx="90">
                  <c:v>1.71131571819551</c:v>
                </c:pt>
                <c:pt idx="91">
                  <c:v>1.73206240953198</c:v>
                </c:pt>
                <c:pt idx="92">
                  <c:v>1.78152238527801</c:v>
                </c:pt>
                <c:pt idx="93">
                  <c:v>1.86958329999807</c:v>
                </c:pt>
                <c:pt idx="94">
                  <c:v>1.84327128720007</c:v>
                </c:pt>
                <c:pt idx="95">
                  <c:v>2.2913825615873</c:v>
                </c:pt>
                <c:pt idx="96">
                  <c:v>2.01303629820428</c:v>
                </c:pt>
                <c:pt idx="97">
                  <c:v>2.01869801268172</c:v>
                </c:pt>
                <c:pt idx="98">
                  <c:v>2.24222661461885</c:v>
                </c:pt>
                <c:pt idx="99">
                  <c:v>2.44271143784343</c:v>
                </c:pt>
                <c:pt idx="100">
                  <c:v>2.49682708193002</c:v>
                </c:pt>
                <c:pt idx="101">
                  <c:v>2.70156566439929</c:v>
                </c:pt>
                <c:pt idx="102">
                  <c:v>3.44158739797958</c:v>
                </c:pt>
                <c:pt idx="103">
                  <c:v>3.76067940904108</c:v>
                </c:pt>
                <c:pt idx="104">
                  <c:v>4.95765372810492</c:v>
                </c:pt>
                <c:pt idx="105">
                  <c:v>5.37296193975735</c:v>
                </c:pt>
                <c:pt idx="106">
                  <c:v>5.69464720230137</c:v>
                </c:pt>
                <c:pt idx="107">
                  <c:v>6.41726373798829</c:v>
                </c:pt>
                <c:pt idx="108">
                  <c:v>5.00509563537223</c:v>
                </c:pt>
                <c:pt idx="109">
                  <c:v>5.62866252379076</c:v>
                </c:pt>
                <c:pt idx="110">
                  <c:v>6.49959626587959</c:v>
                </c:pt>
                <c:pt idx="111">
                  <c:v>7.45981745075855</c:v>
                </c:pt>
                <c:pt idx="112">
                  <c:v>8.38197947247427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Charts!G3</c:f>
              <c:strCache>
                <c:ptCount val="1"/>
                <c:pt idx="0">
                  <c:v>Top3-Quarterly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Charts!$A$4:$A$116</c:f>
              <c:strCache>
                <c:ptCount val="113"/>
                <c:pt idx="0">
                  <c:v>Aug-2015</c:v>
                </c:pt>
                <c:pt idx="1">
                  <c:v>Sep-2015</c:v>
                </c:pt>
                <c:pt idx="2">
                  <c:v>Oct-2015</c:v>
                </c:pt>
                <c:pt idx="3">
                  <c:v>Nov-2015</c:v>
                </c:pt>
                <c:pt idx="4">
                  <c:v>Dec-2015</c:v>
                </c:pt>
                <c:pt idx="5">
                  <c:v>Jan-2016</c:v>
                </c:pt>
                <c:pt idx="6">
                  <c:v>Feb-2016</c:v>
                </c:pt>
                <c:pt idx="7">
                  <c:v>Mar-2016</c:v>
                </c:pt>
                <c:pt idx="8">
                  <c:v>Apr-2016</c:v>
                </c:pt>
                <c:pt idx="9">
                  <c:v>May-2016</c:v>
                </c:pt>
                <c:pt idx="10">
                  <c:v>Jun-2016</c:v>
                </c:pt>
                <c:pt idx="11">
                  <c:v>Jul-2016</c:v>
                </c:pt>
                <c:pt idx="12">
                  <c:v>Aug-2016</c:v>
                </c:pt>
                <c:pt idx="13">
                  <c:v>Sep-2016</c:v>
                </c:pt>
                <c:pt idx="14">
                  <c:v>Oct-2016</c:v>
                </c:pt>
                <c:pt idx="15">
                  <c:v>Nov-2016</c:v>
                </c:pt>
                <c:pt idx="16">
                  <c:v>Dec-2016</c:v>
                </c:pt>
                <c:pt idx="17">
                  <c:v>Jan-2017</c:v>
                </c:pt>
                <c:pt idx="18">
                  <c:v>Feb-2017</c:v>
                </c:pt>
                <c:pt idx="19">
                  <c:v>Mar-2017</c:v>
                </c:pt>
                <c:pt idx="20">
                  <c:v>Apr-2017</c:v>
                </c:pt>
                <c:pt idx="21">
                  <c:v>May-2017</c:v>
                </c:pt>
                <c:pt idx="22">
                  <c:v>Jun-2017</c:v>
                </c:pt>
                <c:pt idx="23">
                  <c:v>Jul-2017</c:v>
                </c:pt>
                <c:pt idx="24">
                  <c:v>Aug-2017</c:v>
                </c:pt>
                <c:pt idx="25">
                  <c:v>Sep-2017</c:v>
                </c:pt>
                <c:pt idx="26">
                  <c:v>Oct-2017</c:v>
                </c:pt>
                <c:pt idx="27">
                  <c:v>Nov-2017</c:v>
                </c:pt>
                <c:pt idx="28">
                  <c:v>Dec-2017</c:v>
                </c:pt>
                <c:pt idx="29">
                  <c:v>Jan-2018</c:v>
                </c:pt>
                <c:pt idx="30">
                  <c:v>Feb-2018</c:v>
                </c:pt>
                <c:pt idx="31">
                  <c:v>Mar-2018</c:v>
                </c:pt>
                <c:pt idx="32">
                  <c:v>Apr-2018</c:v>
                </c:pt>
                <c:pt idx="33">
                  <c:v>May-2018</c:v>
                </c:pt>
                <c:pt idx="34">
                  <c:v>Jun-2018</c:v>
                </c:pt>
                <c:pt idx="35">
                  <c:v>Jul-2018</c:v>
                </c:pt>
                <c:pt idx="36">
                  <c:v>Aug-2018</c:v>
                </c:pt>
                <c:pt idx="37">
                  <c:v>Sep-2018</c:v>
                </c:pt>
                <c:pt idx="38">
                  <c:v>Oct-2018</c:v>
                </c:pt>
                <c:pt idx="39">
                  <c:v>Nov-2018</c:v>
                </c:pt>
                <c:pt idx="40">
                  <c:v>Dec-2018</c:v>
                </c:pt>
                <c:pt idx="41">
                  <c:v>Jan-2019</c:v>
                </c:pt>
                <c:pt idx="42">
                  <c:v>Feb-2019</c:v>
                </c:pt>
                <c:pt idx="43">
                  <c:v>Mar-2019</c:v>
                </c:pt>
                <c:pt idx="44">
                  <c:v>Apr-2019</c:v>
                </c:pt>
                <c:pt idx="45">
                  <c:v>May-2019</c:v>
                </c:pt>
                <c:pt idx="46">
                  <c:v>Jun-2019</c:v>
                </c:pt>
                <c:pt idx="47">
                  <c:v>Jul-2019</c:v>
                </c:pt>
                <c:pt idx="48">
                  <c:v>Aug-2019</c:v>
                </c:pt>
                <c:pt idx="49">
                  <c:v>Sep-2019</c:v>
                </c:pt>
                <c:pt idx="50">
                  <c:v>Oct-2019</c:v>
                </c:pt>
                <c:pt idx="51">
                  <c:v>Nov-2019</c:v>
                </c:pt>
                <c:pt idx="52">
                  <c:v>Dec-2019</c:v>
                </c:pt>
                <c:pt idx="53">
                  <c:v>Jan-2020</c:v>
                </c:pt>
                <c:pt idx="54">
                  <c:v>Feb-2020</c:v>
                </c:pt>
                <c:pt idx="55">
                  <c:v>Mar-2020</c:v>
                </c:pt>
                <c:pt idx="56">
                  <c:v>Apr-2020</c:v>
                </c:pt>
                <c:pt idx="57">
                  <c:v>May-2020</c:v>
                </c:pt>
                <c:pt idx="58">
                  <c:v>Jun-2020</c:v>
                </c:pt>
                <c:pt idx="59">
                  <c:v>Jul-2020</c:v>
                </c:pt>
                <c:pt idx="60">
                  <c:v>Aug-2020</c:v>
                </c:pt>
                <c:pt idx="61">
                  <c:v>Sep-2020</c:v>
                </c:pt>
                <c:pt idx="62">
                  <c:v>Oct-2020</c:v>
                </c:pt>
                <c:pt idx="63">
                  <c:v>Nov-2020</c:v>
                </c:pt>
                <c:pt idx="64">
                  <c:v>Dec-2020</c:v>
                </c:pt>
                <c:pt idx="65">
                  <c:v>Jan-2021</c:v>
                </c:pt>
                <c:pt idx="66">
                  <c:v>Feb-2021</c:v>
                </c:pt>
                <c:pt idx="67">
                  <c:v>Mar-2021</c:v>
                </c:pt>
                <c:pt idx="68">
                  <c:v>Apr-2021</c:v>
                </c:pt>
                <c:pt idx="69">
                  <c:v>May-2021</c:v>
                </c:pt>
                <c:pt idx="70">
                  <c:v>Jun-2021</c:v>
                </c:pt>
                <c:pt idx="71">
                  <c:v>Jul-2021</c:v>
                </c:pt>
                <c:pt idx="72">
                  <c:v>Aug-2021</c:v>
                </c:pt>
                <c:pt idx="73">
                  <c:v>Sep-2021</c:v>
                </c:pt>
                <c:pt idx="74">
                  <c:v>Oct-2021</c:v>
                </c:pt>
                <c:pt idx="75">
                  <c:v>Nov-2021</c:v>
                </c:pt>
                <c:pt idx="76">
                  <c:v>Dec-2021</c:v>
                </c:pt>
                <c:pt idx="77">
                  <c:v>Jan-2022</c:v>
                </c:pt>
                <c:pt idx="78">
                  <c:v>Feb-2022</c:v>
                </c:pt>
                <c:pt idx="79">
                  <c:v>Mar-2022</c:v>
                </c:pt>
                <c:pt idx="80">
                  <c:v>Apr-2022</c:v>
                </c:pt>
                <c:pt idx="81">
                  <c:v>May-2022</c:v>
                </c:pt>
                <c:pt idx="82">
                  <c:v>Jun-2022</c:v>
                </c:pt>
                <c:pt idx="83">
                  <c:v>Jul-2022</c:v>
                </c:pt>
                <c:pt idx="84">
                  <c:v>Aug-2022</c:v>
                </c:pt>
                <c:pt idx="85">
                  <c:v>Sep-2022</c:v>
                </c:pt>
                <c:pt idx="86">
                  <c:v>Oct-2022</c:v>
                </c:pt>
                <c:pt idx="87">
                  <c:v>Nov-2022</c:v>
                </c:pt>
                <c:pt idx="88">
                  <c:v>Dec-2022</c:v>
                </c:pt>
                <c:pt idx="89">
                  <c:v>Jan-2023</c:v>
                </c:pt>
                <c:pt idx="90">
                  <c:v>Feb-2023</c:v>
                </c:pt>
                <c:pt idx="91">
                  <c:v>Mar-2023</c:v>
                </c:pt>
                <c:pt idx="92">
                  <c:v>Apr-2023</c:v>
                </c:pt>
                <c:pt idx="93">
                  <c:v>May-2023</c:v>
                </c:pt>
                <c:pt idx="94">
                  <c:v>Jun-2023</c:v>
                </c:pt>
                <c:pt idx="95">
                  <c:v>Jul-2023</c:v>
                </c:pt>
                <c:pt idx="96">
                  <c:v>Aug-2023</c:v>
                </c:pt>
                <c:pt idx="97">
                  <c:v>Sep-2023</c:v>
                </c:pt>
                <c:pt idx="98">
                  <c:v>Oct-2023</c:v>
                </c:pt>
                <c:pt idx="99">
                  <c:v>Nov-2023</c:v>
                </c:pt>
                <c:pt idx="100">
                  <c:v>Dec-2023</c:v>
                </c:pt>
                <c:pt idx="101">
                  <c:v>Jan-2024</c:v>
                </c:pt>
                <c:pt idx="102">
                  <c:v>Feb-2024</c:v>
                </c:pt>
                <c:pt idx="103">
                  <c:v>Mar-2024</c:v>
                </c:pt>
                <c:pt idx="104">
                  <c:v>Apr-2024</c:v>
                </c:pt>
                <c:pt idx="105">
                  <c:v>May-2024</c:v>
                </c:pt>
                <c:pt idx="106">
                  <c:v>Jun-2024</c:v>
                </c:pt>
                <c:pt idx="107">
                  <c:v>Jul-2024</c:v>
                </c:pt>
                <c:pt idx="108">
                  <c:v>Aug-2024</c:v>
                </c:pt>
                <c:pt idx="109">
                  <c:v>Sep-2024</c:v>
                </c:pt>
                <c:pt idx="110">
                  <c:v>Oct-2024</c:v>
                </c:pt>
                <c:pt idx="111">
                  <c:v>Nov-2024</c:v>
                </c:pt>
                <c:pt idx="112">
                  <c:v>Dec-2024</c:v>
                </c:pt>
              </c:strCache>
            </c:strRef>
          </c:cat>
          <c:val>
            <c:numRef>
              <c:f>Charts!$G$4:$G$116</c:f>
              <c:numCache>
                <c:formatCode>0.0000</c:formatCode>
                <c:ptCount val="113"/>
                <c:pt idx="0">
                  <c:v>0.978977897928171</c:v>
                </c:pt>
                <c:pt idx="1">
                  <c:v>0.948489697579945</c:v>
                </c:pt>
                <c:pt idx="2">
                  <c:v>0.942619866140631</c:v>
                </c:pt>
                <c:pt idx="3">
                  <c:v>0.838497380329797</c:v>
                </c:pt>
                <c:pt idx="4">
                  <c:v>0.84638465600015</c:v>
                </c:pt>
                <c:pt idx="5">
                  <c:v>0.780235703468992</c:v>
                </c:pt>
                <c:pt idx="6">
                  <c:v>0.747265314007386</c:v>
                </c:pt>
                <c:pt idx="7">
                  <c:v>0.836771807094351</c:v>
                </c:pt>
                <c:pt idx="8">
                  <c:v>0.929296237986317</c:v>
                </c:pt>
                <c:pt idx="9">
                  <c:v>0.884509047019347</c:v>
                </c:pt>
                <c:pt idx="10">
                  <c:v>0.90261212867818</c:v>
                </c:pt>
                <c:pt idx="11">
                  <c:v>0.918830552527732</c:v>
                </c:pt>
                <c:pt idx="12">
                  <c:v>0.936302197909453</c:v>
                </c:pt>
                <c:pt idx="13">
                  <c:v>1.12050604451879</c:v>
                </c:pt>
                <c:pt idx="14">
                  <c:v>1.20994572035551</c:v>
                </c:pt>
                <c:pt idx="15">
                  <c:v>1.31175952420072</c:v>
                </c:pt>
                <c:pt idx="16">
                  <c:v>1.36162743717984</c:v>
                </c:pt>
                <c:pt idx="17">
                  <c:v>1.38282852303392</c:v>
                </c:pt>
                <c:pt idx="18">
                  <c:v>1.29006851142989</c:v>
                </c:pt>
                <c:pt idx="19">
                  <c:v>1.26309433156137</c:v>
                </c:pt>
                <c:pt idx="20">
                  <c:v>1.36825991554714</c:v>
                </c:pt>
                <c:pt idx="21">
                  <c:v>1.75366194502288</c:v>
                </c:pt>
                <c:pt idx="22">
                  <c:v>1.74934672759439</c:v>
                </c:pt>
                <c:pt idx="23">
                  <c:v>1.69574342433464</c:v>
                </c:pt>
                <c:pt idx="24">
                  <c:v>1.3271386462593</c:v>
                </c:pt>
                <c:pt idx="25">
                  <c:v>1.44053521165098</c:v>
                </c:pt>
                <c:pt idx="26">
                  <c:v>1.38034226342631</c:v>
                </c:pt>
                <c:pt idx="27">
                  <c:v>1.38916899081988</c:v>
                </c:pt>
                <c:pt idx="28">
                  <c:v>1.39940615364212</c:v>
                </c:pt>
                <c:pt idx="29">
                  <c:v>1.54418974597575</c:v>
                </c:pt>
                <c:pt idx="30">
                  <c:v>1.47736539483352</c:v>
                </c:pt>
                <c:pt idx="31">
                  <c:v>1.57776166209707</c:v>
                </c:pt>
                <c:pt idx="32">
                  <c:v>1.5731194693544</c:v>
                </c:pt>
                <c:pt idx="33">
                  <c:v>1.45007066376283</c:v>
                </c:pt>
                <c:pt idx="34">
                  <c:v>1.40493038072944</c:v>
                </c:pt>
                <c:pt idx="35">
                  <c:v>1.46965147383765</c:v>
                </c:pt>
                <c:pt idx="36">
                  <c:v>1.47654288926346</c:v>
                </c:pt>
                <c:pt idx="37">
                  <c:v>1.50165095272122</c:v>
                </c:pt>
                <c:pt idx="38">
                  <c:v>1.58317042365092</c:v>
                </c:pt>
                <c:pt idx="39">
                  <c:v>1.51211231920908</c:v>
                </c:pt>
                <c:pt idx="40">
                  <c:v>1.3760327235746</c:v>
                </c:pt>
                <c:pt idx="41">
                  <c:v>1.52459959405929</c:v>
                </c:pt>
                <c:pt idx="42">
                  <c:v>1.49216617538438</c:v>
                </c:pt>
                <c:pt idx="43">
                  <c:v>1.43168275063441</c:v>
                </c:pt>
                <c:pt idx="44">
                  <c:v>1.34729779578151</c:v>
                </c:pt>
                <c:pt idx="45">
                  <c:v>1.36670452051643</c:v>
                </c:pt>
                <c:pt idx="46">
                  <c:v>1.26498029155191</c:v>
                </c:pt>
                <c:pt idx="47">
                  <c:v>1.25430331578302</c:v>
                </c:pt>
                <c:pt idx="48">
                  <c:v>1.10673240111384</c:v>
                </c:pt>
                <c:pt idx="49">
                  <c:v>1.15159071523483</c:v>
                </c:pt>
                <c:pt idx="50">
                  <c:v>1.20510325129032</c:v>
                </c:pt>
                <c:pt idx="51">
                  <c:v>1.28862381877103</c:v>
                </c:pt>
                <c:pt idx="52">
                  <c:v>1.4484066863911</c:v>
                </c:pt>
                <c:pt idx="53">
                  <c:v>1.49528565988592</c:v>
                </c:pt>
                <c:pt idx="54">
                  <c:v>1.3469140141828</c:v>
                </c:pt>
                <c:pt idx="55">
                  <c:v>0.87904005267873</c:v>
                </c:pt>
                <c:pt idx="56">
                  <c:v>1.03011533402054</c:v>
                </c:pt>
                <c:pt idx="57">
                  <c:v>1.11049644328024</c:v>
                </c:pt>
                <c:pt idx="58">
                  <c:v>1.1861830612876</c:v>
                </c:pt>
                <c:pt idx="59">
                  <c:v>1.39556180859167</c:v>
                </c:pt>
                <c:pt idx="60">
                  <c:v>1.41902616164439</c:v>
                </c:pt>
                <c:pt idx="61">
                  <c:v>1.43300355184837</c:v>
                </c:pt>
                <c:pt idx="62">
                  <c:v>1.5278532056609</c:v>
                </c:pt>
                <c:pt idx="63">
                  <c:v>1.54880296321966</c:v>
                </c:pt>
                <c:pt idx="64">
                  <c:v>1.63685402923306</c:v>
                </c:pt>
                <c:pt idx="65">
                  <c:v>1.67191528044719</c:v>
                </c:pt>
                <c:pt idx="66">
                  <c:v>1.60179978973654</c:v>
                </c:pt>
                <c:pt idx="67">
                  <c:v>1.52047141948676</c:v>
                </c:pt>
                <c:pt idx="68">
                  <c:v>1.44639482603074</c:v>
                </c:pt>
                <c:pt idx="69">
                  <c:v>1.51532269115158</c:v>
                </c:pt>
                <c:pt idx="70">
                  <c:v>1.48103309446173</c:v>
                </c:pt>
                <c:pt idx="71">
                  <c:v>1.44903284647728</c:v>
                </c:pt>
                <c:pt idx="72">
                  <c:v>1.55773895929935</c:v>
                </c:pt>
                <c:pt idx="73">
                  <c:v>1.49147022719109</c:v>
                </c:pt>
                <c:pt idx="74">
                  <c:v>1.51431424527615</c:v>
                </c:pt>
                <c:pt idx="75">
                  <c:v>1.48035731816576</c:v>
                </c:pt>
                <c:pt idx="76">
                  <c:v>1.4136851276437</c:v>
                </c:pt>
                <c:pt idx="77">
                  <c:v>1.40557256278841</c:v>
                </c:pt>
                <c:pt idx="78">
                  <c:v>1.37092052411607</c:v>
                </c:pt>
                <c:pt idx="79">
                  <c:v>1.26934816435922</c:v>
                </c:pt>
                <c:pt idx="80">
                  <c:v>1.30782646204215</c:v>
                </c:pt>
                <c:pt idx="81">
                  <c:v>1.17988110825024</c:v>
                </c:pt>
                <c:pt idx="82">
                  <c:v>1.1009175233296</c:v>
                </c:pt>
                <c:pt idx="83">
                  <c:v>1.09193379555</c:v>
                </c:pt>
                <c:pt idx="84">
                  <c:v>1.25044531694839</c:v>
                </c:pt>
                <c:pt idx="85">
                  <c:v>1.15892636541009</c:v>
                </c:pt>
                <c:pt idx="86">
                  <c:v>1.08588755727246</c:v>
                </c:pt>
                <c:pt idx="87">
                  <c:v>1.11751582330098</c:v>
                </c:pt>
                <c:pt idx="88">
                  <c:v>1.01777280850218</c:v>
                </c:pt>
                <c:pt idx="89">
                  <c:v>0.997850241084819</c:v>
                </c:pt>
                <c:pt idx="90">
                  <c:v>0.985468442313418</c:v>
                </c:pt>
                <c:pt idx="91">
                  <c:v>0.997415512849337</c:v>
                </c:pt>
                <c:pt idx="92">
                  <c:v>1.02589725046038</c:v>
                </c:pt>
                <c:pt idx="93">
                  <c:v>0.961972537078988</c:v>
                </c:pt>
                <c:pt idx="94">
                  <c:v>0.936298306516247</c:v>
                </c:pt>
                <c:pt idx="95">
                  <c:v>1.13073994988632</c:v>
                </c:pt>
                <c:pt idx="96">
                  <c:v>1.03072272953574</c:v>
                </c:pt>
                <c:pt idx="97">
                  <c:v>1.03362166275679</c:v>
                </c:pt>
                <c:pt idx="98">
                  <c:v>1.14807365297846</c:v>
                </c:pt>
                <c:pt idx="99">
                  <c:v>1.24005024872949</c:v>
                </c:pt>
                <c:pt idx="100">
                  <c:v>1.26752222796948</c:v>
                </c:pt>
                <c:pt idx="101">
                  <c:v>1.37145842206193</c:v>
                </c:pt>
                <c:pt idx="102">
                  <c:v>1.74393134287619</c:v>
                </c:pt>
                <c:pt idx="103">
                  <c:v>1.90562259025762</c:v>
                </c:pt>
                <c:pt idx="104">
                  <c:v>2.51215695659647</c:v>
                </c:pt>
                <c:pt idx="105">
                  <c:v>2.39159837999004</c:v>
                </c:pt>
                <c:pt idx="106">
                  <c:v>2.53478605959636</c:v>
                </c:pt>
                <c:pt idx="107">
                  <c:v>2.85643519009084</c:v>
                </c:pt>
                <c:pt idx="108">
                  <c:v>2.75844128803776</c:v>
                </c:pt>
                <c:pt idx="109">
                  <c:v>3.10210558062605</c:v>
                </c:pt>
                <c:pt idx="110">
                  <c:v>3.58210032365245</c:v>
                </c:pt>
                <c:pt idx="111">
                  <c:v>3.74290625995199</c:v>
                </c:pt>
                <c:pt idx="112">
                  <c:v>4.14251012189498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Charts!H3</c:f>
              <c:strCache>
                <c:ptCount val="1"/>
                <c:pt idx="0">
                  <c:v>Top5-Annual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Charts!$A$4:$A$116</c:f>
              <c:strCache>
                <c:ptCount val="113"/>
                <c:pt idx="0">
                  <c:v>Aug-2015</c:v>
                </c:pt>
                <c:pt idx="1">
                  <c:v>Sep-2015</c:v>
                </c:pt>
                <c:pt idx="2">
                  <c:v>Oct-2015</c:v>
                </c:pt>
                <c:pt idx="3">
                  <c:v>Nov-2015</c:v>
                </c:pt>
                <c:pt idx="4">
                  <c:v>Dec-2015</c:v>
                </c:pt>
                <c:pt idx="5">
                  <c:v>Jan-2016</c:v>
                </c:pt>
                <c:pt idx="6">
                  <c:v>Feb-2016</c:v>
                </c:pt>
                <c:pt idx="7">
                  <c:v>Mar-2016</c:v>
                </c:pt>
                <c:pt idx="8">
                  <c:v>Apr-2016</c:v>
                </c:pt>
                <c:pt idx="9">
                  <c:v>May-2016</c:v>
                </c:pt>
                <c:pt idx="10">
                  <c:v>Jun-2016</c:v>
                </c:pt>
                <c:pt idx="11">
                  <c:v>Jul-2016</c:v>
                </c:pt>
                <c:pt idx="12">
                  <c:v>Aug-2016</c:v>
                </c:pt>
                <c:pt idx="13">
                  <c:v>Sep-2016</c:v>
                </c:pt>
                <c:pt idx="14">
                  <c:v>Oct-2016</c:v>
                </c:pt>
                <c:pt idx="15">
                  <c:v>Nov-2016</c:v>
                </c:pt>
                <c:pt idx="16">
                  <c:v>Dec-2016</c:v>
                </c:pt>
                <c:pt idx="17">
                  <c:v>Jan-2017</c:v>
                </c:pt>
                <c:pt idx="18">
                  <c:v>Feb-2017</c:v>
                </c:pt>
                <c:pt idx="19">
                  <c:v>Mar-2017</c:v>
                </c:pt>
                <c:pt idx="20">
                  <c:v>Apr-2017</c:v>
                </c:pt>
                <c:pt idx="21">
                  <c:v>May-2017</c:v>
                </c:pt>
                <c:pt idx="22">
                  <c:v>Jun-2017</c:v>
                </c:pt>
                <c:pt idx="23">
                  <c:v>Jul-2017</c:v>
                </c:pt>
                <c:pt idx="24">
                  <c:v>Aug-2017</c:v>
                </c:pt>
                <c:pt idx="25">
                  <c:v>Sep-2017</c:v>
                </c:pt>
                <c:pt idx="26">
                  <c:v>Oct-2017</c:v>
                </c:pt>
                <c:pt idx="27">
                  <c:v>Nov-2017</c:v>
                </c:pt>
                <c:pt idx="28">
                  <c:v>Dec-2017</c:v>
                </c:pt>
                <c:pt idx="29">
                  <c:v>Jan-2018</c:v>
                </c:pt>
                <c:pt idx="30">
                  <c:v>Feb-2018</c:v>
                </c:pt>
                <c:pt idx="31">
                  <c:v>Mar-2018</c:v>
                </c:pt>
                <c:pt idx="32">
                  <c:v>Apr-2018</c:v>
                </c:pt>
                <c:pt idx="33">
                  <c:v>May-2018</c:v>
                </c:pt>
                <c:pt idx="34">
                  <c:v>Jun-2018</c:v>
                </c:pt>
                <c:pt idx="35">
                  <c:v>Jul-2018</c:v>
                </c:pt>
                <c:pt idx="36">
                  <c:v>Aug-2018</c:v>
                </c:pt>
                <c:pt idx="37">
                  <c:v>Sep-2018</c:v>
                </c:pt>
                <c:pt idx="38">
                  <c:v>Oct-2018</c:v>
                </c:pt>
                <c:pt idx="39">
                  <c:v>Nov-2018</c:v>
                </c:pt>
                <c:pt idx="40">
                  <c:v>Dec-2018</c:v>
                </c:pt>
                <c:pt idx="41">
                  <c:v>Jan-2019</c:v>
                </c:pt>
                <c:pt idx="42">
                  <c:v>Feb-2019</c:v>
                </c:pt>
                <c:pt idx="43">
                  <c:v>Mar-2019</c:v>
                </c:pt>
                <c:pt idx="44">
                  <c:v>Apr-2019</c:v>
                </c:pt>
                <c:pt idx="45">
                  <c:v>May-2019</c:v>
                </c:pt>
                <c:pt idx="46">
                  <c:v>Jun-2019</c:v>
                </c:pt>
                <c:pt idx="47">
                  <c:v>Jul-2019</c:v>
                </c:pt>
                <c:pt idx="48">
                  <c:v>Aug-2019</c:v>
                </c:pt>
                <c:pt idx="49">
                  <c:v>Sep-2019</c:v>
                </c:pt>
                <c:pt idx="50">
                  <c:v>Oct-2019</c:v>
                </c:pt>
                <c:pt idx="51">
                  <c:v>Nov-2019</c:v>
                </c:pt>
                <c:pt idx="52">
                  <c:v>Dec-2019</c:v>
                </c:pt>
                <c:pt idx="53">
                  <c:v>Jan-2020</c:v>
                </c:pt>
                <c:pt idx="54">
                  <c:v>Feb-2020</c:v>
                </c:pt>
                <c:pt idx="55">
                  <c:v>Mar-2020</c:v>
                </c:pt>
                <c:pt idx="56">
                  <c:v>Apr-2020</c:v>
                </c:pt>
                <c:pt idx="57">
                  <c:v>May-2020</c:v>
                </c:pt>
                <c:pt idx="58">
                  <c:v>Jun-2020</c:v>
                </c:pt>
                <c:pt idx="59">
                  <c:v>Jul-2020</c:v>
                </c:pt>
                <c:pt idx="60">
                  <c:v>Aug-2020</c:v>
                </c:pt>
                <c:pt idx="61">
                  <c:v>Sep-2020</c:v>
                </c:pt>
                <c:pt idx="62">
                  <c:v>Oct-2020</c:v>
                </c:pt>
                <c:pt idx="63">
                  <c:v>Nov-2020</c:v>
                </c:pt>
                <c:pt idx="64">
                  <c:v>Dec-2020</c:v>
                </c:pt>
                <c:pt idx="65">
                  <c:v>Jan-2021</c:v>
                </c:pt>
                <c:pt idx="66">
                  <c:v>Feb-2021</c:v>
                </c:pt>
                <c:pt idx="67">
                  <c:v>Mar-2021</c:v>
                </c:pt>
                <c:pt idx="68">
                  <c:v>Apr-2021</c:v>
                </c:pt>
                <c:pt idx="69">
                  <c:v>May-2021</c:v>
                </c:pt>
                <c:pt idx="70">
                  <c:v>Jun-2021</c:v>
                </c:pt>
                <c:pt idx="71">
                  <c:v>Jul-2021</c:v>
                </c:pt>
                <c:pt idx="72">
                  <c:v>Aug-2021</c:v>
                </c:pt>
                <c:pt idx="73">
                  <c:v>Sep-2021</c:v>
                </c:pt>
                <c:pt idx="74">
                  <c:v>Oct-2021</c:v>
                </c:pt>
                <c:pt idx="75">
                  <c:v>Nov-2021</c:v>
                </c:pt>
                <c:pt idx="76">
                  <c:v>Dec-2021</c:v>
                </c:pt>
                <c:pt idx="77">
                  <c:v>Jan-2022</c:v>
                </c:pt>
                <c:pt idx="78">
                  <c:v>Feb-2022</c:v>
                </c:pt>
                <c:pt idx="79">
                  <c:v>Mar-2022</c:v>
                </c:pt>
                <c:pt idx="80">
                  <c:v>Apr-2022</c:v>
                </c:pt>
                <c:pt idx="81">
                  <c:v>May-2022</c:v>
                </c:pt>
                <c:pt idx="82">
                  <c:v>Jun-2022</c:v>
                </c:pt>
                <c:pt idx="83">
                  <c:v>Jul-2022</c:v>
                </c:pt>
                <c:pt idx="84">
                  <c:v>Aug-2022</c:v>
                </c:pt>
                <c:pt idx="85">
                  <c:v>Sep-2022</c:v>
                </c:pt>
                <c:pt idx="86">
                  <c:v>Oct-2022</c:v>
                </c:pt>
                <c:pt idx="87">
                  <c:v>Nov-2022</c:v>
                </c:pt>
                <c:pt idx="88">
                  <c:v>Dec-2022</c:v>
                </c:pt>
                <c:pt idx="89">
                  <c:v>Jan-2023</c:v>
                </c:pt>
                <c:pt idx="90">
                  <c:v>Feb-2023</c:v>
                </c:pt>
                <c:pt idx="91">
                  <c:v>Mar-2023</c:v>
                </c:pt>
                <c:pt idx="92">
                  <c:v>Apr-2023</c:v>
                </c:pt>
                <c:pt idx="93">
                  <c:v>May-2023</c:v>
                </c:pt>
                <c:pt idx="94">
                  <c:v>Jun-2023</c:v>
                </c:pt>
                <c:pt idx="95">
                  <c:v>Jul-2023</c:v>
                </c:pt>
                <c:pt idx="96">
                  <c:v>Aug-2023</c:v>
                </c:pt>
                <c:pt idx="97">
                  <c:v>Sep-2023</c:v>
                </c:pt>
                <c:pt idx="98">
                  <c:v>Oct-2023</c:v>
                </c:pt>
                <c:pt idx="99">
                  <c:v>Nov-2023</c:v>
                </c:pt>
                <c:pt idx="100">
                  <c:v>Dec-2023</c:v>
                </c:pt>
                <c:pt idx="101">
                  <c:v>Jan-2024</c:v>
                </c:pt>
                <c:pt idx="102">
                  <c:v>Feb-2024</c:v>
                </c:pt>
                <c:pt idx="103">
                  <c:v>Mar-2024</c:v>
                </c:pt>
                <c:pt idx="104">
                  <c:v>Apr-2024</c:v>
                </c:pt>
                <c:pt idx="105">
                  <c:v>May-2024</c:v>
                </c:pt>
                <c:pt idx="106">
                  <c:v>Jun-2024</c:v>
                </c:pt>
                <c:pt idx="107">
                  <c:v>Jul-2024</c:v>
                </c:pt>
                <c:pt idx="108">
                  <c:v>Aug-2024</c:v>
                </c:pt>
                <c:pt idx="109">
                  <c:v>Sep-2024</c:v>
                </c:pt>
                <c:pt idx="110">
                  <c:v>Oct-2024</c:v>
                </c:pt>
                <c:pt idx="111">
                  <c:v>Nov-2024</c:v>
                </c:pt>
                <c:pt idx="112">
                  <c:v>Dec-2024</c:v>
                </c:pt>
              </c:strCache>
            </c:strRef>
          </c:cat>
          <c:val>
            <c:numRef>
              <c:f>Charts!$H$4:$H$116</c:f>
              <c:numCache>
                <c:formatCode>0.0000</c:formatCode>
                <c:ptCount val="113"/>
                <c:pt idx="0">
                  <c:v>0.947420391097254</c:v>
                </c:pt>
                <c:pt idx="1">
                  <c:v>0.89152796383136</c:v>
                </c:pt>
                <c:pt idx="2">
                  <c:v>0.928943918197279</c:v>
                </c:pt>
                <c:pt idx="3">
                  <c:v>0.905283652658217</c:v>
                </c:pt>
                <c:pt idx="4">
                  <c:v>0.983004340739824</c:v>
                </c:pt>
                <c:pt idx="5">
                  <c:v>0.911948573378292</c:v>
                </c:pt>
                <c:pt idx="6">
                  <c:v>0.896202237537499</c:v>
                </c:pt>
                <c:pt idx="7">
                  <c:v>0.957505883555284</c:v>
                </c:pt>
                <c:pt idx="8">
                  <c:v>0.984424542310527</c:v>
                </c:pt>
                <c:pt idx="9">
                  <c:v>1.03673766335863</c:v>
                </c:pt>
                <c:pt idx="10">
                  <c:v>1.07987000553189</c:v>
                </c:pt>
                <c:pt idx="11">
                  <c:v>1.1495540763104</c:v>
                </c:pt>
                <c:pt idx="12">
                  <c:v>1.12410328789506</c:v>
                </c:pt>
                <c:pt idx="13">
                  <c:v>1.22270107238152</c:v>
                </c:pt>
                <c:pt idx="14">
                  <c:v>1.29034311126495</c:v>
                </c:pt>
                <c:pt idx="15">
                  <c:v>1.42736398521794</c:v>
                </c:pt>
                <c:pt idx="16">
                  <c:v>1.53973353930799</c:v>
                </c:pt>
                <c:pt idx="17">
                  <c:v>1.56451745547997</c:v>
                </c:pt>
                <c:pt idx="18">
                  <c:v>1.51089807630244</c:v>
                </c:pt>
                <c:pt idx="19">
                  <c:v>1.52558251302245</c:v>
                </c:pt>
                <c:pt idx="20">
                  <c:v>1.56802469278374</c:v>
                </c:pt>
                <c:pt idx="21">
                  <c:v>1.83230993231567</c:v>
                </c:pt>
                <c:pt idx="22">
                  <c:v>1.82958041246223</c:v>
                </c:pt>
                <c:pt idx="23">
                  <c:v>1.80850434108477</c:v>
                </c:pt>
                <c:pt idx="24">
                  <c:v>1.39487313889159</c:v>
                </c:pt>
                <c:pt idx="25">
                  <c:v>1.49310936935696</c:v>
                </c:pt>
                <c:pt idx="26">
                  <c:v>1.45593972419347</c:v>
                </c:pt>
                <c:pt idx="27">
                  <c:v>1.6408264161677</c:v>
                </c:pt>
                <c:pt idx="28">
                  <c:v>1.63941940846127</c:v>
                </c:pt>
                <c:pt idx="29">
                  <c:v>1.71519500198342</c:v>
                </c:pt>
                <c:pt idx="30">
                  <c:v>1.6967082208713</c:v>
                </c:pt>
                <c:pt idx="31">
                  <c:v>1.86797883363749</c:v>
                </c:pt>
                <c:pt idx="32">
                  <c:v>1.89828374333339</c:v>
                </c:pt>
                <c:pt idx="33">
                  <c:v>1.91037394817952</c:v>
                </c:pt>
                <c:pt idx="34">
                  <c:v>1.92671610772725</c:v>
                </c:pt>
                <c:pt idx="35">
                  <c:v>1.97602139002198</c:v>
                </c:pt>
                <c:pt idx="36">
                  <c:v>1.96242681240751</c:v>
                </c:pt>
                <c:pt idx="37">
                  <c:v>1.96941723844826</c:v>
                </c:pt>
                <c:pt idx="38">
                  <c:v>2.03478791587479</c:v>
                </c:pt>
                <c:pt idx="39">
                  <c:v>1.97876852813553</c:v>
                </c:pt>
                <c:pt idx="40">
                  <c:v>1.77030615681591</c:v>
                </c:pt>
                <c:pt idx="41">
                  <c:v>1.93934697158634</c:v>
                </c:pt>
                <c:pt idx="42">
                  <c:v>1.96679169090963</c:v>
                </c:pt>
                <c:pt idx="43">
                  <c:v>1.90512610437035</c:v>
                </c:pt>
                <c:pt idx="44">
                  <c:v>1.81230245156018</c:v>
                </c:pt>
                <c:pt idx="45">
                  <c:v>1.82581156163687</c:v>
                </c:pt>
                <c:pt idx="46">
                  <c:v>1.68172782904003</c:v>
                </c:pt>
                <c:pt idx="47">
                  <c:v>1.656221057479</c:v>
                </c:pt>
                <c:pt idx="48">
                  <c:v>1.53042055304292</c:v>
                </c:pt>
                <c:pt idx="49">
                  <c:v>1.58504675243379</c:v>
                </c:pt>
                <c:pt idx="50">
                  <c:v>1.64667598171628</c:v>
                </c:pt>
                <c:pt idx="51">
                  <c:v>1.7902651343612</c:v>
                </c:pt>
                <c:pt idx="52">
                  <c:v>1.86238222513351</c:v>
                </c:pt>
                <c:pt idx="53">
                  <c:v>1.91211481611834</c:v>
                </c:pt>
                <c:pt idx="54">
                  <c:v>1.8228080741997</c:v>
                </c:pt>
                <c:pt idx="55">
                  <c:v>1.41126101522213</c:v>
                </c:pt>
                <c:pt idx="56">
                  <c:v>1.67192215941269</c:v>
                </c:pt>
                <c:pt idx="57">
                  <c:v>1.65827030222466</c:v>
                </c:pt>
                <c:pt idx="58">
                  <c:v>1.69350237772976</c:v>
                </c:pt>
                <c:pt idx="59">
                  <c:v>1.90475600654803</c:v>
                </c:pt>
                <c:pt idx="60">
                  <c:v>1.97990434750697</c:v>
                </c:pt>
                <c:pt idx="61">
                  <c:v>1.97446747346422</c:v>
                </c:pt>
                <c:pt idx="62">
                  <c:v>2.03568687088602</c:v>
                </c:pt>
                <c:pt idx="63">
                  <c:v>2.11391988922204</c:v>
                </c:pt>
                <c:pt idx="64">
                  <c:v>2.28397765418989</c:v>
                </c:pt>
                <c:pt idx="65">
                  <c:v>2.38390118594614</c:v>
                </c:pt>
                <c:pt idx="66">
                  <c:v>2.51037699104204</c:v>
                </c:pt>
                <c:pt idx="67">
                  <c:v>2.42629709309678</c:v>
                </c:pt>
                <c:pt idx="68">
                  <c:v>2.32542357682576</c:v>
                </c:pt>
                <c:pt idx="69">
                  <c:v>2.46268247408579</c:v>
                </c:pt>
                <c:pt idx="70">
                  <c:v>2.3982420431653</c:v>
                </c:pt>
                <c:pt idx="71">
                  <c:v>2.42428555566959</c:v>
                </c:pt>
                <c:pt idx="72">
                  <c:v>2.45104274836044</c:v>
                </c:pt>
                <c:pt idx="73">
                  <c:v>2.29649858029509</c:v>
                </c:pt>
                <c:pt idx="74">
                  <c:v>2.43813019867781</c:v>
                </c:pt>
                <c:pt idx="75">
                  <c:v>2.40750478964645</c:v>
                </c:pt>
                <c:pt idx="76">
                  <c:v>2.31576922047061</c:v>
                </c:pt>
                <c:pt idx="77">
                  <c:v>2.34409778189149</c:v>
                </c:pt>
                <c:pt idx="78">
                  <c:v>2.33347349015692</c:v>
                </c:pt>
                <c:pt idx="79">
                  <c:v>2.1879965582041</c:v>
                </c:pt>
                <c:pt idx="80">
                  <c:v>2.2313724929918</c:v>
                </c:pt>
                <c:pt idx="81">
                  <c:v>2.05205966011539</c:v>
                </c:pt>
                <c:pt idx="82">
                  <c:v>1.95288075132084</c:v>
                </c:pt>
                <c:pt idx="83">
                  <c:v>1.95878100045469</c:v>
                </c:pt>
                <c:pt idx="84">
                  <c:v>2.13433981030444</c:v>
                </c:pt>
                <c:pt idx="85">
                  <c:v>1.97402420094956</c:v>
                </c:pt>
                <c:pt idx="86">
                  <c:v>1.8970782932606</c:v>
                </c:pt>
                <c:pt idx="87">
                  <c:v>1.96201517919308</c:v>
                </c:pt>
                <c:pt idx="88">
                  <c:v>1.85260433992531</c:v>
                </c:pt>
                <c:pt idx="89">
                  <c:v>1.81847217583756</c:v>
                </c:pt>
                <c:pt idx="90">
                  <c:v>1.81979510448449</c:v>
                </c:pt>
                <c:pt idx="91">
                  <c:v>1.78934245626378</c:v>
                </c:pt>
                <c:pt idx="92">
                  <c:v>1.89684728892743</c:v>
                </c:pt>
                <c:pt idx="93">
                  <c:v>1.8695807722112</c:v>
                </c:pt>
                <c:pt idx="94">
                  <c:v>1.88538045981227</c:v>
                </c:pt>
                <c:pt idx="95">
                  <c:v>2.3932368614191</c:v>
                </c:pt>
                <c:pt idx="96">
                  <c:v>2.1712587125063</c:v>
                </c:pt>
                <c:pt idx="97">
                  <c:v>2.1583942642534</c:v>
                </c:pt>
                <c:pt idx="98">
                  <c:v>2.36644468648035</c:v>
                </c:pt>
                <c:pt idx="99">
                  <c:v>2.6104222616108</c:v>
                </c:pt>
                <c:pt idx="100">
                  <c:v>2.8211986138567</c:v>
                </c:pt>
                <c:pt idx="101">
                  <c:v>3.05198718545975</c:v>
                </c:pt>
                <c:pt idx="102">
                  <c:v>3.26006939549414</c:v>
                </c:pt>
                <c:pt idx="103">
                  <c:v>3.34551909415081</c:v>
                </c:pt>
                <c:pt idx="104">
                  <c:v>3.63003200123086</c:v>
                </c:pt>
                <c:pt idx="105">
                  <c:v>3.63397069649275</c:v>
                </c:pt>
                <c:pt idx="106">
                  <c:v>3.82503509380429</c:v>
                </c:pt>
                <c:pt idx="107">
                  <c:v>3.86813800451157</c:v>
                </c:pt>
                <c:pt idx="108">
                  <c:v>3.42772441710257</c:v>
                </c:pt>
                <c:pt idx="109">
                  <c:v>3.7885605683061</c:v>
                </c:pt>
                <c:pt idx="110">
                  <c:v>4.1671315730205</c:v>
                </c:pt>
                <c:pt idx="111">
                  <c:v>4.54750380044006</c:v>
                </c:pt>
                <c:pt idx="112">
                  <c:v>4.96123255994635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Charts!I3</c:f>
              <c:strCache>
                <c:ptCount val="1"/>
                <c:pt idx="0">
                  <c:v>Top5-SemiAnnual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Charts!$A$4:$A$116</c:f>
              <c:strCache>
                <c:ptCount val="113"/>
                <c:pt idx="0">
                  <c:v>Aug-2015</c:v>
                </c:pt>
                <c:pt idx="1">
                  <c:v>Sep-2015</c:v>
                </c:pt>
                <c:pt idx="2">
                  <c:v>Oct-2015</c:v>
                </c:pt>
                <c:pt idx="3">
                  <c:v>Nov-2015</c:v>
                </c:pt>
                <c:pt idx="4">
                  <c:v>Dec-2015</c:v>
                </c:pt>
                <c:pt idx="5">
                  <c:v>Jan-2016</c:v>
                </c:pt>
                <c:pt idx="6">
                  <c:v>Feb-2016</c:v>
                </c:pt>
                <c:pt idx="7">
                  <c:v>Mar-2016</c:v>
                </c:pt>
                <c:pt idx="8">
                  <c:v>Apr-2016</c:v>
                </c:pt>
                <c:pt idx="9">
                  <c:v>May-2016</c:v>
                </c:pt>
                <c:pt idx="10">
                  <c:v>Jun-2016</c:v>
                </c:pt>
                <c:pt idx="11">
                  <c:v>Jul-2016</c:v>
                </c:pt>
                <c:pt idx="12">
                  <c:v>Aug-2016</c:v>
                </c:pt>
                <c:pt idx="13">
                  <c:v>Sep-2016</c:v>
                </c:pt>
                <c:pt idx="14">
                  <c:v>Oct-2016</c:v>
                </c:pt>
                <c:pt idx="15">
                  <c:v>Nov-2016</c:v>
                </c:pt>
                <c:pt idx="16">
                  <c:v>Dec-2016</c:v>
                </c:pt>
                <c:pt idx="17">
                  <c:v>Jan-2017</c:v>
                </c:pt>
                <c:pt idx="18">
                  <c:v>Feb-2017</c:v>
                </c:pt>
                <c:pt idx="19">
                  <c:v>Mar-2017</c:v>
                </c:pt>
                <c:pt idx="20">
                  <c:v>Apr-2017</c:v>
                </c:pt>
                <c:pt idx="21">
                  <c:v>May-2017</c:v>
                </c:pt>
                <c:pt idx="22">
                  <c:v>Jun-2017</c:v>
                </c:pt>
                <c:pt idx="23">
                  <c:v>Jul-2017</c:v>
                </c:pt>
                <c:pt idx="24">
                  <c:v>Aug-2017</c:v>
                </c:pt>
                <c:pt idx="25">
                  <c:v>Sep-2017</c:v>
                </c:pt>
                <c:pt idx="26">
                  <c:v>Oct-2017</c:v>
                </c:pt>
                <c:pt idx="27">
                  <c:v>Nov-2017</c:v>
                </c:pt>
                <c:pt idx="28">
                  <c:v>Dec-2017</c:v>
                </c:pt>
                <c:pt idx="29">
                  <c:v>Jan-2018</c:v>
                </c:pt>
                <c:pt idx="30">
                  <c:v>Feb-2018</c:v>
                </c:pt>
                <c:pt idx="31">
                  <c:v>Mar-2018</c:v>
                </c:pt>
                <c:pt idx="32">
                  <c:v>Apr-2018</c:v>
                </c:pt>
                <c:pt idx="33">
                  <c:v>May-2018</c:v>
                </c:pt>
                <c:pt idx="34">
                  <c:v>Jun-2018</c:v>
                </c:pt>
                <c:pt idx="35">
                  <c:v>Jul-2018</c:v>
                </c:pt>
                <c:pt idx="36">
                  <c:v>Aug-2018</c:v>
                </c:pt>
                <c:pt idx="37">
                  <c:v>Sep-2018</c:v>
                </c:pt>
                <c:pt idx="38">
                  <c:v>Oct-2018</c:v>
                </c:pt>
                <c:pt idx="39">
                  <c:v>Nov-2018</c:v>
                </c:pt>
                <c:pt idx="40">
                  <c:v>Dec-2018</c:v>
                </c:pt>
                <c:pt idx="41">
                  <c:v>Jan-2019</c:v>
                </c:pt>
                <c:pt idx="42">
                  <c:v>Feb-2019</c:v>
                </c:pt>
                <c:pt idx="43">
                  <c:v>Mar-2019</c:v>
                </c:pt>
                <c:pt idx="44">
                  <c:v>Apr-2019</c:v>
                </c:pt>
                <c:pt idx="45">
                  <c:v>May-2019</c:v>
                </c:pt>
                <c:pt idx="46">
                  <c:v>Jun-2019</c:v>
                </c:pt>
                <c:pt idx="47">
                  <c:v>Jul-2019</c:v>
                </c:pt>
                <c:pt idx="48">
                  <c:v>Aug-2019</c:v>
                </c:pt>
                <c:pt idx="49">
                  <c:v>Sep-2019</c:v>
                </c:pt>
                <c:pt idx="50">
                  <c:v>Oct-2019</c:v>
                </c:pt>
                <c:pt idx="51">
                  <c:v>Nov-2019</c:v>
                </c:pt>
                <c:pt idx="52">
                  <c:v>Dec-2019</c:v>
                </c:pt>
                <c:pt idx="53">
                  <c:v>Jan-2020</c:v>
                </c:pt>
                <c:pt idx="54">
                  <c:v>Feb-2020</c:v>
                </c:pt>
                <c:pt idx="55">
                  <c:v>Mar-2020</c:v>
                </c:pt>
                <c:pt idx="56">
                  <c:v>Apr-2020</c:v>
                </c:pt>
                <c:pt idx="57">
                  <c:v>May-2020</c:v>
                </c:pt>
                <c:pt idx="58">
                  <c:v>Jun-2020</c:v>
                </c:pt>
                <c:pt idx="59">
                  <c:v>Jul-2020</c:v>
                </c:pt>
                <c:pt idx="60">
                  <c:v>Aug-2020</c:v>
                </c:pt>
                <c:pt idx="61">
                  <c:v>Sep-2020</c:v>
                </c:pt>
                <c:pt idx="62">
                  <c:v>Oct-2020</c:v>
                </c:pt>
                <c:pt idx="63">
                  <c:v>Nov-2020</c:v>
                </c:pt>
                <c:pt idx="64">
                  <c:v>Dec-2020</c:v>
                </c:pt>
                <c:pt idx="65">
                  <c:v>Jan-2021</c:v>
                </c:pt>
                <c:pt idx="66">
                  <c:v>Feb-2021</c:v>
                </c:pt>
                <c:pt idx="67">
                  <c:v>Mar-2021</c:v>
                </c:pt>
                <c:pt idx="68">
                  <c:v>Apr-2021</c:v>
                </c:pt>
                <c:pt idx="69">
                  <c:v>May-2021</c:v>
                </c:pt>
                <c:pt idx="70">
                  <c:v>Jun-2021</c:v>
                </c:pt>
                <c:pt idx="71">
                  <c:v>Jul-2021</c:v>
                </c:pt>
                <c:pt idx="72">
                  <c:v>Aug-2021</c:v>
                </c:pt>
                <c:pt idx="73">
                  <c:v>Sep-2021</c:v>
                </c:pt>
                <c:pt idx="74">
                  <c:v>Oct-2021</c:v>
                </c:pt>
                <c:pt idx="75">
                  <c:v>Nov-2021</c:v>
                </c:pt>
                <c:pt idx="76">
                  <c:v>Dec-2021</c:v>
                </c:pt>
                <c:pt idx="77">
                  <c:v>Jan-2022</c:v>
                </c:pt>
                <c:pt idx="78">
                  <c:v>Feb-2022</c:v>
                </c:pt>
                <c:pt idx="79">
                  <c:v>Mar-2022</c:v>
                </c:pt>
                <c:pt idx="80">
                  <c:v>Apr-2022</c:v>
                </c:pt>
                <c:pt idx="81">
                  <c:v>May-2022</c:v>
                </c:pt>
                <c:pt idx="82">
                  <c:v>Jun-2022</c:v>
                </c:pt>
                <c:pt idx="83">
                  <c:v>Jul-2022</c:v>
                </c:pt>
                <c:pt idx="84">
                  <c:v>Aug-2022</c:v>
                </c:pt>
                <c:pt idx="85">
                  <c:v>Sep-2022</c:v>
                </c:pt>
                <c:pt idx="86">
                  <c:v>Oct-2022</c:v>
                </c:pt>
                <c:pt idx="87">
                  <c:v>Nov-2022</c:v>
                </c:pt>
                <c:pt idx="88">
                  <c:v>Dec-2022</c:v>
                </c:pt>
                <c:pt idx="89">
                  <c:v>Jan-2023</c:v>
                </c:pt>
                <c:pt idx="90">
                  <c:v>Feb-2023</c:v>
                </c:pt>
                <c:pt idx="91">
                  <c:v>Mar-2023</c:v>
                </c:pt>
                <c:pt idx="92">
                  <c:v>Apr-2023</c:v>
                </c:pt>
                <c:pt idx="93">
                  <c:v>May-2023</c:v>
                </c:pt>
                <c:pt idx="94">
                  <c:v>Jun-2023</c:v>
                </c:pt>
                <c:pt idx="95">
                  <c:v>Jul-2023</c:v>
                </c:pt>
                <c:pt idx="96">
                  <c:v>Aug-2023</c:v>
                </c:pt>
                <c:pt idx="97">
                  <c:v>Sep-2023</c:v>
                </c:pt>
                <c:pt idx="98">
                  <c:v>Oct-2023</c:v>
                </c:pt>
                <c:pt idx="99">
                  <c:v>Nov-2023</c:v>
                </c:pt>
                <c:pt idx="100">
                  <c:v>Dec-2023</c:v>
                </c:pt>
                <c:pt idx="101">
                  <c:v>Jan-2024</c:v>
                </c:pt>
                <c:pt idx="102">
                  <c:v>Feb-2024</c:v>
                </c:pt>
                <c:pt idx="103">
                  <c:v>Mar-2024</c:v>
                </c:pt>
                <c:pt idx="104">
                  <c:v>Apr-2024</c:v>
                </c:pt>
                <c:pt idx="105">
                  <c:v>May-2024</c:v>
                </c:pt>
                <c:pt idx="106">
                  <c:v>Jun-2024</c:v>
                </c:pt>
                <c:pt idx="107">
                  <c:v>Jul-2024</c:v>
                </c:pt>
                <c:pt idx="108">
                  <c:v>Aug-2024</c:v>
                </c:pt>
                <c:pt idx="109">
                  <c:v>Sep-2024</c:v>
                </c:pt>
                <c:pt idx="110">
                  <c:v>Oct-2024</c:v>
                </c:pt>
                <c:pt idx="111">
                  <c:v>Nov-2024</c:v>
                </c:pt>
                <c:pt idx="112">
                  <c:v>Dec-2024</c:v>
                </c:pt>
              </c:strCache>
            </c:strRef>
          </c:cat>
          <c:val>
            <c:numRef>
              <c:f>Charts!$I$4:$I$116</c:f>
              <c:numCache>
                <c:formatCode>0.0000</c:formatCode>
                <c:ptCount val="113"/>
                <c:pt idx="0">
                  <c:v>0.947420391097254</c:v>
                </c:pt>
                <c:pt idx="1">
                  <c:v>0.89152796383136</c:v>
                </c:pt>
                <c:pt idx="2">
                  <c:v>0.928943918197279</c:v>
                </c:pt>
                <c:pt idx="3">
                  <c:v>0.905283652658217</c:v>
                </c:pt>
                <c:pt idx="4">
                  <c:v>0.983004340739824</c:v>
                </c:pt>
                <c:pt idx="5">
                  <c:v>0.911948573378292</c:v>
                </c:pt>
                <c:pt idx="6">
                  <c:v>0.881809759422636</c:v>
                </c:pt>
                <c:pt idx="7">
                  <c:v>0.955221246781106</c:v>
                </c:pt>
                <c:pt idx="8">
                  <c:v>1.02375689622592</c:v>
                </c:pt>
                <c:pt idx="9">
                  <c:v>1.0465770129116</c:v>
                </c:pt>
                <c:pt idx="10">
                  <c:v>1.06684816938953</c:v>
                </c:pt>
                <c:pt idx="11">
                  <c:v>1.1161898928785</c:v>
                </c:pt>
                <c:pt idx="12">
                  <c:v>1.0790198648565</c:v>
                </c:pt>
                <c:pt idx="13">
                  <c:v>1.1736632746191</c:v>
                </c:pt>
                <c:pt idx="14">
                  <c:v>1.23859245367282</c:v>
                </c:pt>
                <c:pt idx="15">
                  <c:v>1.37011795180754</c:v>
                </c:pt>
                <c:pt idx="16">
                  <c:v>1.47798079890879</c:v>
                </c:pt>
                <c:pt idx="17">
                  <c:v>1.50177072832762</c:v>
                </c:pt>
                <c:pt idx="18">
                  <c:v>1.37004576666743</c:v>
                </c:pt>
                <c:pt idx="19">
                  <c:v>1.39070889206686</c:v>
                </c:pt>
                <c:pt idx="20">
                  <c:v>1.45644130981637</c:v>
                </c:pt>
                <c:pt idx="21">
                  <c:v>1.73481867285558</c:v>
                </c:pt>
                <c:pt idx="22">
                  <c:v>1.6935654631955</c:v>
                </c:pt>
                <c:pt idx="23">
                  <c:v>1.69336187681254</c:v>
                </c:pt>
                <c:pt idx="24">
                  <c:v>1.41926133707571</c:v>
                </c:pt>
                <c:pt idx="25">
                  <c:v>1.51921514643098</c:v>
                </c:pt>
                <c:pt idx="26">
                  <c:v>1.48139562089672</c:v>
                </c:pt>
                <c:pt idx="27">
                  <c:v>1.66951490310425</c:v>
                </c:pt>
                <c:pt idx="28">
                  <c:v>1.6680832950368</c:v>
                </c:pt>
                <c:pt idx="29">
                  <c:v>1.7451837618688</c:v>
                </c:pt>
                <c:pt idx="30">
                  <c:v>1.68154183450861</c:v>
                </c:pt>
                <c:pt idx="31">
                  <c:v>1.77730799497191</c:v>
                </c:pt>
                <c:pt idx="32">
                  <c:v>1.77032868239736</c:v>
                </c:pt>
                <c:pt idx="33">
                  <c:v>1.69078784015564</c:v>
                </c:pt>
                <c:pt idx="34">
                  <c:v>1.68303116059077</c:v>
                </c:pt>
                <c:pt idx="35">
                  <c:v>1.7412746949098</c:v>
                </c:pt>
                <c:pt idx="36">
                  <c:v>1.75348858242755</c:v>
                </c:pt>
                <c:pt idx="37">
                  <c:v>1.75973474262637</c:v>
                </c:pt>
                <c:pt idx="38">
                  <c:v>1.81814544908851</c:v>
                </c:pt>
                <c:pt idx="39">
                  <c:v>1.76809040694665</c:v>
                </c:pt>
                <c:pt idx="40">
                  <c:v>1.58182288060447</c:v>
                </c:pt>
                <c:pt idx="41">
                  <c:v>1.73286603634924</c:v>
                </c:pt>
                <c:pt idx="42">
                  <c:v>1.7306076024149</c:v>
                </c:pt>
                <c:pt idx="43">
                  <c:v>1.70380123739604</c:v>
                </c:pt>
                <c:pt idx="44">
                  <c:v>1.63336236040508</c:v>
                </c:pt>
                <c:pt idx="45">
                  <c:v>1.67950158706384</c:v>
                </c:pt>
                <c:pt idx="46">
                  <c:v>1.55441473246356</c:v>
                </c:pt>
                <c:pt idx="47">
                  <c:v>1.4930226188458</c:v>
                </c:pt>
                <c:pt idx="48">
                  <c:v>1.37961807194844</c:v>
                </c:pt>
                <c:pt idx="49">
                  <c:v>1.42886158983746</c:v>
                </c:pt>
                <c:pt idx="50">
                  <c:v>1.48441808266508</c:v>
                </c:pt>
                <c:pt idx="51">
                  <c:v>1.61385844435574</c:v>
                </c:pt>
                <c:pt idx="52">
                  <c:v>1.67886936016447</c:v>
                </c:pt>
                <c:pt idx="53">
                  <c:v>1.72370146931975</c:v>
                </c:pt>
                <c:pt idx="54">
                  <c:v>1.58818576532338</c:v>
                </c:pt>
                <c:pt idx="55">
                  <c:v>1.14649072220507</c:v>
                </c:pt>
                <c:pt idx="56">
                  <c:v>1.33162544141073</c:v>
                </c:pt>
                <c:pt idx="57">
                  <c:v>1.439117549238</c:v>
                </c:pt>
                <c:pt idx="58">
                  <c:v>1.49028393570004</c:v>
                </c:pt>
                <c:pt idx="59">
                  <c:v>1.61187852959823</c:v>
                </c:pt>
                <c:pt idx="60">
                  <c:v>1.71175410180867</c:v>
                </c:pt>
                <c:pt idx="61">
                  <c:v>1.70705357602043</c:v>
                </c:pt>
                <c:pt idx="62">
                  <c:v>1.75998166559151</c:v>
                </c:pt>
                <c:pt idx="63">
                  <c:v>1.82761911999792</c:v>
                </c:pt>
                <c:pt idx="64">
                  <c:v>1.97464494833891</c:v>
                </c:pt>
                <c:pt idx="65">
                  <c:v>2.06103524066103</c:v>
                </c:pt>
                <c:pt idx="66">
                  <c:v>1.99136648256102</c:v>
                </c:pt>
                <c:pt idx="67">
                  <c:v>1.89919506196809</c:v>
                </c:pt>
                <c:pt idx="68">
                  <c:v>1.86518160092422</c:v>
                </c:pt>
                <c:pt idx="69">
                  <c:v>1.94151709648875</c:v>
                </c:pt>
                <c:pt idx="70">
                  <c:v>1.90162285712536</c:v>
                </c:pt>
                <c:pt idx="71">
                  <c:v>1.92638570472063</c:v>
                </c:pt>
                <c:pt idx="72">
                  <c:v>2.02646187416621</c:v>
                </c:pt>
                <c:pt idx="73">
                  <c:v>1.89868855619016</c:v>
                </c:pt>
                <c:pt idx="74">
                  <c:v>2.01578609560314</c:v>
                </c:pt>
                <c:pt idx="75">
                  <c:v>1.99046576048278</c:v>
                </c:pt>
                <c:pt idx="76">
                  <c:v>1.91462104762981</c:v>
                </c:pt>
                <c:pt idx="77">
                  <c:v>1.93804240562439</c:v>
                </c:pt>
                <c:pt idx="78">
                  <c:v>1.91906117400986</c:v>
                </c:pt>
                <c:pt idx="79">
                  <c:v>1.8361062575395</c:v>
                </c:pt>
                <c:pt idx="80">
                  <c:v>1.84154072060151</c:v>
                </c:pt>
                <c:pt idx="81">
                  <c:v>1.66580845190539</c:v>
                </c:pt>
                <c:pt idx="82">
                  <c:v>1.58065426453092</c:v>
                </c:pt>
                <c:pt idx="83">
                  <c:v>1.53022026371815</c:v>
                </c:pt>
                <c:pt idx="84">
                  <c:v>1.66736864745475</c:v>
                </c:pt>
                <c:pt idx="85">
                  <c:v>1.54212841183463</c:v>
                </c:pt>
                <c:pt idx="86">
                  <c:v>1.48201746164239</c:v>
                </c:pt>
                <c:pt idx="87">
                  <c:v>1.53274683807272</c:v>
                </c:pt>
                <c:pt idx="88">
                  <c:v>1.44727394279802</c:v>
                </c:pt>
                <c:pt idx="89">
                  <c:v>1.42060953819152</c:v>
                </c:pt>
                <c:pt idx="90">
                  <c:v>1.42527905946438</c:v>
                </c:pt>
                <c:pt idx="91">
                  <c:v>1.43217285255191</c:v>
                </c:pt>
                <c:pt idx="92">
                  <c:v>1.46665857095467</c:v>
                </c:pt>
                <c:pt idx="93">
                  <c:v>1.50573502770009</c:v>
                </c:pt>
                <c:pt idx="94">
                  <c:v>1.47432685079631</c:v>
                </c:pt>
                <c:pt idx="95">
                  <c:v>1.77730149131922</c:v>
                </c:pt>
                <c:pt idx="96">
                  <c:v>1.6046456005764</c:v>
                </c:pt>
                <c:pt idx="97">
                  <c:v>1.59513826726142</c:v>
                </c:pt>
                <c:pt idx="98">
                  <c:v>1.74889571348448</c:v>
                </c:pt>
                <c:pt idx="99">
                  <c:v>1.92920473899</c:v>
                </c:pt>
                <c:pt idx="100">
                  <c:v>2.08497675472851</c:v>
                </c:pt>
                <c:pt idx="101">
                  <c:v>2.25553858780398</c:v>
                </c:pt>
                <c:pt idx="102">
                  <c:v>2.63357085893213</c:v>
                </c:pt>
                <c:pt idx="103">
                  <c:v>2.8314858132418</c:v>
                </c:pt>
                <c:pt idx="104">
                  <c:v>3.43478375180213</c:v>
                </c:pt>
                <c:pt idx="105">
                  <c:v>3.61446394674087</c:v>
                </c:pt>
                <c:pt idx="106">
                  <c:v>3.79184887483387</c:v>
                </c:pt>
                <c:pt idx="107">
                  <c:v>4.06681184423807</c:v>
                </c:pt>
                <c:pt idx="108">
                  <c:v>3.48985341075311</c:v>
                </c:pt>
                <c:pt idx="109">
                  <c:v>3.85722987390096</c:v>
                </c:pt>
                <c:pt idx="110">
                  <c:v>4.24266264248144</c:v>
                </c:pt>
                <c:pt idx="111">
                  <c:v>4.62992928171086</c:v>
                </c:pt>
                <c:pt idx="112">
                  <c:v>5.05115705465713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Charts!J3</c:f>
              <c:strCache>
                <c:ptCount val="1"/>
                <c:pt idx="0">
                  <c:v>Top5-Quarterly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Charts!$A$4:$A$116</c:f>
              <c:strCache>
                <c:ptCount val="113"/>
                <c:pt idx="0">
                  <c:v>Aug-2015</c:v>
                </c:pt>
                <c:pt idx="1">
                  <c:v>Sep-2015</c:v>
                </c:pt>
                <c:pt idx="2">
                  <c:v>Oct-2015</c:v>
                </c:pt>
                <c:pt idx="3">
                  <c:v>Nov-2015</c:v>
                </c:pt>
                <c:pt idx="4">
                  <c:v>Dec-2015</c:v>
                </c:pt>
                <c:pt idx="5">
                  <c:v>Jan-2016</c:v>
                </c:pt>
                <c:pt idx="6">
                  <c:v>Feb-2016</c:v>
                </c:pt>
                <c:pt idx="7">
                  <c:v>Mar-2016</c:v>
                </c:pt>
                <c:pt idx="8">
                  <c:v>Apr-2016</c:v>
                </c:pt>
                <c:pt idx="9">
                  <c:v>May-2016</c:v>
                </c:pt>
                <c:pt idx="10">
                  <c:v>Jun-2016</c:v>
                </c:pt>
                <c:pt idx="11">
                  <c:v>Jul-2016</c:v>
                </c:pt>
                <c:pt idx="12">
                  <c:v>Aug-2016</c:v>
                </c:pt>
                <c:pt idx="13">
                  <c:v>Sep-2016</c:v>
                </c:pt>
                <c:pt idx="14">
                  <c:v>Oct-2016</c:v>
                </c:pt>
                <c:pt idx="15">
                  <c:v>Nov-2016</c:v>
                </c:pt>
                <c:pt idx="16">
                  <c:v>Dec-2016</c:v>
                </c:pt>
                <c:pt idx="17">
                  <c:v>Jan-2017</c:v>
                </c:pt>
                <c:pt idx="18">
                  <c:v>Feb-2017</c:v>
                </c:pt>
                <c:pt idx="19">
                  <c:v>Mar-2017</c:v>
                </c:pt>
                <c:pt idx="20">
                  <c:v>Apr-2017</c:v>
                </c:pt>
                <c:pt idx="21">
                  <c:v>May-2017</c:v>
                </c:pt>
                <c:pt idx="22">
                  <c:v>Jun-2017</c:v>
                </c:pt>
                <c:pt idx="23">
                  <c:v>Jul-2017</c:v>
                </c:pt>
                <c:pt idx="24">
                  <c:v>Aug-2017</c:v>
                </c:pt>
                <c:pt idx="25">
                  <c:v>Sep-2017</c:v>
                </c:pt>
                <c:pt idx="26">
                  <c:v>Oct-2017</c:v>
                </c:pt>
                <c:pt idx="27">
                  <c:v>Nov-2017</c:v>
                </c:pt>
                <c:pt idx="28">
                  <c:v>Dec-2017</c:v>
                </c:pt>
                <c:pt idx="29">
                  <c:v>Jan-2018</c:v>
                </c:pt>
                <c:pt idx="30">
                  <c:v>Feb-2018</c:v>
                </c:pt>
                <c:pt idx="31">
                  <c:v>Mar-2018</c:v>
                </c:pt>
                <c:pt idx="32">
                  <c:v>Apr-2018</c:v>
                </c:pt>
                <c:pt idx="33">
                  <c:v>May-2018</c:v>
                </c:pt>
                <c:pt idx="34">
                  <c:v>Jun-2018</c:v>
                </c:pt>
                <c:pt idx="35">
                  <c:v>Jul-2018</c:v>
                </c:pt>
                <c:pt idx="36">
                  <c:v>Aug-2018</c:v>
                </c:pt>
                <c:pt idx="37">
                  <c:v>Sep-2018</c:v>
                </c:pt>
                <c:pt idx="38">
                  <c:v>Oct-2018</c:v>
                </c:pt>
                <c:pt idx="39">
                  <c:v>Nov-2018</c:v>
                </c:pt>
                <c:pt idx="40">
                  <c:v>Dec-2018</c:v>
                </c:pt>
                <c:pt idx="41">
                  <c:v>Jan-2019</c:v>
                </c:pt>
                <c:pt idx="42">
                  <c:v>Feb-2019</c:v>
                </c:pt>
                <c:pt idx="43">
                  <c:v>Mar-2019</c:v>
                </c:pt>
                <c:pt idx="44">
                  <c:v>Apr-2019</c:v>
                </c:pt>
                <c:pt idx="45">
                  <c:v>May-2019</c:v>
                </c:pt>
                <c:pt idx="46">
                  <c:v>Jun-2019</c:v>
                </c:pt>
                <c:pt idx="47">
                  <c:v>Jul-2019</c:v>
                </c:pt>
                <c:pt idx="48">
                  <c:v>Aug-2019</c:v>
                </c:pt>
                <c:pt idx="49">
                  <c:v>Sep-2019</c:v>
                </c:pt>
                <c:pt idx="50">
                  <c:v>Oct-2019</c:v>
                </c:pt>
                <c:pt idx="51">
                  <c:v>Nov-2019</c:v>
                </c:pt>
                <c:pt idx="52">
                  <c:v>Dec-2019</c:v>
                </c:pt>
                <c:pt idx="53">
                  <c:v>Jan-2020</c:v>
                </c:pt>
                <c:pt idx="54">
                  <c:v>Feb-2020</c:v>
                </c:pt>
                <c:pt idx="55">
                  <c:v>Mar-2020</c:v>
                </c:pt>
                <c:pt idx="56">
                  <c:v>Apr-2020</c:v>
                </c:pt>
                <c:pt idx="57">
                  <c:v>May-2020</c:v>
                </c:pt>
                <c:pt idx="58">
                  <c:v>Jun-2020</c:v>
                </c:pt>
                <c:pt idx="59">
                  <c:v>Jul-2020</c:v>
                </c:pt>
                <c:pt idx="60">
                  <c:v>Aug-2020</c:v>
                </c:pt>
                <c:pt idx="61">
                  <c:v>Sep-2020</c:v>
                </c:pt>
                <c:pt idx="62">
                  <c:v>Oct-2020</c:v>
                </c:pt>
                <c:pt idx="63">
                  <c:v>Nov-2020</c:v>
                </c:pt>
                <c:pt idx="64">
                  <c:v>Dec-2020</c:v>
                </c:pt>
                <c:pt idx="65">
                  <c:v>Jan-2021</c:v>
                </c:pt>
                <c:pt idx="66">
                  <c:v>Feb-2021</c:v>
                </c:pt>
                <c:pt idx="67">
                  <c:v>Mar-2021</c:v>
                </c:pt>
                <c:pt idx="68">
                  <c:v>Apr-2021</c:v>
                </c:pt>
                <c:pt idx="69">
                  <c:v>May-2021</c:v>
                </c:pt>
                <c:pt idx="70">
                  <c:v>Jun-2021</c:v>
                </c:pt>
                <c:pt idx="71">
                  <c:v>Jul-2021</c:v>
                </c:pt>
                <c:pt idx="72">
                  <c:v>Aug-2021</c:v>
                </c:pt>
                <c:pt idx="73">
                  <c:v>Sep-2021</c:v>
                </c:pt>
                <c:pt idx="74">
                  <c:v>Oct-2021</c:v>
                </c:pt>
                <c:pt idx="75">
                  <c:v>Nov-2021</c:v>
                </c:pt>
                <c:pt idx="76">
                  <c:v>Dec-2021</c:v>
                </c:pt>
                <c:pt idx="77">
                  <c:v>Jan-2022</c:v>
                </c:pt>
                <c:pt idx="78">
                  <c:v>Feb-2022</c:v>
                </c:pt>
                <c:pt idx="79">
                  <c:v>Mar-2022</c:v>
                </c:pt>
                <c:pt idx="80">
                  <c:v>Apr-2022</c:v>
                </c:pt>
                <c:pt idx="81">
                  <c:v>May-2022</c:v>
                </c:pt>
                <c:pt idx="82">
                  <c:v>Jun-2022</c:v>
                </c:pt>
                <c:pt idx="83">
                  <c:v>Jul-2022</c:v>
                </c:pt>
                <c:pt idx="84">
                  <c:v>Aug-2022</c:v>
                </c:pt>
                <c:pt idx="85">
                  <c:v>Sep-2022</c:v>
                </c:pt>
                <c:pt idx="86">
                  <c:v>Oct-2022</c:v>
                </c:pt>
                <c:pt idx="87">
                  <c:v>Nov-2022</c:v>
                </c:pt>
                <c:pt idx="88">
                  <c:v>Dec-2022</c:v>
                </c:pt>
                <c:pt idx="89">
                  <c:v>Jan-2023</c:v>
                </c:pt>
                <c:pt idx="90">
                  <c:v>Feb-2023</c:v>
                </c:pt>
                <c:pt idx="91">
                  <c:v>Mar-2023</c:v>
                </c:pt>
                <c:pt idx="92">
                  <c:v>Apr-2023</c:v>
                </c:pt>
                <c:pt idx="93">
                  <c:v>May-2023</c:v>
                </c:pt>
                <c:pt idx="94">
                  <c:v>Jun-2023</c:v>
                </c:pt>
                <c:pt idx="95">
                  <c:v>Jul-2023</c:v>
                </c:pt>
                <c:pt idx="96">
                  <c:v>Aug-2023</c:v>
                </c:pt>
                <c:pt idx="97">
                  <c:v>Sep-2023</c:v>
                </c:pt>
                <c:pt idx="98">
                  <c:v>Oct-2023</c:v>
                </c:pt>
                <c:pt idx="99">
                  <c:v>Nov-2023</c:v>
                </c:pt>
                <c:pt idx="100">
                  <c:v>Dec-2023</c:v>
                </c:pt>
                <c:pt idx="101">
                  <c:v>Jan-2024</c:v>
                </c:pt>
                <c:pt idx="102">
                  <c:v>Feb-2024</c:v>
                </c:pt>
                <c:pt idx="103">
                  <c:v>Mar-2024</c:v>
                </c:pt>
                <c:pt idx="104">
                  <c:v>Apr-2024</c:v>
                </c:pt>
                <c:pt idx="105">
                  <c:v>May-2024</c:v>
                </c:pt>
                <c:pt idx="106">
                  <c:v>Jun-2024</c:v>
                </c:pt>
                <c:pt idx="107">
                  <c:v>Jul-2024</c:v>
                </c:pt>
                <c:pt idx="108">
                  <c:v>Aug-2024</c:v>
                </c:pt>
                <c:pt idx="109">
                  <c:v>Sep-2024</c:v>
                </c:pt>
                <c:pt idx="110">
                  <c:v>Oct-2024</c:v>
                </c:pt>
                <c:pt idx="111">
                  <c:v>Nov-2024</c:v>
                </c:pt>
                <c:pt idx="112">
                  <c:v>Dec-2024</c:v>
                </c:pt>
              </c:strCache>
            </c:strRef>
          </c:cat>
          <c:val>
            <c:numRef>
              <c:f>Charts!$J$4:$J$116</c:f>
              <c:numCache>
                <c:formatCode>0.0000</c:formatCode>
                <c:ptCount val="113"/>
                <c:pt idx="0">
                  <c:v>0.947420391097254</c:v>
                </c:pt>
                <c:pt idx="1">
                  <c:v>0.89152796383136</c:v>
                </c:pt>
                <c:pt idx="2">
                  <c:v>0.928943918197279</c:v>
                </c:pt>
                <c:pt idx="3">
                  <c:v>0.884605209683121</c:v>
                </c:pt>
                <c:pt idx="4">
                  <c:v>0.959231381653554</c:v>
                </c:pt>
                <c:pt idx="5">
                  <c:v>0.881205959600121</c:v>
                </c:pt>
                <c:pt idx="6">
                  <c:v>0.85208315240649</c:v>
                </c:pt>
                <c:pt idx="7">
                  <c:v>0.923019871923192</c:v>
                </c:pt>
                <c:pt idx="8">
                  <c:v>0.989245122445931</c:v>
                </c:pt>
                <c:pt idx="9">
                  <c:v>1.00074816306538</c:v>
                </c:pt>
                <c:pt idx="10">
                  <c:v>1.01752220923392</c:v>
                </c:pt>
                <c:pt idx="11">
                  <c:v>1.04089024618197</c:v>
                </c:pt>
                <c:pt idx="12">
                  <c:v>1.03304444883029</c:v>
                </c:pt>
                <c:pt idx="13">
                  <c:v>1.1236552450334</c:v>
                </c:pt>
                <c:pt idx="14">
                  <c:v>1.18581788927488</c:v>
                </c:pt>
                <c:pt idx="15">
                  <c:v>1.27574139436661</c:v>
                </c:pt>
                <c:pt idx="16">
                  <c:v>1.40649652428881</c:v>
                </c:pt>
                <c:pt idx="17">
                  <c:v>1.40624145184576</c:v>
                </c:pt>
                <c:pt idx="18">
                  <c:v>1.31655277119781</c:v>
                </c:pt>
                <c:pt idx="19">
                  <c:v>1.33640911152459</c:v>
                </c:pt>
                <c:pt idx="20">
                  <c:v>1.399575028205</c:v>
                </c:pt>
                <c:pt idx="21">
                  <c:v>1.65728621161252</c:v>
                </c:pt>
                <c:pt idx="22">
                  <c:v>1.61787668909345</c:v>
                </c:pt>
                <c:pt idx="23">
                  <c:v>1.61768220138667</c:v>
                </c:pt>
                <c:pt idx="24">
                  <c:v>1.34897408081291</c:v>
                </c:pt>
                <c:pt idx="25">
                  <c:v>1.44397779477062</c:v>
                </c:pt>
                <c:pt idx="26">
                  <c:v>1.40803123696508</c:v>
                </c:pt>
                <c:pt idx="27">
                  <c:v>1.57355956982419</c:v>
                </c:pt>
                <c:pt idx="28">
                  <c:v>1.58344354153497</c:v>
                </c:pt>
                <c:pt idx="29">
                  <c:v>1.67813865054661</c:v>
                </c:pt>
                <c:pt idx="30">
                  <c:v>1.57635661521097</c:v>
                </c:pt>
                <c:pt idx="31">
                  <c:v>1.66613233024918</c:v>
                </c:pt>
                <c:pt idx="32">
                  <c:v>1.6595895935056</c:v>
                </c:pt>
                <c:pt idx="33">
                  <c:v>1.56683994398699</c:v>
                </c:pt>
                <c:pt idx="34">
                  <c:v>1.52277521050265</c:v>
                </c:pt>
                <c:pt idx="35">
                  <c:v>1.54538140653837</c:v>
                </c:pt>
                <c:pt idx="36">
                  <c:v>1.55622123251565</c:v>
                </c:pt>
                <c:pt idx="37">
                  <c:v>1.56176470010393</c:v>
                </c:pt>
                <c:pt idx="38">
                  <c:v>1.61360420594022</c:v>
                </c:pt>
                <c:pt idx="39">
                  <c:v>1.52740699925038</c:v>
                </c:pt>
                <c:pt idx="40">
                  <c:v>1.38491456492819</c:v>
                </c:pt>
                <c:pt idx="41">
                  <c:v>1.50019712574804</c:v>
                </c:pt>
                <c:pt idx="42">
                  <c:v>1.49824192781241</c:v>
                </c:pt>
                <c:pt idx="43">
                  <c:v>1.47503480682932</c:v>
                </c:pt>
                <c:pt idx="44">
                  <c:v>1.4140536354138</c:v>
                </c:pt>
                <c:pt idx="45">
                  <c:v>1.44257384125633</c:v>
                </c:pt>
                <c:pt idx="46">
                  <c:v>1.32654951814963</c:v>
                </c:pt>
                <c:pt idx="47">
                  <c:v>1.28206464449231</c:v>
                </c:pt>
                <c:pt idx="48">
                  <c:v>1.18468369509036</c:v>
                </c:pt>
                <c:pt idx="49">
                  <c:v>1.22696930580987</c:v>
                </c:pt>
                <c:pt idx="50">
                  <c:v>1.27467589399362</c:v>
                </c:pt>
                <c:pt idx="51">
                  <c:v>1.3508069853858</c:v>
                </c:pt>
                <c:pt idx="52">
                  <c:v>1.48333848679917</c:v>
                </c:pt>
                <c:pt idx="53">
                  <c:v>1.49048342436249</c:v>
                </c:pt>
                <c:pt idx="54">
                  <c:v>1.36999438602647</c:v>
                </c:pt>
                <c:pt idx="55">
                  <c:v>0.988981193099011</c:v>
                </c:pt>
                <c:pt idx="56">
                  <c:v>1.14868135633445</c:v>
                </c:pt>
                <c:pt idx="57">
                  <c:v>1.20616095477581</c:v>
                </c:pt>
                <c:pt idx="58">
                  <c:v>1.2571917956947</c:v>
                </c:pt>
                <c:pt idx="59">
                  <c:v>1.44431322454378</c:v>
                </c:pt>
                <c:pt idx="60">
                  <c:v>1.4780484462897</c:v>
                </c:pt>
                <c:pt idx="61">
                  <c:v>1.47398968292485</c:v>
                </c:pt>
                <c:pt idx="62">
                  <c:v>1.51969150450831</c:v>
                </c:pt>
                <c:pt idx="63">
                  <c:v>1.5474958760033</c:v>
                </c:pt>
                <c:pt idx="64">
                  <c:v>1.65132321708095</c:v>
                </c:pt>
                <c:pt idx="65">
                  <c:v>1.69917102024004</c:v>
                </c:pt>
                <c:pt idx="66">
                  <c:v>1.68265497782078</c:v>
                </c:pt>
                <c:pt idx="67">
                  <c:v>1.60477242780715</c:v>
                </c:pt>
                <c:pt idx="68">
                  <c:v>1.57603190212312</c:v>
                </c:pt>
                <c:pt idx="69">
                  <c:v>1.6435812692415</c:v>
                </c:pt>
                <c:pt idx="70">
                  <c:v>1.61695242573216</c:v>
                </c:pt>
                <c:pt idx="71">
                  <c:v>1.62090243232731</c:v>
                </c:pt>
                <c:pt idx="72">
                  <c:v>1.6981864742709</c:v>
                </c:pt>
                <c:pt idx="73">
                  <c:v>1.59111171351385</c:v>
                </c:pt>
                <c:pt idx="74">
                  <c:v>1.68924011165277</c:v>
                </c:pt>
                <c:pt idx="75">
                  <c:v>1.67174723551311</c:v>
                </c:pt>
                <c:pt idx="76">
                  <c:v>1.62526317922306</c:v>
                </c:pt>
                <c:pt idx="77">
                  <c:v>1.65375260120854</c:v>
                </c:pt>
                <c:pt idx="78">
                  <c:v>1.63905675714168</c:v>
                </c:pt>
                <c:pt idx="79">
                  <c:v>1.5682055418598</c:v>
                </c:pt>
                <c:pt idx="80">
                  <c:v>1.57284707883833</c:v>
                </c:pt>
                <c:pt idx="81">
                  <c:v>1.42118252735991</c:v>
                </c:pt>
                <c:pt idx="82">
                  <c:v>1.36355052921453</c:v>
                </c:pt>
                <c:pt idx="83">
                  <c:v>1.343522414355</c:v>
                </c:pt>
                <c:pt idx="84">
                  <c:v>1.46393771142796</c:v>
                </c:pt>
                <c:pt idx="85">
                  <c:v>1.35397768297697</c:v>
                </c:pt>
                <c:pt idx="86">
                  <c:v>1.30120069992015</c:v>
                </c:pt>
                <c:pt idx="87">
                  <c:v>1.3225477721381</c:v>
                </c:pt>
                <c:pt idx="88">
                  <c:v>1.212015906498</c:v>
                </c:pt>
                <c:pt idx="89">
                  <c:v>1.16052729172052</c:v>
                </c:pt>
                <c:pt idx="90">
                  <c:v>1.16434192672805</c:v>
                </c:pt>
                <c:pt idx="91">
                  <c:v>1.16997361848182</c:v>
                </c:pt>
                <c:pt idx="92">
                  <c:v>1.19814576311766</c:v>
                </c:pt>
                <c:pt idx="93">
                  <c:v>1.22057749453801</c:v>
                </c:pt>
                <c:pt idx="94">
                  <c:v>1.19213765752224</c:v>
                </c:pt>
                <c:pt idx="95">
                  <c:v>1.3722065507067</c:v>
                </c:pt>
                <c:pt idx="96">
                  <c:v>1.26068228240617</c:v>
                </c:pt>
                <c:pt idx="97">
                  <c:v>1.25321289062345</c:v>
                </c:pt>
                <c:pt idx="98">
                  <c:v>1.37401170636931</c:v>
                </c:pt>
                <c:pt idx="99">
                  <c:v>1.50578143422097</c:v>
                </c:pt>
                <c:pt idx="100">
                  <c:v>1.62736449097472</c:v>
                </c:pt>
                <c:pt idx="101">
                  <c:v>1.76049128485052</c:v>
                </c:pt>
                <c:pt idx="102">
                  <c:v>2.0523316385716</c:v>
                </c:pt>
                <c:pt idx="103">
                  <c:v>2.2065660010527</c:v>
                </c:pt>
                <c:pt idx="104">
                  <c:v>2.67671376358317</c:v>
                </c:pt>
                <c:pt idx="105">
                  <c:v>2.62374123659906</c:v>
                </c:pt>
                <c:pt idx="106">
                  <c:v>2.72697575890676</c:v>
                </c:pt>
                <c:pt idx="107">
                  <c:v>2.89122256119782</c:v>
                </c:pt>
                <c:pt idx="108">
                  <c:v>2.79455236515191</c:v>
                </c:pt>
                <c:pt idx="109">
                  <c:v>3.08873456799963</c:v>
                </c:pt>
                <c:pt idx="110">
                  <c:v>3.39737562774294</c:v>
                </c:pt>
                <c:pt idx="111">
                  <c:v>3.54784266704102</c:v>
                </c:pt>
                <c:pt idx="112">
                  <c:v>4.21576713768221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Charts!K3</c:f>
              <c:strCache>
                <c:ptCount val="1"/>
                <c:pt idx="0">
                  <c:v>KSE-100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Charts!$A$4:$A$116</c:f>
              <c:strCache>
                <c:ptCount val="113"/>
                <c:pt idx="0">
                  <c:v>Aug-2015</c:v>
                </c:pt>
                <c:pt idx="1">
                  <c:v>Sep-2015</c:v>
                </c:pt>
                <c:pt idx="2">
                  <c:v>Oct-2015</c:v>
                </c:pt>
                <c:pt idx="3">
                  <c:v>Nov-2015</c:v>
                </c:pt>
                <c:pt idx="4">
                  <c:v>Dec-2015</c:v>
                </c:pt>
                <c:pt idx="5">
                  <c:v>Jan-2016</c:v>
                </c:pt>
                <c:pt idx="6">
                  <c:v>Feb-2016</c:v>
                </c:pt>
                <c:pt idx="7">
                  <c:v>Mar-2016</c:v>
                </c:pt>
                <c:pt idx="8">
                  <c:v>Apr-2016</c:v>
                </c:pt>
                <c:pt idx="9">
                  <c:v>May-2016</c:v>
                </c:pt>
                <c:pt idx="10">
                  <c:v>Jun-2016</c:v>
                </c:pt>
                <c:pt idx="11">
                  <c:v>Jul-2016</c:v>
                </c:pt>
                <c:pt idx="12">
                  <c:v>Aug-2016</c:v>
                </c:pt>
                <c:pt idx="13">
                  <c:v>Sep-2016</c:v>
                </c:pt>
                <c:pt idx="14">
                  <c:v>Oct-2016</c:v>
                </c:pt>
                <c:pt idx="15">
                  <c:v>Nov-2016</c:v>
                </c:pt>
                <c:pt idx="16">
                  <c:v>Dec-2016</c:v>
                </c:pt>
                <c:pt idx="17">
                  <c:v>Jan-2017</c:v>
                </c:pt>
                <c:pt idx="18">
                  <c:v>Feb-2017</c:v>
                </c:pt>
                <c:pt idx="19">
                  <c:v>Mar-2017</c:v>
                </c:pt>
                <c:pt idx="20">
                  <c:v>Apr-2017</c:v>
                </c:pt>
                <c:pt idx="21">
                  <c:v>May-2017</c:v>
                </c:pt>
                <c:pt idx="22">
                  <c:v>Jun-2017</c:v>
                </c:pt>
                <c:pt idx="23">
                  <c:v>Jul-2017</c:v>
                </c:pt>
                <c:pt idx="24">
                  <c:v>Aug-2017</c:v>
                </c:pt>
                <c:pt idx="25">
                  <c:v>Sep-2017</c:v>
                </c:pt>
                <c:pt idx="26">
                  <c:v>Oct-2017</c:v>
                </c:pt>
                <c:pt idx="27">
                  <c:v>Nov-2017</c:v>
                </c:pt>
                <c:pt idx="28">
                  <c:v>Dec-2017</c:v>
                </c:pt>
                <c:pt idx="29">
                  <c:v>Jan-2018</c:v>
                </c:pt>
                <c:pt idx="30">
                  <c:v>Feb-2018</c:v>
                </c:pt>
                <c:pt idx="31">
                  <c:v>Mar-2018</c:v>
                </c:pt>
                <c:pt idx="32">
                  <c:v>Apr-2018</c:v>
                </c:pt>
                <c:pt idx="33">
                  <c:v>May-2018</c:v>
                </c:pt>
                <c:pt idx="34">
                  <c:v>Jun-2018</c:v>
                </c:pt>
                <c:pt idx="35">
                  <c:v>Jul-2018</c:v>
                </c:pt>
                <c:pt idx="36">
                  <c:v>Aug-2018</c:v>
                </c:pt>
                <c:pt idx="37">
                  <c:v>Sep-2018</c:v>
                </c:pt>
                <c:pt idx="38">
                  <c:v>Oct-2018</c:v>
                </c:pt>
                <c:pt idx="39">
                  <c:v>Nov-2018</c:v>
                </c:pt>
                <c:pt idx="40">
                  <c:v>Dec-2018</c:v>
                </c:pt>
                <c:pt idx="41">
                  <c:v>Jan-2019</c:v>
                </c:pt>
                <c:pt idx="42">
                  <c:v>Feb-2019</c:v>
                </c:pt>
                <c:pt idx="43">
                  <c:v>Mar-2019</c:v>
                </c:pt>
                <c:pt idx="44">
                  <c:v>Apr-2019</c:v>
                </c:pt>
                <c:pt idx="45">
                  <c:v>May-2019</c:v>
                </c:pt>
                <c:pt idx="46">
                  <c:v>Jun-2019</c:v>
                </c:pt>
                <c:pt idx="47">
                  <c:v>Jul-2019</c:v>
                </c:pt>
                <c:pt idx="48">
                  <c:v>Aug-2019</c:v>
                </c:pt>
                <c:pt idx="49">
                  <c:v>Sep-2019</c:v>
                </c:pt>
                <c:pt idx="50">
                  <c:v>Oct-2019</c:v>
                </c:pt>
                <c:pt idx="51">
                  <c:v>Nov-2019</c:v>
                </c:pt>
                <c:pt idx="52">
                  <c:v>Dec-2019</c:v>
                </c:pt>
                <c:pt idx="53">
                  <c:v>Jan-2020</c:v>
                </c:pt>
                <c:pt idx="54">
                  <c:v>Feb-2020</c:v>
                </c:pt>
                <c:pt idx="55">
                  <c:v>Mar-2020</c:v>
                </c:pt>
                <c:pt idx="56">
                  <c:v>Apr-2020</c:v>
                </c:pt>
                <c:pt idx="57">
                  <c:v>May-2020</c:v>
                </c:pt>
                <c:pt idx="58">
                  <c:v>Jun-2020</c:v>
                </c:pt>
                <c:pt idx="59">
                  <c:v>Jul-2020</c:v>
                </c:pt>
                <c:pt idx="60">
                  <c:v>Aug-2020</c:v>
                </c:pt>
                <c:pt idx="61">
                  <c:v>Sep-2020</c:v>
                </c:pt>
                <c:pt idx="62">
                  <c:v>Oct-2020</c:v>
                </c:pt>
                <c:pt idx="63">
                  <c:v>Nov-2020</c:v>
                </c:pt>
                <c:pt idx="64">
                  <c:v>Dec-2020</c:v>
                </c:pt>
                <c:pt idx="65">
                  <c:v>Jan-2021</c:v>
                </c:pt>
                <c:pt idx="66">
                  <c:v>Feb-2021</c:v>
                </c:pt>
                <c:pt idx="67">
                  <c:v>Mar-2021</c:v>
                </c:pt>
                <c:pt idx="68">
                  <c:v>Apr-2021</c:v>
                </c:pt>
                <c:pt idx="69">
                  <c:v>May-2021</c:v>
                </c:pt>
                <c:pt idx="70">
                  <c:v>Jun-2021</c:v>
                </c:pt>
                <c:pt idx="71">
                  <c:v>Jul-2021</c:v>
                </c:pt>
                <c:pt idx="72">
                  <c:v>Aug-2021</c:v>
                </c:pt>
                <c:pt idx="73">
                  <c:v>Sep-2021</c:v>
                </c:pt>
                <c:pt idx="74">
                  <c:v>Oct-2021</c:v>
                </c:pt>
                <c:pt idx="75">
                  <c:v>Nov-2021</c:v>
                </c:pt>
                <c:pt idx="76">
                  <c:v>Dec-2021</c:v>
                </c:pt>
                <c:pt idx="77">
                  <c:v>Jan-2022</c:v>
                </c:pt>
                <c:pt idx="78">
                  <c:v>Feb-2022</c:v>
                </c:pt>
                <c:pt idx="79">
                  <c:v>Mar-2022</c:v>
                </c:pt>
                <c:pt idx="80">
                  <c:v>Apr-2022</c:v>
                </c:pt>
                <c:pt idx="81">
                  <c:v>May-2022</c:v>
                </c:pt>
                <c:pt idx="82">
                  <c:v>Jun-2022</c:v>
                </c:pt>
                <c:pt idx="83">
                  <c:v>Jul-2022</c:v>
                </c:pt>
                <c:pt idx="84">
                  <c:v>Aug-2022</c:v>
                </c:pt>
                <c:pt idx="85">
                  <c:v>Sep-2022</c:v>
                </c:pt>
                <c:pt idx="86">
                  <c:v>Oct-2022</c:v>
                </c:pt>
                <c:pt idx="87">
                  <c:v>Nov-2022</c:v>
                </c:pt>
                <c:pt idx="88">
                  <c:v>Dec-2022</c:v>
                </c:pt>
                <c:pt idx="89">
                  <c:v>Jan-2023</c:v>
                </c:pt>
                <c:pt idx="90">
                  <c:v>Feb-2023</c:v>
                </c:pt>
                <c:pt idx="91">
                  <c:v>Mar-2023</c:v>
                </c:pt>
                <c:pt idx="92">
                  <c:v>Apr-2023</c:v>
                </c:pt>
                <c:pt idx="93">
                  <c:v>May-2023</c:v>
                </c:pt>
                <c:pt idx="94">
                  <c:v>Jun-2023</c:v>
                </c:pt>
                <c:pt idx="95">
                  <c:v>Jul-2023</c:v>
                </c:pt>
                <c:pt idx="96">
                  <c:v>Aug-2023</c:v>
                </c:pt>
                <c:pt idx="97">
                  <c:v>Sep-2023</c:v>
                </c:pt>
                <c:pt idx="98">
                  <c:v>Oct-2023</c:v>
                </c:pt>
                <c:pt idx="99">
                  <c:v>Nov-2023</c:v>
                </c:pt>
                <c:pt idx="100">
                  <c:v>Dec-2023</c:v>
                </c:pt>
                <c:pt idx="101">
                  <c:v>Jan-2024</c:v>
                </c:pt>
                <c:pt idx="102">
                  <c:v>Feb-2024</c:v>
                </c:pt>
                <c:pt idx="103">
                  <c:v>Mar-2024</c:v>
                </c:pt>
                <c:pt idx="104">
                  <c:v>Apr-2024</c:v>
                </c:pt>
                <c:pt idx="105">
                  <c:v>May-2024</c:v>
                </c:pt>
                <c:pt idx="106">
                  <c:v>Jun-2024</c:v>
                </c:pt>
                <c:pt idx="107">
                  <c:v>Jul-2024</c:v>
                </c:pt>
                <c:pt idx="108">
                  <c:v>Aug-2024</c:v>
                </c:pt>
                <c:pt idx="109">
                  <c:v>Sep-2024</c:v>
                </c:pt>
                <c:pt idx="110">
                  <c:v>Oct-2024</c:v>
                </c:pt>
                <c:pt idx="111">
                  <c:v>Nov-2024</c:v>
                </c:pt>
                <c:pt idx="112">
                  <c:v>Dec-2024</c:v>
                </c:pt>
              </c:strCache>
            </c:strRef>
          </c:cat>
          <c:val>
            <c:numRef>
              <c:f>Charts!$K$4:$K$116</c:f>
              <c:numCache>
                <c:formatCode>0.0000</c:formatCode>
                <c:ptCount val="113"/>
                <c:pt idx="0">
                  <c:v>0.971601375654981</c:v>
                </c:pt>
                <c:pt idx="1">
                  <c:v>0.903358614854657</c:v>
                </c:pt>
                <c:pt idx="2">
                  <c:v>0.958593814700662</c:v>
                </c:pt>
                <c:pt idx="3">
                  <c:v>0.902457422068228</c:v>
                </c:pt>
                <c:pt idx="4">
                  <c:v>0.918156530556059</c:v>
                </c:pt>
                <c:pt idx="5">
                  <c:v>0.875693031521883</c:v>
                </c:pt>
                <c:pt idx="6">
                  <c:v>0.877676998627926</c:v>
                </c:pt>
                <c:pt idx="7">
                  <c:v>0.927184965832455</c:v>
                </c:pt>
                <c:pt idx="8">
                  <c:v>0.971399369696644</c:v>
                </c:pt>
                <c:pt idx="9">
                  <c:v>1.00895429181523</c:v>
                </c:pt>
                <c:pt idx="10">
                  <c:v>1.05713299266511</c:v>
                </c:pt>
                <c:pt idx="11">
                  <c:v>1.10530497863549</c:v>
                </c:pt>
                <c:pt idx="12">
                  <c:v>1.11381888627009</c:v>
                </c:pt>
                <c:pt idx="13">
                  <c:v>1.13430570384248</c:v>
                </c:pt>
                <c:pt idx="14">
                  <c:v>1.1161763685484</c:v>
                </c:pt>
                <c:pt idx="15">
                  <c:v>1.19251699424087</c:v>
                </c:pt>
                <c:pt idx="16">
                  <c:v>1.33757517867175</c:v>
                </c:pt>
                <c:pt idx="17">
                  <c:v>1.36417449509702</c:v>
                </c:pt>
                <c:pt idx="18">
                  <c:v>1.35792294228114</c:v>
                </c:pt>
                <c:pt idx="19">
                  <c:v>1.34733861346692</c:v>
                </c:pt>
                <c:pt idx="20">
                  <c:v>1.37937334506199</c:v>
                </c:pt>
                <c:pt idx="21">
                  <c:v>1.41548456808776</c:v>
                </c:pt>
                <c:pt idx="22">
                  <c:v>1.30283463042422</c:v>
                </c:pt>
                <c:pt idx="23">
                  <c:v>1.28731094816337</c:v>
                </c:pt>
                <c:pt idx="24">
                  <c:v>1.15291655195414</c:v>
                </c:pt>
                <c:pt idx="25">
                  <c:v>1.18655474081684</c:v>
                </c:pt>
                <c:pt idx="26">
                  <c:v>1.10843607098971</c:v>
                </c:pt>
                <c:pt idx="27">
                  <c:v>1.11943644254637</c:v>
                </c:pt>
                <c:pt idx="28">
                  <c:v>1.1323379643619</c:v>
                </c:pt>
                <c:pt idx="29">
                  <c:v>1.23243359543746</c:v>
                </c:pt>
                <c:pt idx="30">
                  <c:v>1.20978178879913</c:v>
                </c:pt>
                <c:pt idx="31">
                  <c:v>1.27471635229839</c:v>
                </c:pt>
                <c:pt idx="32">
                  <c:v>1.27271755650012</c:v>
                </c:pt>
                <c:pt idx="33">
                  <c:v>1.19879176934837</c:v>
                </c:pt>
                <c:pt idx="34">
                  <c:v>1.17261101374536</c:v>
                </c:pt>
                <c:pt idx="35">
                  <c:v>1.19503675277381</c:v>
                </c:pt>
                <c:pt idx="36">
                  <c:v>1.16789213217569</c:v>
                </c:pt>
                <c:pt idx="37">
                  <c:v>1.14708579825368</c:v>
                </c:pt>
                <c:pt idx="38">
                  <c:v>1.16529347380861</c:v>
                </c:pt>
                <c:pt idx="39">
                  <c:v>1.13302484057757</c:v>
                </c:pt>
                <c:pt idx="40">
                  <c:v>1.03707592738082</c:v>
                </c:pt>
                <c:pt idx="41">
                  <c:v>1.14151608549385</c:v>
                </c:pt>
                <c:pt idx="42">
                  <c:v>1.09269555407828</c:v>
                </c:pt>
                <c:pt idx="43">
                  <c:v>1.08135692046673</c:v>
                </c:pt>
                <c:pt idx="44">
                  <c:v>1.02917950887371</c:v>
                </c:pt>
                <c:pt idx="45">
                  <c:v>1.0065265830888</c:v>
                </c:pt>
                <c:pt idx="46">
                  <c:v>0.94852093587514</c:v>
                </c:pt>
                <c:pt idx="47">
                  <c:v>0.893596019419432</c:v>
                </c:pt>
                <c:pt idx="48">
                  <c:v>0.830186293140304</c:v>
                </c:pt>
                <c:pt idx="49">
                  <c:v>0.897523384567865</c:v>
                </c:pt>
                <c:pt idx="50">
                  <c:v>0.956973290447637</c:v>
                </c:pt>
                <c:pt idx="51">
                  <c:v>1.09921598186087</c:v>
                </c:pt>
                <c:pt idx="52">
                  <c:v>1.1397131403477</c:v>
                </c:pt>
                <c:pt idx="53">
                  <c:v>1.16477810680687</c:v>
                </c:pt>
                <c:pt idx="54">
                  <c:v>1.06273096387619</c:v>
                </c:pt>
                <c:pt idx="55">
                  <c:v>0.817861971175261</c:v>
                </c:pt>
                <c:pt idx="56">
                  <c:v>0.954398134158817</c:v>
                </c:pt>
                <c:pt idx="57">
                  <c:v>0.94935050328022</c:v>
                </c:pt>
                <c:pt idx="58">
                  <c:v>0.963079354207656</c:v>
                </c:pt>
                <c:pt idx="59">
                  <c:v>1.09839872506821</c:v>
                </c:pt>
                <c:pt idx="60">
                  <c:v>1.15022892143367</c:v>
                </c:pt>
                <c:pt idx="61">
                  <c:v>1.13513583082085</c:v>
                </c:pt>
                <c:pt idx="62">
                  <c:v>1.1160129731472</c:v>
                </c:pt>
                <c:pt idx="63">
                  <c:v>1.14905073986781</c:v>
                </c:pt>
                <c:pt idx="64">
                  <c:v>1.22421710100746</c:v>
                </c:pt>
                <c:pt idx="65">
                  <c:v>1.29780546546426</c:v>
                </c:pt>
                <c:pt idx="66">
                  <c:v>1.28324201097211</c:v>
                </c:pt>
                <c:pt idx="67">
                  <c:v>1.2475084999183</c:v>
                </c:pt>
                <c:pt idx="68">
                  <c:v>1.23840144459441</c:v>
                </c:pt>
                <c:pt idx="69">
                  <c:v>1.34007563192612</c:v>
                </c:pt>
                <c:pt idx="70">
                  <c:v>1.3249581998751</c:v>
                </c:pt>
                <c:pt idx="71">
                  <c:v>1.3165441760731</c:v>
                </c:pt>
                <c:pt idx="72">
                  <c:v>1.32674100038275</c:v>
                </c:pt>
                <c:pt idx="73">
                  <c:v>1.25623084860409</c:v>
                </c:pt>
                <c:pt idx="74">
                  <c:v>1.293143940157</c:v>
                </c:pt>
                <c:pt idx="75">
                  <c:v>1.26106500227187</c:v>
                </c:pt>
                <c:pt idx="76">
                  <c:v>1.24773848454123</c:v>
                </c:pt>
                <c:pt idx="77">
                  <c:v>1.26952295257728</c:v>
                </c:pt>
                <c:pt idx="78">
                  <c:v>1.24395968610177</c:v>
                </c:pt>
                <c:pt idx="79">
                  <c:v>1.25704866497004</c:v>
                </c:pt>
                <c:pt idx="80">
                  <c:v>1.26601806526415</c:v>
                </c:pt>
                <c:pt idx="81">
                  <c:v>1.20526883020084</c:v>
                </c:pt>
                <c:pt idx="82">
                  <c:v>1.16225694934071</c:v>
                </c:pt>
                <c:pt idx="83">
                  <c:v>1.12335345558891</c:v>
                </c:pt>
                <c:pt idx="84">
                  <c:v>1.1849286208309</c:v>
                </c:pt>
                <c:pt idx="85">
                  <c:v>1.15072526294349</c:v>
                </c:pt>
                <c:pt idx="86">
                  <c:v>1.15453008154102</c:v>
                </c:pt>
                <c:pt idx="87">
                  <c:v>1.18485811459614</c:v>
                </c:pt>
                <c:pt idx="88">
                  <c:v>1.13091021310789</c:v>
                </c:pt>
                <c:pt idx="89">
                  <c:v>1.13797790356986</c:v>
                </c:pt>
                <c:pt idx="90">
                  <c:v>1.13342605462778</c:v>
                </c:pt>
                <c:pt idx="91">
                  <c:v>1.11916980587284</c:v>
                </c:pt>
                <c:pt idx="92">
                  <c:v>1.16337665549759</c:v>
                </c:pt>
                <c:pt idx="93">
                  <c:v>1.15657700064239</c:v>
                </c:pt>
                <c:pt idx="94">
                  <c:v>1.15979063005715</c:v>
                </c:pt>
                <c:pt idx="95">
                  <c:v>1.34394368230562</c:v>
                </c:pt>
                <c:pt idx="96">
                  <c:v>1.25910733511054</c:v>
                </c:pt>
                <c:pt idx="97">
                  <c:v>1.29352612871529</c:v>
                </c:pt>
                <c:pt idx="98">
                  <c:v>1.45422774409147</c:v>
                </c:pt>
                <c:pt idx="99">
                  <c:v>1.69345819651767</c:v>
                </c:pt>
                <c:pt idx="100">
                  <c:v>1.74729670142736</c:v>
                </c:pt>
                <c:pt idx="101">
                  <c:v>1.73409468875415</c:v>
                </c:pt>
                <c:pt idx="102">
                  <c:v>1.8068207507683</c:v>
                </c:pt>
                <c:pt idx="103">
                  <c:v>1.87471349847461</c:v>
                </c:pt>
                <c:pt idx="104">
                  <c:v>1.98935439791033</c:v>
                </c:pt>
                <c:pt idx="105">
                  <c:v>2.12297854148341</c:v>
                </c:pt>
                <c:pt idx="106">
                  <c:v>2.19478522457915</c:v>
                </c:pt>
                <c:pt idx="107">
                  <c:v>2.17917396909813</c:v>
                </c:pt>
                <c:pt idx="108">
                  <c:v>2.19599558160929</c:v>
                </c:pt>
                <c:pt idx="109">
                  <c:v>2.26946699524811</c:v>
                </c:pt>
                <c:pt idx="110">
                  <c:v>2.48917141744392</c:v>
                </c:pt>
                <c:pt idx="111">
                  <c:v>2.83584245997373</c:v>
                </c:pt>
                <c:pt idx="112">
                  <c:v>3.22109692033244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214104"/>
        <c:axId val="76843395"/>
      </c:lineChart>
      <c:catAx>
        <c:axId val="212141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43395"/>
        <c:crosses val="autoZero"/>
        <c:auto val="1"/>
        <c:lblAlgn val="ctr"/>
        <c:lblOffset val="100"/>
        <c:noMultiLvlLbl val="0"/>
      </c:catAx>
      <c:valAx>
        <c:axId val="768433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Portfolio Value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141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Sharpe Ratio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Scenario_Summary!F4</c:f>
              <c:strCache>
                <c:ptCount val="1"/>
                <c:pt idx="0">
                  <c:v>Sharpe Ratio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Scenario_Summary!$A$5:$A$14</c:f>
              <c:strCache>
                <c:ptCount val="10"/>
                <c:pt idx="0">
                  <c:v>Top 2</c:v>
                </c:pt>
                <c:pt idx="1">
                  <c:v>Top 2</c:v>
                </c:pt>
                <c:pt idx="2">
                  <c:v>Top 2</c:v>
                </c:pt>
                <c:pt idx="3">
                  <c:v>Top 3</c:v>
                </c:pt>
                <c:pt idx="4">
                  <c:v>Top 3</c:v>
                </c:pt>
                <c:pt idx="5">
                  <c:v>Top 3</c:v>
                </c:pt>
                <c:pt idx="6">
                  <c:v>Top 5</c:v>
                </c:pt>
                <c:pt idx="7">
                  <c:v>Top 5</c:v>
                </c:pt>
                <c:pt idx="8">
                  <c:v>Top 5</c:v>
                </c:pt>
                <c:pt idx="9">
                  <c:v>KSE-100</c:v>
                </c:pt>
              </c:strCache>
            </c:strRef>
          </c:cat>
          <c:val>
            <c:numRef>
              <c:f>Scenario_Summary!$F$5:$F$14</c:f>
              <c:numCache>
                <c:formatCode>0.00</c:formatCode>
                <c:ptCount val="10"/>
                <c:pt idx="0">
                  <c:v>0.557337432963737</c:v>
                </c:pt>
                <c:pt idx="1">
                  <c:v>0.213704134354527</c:v>
                </c:pt>
                <c:pt idx="2">
                  <c:v>0.0391968002525869</c:v>
                </c:pt>
                <c:pt idx="3">
                  <c:v>0.555495132080278</c:v>
                </c:pt>
                <c:pt idx="4">
                  <c:v>0.527065292851055</c:v>
                </c:pt>
                <c:pt idx="5">
                  <c:v>0.303845921880799</c:v>
                </c:pt>
                <c:pt idx="6">
                  <c:v>0.392703100359204</c:v>
                </c:pt>
                <c:pt idx="7">
                  <c:v>0.393879239987633</c:v>
                </c:pt>
                <c:pt idx="8">
                  <c:v>0.318417524023411</c:v>
                </c:pt>
                <c:pt idx="9">
                  <c:v>0.19751622801304</c:v>
                </c:pt>
              </c:numCache>
            </c:numRef>
          </c:val>
        </c:ser>
        <c:gapWidth val="150"/>
        <c:overlap val="0"/>
        <c:axId val="98849962"/>
        <c:axId val="24973540"/>
      </c:barChart>
      <c:catAx>
        <c:axId val="988499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73540"/>
        <c:crosses val="autoZero"/>
        <c:auto val="1"/>
        <c:lblAlgn val="ctr"/>
        <c:lblOffset val="100"/>
        <c:noMultiLvlLbl val="0"/>
      </c:catAx>
      <c:valAx>
        <c:axId val="249735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Sharpe Ratio (annualized)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499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vs Return — Annualized Volatility vs Annualized Return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"Scenarios"</c:f>
              <c:strCache>
                <c:ptCount val="1"/>
                <c:pt idx="0">
                  <c:v>Scenarios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noFill/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Scenario_Summary!$E$5:$E$14</c:f>
              <c:numCache>
                <c:formatCode>0.00%</c:formatCode>
                <c:ptCount val="10"/>
                <c:pt idx="0">
                  <c:v>0.381191416281339</c:v>
                </c:pt>
                <c:pt idx="1">
                  <c:v>0.336957926541107</c:v>
                </c:pt>
                <c:pt idx="2">
                  <c:v>0.336976586259637</c:v>
                </c:pt>
                <c:pt idx="3">
                  <c:v>0.327918379488592</c:v>
                </c:pt>
                <c:pt idx="4">
                  <c:v>0.344021190927359</c:v>
                </c:pt>
                <c:pt idx="5">
                  <c:v>0.3202687619752</c:v>
                </c:pt>
                <c:pt idx="6">
                  <c:v>0.243785443662902</c:v>
                </c:pt>
                <c:pt idx="7">
                  <c:v>0.256603275181859</c:v>
                </c:pt>
                <c:pt idx="8">
                  <c:v>0.252581228054521</c:v>
                </c:pt>
                <c:pt idx="9">
                  <c:v>0.212393797075334</c:v>
                </c:pt>
              </c:numCache>
            </c:numRef>
          </c:xVal>
          <c:yVal>
            <c:numRef>
              <c:f>Scenario_Summary!$D$5:$D$14</c:f>
              <c:numCache>
                <c:formatCode>0.00%</c:formatCode>
                <c:ptCount val="10"/>
                <c:pt idx="0">
                  <c:v>0.270068546094443</c:v>
                </c:pt>
                <c:pt idx="1">
                  <c:v>0.127553781717606</c:v>
                </c:pt>
                <c:pt idx="2">
                  <c:v>0.0637626405618996</c:v>
                </c:pt>
                <c:pt idx="3">
                  <c:v>0.25771878534881</c:v>
                </c:pt>
                <c:pt idx="4">
                  <c:v>0.253298458311008</c:v>
                </c:pt>
                <c:pt idx="5">
                  <c:v>0.162920736071937</c:v>
                </c:pt>
                <c:pt idx="6">
                  <c:v>0.185408182081473</c:v>
                </c:pt>
                <c:pt idx="7">
                  <c:v>0.187671611493995</c:v>
                </c:pt>
                <c:pt idx="8">
                  <c:v>0.165087595700498</c:v>
                </c:pt>
                <c:pt idx="9">
                  <c:v>0.132262973155162</c:v>
                </c:pt>
              </c:numCache>
            </c:numRef>
          </c:yVal>
          <c:smooth val="1"/>
        </c:ser>
        <c:axId val="47814903"/>
        <c:axId val="66712363"/>
      </c:scatterChart>
      <c:valAx>
        <c:axId val="4781490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Annualized Volatility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12363"/>
        <c:crosses val="autoZero"/>
        <c:crossBetween val="midCat"/>
      </c:valAx>
      <c:valAx>
        <c:axId val="667123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Annualized 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1490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38</xdr:row>
      <xdr:rowOff>160920</xdr:rowOff>
    </xdr:from>
    <xdr:to>
      <xdr:col>11</xdr:col>
      <xdr:colOff>55080</xdr:colOff>
      <xdr:row>59</xdr:row>
      <xdr:rowOff>119520</xdr:rowOff>
    </xdr:to>
    <xdr:graphicFrame>
      <xdr:nvGraphicFramePr>
        <xdr:cNvPr id="0" name="Chart 1"/>
        <xdr:cNvGraphicFramePr/>
      </xdr:nvGraphicFramePr>
      <xdr:xfrm>
        <a:off x="0" y="7428600"/>
        <a:ext cx="935928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60</xdr:row>
      <xdr:rowOff>160560</xdr:rowOff>
    </xdr:from>
    <xdr:to>
      <xdr:col>7</xdr:col>
      <xdr:colOff>558360</xdr:colOff>
      <xdr:row>77</xdr:row>
      <xdr:rowOff>161280</xdr:rowOff>
    </xdr:to>
    <xdr:graphicFrame>
      <xdr:nvGraphicFramePr>
        <xdr:cNvPr id="1" name="Chart 2"/>
        <xdr:cNvGraphicFramePr/>
      </xdr:nvGraphicFramePr>
      <xdr:xfrm>
        <a:off x="0" y="1161900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80</xdr:row>
      <xdr:rowOff>160920</xdr:rowOff>
    </xdr:from>
    <xdr:to>
      <xdr:col>7</xdr:col>
      <xdr:colOff>558360</xdr:colOff>
      <xdr:row>99</xdr:row>
      <xdr:rowOff>140760</xdr:rowOff>
    </xdr:to>
    <xdr:graphicFrame>
      <xdr:nvGraphicFramePr>
        <xdr:cNvPr id="2" name="Chart 3"/>
        <xdr:cNvGraphicFramePr/>
      </xdr:nvGraphicFramePr>
      <xdr:xfrm>
        <a:off x="0" y="1542960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/>
    </row>
    <row r="5" customFormat="false" ht="15" hidden="false" customHeight="true" outlineLevel="0" collapsed="false">
      <c r="A5" s="5" t="s">
        <v>2</v>
      </c>
    </row>
    <row r="6" customFormat="false" ht="15" hidden="false" customHeight="true" outlineLevel="0" collapsed="false">
      <c r="A6" s="4"/>
    </row>
    <row r="7" customFormat="false" ht="15" hidden="false" customHeight="true" outlineLevel="0" collapsed="false">
      <c r="A7" s="4" t="s">
        <v>3</v>
      </c>
    </row>
    <row r="8" customFormat="false" ht="15" hidden="false" customHeight="true" outlineLevel="0" collapsed="false">
      <c r="A8" s="4" t="s">
        <v>4</v>
      </c>
    </row>
    <row r="9" customFormat="false" ht="15" hidden="false" customHeight="true" outlineLevel="0" collapsed="false">
      <c r="A9" s="4" t="s">
        <v>5</v>
      </c>
    </row>
    <row r="10" customFormat="false" ht="15" hidden="false" customHeight="true" outlineLevel="0" collapsed="false">
      <c r="A10" s="4" t="s">
        <v>6</v>
      </c>
    </row>
    <row r="11" customFormat="false" ht="15" hidden="false" customHeight="true" outlineLevel="0" collapsed="false">
      <c r="A11" s="4" t="s">
        <v>7</v>
      </c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4"/>
    </row>
    <row r="14" customFormat="false" ht="15" hidden="false" customHeight="true" outlineLevel="0" collapsed="false">
      <c r="A14" s="4" t="s">
        <v>9</v>
      </c>
    </row>
    <row r="15" customFormat="false" ht="15" hidden="false" customHeight="true" outlineLevel="0" collapsed="false">
      <c r="A15" s="5" t="s">
        <v>10</v>
      </c>
    </row>
    <row r="16" customFormat="false" ht="15" hidden="false" customHeight="true" outlineLevel="0" collapsed="false">
      <c r="A16" s="5" t="s">
        <v>11</v>
      </c>
    </row>
    <row r="17" customFormat="false" ht="15" hidden="false" customHeight="true" outlineLevel="0" collapsed="false">
      <c r="A17" s="5" t="s">
        <v>12</v>
      </c>
    </row>
    <row r="18" customFormat="false" ht="15" hidden="false" customHeight="true" outlineLevel="0" collapsed="false">
      <c r="A18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8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" t="s">
        <v>14</v>
      </c>
    </row>
    <row r="3" customFormat="false" ht="15" hidden="false" customHeight="true" outlineLevel="0" collapsed="false">
      <c r="A3" s="6" t="s">
        <v>15</v>
      </c>
    </row>
    <row r="4" customFormat="false" ht="15" hidden="false" customHeight="true" outlineLevel="0" collapsed="false">
      <c r="A4" s="7" t="s">
        <v>16</v>
      </c>
      <c r="B4" s="8" t="n">
        <v>6</v>
      </c>
    </row>
    <row r="5" customFormat="false" ht="15" hidden="false" customHeight="true" outlineLevel="0" collapsed="false">
      <c r="A5" s="7" t="s">
        <v>17</v>
      </c>
      <c r="B5" s="8" t="n">
        <v>12</v>
      </c>
    </row>
    <row r="6" customFormat="false" ht="15" hidden="false" customHeight="true" outlineLevel="0" collapsed="false">
      <c r="A6" s="7" t="s">
        <v>18</v>
      </c>
      <c r="B6" s="8" t="s">
        <v>19</v>
      </c>
      <c r="C6" s="5" t="s">
        <v>20</v>
      </c>
    </row>
    <row r="7" customFormat="false" ht="15" hidden="false" customHeight="true" outlineLevel="0" collapsed="false">
      <c r="A7" s="7" t="s">
        <v>21</v>
      </c>
      <c r="B7" s="8" t="s">
        <v>22</v>
      </c>
      <c r="C7" s="5" t="s">
        <v>20</v>
      </c>
    </row>
    <row r="8" customFormat="false" ht="15" hidden="false" customHeight="true" outlineLevel="0" collapsed="false">
      <c r="A8" s="7" t="s">
        <v>23</v>
      </c>
      <c r="B8" s="8" t="s">
        <v>24</v>
      </c>
    </row>
    <row r="9" customFormat="false" ht="15" hidden="false" customHeight="true" outlineLevel="0" collapsed="false">
      <c r="A9" s="7"/>
    </row>
    <row r="10" customFormat="false" ht="15" hidden="false" customHeight="true" outlineLevel="0" collapsed="false">
      <c r="A10" s="6" t="s">
        <v>25</v>
      </c>
    </row>
    <row r="11" customFormat="false" ht="15" hidden="false" customHeight="true" outlineLevel="0" collapsed="false">
      <c r="A11" s="7" t="s">
        <v>26</v>
      </c>
      <c r="B11" s="9" t="n">
        <v>0.0025</v>
      </c>
      <c r="C11" s="5" t="s">
        <v>27</v>
      </c>
    </row>
    <row r="12" customFormat="false" ht="15" hidden="false" customHeight="true" outlineLevel="0" collapsed="false">
      <c r="A12" s="7" t="s">
        <v>28</v>
      </c>
      <c r="B12" s="9" t="n">
        <v>0.001</v>
      </c>
      <c r="C12" s="5" t="s">
        <v>27</v>
      </c>
    </row>
    <row r="13" customFormat="false" ht="15" hidden="false" customHeight="true" outlineLevel="0" collapsed="false">
      <c r="A13" s="7" t="s">
        <v>29</v>
      </c>
      <c r="B13" s="10" t="n">
        <f aca="false">B11+B12</f>
        <v>0.0035</v>
      </c>
      <c r="C13" s="5" t="s">
        <v>30</v>
      </c>
    </row>
    <row r="14" customFormat="false" ht="15" hidden="false" customHeight="true" outlineLevel="0" collapsed="false">
      <c r="A14" s="7"/>
    </row>
    <row r="15" customFormat="false" ht="15" hidden="false" customHeight="true" outlineLevel="0" collapsed="false">
      <c r="A15" s="6" t="s">
        <v>31</v>
      </c>
    </row>
    <row r="16" customFormat="false" ht="15" hidden="false" customHeight="true" outlineLevel="0" collapsed="false">
      <c r="A16" s="7" t="s">
        <v>32</v>
      </c>
      <c r="B16" s="9" t="n">
        <v>0.15</v>
      </c>
      <c r="C16" s="5" t="s">
        <v>33</v>
      </c>
    </row>
    <row r="17" customFormat="false" ht="15" hidden="false" customHeight="true" outlineLevel="0" collapsed="false">
      <c r="A17" s="7" t="s">
        <v>34</v>
      </c>
      <c r="B17" s="9" t="n">
        <v>0.125</v>
      </c>
    </row>
    <row r="18" customFormat="false" ht="15" hidden="false" customHeight="true" outlineLevel="0" collapsed="false">
      <c r="A18" s="7" t="s">
        <v>35</v>
      </c>
      <c r="B18" s="9" t="n">
        <v>0</v>
      </c>
    </row>
    <row r="19" customFormat="false" ht="15" hidden="false" customHeight="true" outlineLevel="0" collapsed="false">
      <c r="A19" s="7" t="s">
        <v>36</v>
      </c>
      <c r="B19" s="8" t="s">
        <v>37</v>
      </c>
      <c r="C19" s="5" t="s">
        <v>38</v>
      </c>
    </row>
    <row r="20" customFormat="false" ht="15" hidden="false" customHeight="true" outlineLevel="0" collapsed="false">
      <c r="A20" s="7"/>
    </row>
    <row r="21" customFormat="false" ht="15" hidden="false" customHeight="true" outlineLevel="0" collapsed="false">
      <c r="A21" s="6" t="s">
        <v>39</v>
      </c>
    </row>
    <row r="22" customFormat="false" ht="15" hidden="false" customHeight="true" outlineLevel="0" collapsed="false">
      <c r="A22" s="7" t="s">
        <v>40</v>
      </c>
      <c r="B22" s="8" t="s">
        <v>41</v>
      </c>
    </row>
    <row r="23" customFormat="false" ht="15" hidden="false" customHeight="true" outlineLevel="0" collapsed="false">
      <c r="A23" s="7" t="s">
        <v>42</v>
      </c>
      <c r="B23" s="8" t="s">
        <v>43</v>
      </c>
    </row>
    <row r="24" customFormat="false" ht="15" hidden="false" customHeight="true" outlineLevel="0" collapsed="false">
      <c r="A24" s="7"/>
    </row>
    <row r="25" customFormat="false" ht="15" hidden="false" customHeight="true" outlineLevel="0" collapsed="false">
      <c r="A25" s="6" t="s">
        <v>44</v>
      </c>
    </row>
    <row r="26" customFormat="false" ht="15" hidden="false" customHeight="true" outlineLevel="0" collapsed="false">
      <c r="A26" s="7" t="s">
        <v>45</v>
      </c>
      <c r="B26" s="8" t="s">
        <v>46</v>
      </c>
      <c r="C26" s="5" t="s">
        <v>47</v>
      </c>
    </row>
    <row r="27" customFormat="false" ht="15" hidden="false" customHeight="true" outlineLevel="0" collapsed="false">
      <c r="A27" s="7" t="s">
        <v>48</v>
      </c>
      <c r="B27" s="8" t="s">
        <v>49</v>
      </c>
    </row>
    <row r="28" customFormat="false" ht="15" hidden="false" customHeight="true" outlineLevel="0" collapsed="false">
      <c r="A28" s="7" t="s">
        <v>50</v>
      </c>
      <c r="B28" s="11" t="n">
        <f aca="false">COUNT(Raw_Prices!A2:A121)</f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1"/>
  </cols>
  <sheetData>
    <row r="1" customFormat="false" ht="15" hidden="false" customHeight="true" outlineLevel="0" collapsed="false">
      <c r="A1" s="12" t="s">
        <v>51</v>
      </c>
      <c r="B1" s="12" t="s">
        <v>52</v>
      </c>
      <c r="C1" s="12" t="s">
        <v>53</v>
      </c>
      <c r="D1" s="12" t="s">
        <v>54</v>
      </c>
      <c r="E1" s="12" t="s">
        <v>55</v>
      </c>
      <c r="F1" s="12" t="s">
        <v>56</v>
      </c>
      <c r="G1" s="12" t="s">
        <v>57</v>
      </c>
      <c r="H1" s="12" t="s">
        <v>58</v>
      </c>
      <c r="I1" s="12" t="s">
        <v>59</v>
      </c>
    </row>
    <row r="2" customFormat="false" ht="15" hidden="false" customHeight="true" outlineLevel="0" collapsed="false">
      <c r="A2" s="13" t="n">
        <v>42005</v>
      </c>
      <c r="B2" s="14" t="n">
        <v>210.51</v>
      </c>
      <c r="C2" s="14" t="n">
        <v>29.09</v>
      </c>
      <c r="D2" s="14" t="n">
        <v>85.49</v>
      </c>
      <c r="E2" s="14" t="n">
        <v>333.1</v>
      </c>
      <c r="F2" s="14" t="n">
        <v>521.99</v>
      </c>
      <c r="G2" s="14" t="n">
        <v>132.23</v>
      </c>
      <c r="H2" s="14" t="n">
        <v>11.84</v>
      </c>
      <c r="I2" s="14" t="n">
        <v>55.37</v>
      </c>
    </row>
    <row r="3" customFormat="false" ht="15" hidden="false" customHeight="true" outlineLevel="0" collapsed="false">
      <c r="A3" s="13" t="n">
        <v>42036</v>
      </c>
      <c r="B3" s="14" t="n">
        <v>210.8</v>
      </c>
      <c r="C3" s="14" t="n">
        <v>28.45</v>
      </c>
      <c r="D3" s="14" t="n">
        <v>85.77</v>
      </c>
      <c r="E3" s="14" t="n">
        <v>307.97</v>
      </c>
      <c r="F3" s="14" t="n">
        <v>502.95</v>
      </c>
      <c r="G3" s="14" t="n">
        <v>141.44</v>
      </c>
      <c r="H3" s="14" t="n">
        <v>15.14</v>
      </c>
      <c r="I3" s="14" t="n">
        <v>48.85</v>
      </c>
    </row>
    <row r="4" customFormat="false" ht="15" hidden="false" customHeight="true" outlineLevel="0" collapsed="false">
      <c r="A4" s="13" t="n">
        <v>42064</v>
      </c>
      <c r="B4" s="14" t="n">
        <v>181.5</v>
      </c>
      <c r="C4" s="14" t="n">
        <v>25.65</v>
      </c>
      <c r="D4" s="14" t="n">
        <v>77.14</v>
      </c>
      <c r="E4" s="14" t="n">
        <v>246.5</v>
      </c>
      <c r="F4" s="14" t="n">
        <v>446.04</v>
      </c>
      <c r="G4" s="14" t="n">
        <v>133.25</v>
      </c>
      <c r="H4" s="14" t="n">
        <v>13.35</v>
      </c>
      <c r="I4" s="14" t="n">
        <v>47.37</v>
      </c>
    </row>
    <row r="5" customFormat="false" ht="15" hidden="false" customHeight="true" outlineLevel="0" collapsed="false">
      <c r="A5" s="13" t="n">
        <v>42095</v>
      </c>
      <c r="B5" s="14" t="n">
        <v>182.25</v>
      </c>
      <c r="C5" s="14" t="n">
        <v>25.6</v>
      </c>
      <c r="D5" s="14" t="n">
        <v>86.6</v>
      </c>
      <c r="E5" s="14" t="n">
        <v>276.1</v>
      </c>
      <c r="F5" s="14" t="n">
        <v>488</v>
      </c>
      <c r="G5" s="14" t="n">
        <v>142.5</v>
      </c>
      <c r="H5" s="14" t="n">
        <v>13.79</v>
      </c>
      <c r="I5" s="14" t="n">
        <v>50.14</v>
      </c>
    </row>
    <row r="6" customFormat="false" ht="15" hidden="false" customHeight="true" outlineLevel="0" collapsed="false">
      <c r="A6" s="13" t="n">
        <v>42125</v>
      </c>
      <c r="B6" s="14" t="n">
        <v>184.5</v>
      </c>
      <c r="C6" s="14" t="n">
        <v>24.37</v>
      </c>
      <c r="D6" s="14" t="n">
        <v>84.15</v>
      </c>
      <c r="E6" s="14" t="n">
        <v>268.73</v>
      </c>
      <c r="F6" s="14" t="n">
        <v>448.65</v>
      </c>
      <c r="G6" s="14" t="n">
        <v>140.4</v>
      </c>
      <c r="H6" s="14" t="n">
        <v>12.75</v>
      </c>
      <c r="I6" s="14" t="n">
        <v>43</v>
      </c>
    </row>
    <row r="7" customFormat="false" ht="15" hidden="false" customHeight="true" outlineLevel="0" collapsed="false">
      <c r="A7" s="13" t="n">
        <v>42156</v>
      </c>
      <c r="B7" s="14" t="n">
        <v>179.25</v>
      </c>
      <c r="C7" s="14" t="n">
        <v>23.85</v>
      </c>
      <c r="D7" s="14" t="n">
        <v>88.5</v>
      </c>
      <c r="E7" s="14" t="n">
        <v>248.75</v>
      </c>
      <c r="F7" s="14" t="n">
        <v>517.85</v>
      </c>
      <c r="G7" s="14" t="n">
        <v>150</v>
      </c>
      <c r="H7" s="14" t="n">
        <v>12.95</v>
      </c>
      <c r="I7" s="14" t="n">
        <v>43.16</v>
      </c>
    </row>
    <row r="8" customFormat="false" ht="15" hidden="false" customHeight="true" outlineLevel="0" collapsed="false">
      <c r="A8" s="13" t="n">
        <v>42186</v>
      </c>
      <c r="B8" s="14" t="n">
        <v>163</v>
      </c>
      <c r="C8" s="14" t="n">
        <v>26.93</v>
      </c>
      <c r="D8" s="14" t="n">
        <v>92.8</v>
      </c>
      <c r="E8" s="14" t="n">
        <v>280</v>
      </c>
      <c r="F8" s="14" t="n">
        <v>555.5</v>
      </c>
      <c r="G8" s="14" t="n">
        <v>146.89</v>
      </c>
      <c r="H8" s="14" t="n">
        <v>13.56</v>
      </c>
      <c r="I8" s="14" t="n">
        <v>41.05</v>
      </c>
    </row>
    <row r="9" customFormat="false" ht="15" hidden="false" customHeight="true" outlineLevel="0" collapsed="false">
      <c r="A9" s="13" t="n">
        <v>42217</v>
      </c>
      <c r="B9" s="14" t="n">
        <v>142.36</v>
      </c>
      <c r="C9" s="14" t="n">
        <v>28.85</v>
      </c>
      <c r="D9" s="14" t="n">
        <v>95.19</v>
      </c>
      <c r="E9" s="14" t="n">
        <v>253</v>
      </c>
      <c r="F9" s="14" t="n">
        <v>528</v>
      </c>
      <c r="G9" s="14" t="n">
        <v>137.51</v>
      </c>
      <c r="H9" s="14" t="n">
        <v>13.12</v>
      </c>
      <c r="I9" s="14" t="n">
        <v>37.38</v>
      </c>
    </row>
    <row r="10" customFormat="false" ht="15" hidden="false" customHeight="true" outlineLevel="0" collapsed="false">
      <c r="A10" s="13" t="n">
        <v>42248</v>
      </c>
      <c r="B10" s="14" t="n">
        <v>125</v>
      </c>
      <c r="C10" s="14" t="n">
        <v>29.09</v>
      </c>
      <c r="D10" s="14" t="n">
        <v>89.49</v>
      </c>
      <c r="E10" s="14" t="n">
        <v>228</v>
      </c>
      <c r="F10" s="14" t="n">
        <v>525</v>
      </c>
      <c r="G10" s="14" t="n">
        <v>124.3</v>
      </c>
      <c r="H10" s="14" t="n">
        <v>10.83</v>
      </c>
      <c r="I10" s="14" t="n">
        <v>33.54</v>
      </c>
    </row>
    <row r="11" customFormat="false" ht="15" hidden="false" customHeight="true" outlineLevel="0" collapsed="false">
      <c r="A11" s="13" t="n">
        <v>42278</v>
      </c>
      <c r="B11" s="14" t="n">
        <v>138</v>
      </c>
      <c r="C11" s="14" t="n">
        <v>27.4</v>
      </c>
      <c r="D11" s="14" t="n">
        <v>91.5</v>
      </c>
      <c r="E11" s="14" t="n">
        <v>245</v>
      </c>
      <c r="F11" s="14" t="n">
        <v>539.84</v>
      </c>
      <c r="G11" s="14" t="n">
        <v>125.7</v>
      </c>
      <c r="H11" s="14" t="n">
        <v>11.2</v>
      </c>
      <c r="I11" s="14" t="n">
        <v>38.7</v>
      </c>
    </row>
    <row r="12" customFormat="false" ht="15" hidden="false" customHeight="true" outlineLevel="0" collapsed="false">
      <c r="A12" s="13" t="n">
        <v>42309</v>
      </c>
      <c r="B12" s="14" t="n">
        <v>121.4</v>
      </c>
      <c r="C12" s="14" t="n">
        <v>26.76</v>
      </c>
      <c r="D12" s="14" t="n">
        <v>81.5</v>
      </c>
      <c r="E12" s="14" t="n">
        <v>204.15</v>
      </c>
      <c r="F12" s="14" t="n">
        <v>480.5</v>
      </c>
      <c r="G12" s="14" t="n">
        <v>120.25</v>
      </c>
      <c r="H12" s="14" t="n">
        <v>10.11</v>
      </c>
      <c r="I12" s="14" t="n">
        <v>47.06</v>
      </c>
    </row>
    <row r="13" customFormat="false" ht="15" hidden="false" customHeight="true" outlineLevel="0" collapsed="false">
      <c r="A13" s="13" t="n">
        <v>42339</v>
      </c>
      <c r="B13" s="14" t="n">
        <v>117.3</v>
      </c>
      <c r="C13" s="14" t="n">
        <v>26.61</v>
      </c>
      <c r="D13" s="14" t="n">
        <v>84.24</v>
      </c>
      <c r="E13" s="14" t="n">
        <v>217.95</v>
      </c>
      <c r="F13" s="14" t="n">
        <v>493</v>
      </c>
      <c r="G13" s="14" t="n">
        <v>118</v>
      </c>
      <c r="H13" s="14" t="n">
        <v>10.77</v>
      </c>
      <c r="I13" s="14" t="n">
        <v>64</v>
      </c>
    </row>
    <row r="14" customFormat="false" ht="15" hidden="false" customHeight="true" outlineLevel="0" collapsed="false">
      <c r="A14" s="13" t="n">
        <v>42370</v>
      </c>
      <c r="B14" s="14" t="n">
        <v>109</v>
      </c>
      <c r="C14" s="14" t="n">
        <v>25.3</v>
      </c>
      <c r="D14" s="14" t="n">
        <v>79.76</v>
      </c>
      <c r="E14" s="14" t="n">
        <v>193</v>
      </c>
      <c r="F14" s="14" t="n">
        <v>483.01</v>
      </c>
      <c r="G14" s="14" t="n">
        <v>111.11</v>
      </c>
      <c r="H14" s="14" t="n">
        <v>9.92</v>
      </c>
      <c r="I14" s="14" t="n">
        <v>56.38</v>
      </c>
    </row>
    <row r="15" customFormat="false" ht="15" hidden="false" customHeight="true" outlineLevel="0" collapsed="false">
      <c r="A15" s="13" t="n">
        <v>42401</v>
      </c>
      <c r="B15" s="14" t="n">
        <v>107.31</v>
      </c>
      <c r="C15" s="14" t="n">
        <v>24.34</v>
      </c>
      <c r="D15" s="14" t="n">
        <v>75.38</v>
      </c>
      <c r="E15" s="14" t="n">
        <v>195.6</v>
      </c>
      <c r="F15" s="14" t="n">
        <v>490.6</v>
      </c>
      <c r="G15" s="14" t="n">
        <v>108.6</v>
      </c>
      <c r="H15" s="14" t="n">
        <v>9.57</v>
      </c>
      <c r="I15" s="14" t="n">
        <v>53.28</v>
      </c>
    </row>
    <row r="16" customFormat="false" ht="15" hidden="false" customHeight="true" outlineLevel="0" collapsed="false">
      <c r="A16" s="13" t="n">
        <v>42430</v>
      </c>
      <c r="B16" s="14" t="n">
        <v>114.69</v>
      </c>
      <c r="C16" s="14" t="n">
        <v>24.43</v>
      </c>
      <c r="D16" s="14" t="n">
        <v>69.4</v>
      </c>
      <c r="E16" s="14" t="n">
        <v>206.01</v>
      </c>
      <c r="F16" s="14" t="n">
        <v>537</v>
      </c>
      <c r="G16" s="14" t="n">
        <v>106.36</v>
      </c>
      <c r="H16" s="14" t="n">
        <v>10.33</v>
      </c>
      <c r="I16" s="14" t="n">
        <v>64.53</v>
      </c>
    </row>
    <row r="17" customFormat="false" ht="15" hidden="false" customHeight="true" outlineLevel="0" collapsed="false">
      <c r="A17" s="13" t="n">
        <v>42461</v>
      </c>
      <c r="B17" s="14" t="n">
        <v>131.4</v>
      </c>
      <c r="C17" s="14" t="n">
        <v>24.4</v>
      </c>
      <c r="D17" s="14" t="n">
        <v>69.8</v>
      </c>
      <c r="E17" s="14" t="n">
        <v>211.83</v>
      </c>
      <c r="F17" s="14" t="n">
        <v>552.5</v>
      </c>
      <c r="G17" s="14" t="n">
        <v>107.01</v>
      </c>
      <c r="H17" s="14" t="n">
        <v>11.44</v>
      </c>
      <c r="I17" s="14" t="n">
        <v>69.6</v>
      </c>
    </row>
    <row r="18" customFormat="false" ht="15" hidden="false" customHeight="true" outlineLevel="0" collapsed="false">
      <c r="A18" s="13" t="n">
        <v>42491</v>
      </c>
      <c r="B18" s="14" t="n">
        <v>139.5</v>
      </c>
      <c r="C18" s="14" t="n">
        <v>24.14</v>
      </c>
      <c r="D18" s="14" t="n">
        <v>70.06</v>
      </c>
      <c r="E18" s="14" t="n">
        <v>207</v>
      </c>
      <c r="F18" s="14" t="n">
        <v>594</v>
      </c>
      <c r="G18" s="14" t="n">
        <v>113.75</v>
      </c>
      <c r="H18" s="14" t="n">
        <v>10.55</v>
      </c>
      <c r="I18" s="14" t="n">
        <v>80.81</v>
      </c>
    </row>
    <row r="19" customFormat="false" ht="15" hidden="false" customHeight="true" outlineLevel="0" collapsed="false">
      <c r="A19" s="13" t="n">
        <v>42522</v>
      </c>
      <c r="B19" s="14" t="n">
        <v>138.5</v>
      </c>
      <c r="C19" s="14" t="n">
        <v>24.72</v>
      </c>
      <c r="D19" s="14" t="n">
        <v>64.5</v>
      </c>
      <c r="E19" s="14" t="n">
        <v>218.22</v>
      </c>
      <c r="F19" s="14" t="n">
        <v>647</v>
      </c>
      <c r="G19" s="14" t="n">
        <v>115</v>
      </c>
      <c r="H19" s="14" t="n">
        <v>10.51</v>
      </c>
      <c r="I19" s="14" t="n">
        <v>83.2</v>
      </c>
    </row>
    <row r="20" customFormat="false" ht="15" hidden="false" customHeight="true" outlineLevel="0" collapsed="false">
      <c r="A20" s="13" t="n">
        <v>42552</v>
      </c>
      <c r="B20" s="14" t="n">
        <v>136.85</v>
      </c>
      <c r="C20" s="14" t="n">
        <v>27.34</v>
      </c>
      <c r="D20" s="14" t="n">
        <v>68.6</v>
      </c>
      <c r="E20" s="14" t="n">
        <v>220.01</v>
      </c>
      <c r="F20" s="14" t="n">
        <v>741.5</v>
      </c>
      <c r="G20" s="14" t="n">
        <v>113.8</v>
      </c>
      <c r="H20" s="14" t="n">
        <v>11.1</v>
      </c>
      <c r="I20" s="14" t="n">
        <v>89.26</v>
      </c>
    </row>
    <row r="21" customFormat="false" ht="15" hidden="false" customHeight="true" outlineLevel="0" collapsed="false">
      <c r="A21" s="13" t="n">
        <v>42583</v>
      </c>
      <c r="B21" s="14" t="n">
        <v>140.9</v>
      </c>
      <c r="C21" s="14" t="n">
        <v>30.84</v>
      </c>
      <c r="D21" s="14" t="n">
        <v>67.52</v>
      </c>
      <c r="E21" s="14" t="n">
        <v>209.25</v>
      </c>
      <c r="F21" s="14" t="n">
        <v>693.5</v>
      </c>
      <c r="G21" s="14" t="n">
        <v>110.86</v>
      </c>
      <c r="H21" s="14" t="n">
        <v>12.59</v>
      </c>
      <c r="I21" s="14" t="n">
        <v>88.61</v>
      </c>
    </row>
    <row r="22" customFormat="false" ht="15" hidden="false" customHeight="true" outlineLevel="0" collapsed="false">
      <c r="A22" s="13" t="n">
        <v>42614</v>
      </c>
      <c r="B22" s="14" t="n">
        <v>141.01</v>
      </c>
      <c r="C22" s="14" t="n">
        <v>31.99</v>
      </c>
      <c r="D22" s="14" t="n">
        <v>61.52</v>
      </c>
      <c r="E22" s="14" t="n">
        <v>220.5</v>
      </c>
      <c r="F22" s="14" t="n">
        <v>677</v>
      </c>
      <c r="G22" s="14" t="n">
        <v>103.9</v>
      </c>
      <c r="H22" s="14" t="n">
        <v>19.52</v>
      </c>
      <c r="I22" s="14" t="n">
        <v>87.37</v>
      </c>
    </row>
    <row r="23" customFormat="false" ht="15" hidden="false" customHeight="true" outlineLevel="0" collapsed="false">
      <c r="A23" s="13" t="n">
        <v>42644</v>
      </c>
      <c r="B23" s="14" t="n">
        <v>140.5</v>
      </c>
      <c r="C23" s="14" t="n">
        <v>30.45</v>
      </c>
      <c r="D23" s="14" t="n">
        <v>63.45</v>
      </c>
      <c r="E23" s="14" t="n">
        <v>214.5</v>
      </c>
      <c r="F23" s="14" t="n">
        <v>673</v>
      </c>
      <c r="G23" s="14" t="n">
        <v>104.5</v>
      </c>
      <c r="H23" s="14" t="n">
        <v>24.12</v>
      </c>
      <c r="I23" s="14" t="n">
        <v>90.08</v>
      </c>
    </row>
    <row r="24" customFormat="false" ht="15" hidden="false" customHeight="true" outlineLevel="0" collapsed="false">
      <c r="A24" s="13" t="n">
        <v>42675</v>
      </c>
      <c r="B24" s="14" t="n">
        <v>141</v>
      </c>
      <c r="C24" s="14" t="n">
        <v>33.3</v>
      </c>
      <c r="D24" s="14" t="n">
        <v>64.46</v>
      </c>
      <c r="E24" s="14" t="n">
        <v>222.5</v>
      </c>
      <c r="F24" s="14" t="n">
        <v>733</v>
      </c>
      <c r="G24" s="14" t="n">
        <v>105.1</v>
      </c>
      <c r="H24" s="14" t="n">
        <v>33.93</v>
      </c>
      <c r="I24" s="14" t="n">
        <v>95.96</v>
      </c>
    </row>
    <row r="25" customFormat="false" ht="15" hidden="false" customHeight="true" outlineLevel="0" collapsed="false">
      <c r="A25" s="13" t="n">
        <v>42705</v>
      </c>
      <c r="B25" s="14" t="n">
        <v>165.5</v>
      </c>
      <c r="C25" s="14" t="n">
        <v>38.99</v>
      </c>
      <c r="D25" s="14" t="n">
        <v>68</v>
      </c>
      <c r="E25" s="14" t="n">
        <v>238.11</v>
      </c>
      <c r="F25" s="14" t="n">
        <v>863.9</v>
      </c>
      <c r="G25" s="14" t="n">
        <v>104.4</v>
      </c>
      <c r="H25" s="14" t="n">
        <v>32.13</v>
      </c>
      <c r="I25" s="14" t="n">
        <v>127.46</v>
      </c>
    </row>
    <row r="26" customFormat="false" ht="15" hidden="false" customHeight="true" outlineLevel="0" collapsed="false">
      <c r="A26" s="13" t="n">
        <v>42736</v>
      </c>
      <c r="B26" s="14" t="n">
        <v>160.5</v>
      </c>
      <c r="C26" s="14" t="n">
        <v>38.35</v>
      </c>
      <c r="D26" s="14" t="n">
        <v>71.48</v>
      </c>
      <c r="E26" s="14" t="n">
        <v>243.51</v>
      </c>
      <c r="F26" s="14" t="n">
        <v>839.9</v>
      </c>
      <c r="G26" s="14" t="n">
        <v>115.81</v>
      </c>
      <c r="H26" s="14" t="n">
        <v>31.09</v>
      </c>
      <c r="I26" s="14" t="n">
        <v>118.5</v>
      </c>
    </row>
    <row r="27" customFormat="false" ht="15" hidden="false" customHeight="true" outlineLevel="0" collapsed="false">
      <c r="A27" s="13" t="n">
        <v>42767</v>
      </c>
      <c r="B27" s="14" t="n">
        <v>157</v>
      </c>
      <c r="C27" s="14" t="n">
        <v>37.17</v>
      </c>
      <c r="D27" s="14" t="n">
        <v>68</v>
      </c>
      <c r="E27" s="14" t="n">
        <v>227.21</v>
      </c>
      <c r="F27" s="14" t="n">
        <v>871</v>
      </c>
      <c r="G27" s="14" t="n">
        <v>108</v>
      </c>
      <c r="H27" s="14" t="n">
        <v>30.26</v>
      </c>
      <c r="I27" s="14" t="n">
        <v>123.05</v>
      </c>
    </row>
    <row r="28" customFormat="false" ht="15" hidden="false" customHeight="true" outlineLevel="0" collapsed="false">
      <c r="A28" s="13" t="n">
        <v>42795</v>
      </c>
      <c r="B28" s="14" t="n">
        <v>148.65</v>
      </c>
      <c r="C28" s="14" t="n">
        <v>41.59</v>
      </c>
      <c r="D28" s="14" t="n">
        <v>62.56</v>
      </c>
      <c r="E28" s="14" t="n">
        <v>228</v>
      </c>
      <c r="F28" s="14" t="n">
        <v>835.02</v>
      </c>
      <c r="G28" s="14" t="n">
        <v>103.9</v>
      </c>
      <c r="H28" s="14" t="n">
        <v>31.12</v>
      </c>
      <c r="I28" s="14" t="n">
        <v>139.62</v>
      </c>
    </row>
    <row r="29" customFormat="false" ht="15" hidden="false" customHeight="true" outlineLevel="0" collapsed="false">
      <c r="A29" s="13" t="n">
        <v>42826</v>
      </c>
      <c r="B29" s="14" t="n">
        <v>155</v>
      </c>
      <c r="C29" s="14" t="n">
        <v>46.54</v>
      </c>
      <c r="D29" s="14" t="n">
        <v>59.15</v>
      </c>
      <c r="E29" s="14" t="n">
        <v>216</v>
      </c>
      <c r="F29" s="14" t="n">
        <v>885</v>
      </c>
      <c r="G29" s="14" t="n">
        <v>96</v>
      </c>
      <c r="H29" s="14" t="n">
        <v>39.93</v>
      </c>
      <c r="I29" s="14" t="n">
        <v>145.09</v>
      </c>
    </row>
    <row r="30" customFormat="false" ht="15" hidden="false" customHeight="true" outlineLevel="0" collapsed="false">
      <c r="A30" s="13" t="n">
        <v>42856</v>
      </c>
      <c r="B30" s="14" t="n">
        <v>176.83</v>
      </c>
      <c r="C30" s="14" t="n">
        <v>48.28</v>
      </c>
      <c r="D30" s="14" t="n">
        <v>60.8</v>
      </c>
      <c r="E30" s="14" t="n">
        <v>220.3</v>
      </c>
      <c r="F30" s="14" t="n">
        <v>859.22</v>
      </c>
      <c r="G30" s="14" t="n">
        <v>96.28</v>
      </c>
      <c r="H30" s="14" t="n">
        <v>68.77</v>
      </c>
      <c r="I30" s="14" t="n">
        <v>155.21</v>
      </c>
    </row>
    <row r="31" customFormat="false" ht="15" hidden="false" customHeight="true" outlineLevel="0" collapsed="false">
      <c r="A31" s="13" t="n">
        <v>42887</v>
      </c>
      <c r="B31" s="14" t="n">
        <v>140.69</v>
      </c>
      <c r="C31" s="14" t="n">
        <v>45.96</v>
      </c>
      <c r="D31" s="14" t="n">
        <v>55.15</v>
      </c>
      <c r="E31" s="14" t="n">
        <v>210.75</v>
      </c>
      <c r="F31" s="14" t="n">
        <v>841</v>
      </c>
      <c r="G31" s="14" t="n">
        <v>82.5</v>
      </c>
      <c r="H31" s="14" t="n">
        <v>92.16</v>
      </c>
      <c r="I31" s="14" t="n">
        <v>144.63</v>
      </c>
    </row>
    <row r="32" customFormat="false" ht="15" hidden="false" customHeight="true" outlineLevel="0" collapsed="false">
      <c r="A32" s="13" t="n">
        <v>42917</v>
      </c>
      <c r="B32" s="14" t="n">
        <v>156.26</v>
      </c>
      <c r="C32" s="14" t="n">
        <v>46.54</v>
      </c>
      <c r="D32" s="14" t="n">
        <v>58.11</v>
      </c>
      <c r="E32" s="14" t="n">
        <v>206.58</v>
      </c>
      <c r="F32" s="14" t="n">
        <v>707.85</v>
      </c>
      <c r="G32" s="14" t="n">
        <v>80.27</v>
      </c>
      <c r="H32" s="14" t="n">
        <v>75.98</v>
      </c>
      <c r="I32" s="14" t="n">
        <v>160.7</v>
      </c>
    </row>
    <row r="33" customFormat="false" ht="15" hidden="false" customHeight="true" outlineLevel="0" collapsed="false">
      <c r="A33" s="13" t="n">
        <v>42948</v>
      </c>
      <c r="B33" s="14" t="n">
        <v>141.1</v>
      </c>
      <c r="C33" s="14" t="n">
        <v>43.77</v>
      </c>
      <c r="D33" s="14" t="n">
        <v>57.89</v>
      </c>
      <c r="E33" s="14" t="n">
        <v>193.46</v>
      </c>
      <c r="F33" s="14" t="n">
        <v>597</v>
      </c>
      <c r="G33" s="14" t="n">
        <v>70.86</v>
      </c>
      <c r="H33" s="14" t="n">
        <v>52.49</v>
      </c>
      <c r="I33" s="14" t="n">
        <v>136.36</v>
      </c>
    </row>
    <row r="34" customFormat="false" ht="15" hidden="false" customHeight="true" outlineLevel="0" collapsed="false">
      <c r="A34" s="13" t="n">
        <v>42979</v>
      </c>
      <c r="B34" s="14" t="n">
        <v>148.3</v>
      </c>
      <c r="C34" s="14" t="n">
        <v>44.25</v>
      </c>
      <c r="D34" s="14" t="n">
        <v>62.85</v>
      </c>
      <c r="E34" s="14" t="n">
        <v>206.99</v>
      </c>
      <c r="F34" s="14" t="n">
        <v>565</v>
      </c>
      <c r="G34" s="14" t="n">
        <v>83.14</v>
      </c>
      <c r="H34" s="14" t="n">
        <v>54.17</v>
      </c>
      <c r="I34" s="14" t="n">
        <v>137.74</v>
      </c>
    </row>
    <row r="35" customFormat="false" ht="15" hidden="false" customHeight="true" outlineLevel="0" collapsed="false">
      <c r="A35" s="13" t="n">
        <v>43009</v>
      </c>
      <c r="B35" s="14" t="n">
        <v>143.25</v>
      </c>
      <c r="C35" s="14" t="n">
        <v>38.9</v>
      </c>
      <c r="D35" s="14" t="n">
        <v>65</v>
      </c>
      <c r="E35" s="14" t="n">
        <v>200</v>
      </c>
      <c r="F35" s="14" t="n">
        <v>486</v>
      </c>
      <c r="G35" s="14" t="n">
        <v>80</v>
      </c>
      <c r="H35" s="14" t="n">
        <v>51.27</v>
      </c>
      <c r="I35" s="14" t="n">
        <v>133.15</v>
      </c>
    </row>
    <row r="36" customFormat="false" ht="15" hidden="false" customHeight="true" outlineLevel="0" collapsed="false">
      <c r="A36" s="13" t="n">
        <v>43040</v>
      </c>
      <c r="B36" s="14" t="n">
        <v>155.49</v>
      </c>
      <c r="C36" s="14" t="n">
        <v>39.5</v>
      </c>
      <c r="D36" s="14" t="n">
        <v>65.74</v>
      </c>
      <c r="E36" s="14" t="n">
        <v>204.31</v>
      </c>
      <c r="F36" s="14" t="n">
        <v>492</v>
      </c>
      <c r="G36" s="14" t="n">
        <v>81.07</v>
      </c>
      <c r="H36" s="14" t="n">
        <v>76.76</v>
      </c>
      <c r="I36" s="14" t="n">
        <v>136.82</v>
      </c>
    </row>
    <row r="37" customFormat="false" ht="15" hidden="false" customHeight="true" outlineLevel="0" collapsed="false">
      <c r="A37" s="13" t="n">
        <v>43070</v>
      </c>
      <c r="B37" s="14" t="n">
        <v>162</v>
      </c>
      <c r="C37" s="14" t="n">
        <v>40.09</v>
      </c>
      <c r="D37" s="14" t="n">
        <v>67.89</v>
      </c>
      <c r="E37" s="14" t="n">
        <v>211</v>
      </c>
      <c r="F37" s="14" t="n">
        <v>515.5</v>
      </c>
      <c r="G37" s="14" t="n">
        <v>79</v>
      </c>
      <c r="H37" s="14" t="n">
        <v>74.26</v>
      </c>
      <c r="I37" s="14" t="n">
        <v>133.98</v>
      </c>
    </row>
    <row r="38" customFormat="false" ht="15" hidden="false" customHeight="true" outlineLevel="0" collapsed="false">
      <c r="A38" s="13" t="n">
        <v>43101</v>
      </c>
      <c r="B38" s="14" t="n">
        <v>164.26</v>
      </c>
      <c r="C38" s="14" t="n">
        <v>45.73</v>
      </c>
      <c r="D38" s="14" t="n">
        <v>69.7</v>
      </c>
      <c r="E38" s="14" t="n">
        <v>226.35</v>
      </c>
      <c r="F38" s="14" t="n">
        <v>615.21</v>
      </c>
      <c r="G38" s="14" t="n">
        <v>90.3</v>
      </c>
      <c r="H38" s="14" t="n">
        <v>72.38</v>
      </c>
      <c r="I38" s="14" t="n">
        <v>143.73</v>
      </c>
    </row>
    <row r="39" customFormat="false" ht="15" hidden="false" customHeight="true" outlineLevel="0" collapsed="false">
      <c r="A39" s="13" t="n">
        <v>43132</v>
      </c>
      <c r="B39" s="14" t="n">
        <v>163.97</v>
      </c>
      <c r="C39" s="14" t="n">
        <v>44.54</v>
      </c>
      <c r="D39" s="14" t="n">
        <v>69.29</v>
      </c>
      <c r="E39" s="14" t="n">
        <v>218</v>
      </c>
      <c r="F39" s="14" t="n">
        <v>600.75</v>
      </c>
      <c r="G39" s="14" t="n">
        <v>88.7</v>
      </c>
      <c r="H39" s="14" t="n">
        <v>75.18</v>
      </c>
      <c r="I39" s="14" t="n">
        <v>134.07</v>
      </c>
    </row>
    <row r="40" customFormat="false" ht="15" hidden="false" customHeight="true" outlineLevel="0" collapsed="false">
      <c r="A40" s="13" t="n">
        <v>43160</v>
      </c>
      <c r="B40" s="14" t="n">
        <v>173.98</v>
      </c>
      <c r="C40" s="14" t="n">
        <v>47.16</v>
      </c>
      <c r="D40" s="14" t="n">
        <v>69.09</v>
      </c>
      <c r="E40" s="14" t="n">
        <v>220.13</v>
      </c>
      <c r="F40" s="14" t="n">
        <v>689.62</v>
      </c>
      <c r="G40" s="14" t="n">
        <v>93.75</v>
      </c>
      <c r="H40" s="14" t="n">
        <v>102.98</v>
      </c>
      <c r="I40" s="14" t="n">
        <v>136.73</v>
      </c>
    </row>
    <row r="41" customFormat="false" ht="15" hidden="false" customHeight="true" outlineLevel="0" collapsed="false">
      <c r="A41" s="13" t="n">
        <v>43191</v>
      </c>
      <c r="B41" s="14" t="n">
        <v>166.73</v>
      </c>
      <c r="C41" s="14" t="n">
        <v>46.92</v>
      </c>
      <c r="D41" s="14" t="n">
        <v>72.2</v>
      </c>
      <c r="E41" s="14" t="n">
        <v>208.8</v>
      </c>
      <c r="F41" s="14" t="n">
        <v>656</v>
      </c>
      <c r="G41" s="14" t="n">
        <v>99.65</v>
      </c>
      <c r="H41" s="14" t="n">
        <v>101.33</v>
      </c>
      <c r="I41" s="14" t="n">
        <v>140.95</v>
      </c>
    </row>
    <row r="42" customFormat="false" ht="15" hidden="false" customHeight="true" outlineLevel="0" collapsed="false">
      <c r="A42" s="13" t="n">
        <v>43221</v>
      </c>
      <c r="B42" s="14" t="n">
        <v>162.89</v>
      </c>
      <c r="C42" s="14" t="n">
        <v>44.54</v>
      </c>
      <c r="D42" s="14" t="n">
        <v>74.47</v>
      </c>
      <c r="E42" s="14" t="n">
        <v>203.89</v>
      </c>
      <c r="F42" s="14" t="n">
        <v>547</v>
      </c>
      <c r="G42" s="14" t="n">
        <v>98.1</v>
      </c>
      <c r="H42" s="14" t="n">
        <v>106.92</v>
      </c>
      <c r="I42" s="14" t="n">
        <v>138.67</v>
      </c>
    </row>
    <row r="43" customFormat="false" ht="15" hidden="false" customHeight="true" outlineLevel="0" collapsed="false">
      <c r="A43" s="13" t="n">
        <v>43252</v>
      </c>
      <c r="B43" s="14" t="n">
        <v>155.62</v>
      </c>
      <c r="C43" s="14" t="n">
        <v>48.54</v>
      </c>
      <c r="D43" s="14" t="n">
        <v>74.91</v>
      </c>
      <c r="E43" s="14" t="n">
        <v>197.77</v>
      </c>
      <c r="F43" s="14" t="n">
        <v>507.93</v>
      </c>
      <c r="G43" s="14" t="n">
        <v>98.89</v>
      </c>
      <c r="H43" s="14" t="n">
        <v>115.05</v>
      </c>
      <c r="I43" s="14" t="n">
        <v>138.31</v>
      </c>
    </row>
    <row r="44" customFormat="false" ht="15" hidden="false" customHeight="true" outlineLevel="0" collapsed="false">
      <c r="A44" s="13" t="n">
        <v>43282</v>
      </c>
      <c r="B44" s="14" t="n">
        <v>150.75</v>
      </c>
      <c r="C44" s="14" t="n">
        <v>53.28</v>
      </c>
      <c r="D44" s="14" t="n">
        <v>79</v>
      </c>
      <c r="E44" s="14" t="n">
        <v>207</v>
      </c>
      <c r="F44" s="14" t="n">
        <v>550.98</v>
      </c>
      <c r="G44" s="14" t="n">
        <v>99.56</v>
      </c>
      <c r="H44" s="14" t="n">
        <v>130.07</v>
      </c>
      <c r="I44" s="14" t="n">
        <v>133.79</v>
      </c>
    </row>
    <row r="45" customFormat="false" ht="15" hidden="false" customHeight="true" outlineLevel="0" collapsed="false">
      <c r="A45" s="13" t="n">
        <v>43313</v>
      </c>
      <c r="B45" s="14" t="n">
        <v>152.02</v>
      </c>
      <c r="C45" s="14" t="n">
        <v>55.62</v>
      </c>
      <c r="D45" s="14" t="n">
        <v>78.99</v>
      </c>
      <c r="E45" s="14" t="n">
        <v>200</v>
      </c>
      <c r="F45" s="14" t="n">
        <v>540.78</v>
      </c>
      <c r="G45" s="14" t="n">
        <v>97.84</v>
      </c>
      <c r="H45" s="14" t="n">
        <v>112.64</v>
      </c>
      <c r="I45" s="14" t="n">
        <v>140.95</v>
      </c>
    </row>
    <row r="46" customFormat="false" ht="15" hidden="false" customHeight="true" outlineLevel="0" collapsed="false">
      <c r="A46" s="13" t="n">
        <v>43344</v>
      </c>
      <c r="B46" s="14" t="n">
        <v>153</v>
      </c>
      <c r="C46" s="14" t="n">
        <v>58.15</v>
      </c>
      <c r="D46" s="14" t="n">
        <v>75.6</v>
      </c>
      <c r="E46" s="14" t="n">
        <v>199.02</v>
      </c>
      <c r="F46" s="14" t="n">
        <v>514</v>
      </c>
      <c r="G46" s="14" t="n">
        <v>97.75</v>
      </c>
      <c r="H46" s="14" t="n">
        <v>118.09</v>
      </c>
      <c r="I46" s="14" t="n">
        <v>143.25</v>
      </c>
    </row>
    <row r="47" customFormat="false" ht="15" hidden="false" customHeight="true" outlineLevel="0" collapsed="false">
      <c r="A47" s="13" t="n">
        <v>43374</v>
      </c>
      <c r="B47" s="14" t="n">
        <v>158.01</v>
      </c>
      <c r="C47" s="14" t="n">
        <v>65.27</v>
      </c>
      <c r="D47" s="14" t="n">
        <v>80.7</v>
      </c>
      <c r="E47" s="14" t="n">
        <v>197</v>
      </c>
      <c r="F47" s="14" t="n">
        <v>495</v>
      </c>
      <c r="G47" s="14" t="n">
        <v>98.5</v>
      </c>
      <c r="H47" s="14" t="n">
        <v>113.05</v>
      </c>
      <c r="I47" s="14" t="n">
        <v>148.99</v>
      </c>
    </row>
    <row r="48" customFormat="false" ht="15" hidden="false" customHeight="true" outlineLevel="0" collapsed="false">
      <c r="A48" s="13" t="n">
        <v>43405</v>
      </c>
      <c r="B48" s="14" t="n">
        <v>147.54</v>
      </c>
      <c r="C48" s="14" t="n">
        <v>64.28</v>
      </c>
      <c r="D48" s="14" t="n">
        <v>76.37</v>
      </c>
      <c r="E48" s="14" t="n">
        <v>206.1</v>
      </c>
      <c r="F48" s="14" t="n">
        <v>493.92</v>
      </c>
      <c r="G48" s="14" t="n">
        <v>98.75</v>
      </c>
      <c r="H48" s="14" t="n">
        <v>99.72</v>
      </c>
      <c r="I48" s="14" t="n">
        <v>140.56</v>
      </c>
    </row>
    <row r="49" customFormat="false" ht="15" hidden="false" customHeight="true" outlineLevel="0" collapsed="false">
      <c r="A49" s="13" t="n">
        <v>43435</v>
      </c>
      <c r="B49" s="14" t="n">
        <v>128.05</v>
      </c>
      <c r="C49" s="14" t="n">
        <v>59.16</v>
      </c>
      <c r="D49" s="14" t="n">
        <v>69.64</v>
      </c>
      <c r="E49" s="14" t="n">
        <v>194</v>
      </c>
      <c r="F49" s="14" t="n">
        <v>434.67</v>
      </c>
      <c r="G49" s="14" t="n">
        <v>93</v>
      </c>
      <c r="H49" s="14" t="n">
        <v>92.09</v>
      </c>
      <c r="I49" s="14" t="n">
        <v>121.33</v>
      </c>
    </row>
    <row r="50" customFormat="false" ht="15" hidden="false" customHeight="true" outlineLevel="0" collapsed="false">
      <c r="A50" s="13" t="n">
        <v>43466</v>
      </c>
      <c r="B50" s="14" t="n">
        <v>150.44</v>
      </c>
      <c r="C50" s="14" t="n">
        <v>59.39</v>
      </c>
      <c r="D50" s="14" t="n">
        <v>75.85</v>
      </c>
      <c r="E50" s="14" t="n">
        <v>208.34</v>
      </c>
      <c r="F50" s="14" t="n">
        <v>469.27</v>
      </c>
      <c r="G50" s="14" t="n">
        <v>106.5</v>
      </c>
      <c r="H50" s="14" t="n">
        <v>93.26</v>
      </c>
      <c r="I50" s="14" t="n">
        <v>130.3</v>
      </c>
    </row>
    <row r="51" customFormat="false" ht="15" hidden="false" customHeight="true" outlineLevel="0" collapsed="false">
      <c r="A51" s="13" t="n">
        <v>43497</v>
      </c>
      <c r="B51" s="14" t="n">
        <v>149.49</v>
      </c>
      <c r="C51" s="14" t="n">
        <v>63.37</v>
      </c>
      <c r="D51" s="14" t="n">
        <v>73.49</v>
      </c>
      <c r="E51" s="14" t="n">
        <v>205.13</v>
      </c>
      <c r="F51" s="14" t="n">
        <v>466.74</v>
      </c>
      <c r="G51" s="14" t="n">
        <v>107.14</v>
      </c>
      <c r="H51" s="14" t="n">
        <v>93.66</v>
      </c>
      <c r="I51" s="14" t="n">
        <v>131.53</v>
      </c>
    </row>
    <row r="52" customFormat="false" ht="15" hidden="false" customHeight="true" outlineLevel="0" collapsed="false">
      <c r="A52" s="13" t="n">
        <v>43525</v>
      </c>
      <c r="B52" s="14" t="n">
        <v>147.65</v>
      </c>
      <c r="C52" s="14" t="n">
        <v>64.03</v>
      </c>
      <c r="D52" s="14" t="n">
        <v>71.52</v>
      </c>
      <c r="E52" s="14" t="n">
        <v>196.5</v>
      </c>
      <c r="F52" s="14" t="n">
        <v>428.24</v>
      </c>
      <c r="G52" s="14" t="n">
        <v>104.5</v>
      </c>
      <c r="H52" s="14" t="n">
        <v>96.82</v>
      </c>
      <c r="I52" s="14" t="n">
        <v>125.25</v>
      </c>
    </row>
    <row r="53" customFormat="false" ht="15" hidden="false" customHeight="true" outlineLevel="0" collapsed="false">
      <c r="A53" s="13" t="n">
        <v>43556</v>
      </c>
      <c r="B53" s="14" t="n">
        <v>140.5</v>
      </c>
      <c r="C53" s="14" t="n">
        <v>62.07</v>
      </c>
      <c r="D53" s="14" t="n">
        <v>69.5</v>
      </c>
      <c r="E53" s="14" t="n">
        <v>190</v>
      </c>
      <c r="F53" s="14" t="n">
        <v>385.35</v>
      </c>
      <c r="G53" s="14" t="n">
        <v>104</v>
      </c>
      <c r="H53" s="14" t="n">
        <v>96.89</v>
      </c>
      <c r="I53" s="14" t="n">
        <v>117.78</v>
      </c>
    </row>
    <row r="54" customFormat="false" ht="15" hidden="false" customHeight="true" outlineLevel="0" collapsed="false">
      <c r="A54" s="13" t="n">
        <v>43586</v>
      </c>
      <c r="B54" s="14" t="n">
        <v>136.51</v>
      </c>
      <c r="C54" s="14" t="n">
        <v>67.37</v>
      </c>
      <c r="D54" s="14" t="n">
        <v>69</v>
      </c>
      <c r="E54" s="14" t="n">
        <v>176.1</v>
      </c>
      <c r="F54" s="14" t="n">
        <v>423.81</v>
      </c>
      <c r="G54" s="14" t="n">
        <v>93</v>
      </c>
      <c r="H54" s="14" t="n">
        <v>96.08</v>
      </c>
      <c r="I54" s="14" t="n">
        <v>116.16</v>
      </c>
    </row>
    <row r="55" customFormat="false" ht="15" hidden="false" customHeight="true" outlineLevel="0" collapsed="false">
      <c r="A55" s="13" t="n">
        <v>43617</v>
      </c>
      <c r="B55" s="14" t="n">
        <v>131.49</v>
      </c>
      <c r="C55" s="14" t="n">
        <v>62.64</v>
      </c>
      <c r="D55" s="14" t="n">
        <v>63.67</v>
      </c>
      <c r="E55" s="14" t="n">
        <v>174.45</v>
      </c>
      <c r="F55" s="14" t="n">
        <v>377.5</v>
      </c>
      <c r="G55" s="14" t="n">
        <v>86.52</v>
      </c>
      <c r="H55" s="14" t="n">
        <v>88.5</v>
      </c>
      <c r="I55" s="14" t="n">
        <v>103.54</v>
      </c>
    </row>
    <row r="56" customFormat="false" ht="15" hidden="false" customHeight="true" outlineLevel="0" collapsed="false">
      <c r="A56" s="13" t="n">
        <v>43647</v>
      </c>
      <c r="B56" s="14" t="n">
        <v>126.75</v>
      </c>
      <c r="C56" s="14" t="n">
        <v>58.92</v>
      </c>
      <c r="D56" s="14" t="n">
        <v>64.1</v>
      </c>
      <c r="E56" s="14" t="n">
        <v>174.56</v>
      </c>
      <c r="F56" s="14" t="n">
        <v>379</v>
      </c>
      <c r="G56" s="14" t="n">
        <v>95.05</v>
      </c>
      <c r="H56" s="14" t="n">
        <v>78.52</v>
      </c>
      <c r="I56" s="14" t="n">
        <v>94.95</v>
      </c>
    </row>
    <row r="57" customFormat="false" ht="15" hidden="false" customHeight="true" outlineLevel="0" collapsed="false">
      <c r="A57" s="13" t="n">
        <v>43678</v>
      </c>
      <c r="B57" s="14" t="n">
        <v>104.56</v>
      </c>
      <c r="C57" s="14" t="n">
        <v>54.18</v>
      </c>
      <c r="D57" s="14" t="n">
        <v>65.8</v>
      </c>
      <c r="E57" s="14" t="n">
        <v>168.51</v>
      </c>
      <c r="F57" s="14" t="n">
        <v>350.03</v>
      </c>
      <c r="G57" s="14" t="n">
        <v>91.31</v>
      </c>
      <c r="H57" s="14" t="n">
        <v>85.64</v>
      </c>
      <c r="I57" s="14" t="n">
        <v>84.6</v>
      </c>
    </row>
    <row r="58" customFormat="false" ht="15" hidden="false" customHeight="true" outlineLevel="0" collapsed="false">
      <c r="A58" s="13" t="n">
        <v>43709</v>
      </c>
      <c r="B58" s="14" t="n">
        <v>123.99</v>
      </c>
      <c r="C58" s="14" t="n">
        <v>51.96</v>
      </c>
      <c r="D58" s="14" t="n">
        <v>68</v>
      </c>
      <c r="E58" s="14" t="n">
        <v>171</v>
      </c>
      <c r="F58" s="14" t="n">
        <v>341.89</v>
      </c>
      <c r="G58" s="14" t="n">
        <v>93.45</v>
      </c>
      <c r="H58" s="14" t="n">
        <v>79.13</v>
      </c>
      <c r="I58" s="14" t="n">
        <v>90.91</v>
      </c>
    </row>
    <row r="59" customFormat="false" ht="15" hidden="false" customHeight="true" outlineLevel="0" collapsed="false">
      <c r="A59" s="13" t="n">
        <v>43739</v>
      </c>
      <c r="B59" s="14" t="n">
        <v>128.55</v>
      </c>
      <c r="C59" s="14" t="n">
        <v>56.06</v>
      </c>
      <c r="D59" s="14" t="n">
        <v>71.34</v>
      </c>
      <c r="E59" s="14" t="n">
        <v>174.9</v>
      </c>
      <c r="F59" s="14" t="n">
        <v>350</v>
      </c>
      <c r="G59" s="14" t="n">
        <v>94</v>
      </c>
      <c r="H59" s="14" t="n">
        <v>80.74</v>
      </c>
      <c r="I59" s="14" t="n">
        <v>121.86</v>
      </c>
    </row>
    <row r="60" customFormat="false" ht="15" hidden="false" customHeight="true" outlineLevel="0" collapsed="false">
      <c r="A60" s="13" t="n">
        <v>43770</v>
      </c>
      <c r="B60" s="14" t="n">
        <v>131.75</v>
      </c>
      <c r="C60" s="14" t="n">
        <v>62.54</v>
      </c>
      <c r="D60" s="14" t="n">
        <v>68.98</v>
      </c>
      <c r="E60" s="14" t="n">
        <v>199</v>
      </c>
      <c r="F60" s="14" t="n">
        <v>420.29</v>
      </c>
      <c r="G60" s="14" t="n">
        <v>106.01</v>
      </c>
      <c r="H60" s="14" t="n">
        <v>80.74</v>
      </c>
      <c r="I60" s="14" t="n">
        <v>135.67</v>
      </c>
    </row>
    <row r="61" customFormat="false" ht="15" hidden="false" customHeight="true" outlineLevel="0" collapsed="false">
      <c r="A61" s="13" t="n">
        <v>43800</v>
      </c>
      <c r="B61" s="14" t="n">
        <v>142.2</v>
      </c>
      <c r="C61" s="14" t="n">
        <v>68.28</v>
      </c>
      <c r="D61" s="14" t="n">
        <v>73</v>
      </c>
      <c r="E61" s="14" t="n">
        <v>211</v>
      </c>
      <c r="F61" s="14" t="n">
        <v>426.26</v>
      </c>
      <c r="G61" s="14" t="n">
        <v>101.54</v>
      </c>
      <c r="H61" s="14" t="n">
        <v>96.49</v>
      </c>
      <c r="I61" s="14" t="n">
        <v>147.22</v>
      </c>
    </row>
    <row r="62" customFormat="false" ht="15" hidden="false" customHeight="true" outlineLevel="0" collapsed="false">
      <c r="A62" s="13" t="n">
        <v>43831</v>
      </c>
      <c r="B62" s="14" t="n">
        <v>137.98</v>
      </c>
      <c r="C62" s="14" t="n">
        <v>74.02</v>
      </c>
      <c r="D62" s="14" t="n">
        <v>67.67</v>
      </c>
      <c r="E62" s="14" t="n">
        <v>211</v>
      </c>
      <c r="F62" s="14" t="n">
        <v>476</v>
      </c>
      <c r="G62" s="14" t="n">
        <v>105.14</v>
      </c>
      <c r="H62" s="14" t="n">
        <v>95.27</v>
      </c>
      <c r="I62" s="14" t="n">
        <v>151</v>
      </c>
    </row>
    <row r="63" customFormat="false" ht="15" hidden="false" customHeight="true" outlineLevel="0" collapsed="false">
      <c r="A63" s="13" t="n">
        <v>43862</v>
      </c>
      <c r="B63" s="14" t="n">
        <v>117.62</v>
      </c>
      <c r="C63" s="14" t="n">
        <v>71.79</v>
      </c>
      <c r="D63" s="14" t="n">
        <v>63.15</v>
      </c>
      <c r="E63" s="14" t="n">
        <v>198.9</v>
      </c>
      <c r="F63" s="14" t="n">
        <v>489.09</v>
      </c>
      <c r="G63" s="14" t="n">
        <v>103.4</v>
      </c>
      <c r="H63" s="14" t="n">
        <v>103.74</v>
      </c>
      <c r="I63" s="14" t="n">
        <v>134.44</v>
      </c>
    </row>
    <row r="64" customFormat="false" ht="15" hidden="false" customHeight="true" outlineLevel="0" collapsed="false">
      <c r="A64" s="13" t="n">
        <v>43891</v>
      </c>
      <c r="B64" s="14" t="n">
        <v>77.09</v>
      </c>
      <c r="C64" s="14" t="n">
        <v>46.71</v>
      </c>
      <c r="D64" s="14" t="n">
        <v>57.51</v>
      </c>
      <c r="E64" s="14" t="n">
        <v>149.5</v>
      </c>
      <c r="F64" s="14" t="n">
        <v>369</v>
      </c>
      <c r="G64" s="14" t="n">
        <v>93.05</v>
      </c>
      <c r="H64" s="14" t="n">
        <v>58.58</v>
      </c>
      <c r="I64" s="14" t="n">
        <v>99.19</v>
      </c>
    </row>
    <row r="65" customFormat="false" ht="15" hidden="false" customHeight="true" outlineLevel="0" collapsed="false">
      <c r="A65" s="13" t="n">
        <v>43922</v>
      </c>
      <c r="B65" s="14" t="n">
        <v>105.36</v>
      </c>
      <c r="C65" s="14" t="n">
        <v>47.08</v>
      </c>
      <c r="D65" s="14" t="n">
        <v>61.9</v>
      </c>
      <c r="E65" s="14" t="n">
        <v>163</v>
      </c>
      <c r="F65" s="14" t="n">
        <v>469.01</v>
      </c>
      <c r="G65" s="14" t="n">
        <v>111.8</v>
      </c>
      <c r="H65" s="14" t="n">
        <v>48.94</v>
      </c>
      <c r="I65" s="14" t="n">
        <v>130.28</v>
      </c>
    </row>
    <row r="66" customFormat="false" ht="15" hidden="false" customHeight="true" outlineLevel="0" collapsed="false">
      <c r="A66" s="13" t="n">
        <v>43952</v>
      </c>
      <c r="B66" s="14" t="n">
        <v>115</v>
      </c>
      <c r="C66" s="14" t="n">
        <v>44.56</v>
      </c>
      <c r="D66" s="14" t="n">
        <v>60.2</v>
      </c>
      <c r="E66" s="14" t="n">
        <v>151</v>
      </c>
      <c r="F66" s="14" t="n">
        <v>457.1</v>
      </c>
      <c r="G66" s="14" t="n">
        <v>108.9</v>
      </c>
      <c r="H66" s="14" t="n">
        <v>66.27</v>
      </c>
      <c r="I66" s="14" t="n">
        <v>137.78</v>
      </c>
    </row>
    <row r="67" customFormat="false" ht="15" hidden="false" customHeight="true" outlineLevel="0" collapsed="false">
      <c r="A67" s="13" t="n">
        <v>43983</v>
      </c>
      <c r="B67" s="14" t="n">
        <v>111.5</v>
      </c>
      <c r="C67" s="14" t="n">
        <v>49.56</v>
      </c>
      <c r="D67" s="14" t="n">
        <v>60.39</v>
      </c>
      <c r="E67" s="14" t="n">
        <v>161.5</v>
      </c>
      <c r="F67" s="14" t="n">
        <v>462.01</v>
      </c>
      <c r="G67" s="14" t="n">
        <v>110.05</v>
      </c>
      <c r="H67" s="14" t="n">
        <v>74.5</v>
      </c>
      <c r="I67" s="14" t="n">
        <v>138.32</v>
      </c>
    </row>
    <row r="68" customFormat="false" ht="15" hidden="false" customHeight="true" outlineLevel="0" collapsed="false">
      <c r="A68" s="13" t="n">
        <v>44013</v>
      </c>
      <c r="B68" s="14" t="n">
        <v>114.5</v>
      </c>
      <c r="C68" s="14" t="n">
        <v>60.87</v>
      </c>
      <c r="D68" s="14" t="n">
        <v>66.8</v>
      </c>
      <c r="E68" s="14" t="n">
        <v>177.5</v>
      </c>
      <c r="F68" s="14" t="n">
        <v>582.01</v>
      </c>
      <c r="G68" s="14" t="n">
        <v>110.35</v>
      </c>
      <c r="H68" s="14" t="n">
        <v>87.22</v>
      </c>
      <c r="I68" s="14" t="n">
        <v>153.33</v>
      </c>
    </row>
    <row r="69" customFormat="false" ht="15" hidden="false" customHeight="true" outlineLevel="0" collapsed="false">
      <c r="A69" s="13" t="n">
        <v>44044</v>
      </c>
      <c r="B69" s="14" t="n">
        <v>114.97</v>
      </c>
      <c r="C69" s="14" t="n">
        <v>64.97</v>
      </c>
      <c r="D69" s="14" t="n">
        <v>63.3</v>
      </c>
      <c r="E69" s="14" t="n">
        <v>170.99</v>
      </c>
      <c r="F69" s="14" t="n">
        <v>614</v>
      </c>
      <c r="G69" s="14" t="n">
        <v>108</v>
      </c>
      <c r="H69" s="14" t="n">
        <v>105.78</v>
      </c>
      <c r="I69" s="14" t="n">
        <v>160.44</v>
      </c>
    </row>
    <row r="70" customFormat="false" ht="15" hidden="false" customHeight="true" outlineLevel="0" collapsed="false">
      <c r="A70" s="13" t="n">
        <v>44075</v>
      </c>
      <c r="B70" s="14" t="n">
        <v>97.63</v>
      </c>
      <c r="C70" s="14" t="n">
        <v>65.26</v>
      </c>
      <c r="D70" s="14" t="n">
        <v>61.1</v>
      </c>
      <c r="E70" s="14" t="n">
        <v>174.01</v>
      </c>
      <c r="F70" s="14" t="n">
        <v>648</v>
      </c>
      <c r="G70" s="14" t="n">
        <v>108</v>
      </c>
      <c r="H70" s="14" t="n">
        <v>101.18</v>
      </c>
      <c r="I70" s="14" t="n">
        <v>152.78</v>
      </c>
    </row>
    <row r="71" customFormat="false" ht="15" hidden="false" customHeight="true" outlineLevel="0" collapsed="false">
      <c r="A71" s="13" t="n">
        <v>44105</v>
      </c>
      <c r="B71" s="14" t="n">
        <v>92.8</v>
      </c>
      <c r="C71" s="14" t="n">
        <v>68.42</v>
      </c>
      <c r="D71" s="14" t="n">
        <v>64.5</v>
      </c>
      <c r="E71" s="14" t="n">
        <v>165.51</v>
      </c>
      <c r="F71" s="14" t="n">
        <v>673</v>
      </c>
      <c r="G71" s="14" t="n">
        <v>105.98</v>
      </c>
      <c r="H71" s="14" t="n">
        <v>122.31</v>
      </c>
      <c r="I71" s="14" t="n">
        <v>138.73</v>
      </c>
    </row>
    <row r="72" customFormat="false" ht="15" hidden="false" customHeight="true" outlineLevel="0" collapsed="false">
      <c r="A72" s="13" t="n">
        <v>44136</v>
      </c>
      <c r="B72" s="14" t="n">
        <v>99</v>
      </c>
      <c r="C72" s="14" t="n">
        <v>74.94</v>
      </c>
      <c r="D72" s="14" t="n">
        <v>60.61</v>
      </c>
      <c r="E72" s="14" t="n">
        <v>176.06</v>
      </c>
      <c r="F72" s="14" t="n">
        <v>654.35</v>
      </c>
      <c r="G72" s="14" t="n">
        <v>103.25</v>
      </c>
      <c r="H72" s="14" t="n">
        <v>119.62</v>
      </c>
      <c r="I72" s="14" t="n">
        <v>150.22</v>
      </c>
    </row>
    <row r="73" customFormat="false" ht="15" hidden="false" customHeight="true" outlineLevel="0" collapsed="false">
      <c r="A73" s="13" t="n">
        <v>44166</v>
      </c>
      <c r="B73" s="14" t="n">
        <v>103.97</v>
      </c>
      <c r="C73" s="14" t="n">
        <v>83</v>
      </c>
      <c r="D73" s="14" t="n">
        <v>63.2</v>
      </c>
      <c r="E73" s="14" t="n">
        <v>187.7</v>
      </c>
      <c r="F73" s="14" t="n">
        <v>696</v>
      </c>
      <c r="G73" s="14" t="n">
        <v>108.85</v>
      </c>
      <c r="H73" s="14" t="n">
        <v>139.61</v>
      </c>
      <c r="I73" s="14" t="n">
        <v>149.89</v>
      </c>
    </row>
    <row r="74" customFormat="false" ht="15" hidden="false" customHeight="true" outlineLevel="0" collapsed="false">
      <c r="A74" s="13" t="n">
        <v>44197</v>
      </c>
      <c r="B74" s="14" t="n">
        <v>106.75</v>
      </c>
      <c r="C74" s="14" t="n">
        <v>88.58</v>
      </c>
      <c r="D74" s="14" t="n">
        <v>64.99</v>
      </c>
      <c r="E74" s="14" t="n">
        <v>192.57</v>
      </c>
      <c r="F74" s="14" t="n">
        <v>727.29</v>
      </c>
      <c r="G74" s="14" t="n">
        <v>110.11</v>
      </c>
      <c r="H74" s="14" t="n">
        <v>144.55</v>
      </c>
      <c r="I74" s="14" t="n">
        <v>156.67</v>
      </c>
    </row>
    <row r="75" customFormat="false" ht="15" hidden="false" customHeight="true" outlineLevel="0" collapsed="false">
      <c r="A75" s="13" t="n">
        <v>44228</v>
      </c>
      <c r="B75" s="14" t="n">
        <v>104.72</v>
      </c>
      <c r="C75" s="14" t="n">
        <v>85.85</v>
      </c>
      <c r="D75" s="14" t="n">
        <v>65.16</v>
      </c>
      <c r="E75" s="14" t="n">
        <v>183.1</v>
      </c>
      <c r="F75" s="14" t="n">
        <v>884.73</v>
      </c>
      <c r="G75" s="14" t="n">
        <v>110.75</v>
      </c>
      <c r="H75" s="14" t="n">
        <v>143.69</v>
      </c>
      <c r="I75" s="14" t="n">
        <v>177.78</v>
      </c>
    </row>
    <row r="76" customFormat="false" ht="15" hidden="false" customHeight="true" outlineLevel="0" collapsed="false">
      <c r="A76" s="13" t="n">
        <v>44256</v>
      </c>
      <c r="B76" s="14" t="n">
        <v>101.5</v>
      </c>
      <c r="C76" s="14" t="n">
        <v>90.04</v>
      </c>
      <c r="D76" s="14" t="n">
        <v>62.45</v>
      </c>
      <c r="E76" s="14" t="n">
        <v>172</v>
      </c>
      <c r="F76" s="14" t="n">
        <v>819.5</v>
      </c>
      <c r="G76" s="14" t="n">
        <v>104</v>
      </c>
      <c r="H76" s="14" t="n">
        <v>137.31</v>
      </c>
      <c r="I76" s="14" t="n">
        <v>171.11</v>
      </c>
    </row>
    <row r="77" customFormat="false" ht="15" hidden="false" customHeight="true" outlineLevel="0" collapsed="false">
      <c r="A77" s="13" t="n">
        <v>44287</v>
      </c>
      <c r="B77" s="14" t="n">
        <v>91</v>
      </c>
      <c r="C77" s="14" t="n">
        <v>85.38</v>
      </c>
      <c r="D77" s="14" t="n">
        <v>67</v>
      </c>
      <c r="E77" s="14" t="n">
        <v>163</v>
      </c>
      <c r="F77" s="14" t="n">
        <v>835.01</v>
      </c>
      <c r="G77" s="14" t="n">
        <v>105</v>
      </c>
      <c r="H77" s="14" t="n">
        <v>122.69</v>
      </c>
      <c r="I77" s="14" t="n">
        <v>168.33</v>
      </c>
    </row>
    <row r="78" customFormat="false" ht="15" hidden="false" customHeight="true" outlineLevel="0" collapsed="false">
      <c r="A78" s="13" t="n">
        <v>44317</v>
      </c>
      <c r="B78" s="14" t="n">
        <v>97.4</v>
      </c>
      <c r="C78" s="14" t="n">
        <v>90.13</v>
      </c>
      <c r="D78" s="14" t="n">
        <v>71.25</v>
      </c>
      <c r="E78" s="14" t="n">
        <v>166</v>
      </c>
      <c r="F78" s="14" t="n">
        <v>932</v>
      </c>
      <c r="G78" s="14" t="n">
        <v>107.39</v>
      </c>
      <c r="H78" s="14" t="n">
        <v>131.92</v>
      </c>
      <c r="I78" s="14" t="n">
        <v>173.33</v>
      </c>
    </row>
    <row r="79" customFormat="false" ht="15" hidden="false" customHeight="true" outlineLevel="0" collapsed="false">
      <c r="A79" s="13" t="n">
        <v>44348</v>
      </c>
      <c r="B79" s="14" t="n">
        <v>95.25</v>
      </c>
      <c r="C79" s="14" t="n">
        <v>90.97</v>
      </c>
      <c r="D79" s="14" t="n">
        <v>70.15</v>
      </c>
      <c r="E79" s="14" t="n">
        <v>161</v>
      </c>
      <c r="F79" s="14" t="n">
        <v>864.99</v>
      </c>
      <c r="G79" s="14" t="n">
        <v>106.03</v>
      </c>
      <c r="H79" s="14" t="n">
        <v>129.85</v>
      </c>
      <c r="I79" s="14" t="n">
        <v>169.44</v>
      </c>
    </row>
    <row r="80" customFormat="false" ht="15" hidden="false" customHeight="true" outlineLevel="0" collapsed="false">
      <c r="A80" s="13" t="n">
        <v>44378</v>
      </c>
      <c r="B80" s="14" t="n">
        <v>93.39</v>
      </c>
      <c r="C80" s="14" t="n">
        <v>98.81</v>
      </c>
      <c r="D80" s="14" t="n">
        <v>76.1</v>
      </c>
      <c r="E80" s="14" t="n">
        <v>161.73</v>
      </c>
      <c r="F80" s="14" t="n">
        <v>884.5</v>
      </c>
      <c r="G80" s="14" t="n">
        <v>106.5</v>
      </c>
      <c r="H80" s="14" t="n">
        <v>123.38</v>
      </c>
      <c r="I80" s="14" t="n">
        <v>167.89</v>
      </c>
    </row>
    <row r="81" customFormat="false" ht="15" hidden="false" customHeight="true" outlineLevel="0" collapsed="false">
      <c r="A81" s="13" t="n">
        <v>44409</v>
      </c>
      <c r="B81" s="14" t="n">
        <v>92.8</v>
      </c>
      <c r="C81" s="14" t="n">
        <v>122.13</v>
      </c>
      <c r="D81" s="14" t="n">
        <v>77.25</v>
      </c>
      <c r="E81" s="14" t="n">
        <v>164.51</v>
      </c>
      <c r="F81" s="14" t="n">
        <v>830</v>
      </c>
      <c r="G81" s="14" t="n">
        <v>105.95</v>
      </c>
      <c r="H81" s="14" t="n">
        <v>126.92</v>
      </c>
      <c r="I81" s="14" t="n">
        <v>171.11</v>
      </c>
    </row>
    <row r="82" customFormat="false" ht="15" hidden="false" customHeight="true" outlineLevel="0" collapsed="false">
      <c r="A82" s="13" t="n">
        <v>44440</v>
      </c>
      <c r="B82" s="14" t="n">
        <v>83.6</v>
      </c>
      <c r="C82" s="14" t="n">
        <v>127.27</v>
      </c>
      <c r="D82" s="14" t="n">
        <v>69.99</v>
      </c>
      <c r="E82" s="14" t="n">
        <v>152.9</v>
      </c>
      <c r="F82" s="14" t="n">
        <v>721.1</v>
      </c>
      <c r="G82" s="14" t="n">
        <v>101.99</v>
      </c>
      <c r="H82" s="14" t="n">
        <v>101.54</v>
      </c>
      <c r="I82" s="14" t="n">
        <v>173.22</v>
      </c>
    </row>
    <row r="83" customFormat="false" ht="15" hidden="false" customHeight="true" outlineLevel="0" collapsed="false">
      <c r="A83" s="13" t="n">
        <v>44470</v>
      </c>
      <c r="B83" s="14" t="n">
        <v>85.55</v>
      </c>
      <c r="C83" s="14" t="n">
        <v>120.91</v>
      </c>
      <c r="D83" s="14" t="n">
        <v>71.5</v>
      </c>
      <c r="E83" s="14" t="n">
        <v>164</v>
      </c>
      <c r="F83" s="14" t="n">
        <v>775</v>
      </c>
      <c r="G83" s="14" t="n">
        <v>103</v>
      </c>
      <c r="H83" s="14" t="n">
        <v>119</v>
      </c>
      <c r="I83" s="14" t="n">
        <v>188.89</v>
      </c>
    </row>
    <row r="84" customFormat="false" ht="15" hidden="false" customHeight="true" outlineLevel="0" collapsed="false">
      <c r="A84" s="13" t="n">
        <v>44501</v>
      </c>
      <c r="B84" s="14" t="n">
        <v>84.9</v>
      </c>
      <c r="C84" s="14" t="n">
        <v>135.45</v>
      </c>
      <c r="D84" s="14" t="n">
        <v>74</v>
      </c>
      <c r="E84" s="14" t="n">
        <v>157</v>
      </c>
      <c r="F84" s="14" t="n">
        <v>719</v>
      </c>
      <c r="G84" s="14" t="n">
        <v>100.5</v>
      </c>
      <c r="H84" s="14" t="n">
        <v>102.5</v>
      </c>
      <c r="I84" s="14" t="n">
        <v>190</v>
      </c>
    </row>
    <row r="85" customFormat="false" ht="15" hidden="false" customHeight="true" outlineLevel="0" collapsed="false">
      <c r="A85" s="13" t="n">
        <v>44531</v>
      </c>
      <c r="B85" s="14" t="n">
        <v>86.2</v>
      </c>
      <c r="C85" s="14" t="n">
        <v>121.92</v>
      </c>
      <c r="D85" s="14" t="n">
        <v>76.09</v>
      </c>
      <c r="E85" s="14" t="n">
        <v>153.35</v>
      </c>
      <c r="F85" s="14" t="n">
        <v>679.28</v>
      </c>
      <c r="G85" s="14" t="n">
        <v>100.26</v>
      </c>
      <c r="H85" s="14" t="n">
        <v>97.32</v>
      </c>
      <c r="I85" s="14" t="n">
        <v>183.89</v>
      </c>
    </row>
    <row r="86" customFormat="false" ht="15" hidden="false" customHeight="true" outlineLevel="0" collapsed="false">
      <c r="A86" s="13" t="n">
        <v>44562</v>
      </c>
      <c r="B86" s="14" t="n">
        <v>87</v>
      </c>
      <c r="C86" s="14" t="n">
        <v>124.54</v>
      </c>
      <c r="D86" s="14" t="n">
        <v>82</v>
      </c>
      <c r="E86" s="14" t="n">
        <v>161.2</v>
      </c>
      <c r="F86" s="14" t="n">
        <v>681</v>
      </c>
      <c r="G86" s="14" t="n">
        <v>106.8</v>
      </c>
      <c r="H86" s="14" t="n">
        <v>92.65</v>
      </c>
      <c r="I86" s="14" t="n">
        <v>188.89</v>
      </c>
    </row>
    <row r="87" customFormat="false" ht="15" hidden="false" customHeight="true" outlineLevel="0" collapsed="false">
      <c r="A87" s="13" t="n">
        <v>44593</v>
      </c>
      <c r="B87" s="14" t="n">
        <v>88.14</v>
      </c>
      <c r="C87" s="14" t="n">
        <v>126.73</v>
      </c>
      <c r="D87" s="14" t="n">
        <v>88.7</v>
      </c>
      <c r="E87" s="14" t="n">
        <v>157.55</v>
      </c>
      <c r="F87" s="14" t="n">
        <v>655</v>
      </c>
      <c r="G87" s="14" t="n">
        <v>109.89</v>
      </c>
      <c r="H87" s="14" t="n">
        <v>84.9</v>
      </c>
      <c r="I87" s="14" t="n">
        <v>198.89</v>
      </c>
    </row>
    <row r="88" customFormat="false" ht="15" hidden="false" customHeight="true" outlineLevel="0" collapsed="false">
      <c r="A88" s="13" t="n">
        <v>44621</v>
      </c>
      <c r="B88" s="14" t="n">
        <v>83.13</v>
      </c>
      <c r="C88" s="14" t="n">
        <v>119.05</v>
      </c>
      <c r="D88" s="14" t="n">
        <v>91.77</v>
      </c>
      <c r="E88" s="14" t="n">
        <v>145.66</v>
      </c>
      <c r="F88" s="14" t="n">
        <v>636.35</v>
      </c>
      <c r="G88" s="14" t="n">
        <v>113.52</v>
      </c>
      <c r="H88" s="14" t="n">
        <v>76</v>
      </c>
      <c r="I88" s="14" t="n">
        <v>196.11</v>
      </c>
    </row>
    <row r="89" customFormat="false" ht="15" hidden="false" customHeight="true" outlineLevel="0" collapsed="false">
      <c r="A89" s="13" t="n">
        <v>44652</v>
      </c>
      <c r="B89" s="14" t="n">
        <v>84.6</v>
      </c>
      <c r="C89" s="14" t="n">
        <v>127.27</v>
      </c>
      <c r="D89" s="14" t="n">
        <v>95</v>
      </c>
      <c r="E89" s="14" t="n">
        <v>151.39</v>
      </c>
      <c r="F89" s="14" t="n">
        <v>565.5</v>
      </c>
      <c r="G89" s="14" t="n">
        <v>121</v>
      </c>
      <c r="H89" s="14" t="n">
        <v>76.32</v>
      </c>
      <c r="I89" s="14" t="n">
        <v>190</v>
      </c>
    </row>
    <row r="90" customFormat="false" ht="15" hidden="false" customHeight="true" outlineLevel="0" collapsed="false">
      <c r="A90" s="13" t="n">
        <v>44682</v>
      </c>
      <c r="B90" s="14" t="n">
        <v>80.67</v>
      </c>
      <c r="C90" s="14" t="n">
        <v>119.32</v>
      </c>
      <c r="D90" s="14" t="n">
        <v>86.6</v>
      </c>
      <c r="E90" s="14" t="n">
        <v>133.49</v>
      </c>
      <c r="F90" s="14" t="n">
        <v>473</v>
      </c>
      <c r="G90" s="14" t="n">
        <v>114</v>
      </c>
      <c r="H90" s="14" t="n">
        <v>67.45</v>
      </c>
      <c r="I90" s="14" t="n">
        <v>178.9</v>
      </c>
    </row>
    <row r="91" customFormat="false" ht="15" hidden="false" customHeight="true" outlineLevel="0" collapsed="false">
      <c r="A91" s="13" t="n">
        <v>44713</v>
      </c>
      <c r="B91" s="14" t="n">
        <v>78.9</v>
      </c>
      <c r="C91" s="14" t="n">
        <v>102.27</v>
      </c>
      <c r="D91" s="14" t="n">
        <v>88.85</v>
      </c>
      <c r="E91" s="14" t="n">
        <v>123.5</v>
      </c>
      <c r="F91" s="14" t="n">
        <v>456</v>
      </c>
      <c r="G91" s="14" t="n">
        <v>110.2</v>
      </c>
      <c r="H91" s="14" t="n">
        <v>62</v>
      </c>
      <c r="I91" s="14" t="n">
        <v>193</v>
      </c>
    </row>
    <row r="92" customFormat="false" ht="15" hidden="false" customHeight="true" outlineLevel="0" collapsed="false">
      <c r="A92" s="13" t="n">
        <v>44743</v>
      </c>
      <c r="B92" s="14" t="n">
        <v>80.42</v>
      </c>
      <c r="C92" s="14" t="n">
        <v>107.68</v>
      </c>
      <c r="D92" s="14" t="n">
        <v>79</v>
      </c>
      <c r="E92" s="14" t="n">
        <v>122.5</v>
      </c>
      <c r="F92" s="14" t="n">
        <v>411.93</v>
      </c>
      <c r="G92" s="14" t="n">
        <v>103.51</v>
      </c>
      <c r="H92" s="14" t="n">
        <v>60.5</v>
      </c>
      <c r="I92" s="14" t="n">
        <v>188.22</v>
      </c>
    </row>
    <row r="93" customFormat="false" ht="15" hidden="false" customHeight="true" outlineLevel="0" collapsed="false">
      <c r="A93" s="13" t="n">
        <v>44774</v>
      </c>
      <c r="B93" s="14" t="n">
        <v>82.75</v>
      </c>
      <c r="C93" s="14" t="n">
        <v>121.2</v>
      </c>
      <c r="D93" s="14" t="n">
        <v>84.25</v>
      </c>
      <c r="E93" s="14" t="n">
        <v>119.8</v>
      </c>
      <c r="F93" s="14" t="n">
        <v>518.5</v>
      </c>
      <c r="G93" s="14" t="n">
        <v>104.11</v>
      </c>
      <c r="H93" s="14" t="n">
        <v>64.87</v>
      </c>
      <c r="I93" s="14" t="n">
        <v>187.78</v>
      </c>
    </row>
    <row r="94" customFormat="false" ht="15" hidden="false" customHeight="true" outlineLevel="0" collapsed="false">
      <c r="A94" s="13" t="n">
        <v>44805</v>
      </c>
      <c r="B94" s="14" t="n">
        <v>75.72</v>
      </c>
      <c r="C94" s="14" t="n">
        <v>109.75</v>
      </c>
      <c r="D94" s="14" t="n">
        <v>78.02</v>
      </c>
      <c r="E94" s="14" t="n">
        <v>119</v>
      </c>
      <c r="F94" s="14" t="n">
        <v>496.56</v>
      </c>
      <c r="G94" s="14" t="n">
        <v>101.31</v>
      </c>
      <c r="H94" s="14" t="n">
        <v>59.5</v>
      </c>
      <c r="I94" s="14" t="n">
        <v>174.44</v>
      </c>
    </row>
    <row r="95" customFormat="false" ht="15" hidden="false" customHeight="true" outlineLevel="0" collapsed="false">
      <c r="A95" s="13" t="n">
        <v>44835</v>
      </c>
      <c r="B95" s="14" t="n">
        <v>69.97</v>
      </c>
      <c r="C95" s="14" t="n">
        <v>106</v>
      </c>
      <c r="D95" s="14" t="n">
        <v>80.9</v>
      </c>
      <c r="E95" s="14" t="n">
        <v>121.99</v>
      </c>
      <c r="F95" s="14" t="n">
        <v>485.99</v>
      </c>
      <c r="G95" s="14" t="n">
        <v>103.35</v>
      </c>
      <c r="H95" s="14" t="n">
        <v>51.55</v>
      </c>
      <c r="I95" s="14" t="n">
        <v>186.67</v>
      </c>
    </row>
    <row r="96" customFormat="false" ht="15" hidden="false" customHeight="true" outlineLevel="0" collapsed="false">
      <c r="A96" s="13" t="n">
        <v>44866</v>
      </c>
      <c r="B96" s="14" t="n">
        <v>72.3</v>
      </c>
      <c r="C96" s="14" t="n">
        <v>109.75</v>
      </c>
      <c r="D96" s="14" t="n">
        <v>81.1</v>
      </c>
      <c r="E96" s="14" t="n">
        <v>119.45</v>
      </c>
      <c r="F96" s="14" t="n">
        <v>473</v>
      </c>
      <c r="G96" s="14" t="n">
        <v>102.44</v>
      </c>
      <c r="H96" s="14" t="n">
        <v>58.55</v>
      </c>
      <c r="I96" s="14" t="n">
        <v>185.44</v>
      </c>
    </row>
    <row r="97" customFormat="false" ht="15" hidden="false" customHeight="true" outlineLevel="0" collapsed="false">
      <c r="A97" s="13" t="n">
        <v>44896</v>
      </c>
      <c r="B97" s="14" t="n">
        <v>79.66</v>
      </c>
      <c r="C97" s="14" t="n">
        <v>99.54</v>
      </c>
      <c r="D97" s="14" t="n">
        <v>76.89</v>
      </c>
      <c r="E97" s="14" t="n">
        <v>115</v>
      </c>
      <c r="F97" s="14" t="n">
        <v>446</v>
      </c>
      <c r="G97" s="14" t="n">
        <v>98.71</v>
      </c>
      <c r="H97" s="14" t="n">
        <v>48.35</v>
      </c>
      <c r="I97" s="14" t="n">
        <v>175</v>
      </c>
    </row>
    <row r="98" customFormat="false" ht="15" hidden="false" customHeight="true" outlineLevel="0" collapsed="false">
      <c r="A98" s="13" t="n">
        <v>44927</v>
      </c>
      <c r="B98" s="14" t="n">
        <v>87.94</v>
      </c>
      <c r="C98" s="14" t="n">
        <v>92.5</v>
      </c>
      <c r="D98" s="14" t="n">
        <v>81.7</v>
      </c>
      <c r="E98" s="14" t="n">
        <v>113.12</v>
      </c>
      <c r="F98" s="14" t="n">
        <v>409</v>
      </c>
      <c r="G98" s="14" t="n">
        <v>103.6</v>
      </c>
      <c r="H98" s="14" t="n">
        <v>48.05</v>
      </c>
      <c r="I98" s="14" t="n">
        <v>168.67</v>
      </c>
    </row>
    <row r="99" customFormat="false" ht="15" hidden="false" customHeight="true" outlineLevel="0" collapsed="false">
      <c r="A99" s="13" t="n">
        <v>44958</v>
      </c>
      <c r="B99" s="14" t="n">
        <v>82</v>
      </c>
      <c r="C99" s="14" t="n">
        <v>94.95</v>
      </c>
      <c r="D99" s="14" t="n">
        <v>84.57</v>
      </c>
      <c r="E99" s="14" t="n">
        <v>116.8</v>
      </c>
      <c r="F99" s="14" t="n">
        <v>413.5</v>
      </c>
      <c r="G99" s="14" t="n">
        <v>101.75</v>
      </c>
      <c r="H99" s="14" t="n">
        <v>52.25</v>
      </c>
      <c r="I99" s="14" t="n">
        <v>159.61</v>
      </c>
    </row>
    <row r="100" customFormat="false" ht="15" hidden="false" customHeight="true" outlineLevel="0" collapsed="false">
      <c r="A100" s="13" t="n">
        <v>44986</v>
      </c>
      <c r="B100" s="14" t="n">
        <v>82.75</v>
      </c>
      <c r="C100" s="14" t="n">
        <v>94.9</v>
      </c>
      <c r="D100" s="14" t="n">
        <v>84.85</v>
      </c>
      <c r="E100" s="14" t="n">
        <v>114.99</v>
      </c>
      <c r="F100" s="14" t="n">
        <v>405</v>
      </c>
      <c r="G100" s="14" t="n">
        <v>99.88</v>
      </c>
      <c r="H100" s="14" t="n">
        <v>45.5</v>
      </c>
      <c r="I100" s="14" t="n">
        <v>168.78</v>
      </c>
    </row>
    <row r="101" customFormat="false" ht="15" hidden="false" customHeight="true" outlineLevel="0" collapsed="false">
      <c r="A101" s="13" t="n">
        <v>45017</v>
      </c>
      <c r="B101" s="14" t="n">
        <v>85.97</v>
      </c>
      <c r="C101" s="14" t="n">
        <v>99.31</v>
      </c>
      <c r="D101" s="14" t="n">
        <v>84.1</v>
      </c>
      <c r="E101" s="14" t="n">
        <v>120</v>
      </c>
      <c r="F101" s="14" t="n">
        <v>401.99</v>
      </c>
      <c r="G101" s="14" t="n">
        <v>103</v>
      </c>
      <c r="H101" s="14" t="n">
        <v>53.5</v>
      </c>
      <c r="I101" s="14" t="n">
        <v>176.65</v>
      </c>
    </row>
    <row r="102" customFormat="false" ht="15" hidden="false" customHeight="true" outlineLevel="0" collapsed="false">
      <c r="A102" s="13" t="n">
        <v>45047</v>
      </c>
      <c r="B102" s="14" t="n">
        <v>74.82</v>
      </c>
      <c r="C102" s="14" t="n">
        <v>88.8</v>
      </c>
      <c r="D102" s="14" t="n">
        <v>86</v>
      </c>
      <c r="E102" s="14" t="n">
        <v>115.48</v>
      </c>
      <c r="F102" s="14" t="n">
        <v>516</v>
      </c>
      <c r="G102" s="14" t="n">
        <v>101.15</v>
      </c>
      <c r="H102" s="14" t="n">
        <v>48.66</v>
      </c>
      <c r="I102" s="14" t="n">
        <v>171.44</v>
      </c>
    </row>
    <row r="103" customFormat="false" ht="15" hidden="false" customHeight="true" outlineLevel="0" collapsed="false">
      <c r="A103" s="13" t="n">
        <v>45078</v>
      </c>
      <c r="B103" s="14" t="n">
        <v>77.85</v>
      </c>
      <c r="C103" s="14" t="n">
        <v>86</v>
      </c>
      <c r="D103" s="14" t="n">
        <v>81.95</v>
      </c>
      <c r="E103" s="14" t="n">
        <v>113.75</v>
      </c>
      <c r="F103" s="14" t="n">
        <v>521.5</v>
      </c>
      <c r="G103" s="14" t="n">
        <v>98.4</v>
      </c>
      <c r="H103" s="14" t="n">
        <v>50.8</v>
      </c>
      <c r="I103" s="14" t="n">
        <v>167.78</v>
      </c>
    </row>
    <row r="104" customFormat="false" ht="15" hidden="false" customHeight="true" outlineLevel="0" collapsed="false">
      <c r="A104" s="13" t="n">
        <v>45108</v>
      </c>
      <c r="B104" s="14" t="n">
        <v>95.35</v>
      </c>
      <c r="C104" s="14" t="n">
        <v>132.1</v>
      </c>
      <c r="D104" s="14" t="n">
        <v>82.1</v>
      </c>
      <c r="E104" s="14" t="n">
        <v>147.46</v>
      </c>
      <c r="F104" s="14" t="n">
        <v>589.5</v>
      </c>
      <c r="G104" s="14" t="n">
        <v>100.77</v>
      </c>
      <c r="H104" s="14" t="n">
        <v>70.75</v>
      </c>
      <c r="I104" s="14" t="n">
        <v>178.33</v>
      </c>
    </row>
    <row r="105" customFormat="false" ht="15" hidden="false" customHeight="true" outlineLevel="0" collapsed="false">
      <c r="A105" s="13" t="n">
        <v>45139</v>
      </c>
      <c r="B105" s="14" t="n">
        <v>93.9</v>
      </c>
      <c r="C105" s="14" t="n">
        <v>116</v>
      </c>
      <c r="D105" s="14" t="n">
        <v>77.1</v>
      </c>
      <c r="E105" s="14" t="n">
        <v>129.26</v>
      </c>
      <c r="F105" s="14" t="n">
        <v>556.01</v>
      </c>
      <c r="G105" s="14" t="n">
        <v>94.75</v>
      </c>
      <c r="H105" s="14" t="n">
        <v>65</v>
      </c>
      <c r="I105" s="14" t="n">
        <v>177.77</v>
      </c>
    </row>
    <row r="106" customFormat="false" ht="15" hidden="false" customHeight="true" outlineLevel="0" collapsed="false">
      <c r="A106" s="13" t="n">
        <v>45170</v>
      </c>
      <c r="B106" s="14" t="n">
        <v>96.5</v>
      </c>
      <c r="C106" s="14" t="n">
        <v>114.5</v>
      </c>
      <c r="D106" s="14" t="n">
        <v>76</v>
      </c>
      <c r="E106" s="14" t="n">
        <v>129.5</v>
      </c>
      <c r="F106" s="14" t="n">
        <v>563.1</v>
      </c>
      <c r="G106" s="14" t="n">
        <v>92.75</v>
      </c>
      <c r="H106" s="14" t="n">
        <v>92.98</v>
      </c>
      <c r="I106" s="14" t="n">
        <v>173.54</v>
      </c>
    </row>
    <row r="107" customFormat="false" ht="15" hidden="false" customHeight="true" outlineLevel="0" collapsed="false">
      <c r="A107" s="13" t="n">
        <v>45200</v>
      </c>
      <c r="B107" s="14" t="n">
        <v>100.5</v>
      </c>
      <c r="C107" s="14" t="n">
        <v>137.49</v>
      </c>
      <c r="D107" s="14" t="n">
        <v>86.8</v>
      </c>
      <c r="E107" s="14" t="n">
        <v>152.49</v>
      </c>
      <c r="F107" s="14" t="n">
        <v>635</v>
      </c>
      <c r="G107" s="14" t="n">
        <v>103.25</v>
      </c>
      <c r="H107" s="14" t="n">
        <v>163.1</v>
      </c>
      <c r="I107" s="14" t="n">
        <v>174.87</v>
      </c>
    </row>
    <row r="108" customFormat="false" ht="15" hidden="false" customHeight="true" outlineLevel="0" collapsed="false">
      <c r="A108" s="13" t="n">
        <v>45231</v>
      </c>
      <c r="B108" s="14" t="n">
        <v>109</v>
      </c>
      <c r="C108" s="14" t="n">
        <v>154.5</v>
      </c>
      <c r="D108" s="14" t="n">
        <v>100.97</v>
      </c>
      <c r="E108" s="14" t="n">
        <v>167.5</v>
      </c>
      <c r="F108" s="14" t="n">
        <v>789</v>
      </c>
      <c r="G108" s="14" t="n">
        <v>112.05</v>
      </c>
      <c r="H108" s="14" t="n">
        <v>186</v>
      </c>
      <c r="I108" s="14" t="n">
        <v>189.56</v>
      </c>
    </row>
    <row r="109" customFormat="false" ht="15" hidden="false" customHeight="true" outlineLevel="0" collapsed="false">
      <c r="A109" s="13" t="n">
        <v>45261</v>
      </c>
      <c r="B109" s="14" t="n">
        <v>112.1</v>
      </c>
      <c r="C109" s="14" t="n">
        <v>160.99</v>
      </c>
      <c r="D109" s="14" t="n">
        <v>112.3</v>
      </c>
      <c r="E109" s="14" t="n">
        <v>172</v>
      </c>
      <c r="F109" s="14" t="n">
        <v>790</v>
      </c>
      <c r="G109" s="14" t="n">
        <v>113.3</v>
      </c>
      <c r="H109" s="14" t="n">
        <v>177.5</v>
      </c>
      <c r="I109" s="14" t="n">
        <v>232.22</v>
      </c>
    </row>
    <row r="110" customFormat="false" ht="15" hidden="false" customHeight="true" outlineLevel="0" collapsed="false">
      <c r="A110" s="13" t="n">
        <v>45292</v>
      </c>
      <c r="B110" s="14" t="n">
        <v>135.02</v>
      </c>
      <c r="C110" s="14" t="n">
        <v>162</v>
      </c>
      <c r="D110" s="14" t="n">
        <v>122</v>
      </c>
      <c r="E110" s="14" t="n">
        <v>179.6</v>
      </c>
      <c r="F110" s="14" t="n">
        <v>736.95</v>
      </c>
      <c r="G110" s="14" t="n">
        <v>113</v>
      </c>
      <c r="H110" s="14" t="n">
        <v>211.2</v>
      </c>
      <c r="I110" s="14" t="n">
        <v>250.02</v>
      </c>
    </row>
    <row r="111" customFormat="false" ht="15" hidden="false" customHeight="true" outlineLevel="0" collapsed="false">
      <c r="A111" s="13" t="n">
        <v>45323</v>
      </c>
      <c r="B111" s="14" t="n">
        <v>125.3</v>
      </c>
      <c r="C111" s="14" t="n">
        <v>187.5</v>
      </c>
      <c r="D111" s="14" t="n">
        <v>146.98</v>
      </c>
      <c r="E111" s="14" t="n">
        <v>199</v>
      </c>
      <c r="F111" s="14" t="n">
        <v>749.15</v>
      </c>
      <c r="G111" s="14" t="n">
        <v>119.4</v>
      </c>
      <c r="H111" s="14" t="n">
        <v>361</v>
      </c>
      <c r="I111" s="14" t="n">
        <v>260.89</v>
      </c>
    </row>
    <row r="112" customFormat="false" ht="15" hidden="false" customHeight="true" outlineLevel="0" collapsed="false">
      <c r="A112" s="13" t="n">
        <v>45352</v>
      </c>
      <c r="B112" s="14" t="n">
        <v>121.35</v>
      </c>
      <c r="C112" s="14" t="n">
        <v>214.48</v>
      </c>
      <c r="D112" s="14" t="n">
        <v>147.79</v>
      </c>
      <c r="E112" s="14" t="n">
        <v>203</v>
      </c>
      <c r="F112" s="14" t="n">
        <v>765</v>
      </c>
      <c r="G112" s="14" t="n">
        <v>126.5</v>
      </c>
      <c r="H112" s="14" t="n">
        <v>388</v>
      </c>
      <c r="I112" s="14" t="n">
        <v>281.11</v>
      </c>
    </row>
    <row r="113" customFormat="false" ht="15" hidden="false" customHeight="true" outlineLevel="0" collapsed="false">
      <c r="A113" s="13" t="n">
        <v>45383</v>
      </c>
      <c r="B113" s="14" t="n">
        <v>133.5</v>
      </c>
      <c r="C113" s="14" t="n">
        <v>213.49</v>
      </c>
      <c r="D113" s="14" t="n">
        <v>157.31</v>
      </c>
      <c r="E113" s="14" t="n">
        <v>209.54</v>
      </c>
      <c r="F113" s="14" t="n">
        <v>836</v>
      </c>
      <c r="G113" s="14" t="n">
        <v>145.5</v>
      </c>
      <c r="H113" s="14" t="n">
        <v>702</v>
      </c>
      <c r="I113" s="14" t="n">
        <v>303.11</v>
      </c>
    </row>
    <row r="114" customFormat="false" ht="15" hidden="false" customHeight="true" outlineLevel="0" collapsed="false">
      <c r="A114" s="13" t="n">
        <v>45413</v>
      </c>
      <c r="B114" s="14" t="n">
        <v>133.7</v>
      </c>
      <c r="C114" s="14" t="n">
        <v>246.69</v>
      </c>
      <c r="D114" s="14" t="n">
        <v>160.1</v>
      </c>
      <c r="E114" s="14" t="n">
        <v>207</v>
      </c>
      <c r="F114" s="14" t="n">
        <v>897.5</v>
      </c>
      <c r="G114" s="14" t="n">
        <v>142</v>
      </c>
      <c r="H114" s="14" t="n">
        <v>786.14</v>
      </c>
      <c r="I114" s="14" t="n">
        <v>309.89</v>
      </c>
    </row>
    <row r="115" customFormat="false" ht="15" hidden="false" customHeight="true" outlineLevel="0" collapsed="false">
      <c r="A115" s="13" t="n">
        <v>45444</v>
      </c>
      <c r="B115" s="14" t="n">
        <v>135.15</v>
      </c>
      <c r="C115" s="14" t="n">
        <v>239</v>
      </c>
      <c r="D115" s="14" t="n">
        <v>166.02</v>
      </c>
      <c r="E115" s="14" t="n">
        <v>227</v>
      </c>
      <c r="F115" s="14" t="n">
        <v>903.13</v>
      </c>
      <c r="G115" s="14" t="n">
        <v>163.2</v>
      </c>
      <c r="H115" s="14" t="n">
        <v>834.48</v>
      </c>
      <c r="I115" s="14" t="n">
        <v>300.33</v>
      </c>
    </row>
    <row r="116" customFormat="false" ht="15" hidden="false" customHeight="true" outlineLevel="0" collapsed="false">
      <c r="A116" s="13" t="n">
        <v>45474</v>
      </c>
      <c r="B116" s="14" t="n">
        <v>129.06</v>
      </c>
      <c r="C116" s="14" t="n">
        <v>238.1</v>
      </c>
      <c r="D116" s="14" t="n">
        <v>167.5</v>
      </c>
      <c r="E116" s="14" t="n">
        <v>227.25</v>
      </c>
      <c r="F116" s="14" t="n">
        <v>872</v>
      </c>
      <c r="G116" s="14" t="n">
        <v>181.25</v>
      </c>
      <c r="H116" s="14" t="n">
        <v>1063</v>
      </c>
      <c r="I116" s="14" t="n">
        <v>294.56</v>
      </c>
    </row>
    <row r="117" customFormat="false" ht="15" hidden="false" customHeight="true" outlineLevel="0" collapsed="false">
      <c r="A117" s="13" t="n">
        <v>45505</v>
      </c>
      <c r="B117" s="14" t="n">
        <v>132.7</v>
      </c>
      <c r="C117" s="14" t="n">
        <v>235</v>
      </c>
      <c r="D117" s="14" t="n">
        <v>161</v>
      </c>
      <c r="E117" s="14" t="n">
        <v>214.4</v>
      </c>
      <c r="F117" s="14" t="n">
        <v>831</v>
      </c>
      <c r="G117" s="14" t="n">
        <v>180.99</v>
      </c>
      <c r="H117" s="14" t="n">
        <v>1010.11</v>
      </c>
      <c r="I117" s="14" t="n">
        <v>377</v>
      </c>
    </row>
    <row r="118" customFormat="false" ht="15" hidden="false" customHeight="true" outlineLevel="0" collapsed="false">
      <c r="A118" s="13" t="n">
        <v>45536</v>
      </c>
      <c r="B118" s="14" t="n">
        <v>143.43</v>
      </c>
      <c r="C118" s="14" t="n">
        <v>228.15</v>
      </c>
      <c r="D118" s="14" t="n">
        <v>190.26</v>
      </c>
      <c r="E118" s="14" t="n">
        <v>240.4</v>
      </c>
      <c r="F118" s="14" t="n">
        <v>884.04</v>
      </c>
      <c r="G118" s="14" t="n">
        <v>222.45</v>
      </c>
      <c r="H118" s="14" t="n">
        <v>962.59</v>
      </c>
      <c r="I118" s="14" t="n">
        <v>425.54</v>
      </c>
    </row>
    <row r="119" customFormat="false" ht="15" hidden="false" customHeight="true" outlineLevel="0" collapsed="false">
      <c r="A119" s="13" t="n">
        <v>45566</v>
      </c>
      <c r="B119" s="14" t="n">
        <v>172.13</v>
      </c>
      <c r="C119" s="14" t="n">
        <v>231.88</v>
      </c>
      <c r="D119" s="14" t="n">
        <v>193.89</v>
      </c>
      <c r="E119" s="14" t="n">
        <v>244.13</v>
      </c>
      <c r="F119" s="14" t="n">
        <v>883.2</v>
      </c>
      <c r="G119" s="14" t="n">
        <v>281.41</v>
      </c>
      <c r="H119" s="14" t="n">
        <v>1045.14</v>
      </c>
      <c r="I119" s="14" t="n">
        <v>406.47</v>
      </c>
    </row>
    <row r="120" customFormat="false" ht="15" hidden="false" customHeight="true" outlineLevel="0" collapsed="false">
      <c r="A120" s="13" t="n">
        <v>45597</v>
      </c>
      <c r="B120" s="14" t="n">
        <v>195.25</v>
      </c>
      <c r="C120" s="14" t="n">
        <v>227.38</v>
      </c>
      <c r="D120" s="14" t="n">
        <v>200.21</v>
      </c>
      <c r="E120" s="14" t="n">
        <v>271.26</v>
      </c>
      <c r="F120" s="14" t="n">
        <v>1019.55</v>
      </c>
      <c r="G120" s="14" t="n">
        <v>324.89</v>
      </c>
      <c r="H120" s="14" t="n">
        <v>1004.49</v>
      </c>
      <c r="I120" s="14" t="n">
        <v>462.22</v>
      </c>
    </row>
    <row r="121" customFormat="false" ht="15" hidden="false" customHeight="true" outlineLevel="0" collapsed="false">
      <c r="A121" s="13" t="n">
        <v>45627</v>
      </c>
      <c r="B121" s="14" t="n">
        <v>227.26</v>
      </c>
      <c r="C121" s="14" t="n">
        <v>241.97</v>
      </c>
      <c r="D121" s="14" t="n">
        <v>204.19</v>
      </c>
      <c r="E121" s="14" t="n">
        <v>281.3</v>
      </c>
      <c r="F121" s="14" t="n">
        <v>1100.49</v>
      </c>
      <c r="G121" s="14" t="n">
        <v>366.32</v>
      </c>
      <c r="H121" s="14" t="n">
        <v>1118.38</v>
      </c>
      <c r="I121" s="14" t="n">
        <v>719.61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</cols>
  <sheetData>
    <row r="1" customFormat="false" ht="15" hidden="false" customHeight="true" outlineLevel="0" collapsed="false">
      <c r="A1" s="12" t="s">
        <v>51</v>
      </c>
      <c r="B1" s="12" t="s">
        <v>60</v>
      </c>
    </row>
    <row r="2" customFormat="false" ht="15" hidden="false" customHeight="true" outlineLevel="0" collapsed="false">
      <c r="A2" s="13" t="n">
        <v>42005</v>
      </c>
      <c r="B2" s="14" t="n">
        <v>34443.87</v>
      </c>
    </row>
    <row r="3" customFormat="false" ht="15" hidden="false" customHeight="true" outlineLevel="0" collapsed="false">
      <c r="A3" s="13" t="n">
        <v>42036</v>
      </c>
      <c r="B3" s="14" t="n">
        <v>33632.19</v>
      </c>
    </row>
    <row r="4" customFormat="false" ht="15" hidden="false" customHeight="true" outlineLevel="0" collapsed="false">
      <c r="A4" s="13" t="n">
        <v>42064</v>
      </c>
      <c r="B4" s="14" t="n">
        <v>30233.87</v>
      </c>
    </row>
    <row r="5" customFormat="false" ht="15" hidden="false" customHeight="true" outlineLevel="0" collapsed="false">
      <c r="A5" s="13" t="n">
        <v>42095</v>
      </c>
      <c r="B5" s="14" t="n">
        <v>33729.96</v>
      </c>
    </row>
    <row r="6" customFormat="false" ht="15" hidden="false" customHeight="true" outlineLevel="0" collapsed="false">
      <c r="A6" s="13" t="n">
        <v>42125</v>
      </c>
      <c r="B6" s="14" t="n">
        <v>33056.79</v>
      </c>
    </row>
    <row r="7" customFormat="false" ht="15" hidden="false" customHeight="true" outlineLevel="0" collapsed="false">
      <c r="A7" s="13" t="n">
        <v>42156</v>
      </c>
      <c r="B7" s="14" t="n">
        <v>34398.86</v>
      </c>
    </row>
    <row r="8" customFormat="false" ht="15" hidden="false" customHeight="true" outlineLevel="0" collapsed="false">
      <c r="A8" s="13" t="n">
        <v>42186</v>
      </c>
      <c r="B8" s="14" t="n">
        <v>35741.52</v>
      </c>
    </row>
    <row r="9" customFormat="false" ht="15" hidden="false" customHeight="true" outlineLevel="0" collapsed="false">
      <c r="A9" s="13" t="n">
        <v>42217</v>
      </c>
      <c r="B9" s="14" t="n">
        <v>34726.51</v>
      </c>
    </row>
    <row r="10" customFormat="false" ht="15" hidden="false" customHeight="true" outlineLevel="0" collapsed="false">
      <c r="A10" s="13" t="n">
        <v>42248</v>
      </c>
      <c r="B10" s="14" t="n">
        <v>32287.41</v>
      </c>
    </row>
    <row r="11" customFormat="false" ht="15" hidden="false" customHeight="true" outlineLevel="0" collapsed="false">
      <c r="A11" s="13" t="n">
        <v>42278</v>
      </c>
      <c r="B11" s="14" t="n">
        <v>34261.6</v>
      </c>
    </row>
    <row r="12" customFormat="false" ht="15" hidden="false" customHeight="true" outlineLevel="0" collapsed="false">
      <c r="A12" s="13" t="n">
        <v>42309</v>
      </c>
      <c r="B12" s="14" t="n">
        <v>32255.2</v>
      </c>
    </row>
    <row r="13" customFormat="false" ht="15" hidden="false" customHeight="true" outlineLevel="0" collapsed="false">
      <c r="A13" s="13" t="n">
        <v>42339</v>
      </c>
      <c r="B13" s="14" t="n">
        <v>32816.31</v>
      </c>
    </row>
    <row r="14" customFormat="false" ht="15" hidden="false" customHeight="true" outlineLevel="0" collapsed="false">
      <c r="A14" s="13" t="n">
        <v>42370</v>
      </c>
      <c r="B14" s="14" t="n">
        <v>31298.6</v>
      </c>
    </row>
    <row r="15" customFormat="false" ht="15" hidden="false" customHeight="true" outlineLevel="0" collapsed="false">
      <c r="A15" s="13" t="n">
        <v>42401</v>
      </c>
      <c r="B15" s="14" t="n">
        <v>31369.51</v>
      </c>
    </row>
    <row r="16" customFormat="false" ht="15" hidden="false" customHeight="true" outlineLevel="0" collapsed="false">
      <c r="A16" s="13" t="n">
        <v>42430</v>
      </c>
      <c r="B16" s="14" t="n">
        <v>33139</v>
      </c>
    </row>
    <row r="17" customFormat="false" ht="15" hidden="false" customHeight="true" outlineLevel="0" collapsed="false">
      <c r="A17" s="13" t="n">
        <v>42461</v>
      </c>
      <c r="B17" s="14" t="n">
        <v>34719.29</v>
      </c>
    </row>
    <row r="18" customFormat="false" ht="15" hidden="false" customHeight="true" outlineLevel="0" collapsed="false">
      <c r="A18" s="13" t="n">
        <v>42491</v>
      </c>
      <c r="B18" s="14" t="n">
        <v>36061.56</v>
      </c>
    </row>
    <row r="19" customFormat="false" ht="15" hidden="false" customHeight="true" outlineLevel="0" collapsed="false">
      <c r="A19" s="13" t="n">
        <v>42522</v>
      </c>
      <c r="B19" s="14" t="n">
        <v>37783.54</v>
      </c>
    </row>
    <row r="20" customFormat="false" ht="15" hidden="false" customHeight="true" outlineLevel="0" collapsed="false">
      <c r="A20" s="13" t="n">
        <v>42552</v>
      </c>
      <c r="B20" s="14" t="n">
        <v>39505.28</v>
      </c>
    </row>
    <row r="21" customFormat="false" ht="15" hidden="false" customHeight="true" outlineLevel="0" collapsed="false">
      <c r="A21" s="13" t="n">
        <v>42583</v>
      </c>
      <c r="B21" s="14" t="n">
        <v>39809.58</v>
      </c>
    </row>
    <row r="22" customFormat="false" ht="15" hidden="false" customHeight="true" outlineLevel="0" collapsed="false">
      <c r="A22" s="13" t="n">
        <v>42614</v>
      </c>
      <c r="B22" s="14" t="n">
        <v>40541.81</v>
      </c>
    </row>
    <row r="23" customFormat="false" ht="15" hidden="false" customHeight="true" outlineLevel="0" collapsed="false">
      <c r="A23" s="13" t="n">
        <v>42644</v>
      </c>
      <c r="B23" s="14" t="n">
        <v>39893.84</v>
      </c>
    </row>
    <row r="24" customFormat="false" ht="15" hidden="false" customHeight="true" outlineLevel="0" collapsed="false">
      <c r="A24" s="13" t="n">
        <v>42675</v>
      </c>
      <c r="B24" s="14" t="n">
        <v>42622.37</v>
      </c>
    </row>
    <row r="25" customFormat="false" ht="15" hidden="false" customHeight="true" outlineLevel="0" collapsed="false">
      <c r="A25" s="13" t="n">
        <v>42705</v>
      </c>
      <c r="B25" s="14" t="n">
        <v>47806.97</v>
      </c>
    </row>
    <row r="26" customFormat="false" ht="15" hidden="false" customHeight="true" outlineLevel="0" collapsed="false">
      <c r="A26" s="13" t="n">
        <v>42736</v>
      </c>
      <c r="B26" s="14" t="n">
        <v>48757.67</v>
      </c>
    </row>
    <row r="27" customFormat="false" ht="15" hidden="false" customHeight="true" outlineLevel="0" collapsed="false">
      <c r="A27" s="13" t="n">
        <v>42767</v>
      </c>
      <c r="B27" s="14" t="n">
        <v>48534.23</v>
      </c>
    </row>
    <row r="28" customFormat="false" ht="15" hidden="false" customHeight="true" outlineLevel="0" collapsed="false">
      <c r="A28" s="13" t="n">
        <v>42795</v>
      </c>
      <c r="B28" s="14" t="n">
        <v>48155.93</v>
      </c>
    </row>
    <row r="29" customFormat="false" ht="15" hidden="false" customHeight="true" outlineLevel="0" collapsed="false">
      <c r="A29" s="13" t="n">
        <v>42826</v>
      </c>
      <c r="B29" s="14" t="n">
        <v>49300.9</v>
      </c>
    </row>
    <row r="30" customFormat="false" ht="15" hidden="false" customHeight="true" outlineLevel="0" collapsed="false">
      <c r="A30" s="13" t="n">
        <v>42856</v>
      </c>
      <c r="B30" s="14" t="n">
        <v>50591.57</v>
      </c>
    </row>
    <row r="31" customFormat="false" ht="15" hidden="false" customHeight="true" outlineLevel="0" collapsed="false">
      <c r="A31" s="13" t="n">
        <v>42887</v>
      </c>
      <c r="B31" s="14" t="n">
        <v>46565.29</v>
      </c>
    </row>
    <row r="32" customFormat="false" ht="15" hidden="false" customHeight="true" outlineLevel="0" collapsed="false">
      <c r="A32" s="13" t="n">
        <v>42917</v>
      </c>
      <c r="B32" s="14" t="n">
        <v>46010.45</v>
      </c>
    </row>
    <row r="33" customFormat="false" ht="15" hidden="false" customHeight="true" outlineLevel="0" collapsed="false">
      <c r="A33" s="13" t="n">
        <v>42948</v>
      </c>
      <c r="B33" s="14" t="n">
        <v>41206.99</v>
      </c>
    </row>
    <row r="34" customFormat="false" ht="15" hidden="false" customHeight="true" outlineLevel="0" collapsed="false">
      <c r="A34" s="13" t="n">
        <v>42979</v>
      </c>
      <c r="B34" s="14" t="n">
        <v>42409.27</v>
      </c>
    </row>
    <row r="35" customFormat="false" ht="15" hidden="false" customHeight="true" outlineLevel="0" collapsed="false">
      <c r="A35" s="13" t="n">
        <v>43009</v>
      </c>
      <c r="B35" s="14" t="n">
        <v>39617.19</v>
      </c>
    </row>
    <row r="36" customFormat="false" ht="15" hidden="false" customHeight="true" outlineLevel="0" collapsed="false">
      <c r="A36" s="13" t="n">
        <v>43040</v>
      </c>
      <c r="B36" s="14" t="n">
        <v>40010.36</v>
      </c>
    </row>
    <row r="37" customFormat="false" ht="15" hidden="false" customHeight="true" outlineLevel="0" collapsed="false">
      <c r="A37" s="13" t="n">
        <v>43070</v>
      </c>
      <c r="B37" s="14" t="n">
        <v>40471.48</v>
      </c>
    </row>
    <row r="38" customFormat="false" ht="15" hidden="false" customHeight="true" outlineLevel="0" collapsed="false">
      <c r="A38" s="13" t="n">
        <v>43101</v>
      </c>
      <c r="B38" s="14" t="n">
        <v>44049.05</v>
      </c>
    </row>
    <row r="39" customFormat="false" ht="15" hidden="false" customHeight="true" outlineLevel="0" collapsed="false">
      <c r="A39" s="13" t="n">
        <v>43132</v>
      </c>
      <c r="B39" s="14" t="n">
        <v>43239.44</v>
      </c>
    </row>
    <row r="40" customFormat="false" ht="15" hidden="false" customHeight="true" outlineLevel="0" collapsed="false">
      <c r="A40" s="13" t="n">
        <v>43160</v>
      </c>
      <c r="B40" s="14" t="n">
        <v>45560.3</v>
      </c>
    </row>
    <row r="41" customFormat="false" ht="15" hidden="false" customHeight="true" outlineLevel="0" collapsed="false">
      <c r="A41" s="13" t="n">
        <v>43191</v>
      </c>
      <c r="B41" s="14" t="n">
        <v>45488.86</v>
      </c>
    </row>
    <row r="42" customFormat="false" ht="15" hidden="false" customHeight="true" outlineLevel="0" collapsed="false">
      <c r="A42" s="13" t="n">
        <v>43221</v>
      </c>
      <c r="B42" s="14" t="n">
        <v>42846.64</v>
      </c>
    </row>
    <row r="43" customFormat="false" ht="15" hidden="false" customHeight="true" outlineLevel="0" collapsed="false">
      <c r="A43" s="13" t="n">
        <v>43252</v>
      </c>
      <c r="B43" s="14" t="n">
        <v>41910.9</v>
      </c>
    </row>
    <row r="44" customFormat="false" ht="15" hidden="false" customHeight="true" outlineLevel="0" collapsed="false">
      <c r="A44" s="13" t="n">
        <v>43282</v>
      </c>
      <c r="B44" s="14" t="n">
        <v>42712.43</v>
      </c>
    </row>
    <row r="45" customFormat="false" ht="15" hidden="false" customHeight="true" outlineLevel="0" collapsed="false">
      <c r="A45" s="13" t="n">
        <v>43313</v>
      </c>
      <c r="B45" s="14" t="n">
        <v>41742.24</v>
      </c>
    </row>
    <row r="46" customFormat="false" ht="15" hidden="false" customHeight="true" outlineLevel="0" collapsed="false">
      <c r="A46" s="13" t="n">
        <v>43344</v>
      </c>
      <c r="B46" s="14" t="n">
        <v>40998.59</v>
      </c>
    </row>
    <row r="47" customFormat="false" ht="15" hidden="false" customHeight="true" outlineLevel="0" collapsed="false">
      <c r="A47" s="13" t="n">
        <v>43374</v>
      </c>
      <c r="B47" s="14" t="n">
        <v>41649.36</v>
      </c>
    </row>
    <row r="48" customFormat="false" ht="15" hidden="false" customHeight="true" outlineLevel="0" collapsed="false">
      <c r="A48" s="13" t="n">
        <v>43405</v>
      </c>
      <c r="B48" s="14" t="n">
        <v>40496.03</v>
      </c>
    </row>
    <row r="49" customFormat="false" ht="15" hidden="false" customHeight="true" outlineLevel="0" collapsed="false">
      <c r="A49" s="13" t="n">
        <v>43435</v>
      </c>
      <c r="B49" s="14" t="n">
        <v>37066.67</v>
      </c>
    </row>
    <row r="50" customFormat="false" ht="15" hidden="false" customHeight="true" outlineLevel="0" collapsed="false">
      <c r="A50" s="13" t="n">
        <v>43466</v>
      </c>
      <c r="B50" s="14" t="n">
        <v>40799.52</v>
      </c>
    </row>
    <row r="51" customFormat="false" ht="15" hidden="false" customHeight="true" outlineLevel="0" collapsed="false">
      <c r="A51" s="13" t="n">
        <v>43497</v>
      </c>
      <c r="B51" s="14" t="n">
        <v>39054.6</v>
      </c>
    </row>
    <row r="52" customFormat="false" ht="15" hidden="false" customHeight="true" outlineLevel="0" collapsed="false">
      <c r="A52" s="13" t="n">
        <v>43525</v>
      </c>
      <c r="B52" s="14" t="n">
        <v>38649.34</v>
      </c>
    </row>
    <row r="53" customFormat="false" ht="15" hidden="false" customHeight="true" outlineLevel="0" collapsed="false">
      <c r="A53" s="13" t="n">
        <v>43556</v>
      </c>
      <c r="B53" s="14" t="n">
        <v>36784.44</v>
      </c>
    </row>
    <row r="54" customFormat="false" ht="15" hidden="false" customHeight="true" outlineLevel="0" collapsed="false">
      <c r="A54" s="13" t="n">
        <v>43586</v>
      </c>
      <c r="B54" s="14" t="n">
        <v>35974.79</v>
      </c>
    </row>
    <row r="55" customFormat="false" ht="15" hidden="false" customHeight="true" outlineLevel="0" collapsed="false">
      <c r="A55" s="13" t="n">
        <v>43617</v>
      </c>
      <c r="B55" s="14" t="n">
        <v>33901.58</v>
      </c>
    </row>
    <row r="56" customFormat="false" ht="15" hidden="false" customHeight="true" outlineLevel="0" collapsed="false">
      <c r="A56" s="13" t="n">
        <v>43647</v>
      </c>
      <c r="B56" s="14" t="n">
        <v>31938.48</v>
      </c>
    </row>
    <row r="57" customFormat="false" ht="15" hidden="false" customHeight="true" outlineLevel="0" collapsed="false">
      <c r="A57" s="13" t="n">
        <v>43678</v>
      </c>
      <c r="B57" s="14" t="n">
        <v>29672.12</v>
      </c>
    </row>
    <row r="58" customFormat="false" ht="15" hidden="false" customHeight="true" outlineLevel="0" collapsed="false">
      <c r="A58" s="13" t="n">
        <v>43709</v>
      </c>
      <c r="B58" s="14" t="n">
        <v>32078.85</v>
      </c>
    </row>
    <row r="59" customFormat="false" ht="15" hidden="false" customHeight="true" outlineLevel="0" collapsed="false">
      <c r="A59" s="13" t="n">
        <v>43739</v>
      </c>
      <c r="B59" s="14" t="n">
        <v>34203.68</v>
      </c>
    </row>
    <row r="60" customFormat="false" ht="15" hidden="false" customHeight="true" outlineLevel="0" collapsed="false">
      <c r="A60" s="13" t="n">
        <v>43770</v>
      </c>
      <c r="B60" s="14" t="n">
        <v>39287.65</v>
      </c>
    </row>
    <row r="61" customFormat="false" ht="15" hidden="false" customHeight="true" outlineLevel="0" collapsed="false">
      <c r="A61" s="13" t="n">
        <v>43800</v>
      </c>
      <c r="B61" s="14" t="n">
        <v>40735.08</v>
      </c>
    </row>
    <row r="62" customFormat="false" ht="15" hidden="false" customHeight="true" outlineLevel="0" collapsed="false">
      <c r="A62" s="13" t="n">
        <v>43831</v>
      </c>
      <c r="B62" s="14" t="n">
        <v>41630.94</v>
      </c>
    </row>
    <row r="63" customFormat="false" ht="15" hidden="false" customHeight="true" outlineLevel="0" collapsed="false">
      <c r="A63" s="13" t="n">
        <v>43862</v>
      </c>
      <c r="B63" s="14" t="n">
        <v>37983.62</v>
      </c>
    </row>
    <row r="64" customFormat="false" ht="15" hidden="false" customHeight="true" outlineLevel="0" collapsed="false">
      <c r="A64" s="13" t="n">
        <v>43891</v>
      </c>
      <c r="B64" s="14" t="n">
        <v>29231.63</v>
      </c>
    </row>
    <row r="65" customFormat="false" ht="15" hidden="false" customHeight="true" outlineLevel="0" collapsed="false">
      <c r="A65" s="13" t="n">
        <v>43922</v>
      </c>
      <c r="B65" s="14" t="n">
        <v>34111.64</v>
      </c>
    </row>
    <row r="66" customFormat="false" ht="15" hidden="false" customHeight="true" outlineLevel="0" collapsed="false">
      <c r="A66" s="13" t="n">
        <v>43952</v>
      </c>
      <c r="B66" s="14" t="n">
        <v>33931.23</v>
      </c>
    </row>
    <row r="67" customFormat="false" ht="15" hidden="false" customHeight="true" outlineLevel="0" collapsed="false">
      <c r="A67" s="13" t="n">
        <v>43983</v>
      </c>
      <c r="B67" s="14" t="n">
        <v>34421.92</v>
      </c>
    </row>
    <row r="68" customFormat="false" ht="15" hidden="false" customHeight="true" outlineLevel="0" collapsed="false">
      <c r="A68" s="13" t="n">
        <v>44013</v>
      </c>
      <c r="B68" s="14" t="n">
        <v>39258.44</v>
      </c>
    </row>
    <row r="69" customFormat="false" ht="15" hidden="false" customHeight="true" outlineLevel="0" collapsed="false">
      <c r="A69" s="13" t="n">
        <v>44044</v>
      </c>
      <c r="B69" s="14" t="n">
        <v>41110.93</v>
      </c>
    </row>
    <row r="70" customFormat="false" ht="15" hidden="false" customHeight="true" outlineLevel="0" collapsed="false">
      <c r="A70" s="13" t="n">
        <v>44075</v>
      </c>
      <c r="B70" s="14" t="n">
        <v>40571.48</v>
      </c>
    </row>
    <row r="71" customFormat="false" ht="15" hidden="false" customHeight="true" outlineLevel="0" collapsed="false">
      <c r="A71" s="13" t="n">
        <v>44105</v>
      </c>
      <c r="B71" s="14" t="n">
        <v>39888</v>
      </c>
    </row>
    <row r="72" customFormat="false" ht="15" hidden="false" customHeight="true" outlineLevel="0" collapsed="false">
      <c r="A72" s="13" t="n">
        <v>44136</v>
      </c>
      <c r="B72" s="14" t="n">
        <v>41068.82</v>
      </c>
    </row>
    <row r="73" customFormat="false" ht="15" hidden="false" customHeight="true" outlineLevel="0" collapsed="false">
      <c r="A73" s="13" t="n">
        <v>44166</v>
      </c>
      <c r="B73" s="14" t="n">
        <v>43755.38</v>
      </c>
    </row>
    <row r="74" customFormat="false" ht="15" hidden="false" customHeight="true" outlineLevel="0" collapsed="false">
      <c r="A74" s="13" t="n">
        <v>44197</v>
      </c>
      <c r="B74" s="14" t="n">
        <v>46385.54</v>
      </c>
    </row>
    <row r="75" customFormat="false" ht="15" hidden="false" customHeight="true" outlineLevel="0" collapsed="false">
      <c r="A75" s="13" t="n">
        <v>44228</v>
      </c>
      <c r="B75" s="14" t="n">
        <v>45865.02</v>
      </c>
    </row>
    <row r="76" customFormat="false" ht="15" hidden="false" customHeight="true" outlineLevel="0" collapsed="false">
      <c r="A76" s="13" t="n">
        <v>44256</v>
      </c>
      <c r="B76" s="14" t="n">
        <v>44587.85</v>
      </c>
    </row>
    <row r="77" customFormat="false" ht="15" hidden="false" customHeight="true" outlineLevel="0" collapsed="false">
      <c r="A77" s="13" t="n">
        <v>44287</v>
      </c>
      <c r="B77" s="14" t="n">
        <v>44262.35</v>
      </c>
    </row>
    <row r="78" customFormat="false" ht="15" hidden="false" customHeight="true" outlineLevel="0" collapsed="false">
      <c r="A78" s="13" t="n">
        <v>44317</v>
      </c>
      <c r="B78" s="14" t="n">
        <v>47896.34</v>
      </c>
    </row>
    <row r="79" customFormat="false" ht="15" hidden="false" customHeight="true" outlineLevel="0" collapsed="false">
      <c r="A79" s="13" t="n">
        <v>44348</v>
      </c>
      <c r="B79" s="14" t="n">
        <v>47356.02</v>
      </c>
    </row>
    <row r="80" customFormat="false" ht="15" hidden="false" customHeight="true" outlineLevel="0" collapsed="false">
      <c r="A80" s="13" t="n">
        <v>44378</v>
      </c>
      <c r="B80" s="14" t="n">
        <v>47055.29</v>
      </c>
    </row>
    <row r="81" customFormat="false" ht="15" hidden="false" customHeight="true" outlineLevel="0" collapsed="false">
      <c r="A81" s="13" t="n">
        <v>44409</v>
      </c>
      <c r="B81" s="14" t="n">
        <v>47419.74</v>
      </c>
    </row>
    <row r="82" customFormat="false" ht="15" hidden="false" customHeight="true" outlineLevel="0" collapsed="false">
      <c r="A82" s="13" t="n">
        <v>44440</v>
      </c>
      <c r="B82" s="14" t="n">
        <v>44899.6</v>
      </c>
    </row>
    <row r="83" customFormat="false" ht="15" hidden="false" customHeight="true" outlineLevel="0" collapsed="false">
      <c r="A83" s="13" t="n">
        <v>44470</v>
      </c>
      <c r="B83" s="14" t="n">
        <v>46218.93</v>
      </c>
    </row>
    <row r="84" customFormat="false" ht="15" hidden="false" customHeight="true" outlineLevel="0" collapsed="false">
      <c r="A84" s="13" t="n">
        <v>44501</v>
      </c>
      <c r="B84" s="14" t="n">
        <v>45072.38</v>
      </c>
    </row>
    <row r="85" customFormat="false" ht="15" hidden="false" customHeight="true" outlineLevel="0" collapsed="false">
      <c r="A85" s="13" t="n">
        <v>44531</v>
      </c>
      <c r="B85" s="14" t="n">
        <v>44596.07</v>
      </c>
    </row>
    <row r="86" customFormat="false" ht="15" hidden="false" customHeight="true" outlineLevel="0" collapsed="false">
      <c r="A86" s="13" t="n">
        <v>44562</v>
      </c>
      <c r="B86" s="14" t="n">
        <v>45374.68</v>
      </c>
    </row>
    <row r="87" customFormat="false" ht="15" hidden="false" customHeight="true" outlineLevel="0" collapsed="false">
      <c r="A87" s="13" t="n">
        <v>44593</v>
      </c>
      <c r="B87" s="14" t="n">
        <v>44461.01</v>
      </c>
    </row>
    <row r="88" customFormat="false" ht="15" hidden="false" customHeight="true" outlineLevel="0" collapsed="false">
      <c r="A88" s="13" t="n">
        <v>44621</v>
      </c>
      <c r="B88" s="14" t="n">
        <v>44928.83</v>
      </c>
    </row>
    <row r="89" customFormat="false" ht="15" hidden="false" customHeight="true" outlineLevel="0" collapsed="false">
      <c r="A89" s="13" t="n">
        <v>44652</v>
      </c>
      <c r="B89" s="14" t="n">
        <v>45249.41</v>
      </c>
    </row>
    <row r="90" customFormat="false" ht="15" hidden="false" customHeight="true" outlineLevel="0" collapsed="false">
      <c r="A90" s="13" t="n">
        <v>44682</v>
      </c>
      <c r="B90" s="14" t="n">
        <v>43078.14</v>
      </c>
    </row>
    <row r="91" customFormat="false" ht="15" hidden="false" customHeight="true" outlineLevel="0" collapsed="false">
      <c r="A91" s="13" t="n">
        <v>44713</v>
      </c>
      <c r="B91" s="14" t="n">
        <v>41540.83</v>
      </c>
    </row>
    <row r="92" customFormat="false" ht="15" hidden="false" customHeight="true" outlineLevel="0" collapsed="false">
      <c r="A92" s="13" t="n">
        <v>44743</v>
      </c>
      <c r="B92" s="14" t="n">
        <v>40150.36</v>
      </c>
    </row>
    <row r="93" customFormat="false" ht="15" hidden="false" customHeight="true" outlineLevel="0" collapsed="false">
      <c r="A93" s="13" t="n">
        <v>44774</v>
      </c>
      <c r="B93" s="14" t="n">
        <v>42351.15</v>
      </c>
    </row>
    <row r="94" customFormat="false" ht="15" hidden="false" customHeight="true" outlineLevel="0" collapsed="false">
      <c r="A94" s="13" t="n">
        <v>44805</v>
      </c>
      <c r="B94" s="14" t="n">
        <v>41128.67</v>
      </c>
    </row>
    <row r="95" customFormat="false" ht="15" hidden="false" customHeight="true" outlineLevel="0" collapsed="false">
      <c r="A95" s="13" t="n">
        <v>44835</v>
      </c>
      <c r="B95" s="14" t="n">
        <v>41264.66</v>
      </c>
    </row>
    <row r="96" customFormat="false" ht="15" hidden="false" customHeight="true" outlineLevel="0" collapsed="false">
      <c r="A96" s="13" t="n">
        <v>44866</v>
      </c>
      <c r="B96" s="14" t="n">
        <v>42348.63</v>
      </c>
    </row>
    <row r="97" customFormat="false" ht="15" hidden="false" customHeight="true" outlineLevel="0" collapsed="false">
      <c r="A97" s="13" t="n">
        <v>44896</v>
      </c>
      <c r="B97" s="14" t="n">
        <v>40420.45</v>
      </c>
    </row>
    <row r="98" customFormat="false" ht="15" hidden="false" customHeight="true" outlineLevel="0" collapsed="false">
      <c r="A98" s="13" t="n">
        <v>44927</v>
      </c>
      <c r="B98" s="14" t="n">
        <v>40673.06</v>
      </c>
    </row>
    <row r="99" customFormat="false" ht="15" hidden="false" customHeight="true" outlineLevel="0" collapsed="false">
      <c r="A99" s="13" t="n">
        <v>44958</v>
      </c>
      <c r="B99" s="14" t="n">
        <v>40510.37</v>
      </c>
    </row>
    <row r="100" customFormat="false" ht="15" hidden="false" customHeight="true" outlineLevel="0" collapsed="false">
      <c r="A100" s="13" t="n">
        <v>44986</v>
      </c>
      <c r="B100" s="14" t="n">
        <v>40000.83</v>
      </c>
    </row>
    <row r="101" customFormat="false" ht="15" hidden="false" customHeight="true" outlineLevel="0" collapsed="false">
      <c r="A101" s="13" t="n">
        <v>45017</v>
      </c>
      <c r="B101" s="14" t="n">
        <v>41580.85</v>
      </c>
    </row>
    <row r="102" customFormat="false" ht="15" hidden="false" customHeight="true" outlineLevel="0" collapsed="false">
      <c r="A102" s="13" t="n">
        <v>45047</v>
      </c>
      <c r="B102" s="14" t="n">
        <v>41337.82</v>
      </c>
    </row>
    <row r="103" customFormat="false" ht="15" hidden="false" customHeight="true" outlineLevel="0" collapsed="false">
      <c r="A103" s="13" t="n">
        <v>45078</v>
      </c>
      <c r="B103" s="14" t="n">
        <v>41452.68</v>
      </c>
    </row>
    <row r="104" customFormat="false" ht="15" hidden="false" customHeight="true" outlineLevel="0" collapsed="false">
      <c r="A104" s="13" t="n">
        <v>45108</v>
      </c>
      <c r="B104" s="14" t="n">
        <v>48034.59</v>
      </c>
    </row>
    <row r="105" customFormat="false" ht="15" hidden="false" customHeight="true" outlineLevel="0" collapsed="false">
      <c r="A105" s="13" t="n">
        <v>45139</v>
      </c>
      <c r="B105" s="14" t="n">
        <v>45002.41</v>
      </c>
    </row>
    <row r="106" customFormat="false" ht="15" hidden="false" customHeight="true" outlineLevel="0" collapsed="false">
      <c r="A106" s="13" t="n">
        <v>45170</v>
      </c>
      <c r="B106" s="14" t="n">
        <v>46232.59</v>
      </c>
    </row>
    <row r="107" customFormat="false" ht="15" hidden="false" customHeight="true" outlineLevel="0" collapsed="false">
      <c r="A107" s="13" t="n">
        <v>45200</v>
      </c>
      <c r="B107" s="14" t="n">
        <v>51976.31</v>
      </c>
    </row>
    <row r="108" customFormat="false" ht="15" hidden="false" customHeight="true" outlineLevel="0" collapsed="false">
      <c r="A108" s="13" t="n">
        <v>45231</v>
      </c>
      <c r="B108" s="14" t="n">
        <v>60526.77</v>
      </c>
    </row>
    <row r="109" customFormat="false" ht="15" hidden="false" customHeight="true" outlineLevel="0" collapsed="false">
      <c r="A109" s="13" t="n">
        <v>45261</v>
      </c>
      <c r="B109" s="14" t="n">
        <v>62451.04</v>
      </c>
    </row>
    <row r="110" customFormat="false" ht="15" hidden="false" customHeight="true" outlineLevel="0" collapsed="false">
      <c r="A110" s="13" t="n">
        <v>45292</v>
      </c>
      <c r="B110" s="14" t="n">
        <v>61979.18</v>
      </c>
    </row>
    <row r="111" customFormat="false" ht="15" hidden="false" customHeight="true" outlineLevel="0" collapsed="false">
      <c r="A111" s="13" t="n">
        <v>45323</v>
      </c>
      <c r="B111" s="14" t="n">
        <v>64578.52</v>
      </c>
    </row>
    <row r="112" customFormat="false" ht="15" hidden="false" customHeight="true" outlineLevel="0" collapsed="false">
      <c r="A112" s="13" t="n">
        <v>45352</v>
      </c>
      <c r="B112" s="14" t="n">
        <v>67005.11</v>
      </c>
    </row>
    <row r="113" customFormat="false" ht="15" hidden="false" customHeight="true" outlineLevel="0" collapsed="false">
      <c r="A113" s="13" t="n">
        <v>45383</v>
      </c>
      <c r="B113" s="14" t="n">
        <v>71102.55</v>
      </c>
    </row>
    <row r="114" customFormat="false" ht="15" hidden="false" customHeight="true" outlineLevel="0" collapsed="false">
      <c r="A114" s="13" t="n">
        <v>45413</v>
      </c>
      <c r="B114" s="14" t="n">
        <v>75878.48</v>
      </c>
    </row>
    <row r="115" customFormat="false" ht="15" hidden="false" customHeight="true" outlineLevel="0" collapsed="false">
      <c r="A115" s="13" t="n">
        <v>45444</v>
      </c>
      <c r="B115" s="14" t="n">
        <v>78444.96</v>
      </c>
    </row>
    <row r="116" customFormat="false" ht="15" hidden="false" customHeight="true" outlineLevel="0" collapsed="false">
      <c r="A116" s="13" t="n">
        <v>45474</v>
      </c>
      <c r="B116" s="14" t="n">
        <v>77886.99</v>
      </c>
    </row>
    <row r="117" customFormat="false" ht="15" hidden="false" customHeight="true" outlineLevel="0" collapsed="false">
      <c r="A117" s="13" t="n">
        <v>45505</v>
      </c>
      <c r="B117" s="14" t="n">
        <v>78488.22</v>
      </c>
    </row>
    <row r="118" customFormat="false" ht="15" hidden="false" customHeight="true" outlineLevel="0" collapsed="false">
      <c r="A118" s="13" t="n">
        <v>45536</v>
      </c>
      <c r="B118" s="14" t="n">
        <v>81114.2</v>
      </c>
    </row>
    <row r="119" customFormat="false" ht="15" hidden="false" customHeight="true" outlineLevel="0" collapsed="false">
      <c r="A119" s="13" t="n">
        <v>45566</v>
      </c>
      <c r="B119" s="14" t="n">
        <v>88966.77</v>
      </c>
    </row>
    <row r="120" customFormat="false" ht="15" hidden="false" customHeight="true" outlineLevel="0" collapsed="false">
      <c r="A120" s="13" t="n">
        <v>45597</v>
      </c>
      <c r="B120" s="14" t="n">
        <v>101357.32</v>
      </c>
    </row>
    <row r="121" customFormat="false" ht="15" hidden="false" customHeight="true" outlineLevel="0" collapsed="false">
      <c r="A121" s="13" t="n">
        <v>45627</v>
      </c>
      <c r="B121" s="14" t="n">
        <v>115126.9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4" min="4" style="1" width="80"/>
  </cols>
  <sheetData>
    <row r="1" customFormat="false" ht="15" hidden="false" customHeight="true" outlineLevel="0" collapsed="false">
      <c r="A1" s="12" t="s">
        <v>51</v>
      </c>
      <c r="B1" s="12" t="s">
        <v>61</v>
      </c>
      <c r="D1" s="5" t="s">
        <v>62</v>
      </c>
    </row>
    <row r="2" customFormat="false" ht="15" hidden="false" customHeight="true" outlineLevel="0" collapsed="false">
      <c r="A2" s="13" t="n">
        <v>42005</v>
      </c>
      <c r="B2" s="15" t="n">
        <v>0.089217</v>
      </c>
    </row>
    <row r="3" customFormat="false" ht="15" hidden="false" customHeight="true" outlineLevel="0" collapsed="false">
      <c r="A3" s="13" t="n">
        <v>42036</v>
      </c>
      <c r="B3" s="15" t="n">
        <v>0.083232</v>
      </c>
    </row>
    <row r="4" customFormat="false" ht="15" hidden="false" customHeight="true" outlineLevel="0" collapsed="false">
      <c r="A4" s="13" t="n">
        <v>42064</v>
      </c>
      <c r="B4" s="15" t="n">
        <v>0.081578</v>
      </c>
    </row>
    <row r="5" customFormat="false" ht="15" hidden="false" customHeight="true" outlineLevel="0" collapsed="false">
      <c r="A5" s="13" t="n">
        <v>42095</v>
      </c>
      <c r="B5" s="15" t="n">
        <v>0.073798</v>
      </c>
    </row>
    <row r="6" customFormat="false" ht="15" hidden="false" customHeight="true" outlineLevel="0" collapsed="false">
      <c r="A6" s="13" t="n">
        <v>42125</v>
      </c>
      <c r="B6" s="15" t="n">
        <v>0.066055</v>
      </c>
    </row>
    <row r="7" customFormat="false" ht="15" hidden="false" customHeight="true" outlineLevel="0" collapsed="false">
      <c r="A7" s="13" t="n">
        <v>42156</v>
      </c>
      <c r="B7" s="15" t="n">
        <v>0.068637</v>
      </c>
    </row>
    <row r="8" customFormat="false" ht="15" hidden="false" customHeight="true" outlineLevel="0" collapsed="false">
      <c r="A8" s="13" t="n">
        <v>42186</v>
      </c>
      <c r="B8" s="15" t="n">
        <v>0.06919</v>
      </c>
    </row>
    <row r="9" customFormat="false" ht="15" hidden="false" customHeight="true" outlineLevel="0" collapsed="false">
      <c r="A9" s="13" t="n">
        <v>42217</v>
      </c>
      <c r="B9" s="15" t="n">
        <v>0.069308</v>
      </c>
    </row>
    <row r="10" customFormat="false" ht="15" hidden="false" customHeight="true" outlineLevel="0" collapsed="false">
      <c r="A10" s="13" t="n">
        <v>42248</v>
      </c>
      <c r="B10" s="15" t="n">
        <v>0.064663</v>
      </c>
    </row>
    <row r="11" customFormat="false" ht="15" hidden="false" customHeight="true" outlineLevel="0" collapsed="false">
      <c r="A11" s="13" t="n">
        <v>42278</v>
      </c>
      <c r="B11" s="15" t="n">
        <v>0.063038</v>
      </c>
    </row>
    <row r="12" customFormat="false" ht="15" hidden="false" customHeight="true" outlineLevel="0" collapsed="false">
      <c r="A12" s="13" t="n">
        <v>42309</v>
      </c>
      <c r="B12" s="15" t="n">
        <v>0.063691</v>
      </c>
    </row>
    <row r="13" customFormat="false" ht="15" hidden="false" customHeight="true" outlineLevel="0" collapsed="false">
      <c r="A13" s="13" t="n">
        <v>42339</v>
      </c>
      <c r="B13" s="15" t="n">
        <v>0.063374</v>
      </c>
    </row>
    <row r="14" customFormat="false" ht="15" hidden="false" customHeight="true" outlineLevel="0" collapsed="false">
      <c r="A14" s="13" t="n">
        <v>42370</v>
      </c>
      <c r="B14" s="15" t="n">
        <v>0.061617</v>
      </c>
    </row>
    <row r="15" customFormat="false" ht="15" hidden="false" customHeight="true" outlineLevel="0" collapsed="false">
      <c r="A15" s="13" t="n">
        <v>42401</v>
      </c>
      <c r="B15" s="15" t="n">
        <v>0.062141</v>
      </c>
    </row>
    <row r="16" customFormat="false" ht="15" hidden="false" customHeight="true" outlineLevel="0" collapsed="false">
      <c r="A16" s="13" t="n">
        <v>42430</v>
      </c>
      <c r="B16" s="15" t="n">
        <v>0.061697</v>
      </c>
    </row>
    <row r="17" customFormat="false" ht="15" hidden="false" customHeight="true" outlineLevel="0" collapsed="false">
      <c r="A17" s="13" t="n">
        <v>42461</v>
      </c>
      <c r="B17" s="15" t="n">
        <v>0.061697</v>
      </c>
    </row>
    <row r="18" customFormat="false" ht="15" hidden="false" customHeight="true" outlineLevel="0" collapsed="false">
      <c r="A18" s="13" t="n">
        <v>42491</v>
      </c>
      <c r="B18" s="15" t="n">
        <v>0.059875</v>
      </c>
    </row>
    <row r="19" customFormat="false" ht="15" hidden="false" customHeight="true" outlineLevel="0" collapsed="false">
      <c r="A19" s="13" t="n">
        <v>42522</v>
      </c>
      <c r="B19" s="15" t="n">
        <v>0.058998</v>
      </c>
    </row>
    <row r="20" customFormat="false" ht="15" hidden="false" customHeight="true" outlineLevel="0" collapsed="false">
      <c r="A20" s="13" t="n">
        <v>42552</v>
      </c>
      <c r="B20" s="15" t="n">
        <v>0.057873</v>
      </c>
    </row>
    <row r="21" customFormat="false" ht="15" hidden="false" customHeight="true" outlineLevel="0" collapsed="false">
      <c r="A21" s="13" t="n">
        <v>42583</v>
      </c>
      <c r="B21" s="15" t="n">
        <v>0.0586</v>
      </c>
    </row>
    <row r="22" customFormat="false" ht="15" hidden="false" customHeight="true" outlineLevel="0" collapsed="false">
      <c r="A22" s="13" t="n">
        <v>42614</v>
      </c>
      <c r="B22" s="15" t="n">
        <v>0.0586</v>
      </c>
    </row>
    <row r="23" customFormat="false" ht="15" hidden="false" customHeight="true" outlineLevel="0" collapsed="false">
      <c r="A23" s="13" t="n">
        <v>42644</v>
      </c>
      <c r="B23" s="15" t="n">
        <v>0.0588</v>
      </c>
    </row>
    <row r="24" customFormat="false" ht="15" hidden="false" customHeight="true" outlineLevel="0" collapsed="false">
      <c r="A24" s="13" t="n">
        <v>42675</v>
      </c>
      <c r="B24" s="15" t="n">
        <v>0.0595</v>
      </c>
    </row>
    <row r="25" customFormat="false" ht="15" hidden="false" customHeight="true" outlineLevel="0" collapsed="false">
      <c r="A25" s="13" t="n">
        <v>42705</v>
      </c>
      <c r="B25" s="15" t="n">
        <v>0.059649</v>
      </c>
    </row>
    <row r="26" customFormat="false" ht="15" hidden="false" customHeight="true" outlineLevel="0" collapsed="false">
      <c r="A26" s="13" t="n">
        <v>42736</v>
      </c>
      <c r="B26" s="15" t="n">
        <v>0.058821</v>
      </c>
    </row>
    <row r="27" customFormat="false" ht="15" hidden="false" customHeight="true" outlineLevel="0" collapsed="false">
      <c r="A27" s="13" t="n">
        <v>42767</v>
      </c>
      <c r="B27" s="15" t="n">
        <v>0.059417</v>
      </c>
    </row>
    <row r="28" customFormat="false" ht="15" hidden="false" customHeight="true" outlineLevel="0" collapsed="false">
      <c r="A28" s="13" t="n">
        <v>42795</v>
      </c>
      <c r="B28" s="15" t="n">
        <v>0.059718</v>
      </c>
    </row>
    <row r="29" customFormat="false" ht="15" hidden="false" customHeight="true" outlineLevel="0" collapsed="false">
      <c r="A29" s="13" t="n">
        <v>42826</v>
      </c>
      <c r="B29" s="15" t="n">
        <v>0.059851</v>
      </c>
    </row>
    <row r="30" customFormat="false" ht="15" hidden="false" customHeight="true" outlineLevel="0" collapsed="false">
      <c r="A30" s="13" t="n">
        <v>42856</v>
      </c>
      <c r="B30" s="15" t="n">
        <v>0.059851</v>
      </c>
    </row>
    <row r="31" customFormat="false" ht="15" hidden="false" customHeight="true" outlineLevel="0" collapsed="false">
      <c r="A31" s="13" t="n">
        <v>42887</v>
      </c>
      <c r="B31" s="15" t="n">
        <v>0.05991</v>
      </c>
    </row>
    <row r="32" customFormat="false" ht="15" hidden="false" customHeight="true" outlineLevel="0" collapsed="false">
      <c r="A32" s="13" t="n">
        <v>42917</v>
      </c>
      <c r="B32" s="15" t="n">
        <v>0.059909</v>
      </c>
    </row>
    <row r="33" customFormat="false" ht="15" hidden="false" customHeight="true" outlineLevel="0" collapsed="false">
      <c r="A33" s="13" t="n">
        <v>42948</v>
      </c>
      <c r="B33" s="15" t="n">
        <v>0.059902</v>
      </c>
    </row>
    <row r="34" customFormat="false" ht="15" hidden="false" customHeight="true" outlineLevel="0" collapsed="false">
      <c r="A34" s="13" t="n">
        <v>42979</v>
      </c>
      <c r="B34" s="15" t="n">
        <v>0.05991</v>
      </c>
    </row>
    <row r="35" customFormat="false" ht="15" hidden="false" customHeight="true" outlineLevel="0" collapsed="false">
      <c r="A35" s="13" t="n">
        <v>43009</v>
      </c>
      <c r="B35" s="15" t="n">
        <v>0.05991</v>
      </c>
    </row>
    <row r="36" customFormat="false" ht="15" hidden="false" customHeight="true" outlineLevel="0" collapsed="false">
      <c r="A36" s="13" t="n">
        <v>43040</v>
      </c>
      <c r="B36" s="15" t="n">
        <v>0.059909</v>
      </c>
    </row>
    <row r="37" customFormat="false" ht="15" hidden="false" customHeight="true" outlineLevel="0" collapsed="false">
      <c r="A37" s="13" t="n">
        <v>43070</v>
      </c>
      <c r="B37" s="15" t="n">
        <v>0.05991</v>
      </c>
    </row>
    <row r="38" customFormat="false" ht="15" hidden="false" customHeight="true" outlineLevel="0" collapsed="false">
      <c r="A38" s="13" t="n">
        <v>43101</v>
      </c>
      <c r="B38" s="15" t="n">
        <v>0.062</v>
      </c>
    </row>
    <row r="39" customFormat="false" ht="15" hidden="false" customHeight="true" outlineLevel="0" collapsed="false">
      <c r="A39" s="13" t="n">
        <v>43132</v>
      </c>
      <c r="B39" s="15" t="n">
        <v>0.062322</v>
      </c>
    </row>
    <row r="40" customFormat="false" ht="15" hidden="false" customHeight="true" outlineLevel="0" collapsed="false">
      <c r="A40" s="13" t="n">
        <v>43160</v>
      </c>
      <c r="B40" s="15" t="n">
        <v>0.062591</v>
      </c>
    </row>
    <row r="41" customFormat="false" ht="15" hidden="false" customHeight="true" outlineLevel="0" collapsed="false">
      <c r="A41" s="13" t="n">
        <v>43191</v>
      </c>
      <c r="B41" s="15" t="n">
        <v>0.062369</v>
      </c>
    </row>
    <row r="42" customFormat="false" ht="15" hidden="false" customHeight="true" outlineLevel="0" collapsed="false">
      <c r="A42" s="13" t="n">
        <v>43221</v>
      </c>
      <c r="B42" s="15" t="n">
        <v>0.062585</v>
      </c>
    </row>
    <row r="43" customFormat="false" ht="15" hidden="false" customHeight="true" outlineLevel="0" collapsed="false">
      <c r="A43" s="13" t="n">
        <v>43252</v>
      </c>
      <c r="B43" s="15" t="n">
        <v>0.067595</v>
      </c>
    </row>
    <row r="44" customFormat="false" ht="15" hidden="false" customHeight="true" outlineLevel="0" collapsed="false">
      <c r="A44" s="13" t="n">
        <v>43282</v>
      </c>
      <c r="B44" s="15" t="n">
        <v>0.077213</v>
      </c>
    </row>
    <row r="45" customFormat="false" ht="15" hidden="false" customHeight="true" outlineLevel="0" collapsed="false">
      <c r="A45" s="13" t="n">
        <v>43313</v>
      </c>
      <c r="B45" s="15" t="n">
        <v>0.0775</v>
      </c>
    </row>
    <row r="46" customFormat="false" ht="15" hidden="false" customHeight="true" outlineLevel="0" collapsed="false">
      <c r="A46" s="13" t="n">
        <v>43344</v>
      </c>
      <c r="B46" s="15" t="n">
        <v>0.0775</v>
      </c>
    </row>
    <row r="47" customFormat="false" ht="15" hidden="false" customHeight="true" outlineLevel="0" collapsed="false">
      <c r="A47" s="13" t="n">
        <v>43374</v>
      </c>
      <c r="B47" s="15" t="n">
        <v>0.087919</v>
      </c>
    </row>
    <row r="48" customFormat="false" ht="15" hidden="false" customHeight="true" outlineLevel="0" collapsed="false">
      <c r="A48" s="13" t="n">
        <v>43405</v>
      </c>
      <c r="B48" s="15" t="n">
        <v>0.087981</v>
      </c>
    </row>
    <row r="49" customFormat="false" ht="15" hidden="false" customHeight="true" outlineLevel="0" collapsed="false">
      <c r="A49" s="13" t="n">
        <v>43435</v>
      </c>
      <c r="B49" s="15" t="n">
        <v>0.102966</v>
      </c>
    </row>
    <row r="50" customFormat="false" ht="15" hidden="false" customHeight="true" outlineLevel="0" collapsed="false">
      <c r="A50" s="13" t="n">
        <v>43466</v>
      </c>
      <c r="B50" s="15" t="n">
        <v>0.10301</v>
      </c>
    </row>
    <row r="51" customFormat="false" ht="15" hidden="false" customHeight="true" outlineLevel="0" collapsed="false">
      <c r="A51" s="13" t="n">
        <v>43497</v>
      </c>
      <c r="B51" s="15" t="n">
        <v>0.105498</v>
      </c>
    </row>
    <row r="52" customFormat="false" ht="15" hidden="false" customHeight="true" outlineLevel="0" collapsed="false">
      <c r="A52" s="13" t="n">
        <v>43525</v>
      </c>
      <c r="B52" s="15" t="n">
        <v>0.105428</v>
      </c>
    </row>
    <row r="53" customFormat="false" ht="15" hidden="false" customHeight="true" outlineLevel="0" collapsed="false">
      <c r="A53" s="13" t="n">
        <v>43556</v>
      </c>
      <c r="B53" s="15" t="n">
        <v>0.109503</v>
      </c>
    </row>
    <row r="54" customFormat="false" ht="15" hidden="false" customHeight="true" outlineLevel="0" collapsed="false">
      <c r="A54" s="13" t="n">
        <v>43586</v>
      </c>
      <c r="B54" s="15" t="n">
        <v>0.125747</v>
      </c>
    </row>
    <row r="55" customFormat="false" ht="15" hidden="false" customHeight="true" outlineLevel="0" collapsed="false">
      <c r="A55" s="13" t="n">
        <v>43617</v>
      </c>
      <c r="B55" s="15" t="n">
        <v>0.127381</v>
      </c>
    </row>
    <row r="56" customFormat="false" ht="15" hidden="false" customHeight="true" outlineLevel="0" collapsed="false">
      <c r="A56" s="13" t="n">
        <v>43647</v>
      </c>
      <c r="B56" s="15" t="n">
        <v>0.137457</v>
      </c>
    </row>
    <row r="57" customFormat="false" ht="15" hidden="false" customHeight="true" outlineLevel="0" collapsed="false">
      <c r="A57" s="13" t="n">
        <v>43678</v>
      </c>
      <c r="B57" s="15" t="n">
        <v>0.13749</v>
      </c>
    </row>
    <row r="58" customFormat="false" ht="15" hidden="false" customHeight="true" outlineLevel="0" collapsed="false">
      <c r="A58" s="13" t="n">
        <v>43709</v>
      </c>
      <c r="B58" s="15" t="n">
        <v>0.137179</v>
      </c>
    </row>
    <row r="59" customFormat="false" ht="15" hidden="false" customHeight="true" outlineLevel="0" collapsed="false">
      <c r="A59" s="13" t="n">
        <v>43739</v>
      </c>
      <c r="B59" s="15" t="n">
        <v>0.132504</v>
      </c>
    </row>
    <row r="60" customFormat="false" ht="15" hidden="false" customHeight="true" outlineLevel="0" collapsed="false">
      <c r="A60" s="13" t="n">
        <v>43770</v>
      </c>
      <c r="B60" s="15" t="n">
        <v>0.134608</v>
      </c>
    </row>
    <row r="61" customFormat="false" ht="15" hidden="false" customHeight="true" outlineLevel="0" collapsed="false">
      <c r="A61" s="13" t="n">
        <v>43800</v>
      </c>
      <c r="B61" s="15" t="n">
        <v>0.134462</v>
      </c>
    </row>
    <row r="62" customFormat="false" ht="15" hidden="false" customHeight="true" outlineLevel="0" collapsed="false">
      <c r="A62" s="13" t="n">
        <v>43831</v>
      </c>
      <c r="B62" s="15" t="n">
        <v>0.133885</v>
      </c>
    </row>
    <row r="63" customFormat="false" ht="15" hidden="false" customHeight="true" outlineLevel="0" collapsed="false">
      <c r="A63" s="13" t="n">
        <v>43862</v>
      </c>
      <c r="B63" s="15" t="n">
        <v>0.133811</v>
      </c>
    </row>
    <row r="64" customFormat="false" ht="15" hidden="false" customHeight="true" outlineLevel="0" collapsed="false">
      <c r="A64" s="13" t="n">
        <v>43891</v>
      </c>
      <c r="B64" s="15" t="n">
        <v>0.112174</v>
      </c>
    </row>
    <row r="65" customFormat="false" ht="15" hidden="false" customHeight="true" outlineLevel="0" collapsed="false">
      <c r="A65" s="13" t="n">
        <v>43922</v>
      </c>
      <c r="B65" s="15" t="n">
        <v>0.08214</v>
      </c>
    </row>
    <row r="66" customFormat="false" ht="15" hidden="false" customHeight="true" outlineLevel="0" collapsed="false">
      <c r="A66" s="13" t="n">
        <v>43952</v>
      </c>
      <c r="B66" s="15" t="n">
        <v>0.081207</v>
      </c>
    </row>
    <row r="67" customFormat="false" ht="15" hidden="false" customHeight="true" outlineLevel="0" collapsed="false">
      <c r="A67" s="13" t="n">
        <v>43983</v>
      </c>
      <c r="B67" s="15" t="n">
        <v>0.068488</v>
      </c>
    </row>
    <row r="68" customFormat="false" ht="15" hidden="false" customHeight="true" outlineLevel="0" collapsed="false">
      <c r="A68" s="13" t="n">
        <v>44013</v>
      </c>
      <c r="B68" s="15" t="n">
        <v>0.068734</v>
      </c>
    </row>
    <row r="69" customFormat="false" ht="15" hidden="false" customHeight="true" outlineLevel="0" collapsed="false">
      <c r="A69" s="13" t="n">
        <v>44044</v>
      </c>
      <c r="B69" s="15" t="n">
        <v>0.070916</v>
      </c>
    </row>
    <row r="70" customFormat="false" ht="15" hidden="false" customHeight="true" outlineLevel="0" collapsed="false">
      <c r="A70" s="13" t="n">
        <v>44075</v>
      </c>
      <c r="B70" s="15" t="n">
        <v>0.070983</v>
      </c>
    </row>
    <row r="71" customFormat="false" ht="15" hidden="false" customHeight="true" outlineLevel="0" collapsed="false">
      <c r="A71" s="13" t="n">
        <v>44105</v>
      </c>
      <c r="B71" s="15" t="n">
        <v>0.07158</v>
      </c>
    </row>
    <row r="72" customFormat="false" ht="15" hidden="false" customHeight="true" outlineLevel="0" collapsed="false">
      <c r="A72" s="13" t="n">
        <v>44136</v>
      </c>
      <c r="B72" s="15" t="n">
        <v>0.071402</v>
      </c>
    </row>
    <row r="73" customFormat="false" ht="15" hidden="false" customHeight="true" outlineLevel="0" collapsed="false">
      <c r="A73" s="13" t="n">
        <v>44166</v>
      </c>
      <c r="B73" s="15" t="n">
        <v>0.07109</v>
      </c>
    </row>
    <row r="74" customFormat="false" ht="15" hidden="false" customHeight="true" outlineLevel="0" collapsed="false">
      <c r="A74" s="13" t="n">
        <v>44197</v>
      </c>
      <c r="B74" s="15" t="n">
        <v>0.071517</v>
      </c>
    </row>
    <row r="75" customFormat="false" ht="15" hidden="false" customHeight="true" outlineLevel="0" collapsed="false">
      <c r="A75" s="13" t="n">
        <v>44228</v>
      </c>
      <c r="B75" s="15" t="n">
        <v>0.071906</v>
      </c>
    </row>
    <row r="76" customFormat="false" ht="15" hidden="false" customHeight="true" outlineLevel="0" collapsed="false">
      <c r="A76" s="13" t="n">
        <v>44256</v>
      </c>
      <c r="B76" s="15" t="n">
        <v>0.074298</v>
      </c>
    </row>
    <row r="77" customFormat="false" ht="15" hidden="false" customHeight="true" outlineLevel="0" collapsed="false">
      <c r="A77" s="13" t="n">
        <v>44287</v>
      </c>
      <c r="B77" s="15" t="n">
        <v>0.073763</v>
      </c>
    </row>
    <row r="78" customFormat="false" ht="15" hidden="false" customHeight="true" outlineLevel="0" collapsed="false">
      <c r="A78" s="13" t="n">
        <v>44317</v>
      </c>
      <c r="B78" s="15" t="n">
        <v>0.07342</v>
      </c>
    </row>
    <row r="79" customFormat="false" ht="15" hidden="false" customHeight="true" outlineLevel="0" collapsed="false">
      <c r="A79" s="13" t="n">
        <v>44348</v>
      </c>
      <c r="B79" s="15" t="n">
        <v>0.072953</v>
      </c>
    </row>
    <row r="80" customFormat="false" ht="15" hidden="false" customHeight="true" outlineLevel="0" collapsed="false">
      <c r="A80" s="13" t="n">
        <v>44378</v>
      </c>
      <c r="B80" s="15" t="n">
        <v>0.072325</v>
      </c>
    </row>
    <row r="81" customFormat="false" ht="15" hidden="false" customHeight="true" outlineLevel="0" collapsed="false">
      <c r="A81" s="13" t="n">
        <v>44409</v>
      </c>
      <c r="B81" s="15" t="n">
        <v>0.072293</v>
      </c>
    </row>
    <row r="82" customFormat="false" ht="15" hidden="false" customHeight="true" outlineLevel="0" collapsed="false">
      <c r="A82" s="13" t="n">
        <v>44440</v>
      </c>
      <c r="B82" s="15" t="n">
        <v>0.075711</v>
      </c>
    </row>
    <row r="83" customFormat="false" ht="15" hidden="false" customHeight="true" outlineLevel="0" collapsed="false">
      <c r="A83" s="13" t="n">
        <v>44470</v>
      </c>
      <c r="B83" s="15" t="n">
        <v>0.081748</v>
      </c>
    </row>
    <row r="84" customFormat="false" ht="15" hidden="false" customHeight="true" outlineLevel="0" collapsed="false">
      <c r="A84" s="13" t="n">
        <v>44501</v>
      </c>
      <c r="B84" s="15" t="n">
        <v>0.085003</v>
      </c>
    </row>
    <row r="85" customFormat="false" ht="15" hidden="false" customHeight="true" outlineLevel="0" collapsed="false">
      <c r="A85" s="13" t="n">
        <v>44531</v>
      </c>
      <c r="B85" s="15" t="n">
        <v>0.103873</v>
      </c>
    </row>
    <row r="86" customFormat="false" ht="15" hidden="false" customHeight="true" outlineLevel="0" collapsed="false">
      <c r="A86" s="13" t="n">
        <v>44562</v>
      </c>
      <c r="B86" s="15" t="n">
        <v>0.10203</v>
      </c>
    </row>
    <row r="87" customFormat="false" ht="15" hidden="false" customHeight="true" outlineLevel="0" collapsed="false">
      <c r="A87" s="13" t="n">
        <v>44593</v>
      </c>
      <c r="B87" s="15" t="n">
        <v>0.103836</v>
      </c>
    </row>
    <row r="88" customFormat="false" ht="15" hidden="false" customHeight="true" outlineLevel="0" collapsed="false">
      <c r="A88" s="13" t="n">
        <v>44621</v>
      </c>
      <c r="B88" s="15" t="n">
        <v>0.117506</v>
      </c>
    </row>
    <row r="89" customFormat="false" ht="15" hidden="false" customHeight="true" outlineLevel="0" collapsed="false">
      <c r="A89" s="13" t="n">
        <v>44652</v>
      </c>
      <c r="B89" s="15" t="n">
        <v>0.141936</v>
      </c>
    </row>
    <row r="90" customFormat="false" ht="15" hidden="false" customHeight="true" outlineLevel="0" collapsed="false">
      <c r="A90" s="13" t="n">
        <v>44682</v>
      </c>
      <c r="B90" s="15" t="n">
        <v>0.144225</v>
      </c>
    </row>
    <row r="91" customFormat="false" ht="15" hidden="false" customHeight="true" outlineLevel="0" collapsed="false">
      <c r="A91" s="13" t="n">
        <v>44713</v>
      </c>
      <c r="B91" s="15" t="n">
        <v>0.1508</v>
      </c>
    </row>
    <row r="92" customFormat="false" ht="15" hidden="false" customHeight="true" outlineLevel="0" collapsed="false">
      <c r="A92" s="13" t="n">
        <v>44743</v>
      </c>
      <c r="B92" s="15" t="n">
        <v>0.1563</v>
      </c>
    </row>
    <row r="93" customFormat="false" ht="15" hidden="false" customHeight="true" outlineLevel="0" collapsed="false">
      <c r="A93" s="13" t="n">
        <v>44774</v>
      </c>
      <c r="B93" s="15" t="n">
        <v>0.1573</v>
      </c>
    </row>
    <row r="94" customFormat="false" ht="15" hidden="false" customHeight="true" outlineLevel="0" collapsed="false">
      <c r="A94" s="13" t="n">
        <v>44805</v>
      </c>
      <c r="B94" s="15" t="n">
        <v>0.1597</v>
      </c>
    </row>
    <row r="95" customFormat="false" ht="15" hidden="false" customHeight="true" outlineLevel="0" collapsed="false">
      <c r="A95" s="13" t="n">
        <v>44835</v>
      </c>
      <c r="B95" s="15" t="n">
        <v>0.1567</v>
      </c>
    </row>
    <row r="96" customFormat="false" ht="15" hidden="false" customHeight="true" outlineLevel="0" collapsed="false">
      <c r="A96" s="13" t="n">
        <v>44866</v>
      </c>
      <c r="B96" s="15" t="n">
        <v>0.1688</v>
      </c>
    </row>
    <row r="97" customFormat="false" ht="15" hidden="false" customHeight="true" outlineLevel="0" collapsed="false">
      <c r="A97" s="13" t="n">
        <v>44896</v>
      </c>
      <c r="B97" s="15" t="n">
        <v>0.1696</v>
      </c>
    </row>
    <row r="98" customFormat="false" ht="15" hidden="false" customHeight="true" outlineLevel="0" collapsed="false">
      <c r="A98" s="13" t="n">
        <v>44927</v>
      </c>
      <c r="B98" s="15" t="n">
        <v>0.1782</v>
      </c>
    </row>
    <row r="99" customFormat="false" ht="15" hidden="false" customHeight="true" outlineLevel="0" collapsed="false">
      <c r="A99" s="13" t="n">
        <v>44958</v>
      </c>
      <c r="B99" s="15" t="n">
        <v>0.1927</v>
      </c>
    </row>
    <row r="100" customFormat="false" ht="15" hidden="false" customHeight="true" outlineLevel="0" collapsed="false">
      <c r="A100" s="13" t="n">
        <v>44986</v>
      </c>
      <c r="B100" s="15" t="n">
        <v>0.2106</v>
      </c>
    </row>
    <row r="101" customFormat="false" ht="15" hidden="false" customHeight="true" outlineLevel="0" collapsed="false">
      <c r="A101" s="13" t="n">
        <v>45017</v>
      </c>
      <c r="B101" s="15" t="n">
        <v>0.2198</v>
      </c>
    </row>
    <row r="102" customFormat="false" ht="15" hidden="false" customHeight="true" outlineLevel="0" collapsed="false">
      <c r="A102" s="13" t="n">
        <v>45047</v>
      </c>
      <c r="B102" s="15" t="n">
        <v>0.2198</v>
      </c>
    </row>
    <row r="103" customFormat="false" ht="15" hidden="false" customHeight="true" outlineLevel="0" collapsed="false">
      <c r="A103" s="13" t="n">
        <v>45078</v>
      </c>
      <c r="B103" s="15" t="n">
        <v>0.2199</v>
      </c>
    </row>
    <row r="104" customFormat="false" ht="15" hidden="false" customHeight="true" outlineLevel="0" collapsed="false">
      <c r="A104" s="13" t="n">
        <v>45108</v>
      </c>
      <c r="B104" s="15" t="n">
        <v>0.228974</v>
      </c>
    </row>
    <row r="105" customFormat="false" ht="15" hidden="false" customHeight="true" outlineLevel="0" collapsed="false">
      <c r="A105" s="13" t="n">
        <v>45139</v>
      </c>
      <c r="B105" s="15" t="n">
        <v>0.2287</v>
      </c>
    </row>
    <row r="106" customFormat="false" ht="15" hidden="false" customHeight="true" outlineLevel="0" collapsed="false">
      <c r="A106" s="13" t="n">
        <v>45170</v>
      </c>
      <c r="B106" s="15" t="n">
        <v>0.227564</v>
      </c>
    </row>
    <row r="107" customFormat="false" ht="15" hidden="false" customHeight="true" outlineLevel="0" collapsed="false">
      <c r="A107" s="13" t="n">
        <v>45200</v>
      </c>
      <c r="B107" s="15" t="n">
        <v>0.2214</v>
      </c>
    </row>
    <row r="108" customFormat="false" ht="15" hidden="false" customHeight="true" outlineLevel="0" collapsed="false">
      <c r="A108" s="13" t="n">
        <v>45231</v>
      </c>
      <c r="B108" s="15" t="n">
        <v>0.2134</v>
      </c>
    </row>
    <row r="109" customFormat="false" ht="15" hidden="false" customHeight="true" outlineLevel="0" collapsed="false">
      <c r="A109" s="13" t="n">
        <v>45261</v>
      </c>
      <c r="B109" s="15" t="n">
        <v>0.2132</v>
      </c>
    </row>
    <row r="110" customFormat="false" ht="15" hidden="false" customHeight="true" outlineLevel="0" collapsed="false">
      <c r="A110" s="13" t="n">
        <v>45292</v>
      </c>
      <c r="B110" s="15" t="n">
        <v>0.209672</v>
      </c>
    </row>
    <row r="111" customFormat="false" ht="15" hidden="false" customHeight="true" outlineLevel="0" collapsed="false">
      <c r="A111" s="13" t="n">
        <v>45323</v>
      </c>
      <c r="B111" s="15" t="n">
        <v>0.2131</v>
      </c>
    </row>
    <row r="112" customFormat="false" ht="15" hidden="false" customHeight="true" outlineLevel="0" collapsed="false">
      <c r="A112" s="13" t="n">
        <v>45352</v>
      </c>
      <c r="B112" s="15" t="n">
        <v>0.2143</v>
      </c>
    </row>
    <row r="113" customFormat="false" ht="15" hidden="false" customHeight="true" outlineLevel="0" collapsed="false">
      <c r="A113" s="13" t="n">
        <v>45383</v>
      </c>
      <c r="B113" s="15" t="n">
        <v>0.2159</v>
      </c>
    </row>
    <row r="114" customFormat="false" ht="15" hidden="false" customHeight="true" outlineLevel="0" collapsed="false">
      <c r="A114" s="13" t="n">
        <v>45413</v>
      </c>
      <c r="B114" s="15" t="n">
        <v>0.2094</v>
      </c>
    </row>
    <row r="115" customFormat="false" ht="15" hidden="false" customHeight="true" outlineLevel="0" collapsed="false">
      <c r="A115" s="13" t="n">
        <v>45444</v>
      </c>
      <c r="B115" s="15" t="n">
        <v>0.200145</v>
      </c>
    </row>
    <row r="116" customFormat="false" ht="15" hidden="false" customHeight="true" outlineLevel="0" collapsed="false">
      <c r="A116" s="13" t="n">
        <v>45474</v>
      </c>
      <c r="B116" s="15" t="n">
        <v>0.1949</v>
      </c>
    </row>
    <row r="117" customFormat="false" ht="15" hidden="false" customHeight="true" outlineLevel="0" collapsed="false">
      <c r="A117" s="13" t="n">
        <v>45505</v>
      </c>
      <c r="B117" s="15" t="n">
        <v>0.1747</v>
      </c>
    </row>
    <row r="118" customFormat="false" ht="15" hidden="false" customHeight="true" outlineLevel="0" collapsed="false">
      <c r="A118" s="13" t="n">
        <v>45536</v>
      </c>
      <c r="B118" s="15" t="n">
        <v>0.1741</v>
      </c>
    </row>
    <row r="119" customFormat="false" ht="15" hidden="false" customHeight="true" outlineLevel="0" collapsed="false">
      <c r="A119" s="13" t="n">
        <v>45566</v>
      </c>
      <c r="B119" s="15" t="n">
        <v>0.1387</v>
      </c>
    </row>
    <row r="120" customFormat="false" ht="15" hidden="false" customHeight="true" outlineLevel="0" collapsed="false">
      <c r="A120" s="13" t="n">
        <v>45597</v>
      </c>
      <c r="B120" s="15" t="n">
        <v>0.1387</v>
      </c>
    </row>
    <row r="121" customFormat="false" ht="15" hidden="false" customHeight="true" outlineLevel="0" collapsed="false">
      <c r="A121" s="13" t="n">
        <v>45627</v>
      </c>
      <c r="B121" s="15" t="n">
        <v>0.1185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10" min="2" style="1" width="11"/>
  </cols>
  <sheetData>
    <row r="1" customFormat="false" ht="15" hidden="false" customHeight="true" outlineLevel="0" collapsed="false">
      <c r="A1" s="12" t="s">
        <v>51</v>
      </c>
      <c r="B1" s="12" t="s">
        <v>52</v>
      </c>
      <c r="C1" s="12" t="s">
        <v>53</v>
      </c>
      <c r="D1" s="12" t="s">
        <v>54</v>
      </c>
      <c r="E1" s="12" t="s">
        <v>55</v>
      </c>
      <c r="F1" s="12" t="s">
        <v>56</v>
      </c>
      <c r="G1" s="12" t="s">
        <v>57</v>
      </c>
      <c r="H1" s="12" t="s">
        <v>58</v>
      </c>
      <c r="I1" s="12" t="s">
        <v>59</v>
      </c>
      <c r="J1" s="12" t="s">
        <v>60</v>
      </c>
      <c r="L1" s="5" t="s">
        <v>63</v>
      </c>
    </row>
    <row r="2" customFormat="false" ht="15" hidden="false" customHeight="true" outlineLevel="0" collapsed="false">
      <c r="A2" s="13" t="n">
        <f aca="false">Raw_Prices!A2</f>
        <v>42005</v>
      </c>
      <c r="B2" s="16"/>
      <c r="C2" s="16"/>
      <c r="D2" s="16"/>
      <c r="E2" s="16"/>
      <c r="F2" s="16"/>
      <c r="G2" s="16"/>
      <c r="H2" s="16"/>
      <c r="I2" s="16"/>
      <c r="J2" s="16"/>
    </row>
    <row r="3" customFormat="false" ht="15" hidden="false" customHeight="true" outlineLevel="0" collapsed="false">
      <c r="A3" s="13" t="n">
        <f aca="false">Raw_Prices!A3</f>
        <v>42036</v>
      </c>
      <c r="B3" s="16" t="n">
        <f aca="false">Raw_Prices!B3/Raw_Prices!B2-1</f>
        <v>0.00137760676452436</v>
      </c>
      <c r="C3" s="16" t="n">
        <f aca="false">Raw_Prices!C3/Raw_Prices!C2-1</f>
        <v>-0.0220006875214851</v>
      </c>
      <c r="D3" s="16" t="n">
        <f aca="false">Raw_Prices!D3/Raw_Prices!D2-1</f>
        <v>0.00327523686980924</v>
      </c>
      <c r="E3" s="16" t="n">
        <f aca="false">Raw_Prices!E3/Raw_Prices!E2-1</f>
        <v>-0.0754428099669768</v>
      </c>
      <c r="F3" s="16" t="n">
        <f aca="false">Raw_Prices!F3/Raw_Prices!F2-1</f>
        <v>-0.0364757945554512</v>
      </c>
      <c r="G3" s="16" t="n">
        <f aca="false">Raw_Prices!G3/Raw_Prices!G2-1</f>
        <v>0.0696513650457538</v>
      </c>
      <c r="H3" s="16" t="n">
        <f aca="false">Raw_Prices!H3/Raw_Prices!H2-1</f>
        <v>0.278716216216216</v>
      </c>
      <c r="I3" s="16" t="n">
        <f aca="false">Raw_Prices!I3/Raw_Prices!I2-1</f>
        <v>-0.117753296008669</v>
      </c>
      <c r="J3" s="16" t="n">
        <f aca="false">KSE100_Benchmark!B3/KSE100_Benchmark!B2-1</f>
        <v>-0.0235652962341339</v>
      </c>
    </row>
    <row r="4" customFormat="false" ht="15" hidden="false" customHeight="true" outlineLevel="0" collapsed="false">
      <c r="A4" s="13" t="n">
        <f aca="false">Raw_Prices!A4</f>
        <v>42064</v>
      </c>
      <c r="B4" s="16" t="n">
        <f aca="false">Raw_Prices!B4/Raw_Prices!B3-1</f>
        <v>-0.13899430740038</v>
      </c>
      <c r="C4" s="16" t="n">
        <f aca="false">Raw_Prices!C4/Raw_Prices!C3-1</f>
        <v>-0.0984182776801407</v>
      </c>
      <c r="D4" s="16" t="n">
        <f aca="false">Raw_Prices!D4/Raw_Prices!D3-1</f>
        <v>-0.100617931677743</v>
      </c>
      <c r="E4" s="16" t="n">
        <f aca="false">Raw_Prices!E4/Raw_Prices!E3-1</f>
        <v>-0.19959736337955</v>
      </c>
      <c r="F4" s="16" t="n">
        <f aca="false">Raw_Prices!F4/Raw_Prices!F3-1</f>
        <v>-0.113152400835073</v>
      </c>
      <c r="G4" s="16" t="n">
        <f aca="false">Raw_Prices!G4/Raw_Prices!G3-1</f>
        <v>-0.0579044117647058</v>
      </c>
      <c r="H4" s="16" t="n">
        <f aca="false">Raw_Prices!H4/Raw_Prices!H3-1</f>
        <v>-0.118229854689564</v>
      </c>
      <c r="I4" s="16" t="n">
        <f aca="false">Raw_Prices!I4/Raw_Prices!I3-1</f>
        <v>-0.0302968270214945</v>
      </c>
      <c r="J4" s="16" t="n">
        <f aca="false">KSE100_Benchmark!B4/KSE100_Benchmark!B3-1</f>
        <v>-0.101043672743286</v>
      </c>
    </row>
    <row r="5" customFormat="false" ht="15" hidden="false" customHeight="true" outlineLevel="0" collapsed="false">
      <c r="A5" s="13" t="n">
        <f aca="false">Raw_Prices!A5</f>
        <v>42095</v>
      </c>
      <c r="B5" s="16" t="n">
        <f aca="false">Raw_Prices!B5/Raw_Prices!B4-1</f>
        <v>0.00413223140495878</v>
      </c>
      <c r="C5" s="16" t="n">
        <f aca="false">Raw_Prices!C5/Raw_Prices!C4-1</f>
        <v>-0.00194931773879137</v>
      </c>
      <c r="D5" s="16" t="n">
        <f aca="false">Raw_Prices!D5/Raw_Prices!D4-1</f>
        <v>0.122634171635986</v>
      </c>
      <c r="E5" s="16" t="n">
        <f aca="false">Raw_Prices!E5/Raw_Prices!E4-1</f>
        <v>0.120081135902637</v>
      </c>
      <c r="F5" s="16" t="n">
        <f aca="false">Raw_Prices!F5/Raw_Prices!F4-1</f>
        <v>0.0940722805129584</v>
      </c>
      <c r="G5" s="16" t="n">
        <f aca="false">Raw_Prices!G5/Raw_Prices!G4-1</f>
        <v>0.0694183864915572</v>
      </c>
      <c r="H5" s="16" t="n">
        <f aca="false">Raw_Prices!H5/Raw_Prices!H4-1</f>
        <v>0.0329588014981272</v>
      </c>
      <c r="I5" s="16" t="n">
        <f aca="false">Raw_Prices!I5/Raw_Prices!I4-1</f>
        <v>0.0584758285834917</v>
      </c>
      <c r="J5" s="16" t="n">
        <f aca="false">KSE100_Benchmark!B5/KSE100_Benchmark!B4-1</f>
        <v>0.115634882335606</v>
      </c>
    </row>
    <row r="6" customFormat="false" ht="15" hidden="false" customHeight="true" outlineLevel="0" collapsed="false">
      <c r="A6" s="13" t="n">
        <f aca="false">Raw_Prices!A6</f>
        <v>42125</v>
      </c>
      <c r="B6" s="16" t="n">
        <f aca="false">Raw_Prices!B6/Raw_Prices!B5-1</f>
        <v>0.0123456790123457</v>
      </c>
      <c r="C6" s="16" t="n">
        <f aca="false">Raw_Prices!C6/Raw_Prices!C5-1</f>
        <v>-0.048046875</v>
      </c>
      <c r="D6" s="16" t="n">
        <f aca="false">Raw_Prices!D6/Raw_Prices!D5-1</f>
        <v>-0.0282909930715934</v>
      </c>
      <c r="E6" s="16" t="n">
        <f aca="false">Raw_Prices!E6/Raw_Prices!E5-1</f>
        <v>-0.0266932270916335</v>
      </c>
      <c r="F6" s="16" t="n">
        <f aca="false">Raw_Prices!F6/Raw_Prices!F5-1</f>
        <v>-0.0806352459016394</v>
      </c>
      <c r="G6" s="16" t="n">
        <f aca="false">Raw_Prices!G6/Raw_Prices!G5-1</f>
        <v>-0.0147368421052632</v>
      </c>
      <c r="H6" s="16" t="n">
        <f aca="false">Raw_Prices!H6/Raw_Prices!H5-1</f>
        <v>-0.075416968817984</v>
      </c>
      <c r="I6" s="16" t="n">
        <f aca="false">Raw_Prices!I6/Raw_Prices!I5-1</f>
        <v>-0.142401276426007</v>
      </c>
      <c r="J6" s="16" t="n">
        <f aca="false">KSE100_Benchmark!B6/KSE100_Benchmark!B5-1</f>
        <v>-0.0199576281738846</v>
      </c>
    </row>
    <row r="7" customFormat="false" ht="15" hidden="false" customHeight="true" outlineLevel="0" collapsed="false">
      <c r="A7" s="13" t="n">
        <f aca="false">Raw_Prices!A7</f>
        <v>42156</v>
      </c>
      <c r="B7" s="16" t="n">
        <f aca="false">Raw_Prices!B7/Raw_Prices!B6-1</f>
        <v>-0.0284552845528455</v>
      </c>
      <c r="C7" s="16" t="n">
        <f aca="false">Raw_Prices!C7/Raw_Prices!C6-1</f>
        <v>-0.0213377102995486</v>
      </c>
      <c r="D7" s="16" t="n">
        <f aca="false">Raw_Prices!D7/Raw_Prices!D6-1</f>
        <v>0.0516934046345809</v>
      </c>
      <c r="E7" s="16" t="n">
        <f aca="false">Raw_Prices!E7/Raw_Prices!E6-1</f>
        <v>-0.0743497190488596</v>
      </c>
      <c r="F7" s="16" t="n">
        <f aca="false">Raw_Prices!F7/Raw_Prices!F6-1</f>
        <v>0.154240499275605</v>
      </c>
      <c r="G7" s="16" t="n">
        <f aca="false">Raw_Prices!G7/Raw_Prices!G6-1</f>
        <v>0.0683760683760684</v>
      </c>
      <c r="H7" s="16" t="n">
        <f aca="false">Raw_Prices!H7/Raw_Prices!H6-1</f>
        <v>0.0156862745098039</v>
      </c>
      <c r="I7" s="16" t="n">
        <f aca="false">Raw_Prices!I7/Raw_Prices!I6-1</f>
        <v>0.00372093023255804</v>
      </c>
      <c r="J7" s="16" t="n">
        <f aca="false">KSE100_Benchmark!B7/KSE100_Benchmark!B6-1</f>
        <v>0.0405989208268558</v>
      </c>
    </row>
    <row r="8" customFormat="false" ht="15" hidden="false" customHeight="true" outlineLevel="0" collapsed="false">
      <c r="A8" s="13" t="n">
        <f aca="false">Raw_Prices!A8</f>
        <v>42186</v>
      </c>
      <c r="B8" s="16" t="n">
        <f aca="false">Raw_Prices!B8/Raw_Prices!B7-1</f>
        <v>-0.0906555090655509</v>
      </c>
      <c r="C8" s="16" t="n">
        <f aca="false">Raw_Prices!C8/Raw_Prices!C7-1</f>
        <v>0.129140461215933</v>
      </c>
      <c r="D8" s="16" t="n">
        <f aca="false">Raw_Prices!D8/Raw_Prices!D7-1</f>
        <v>0.0485875706214689</v>
      </c>
      <c r="E8" s="16" t="n">
        <f aca="false">Raw_Prices!E8/Raw_Prices!E7-1</f>
        <v>0.125628140703518</v>
      </c>
      <c r="F8" s="16" t="n">
        <f aca="false">Raw_Prices!F8/Raw_Prices!F7-1</f>
        <v>0.0727044510958772</v>
      </c>
      <c r="G8" s="16" t="n">
        <f aca="false">Raw_Prices!G8/Raw_Prices!G7-1</f>
        <v>-0.0207333333333334</v>
      </c>
      <c r="H8" s="16" t="n">
        <f aca="false">Raw_Prices!H8/Raw_Prices!H7-1</f>
        <v>0.0471042471042471</v>
      </c>
      <c r="I8" s="16" t="n">
        <f aca="false">Raw_Prices!I8/Raw_Prices!I7-1</f>
        <v>-0.048887859128823</v>
      </c>
      <c r="J8" s="16" t="n">
        <f aca="false">KSE100_Benchmark!B8/KSE100_Benchmark!B7-1</f>
        <v>0.0390321074593749</v>
      </c>
    </row>
    <row r="9" customFormat="false" ht="15" hidden="false" customHeight="true" outlineLevel="0" collapsed="false">
      <c r="A9" s="13" t="n">
        <f aca="false">Raw_Prices!A9</f>
        <v>42217</v>
      </c>
      <c r="B9" s="16" t="n">
        <f aca="false">Raw_Prices!B9/Raw_Prices!B8-1</f>
        <v>-0.126625766871166</v>
      </c>
      <c r="C9" s="16" t="n">
        <f aca="false">Raw_Prices!C9/Raw_Prices!C8-1</f>
        <v>0.071295952469365</v>
      </c>
      <c r="D9" s="16" t="n">
        <f aca="false">Raw_Prices!D9/Raw_Prices!D8-1</f>
        <v>0.0257543103448277</v>
      </c>
      <c r="E9" s="16" t="n">
        <f aca="false">Raw_Prices!E9/Raw_Prices!E8-1</f>
        <v>-0.0964285714285714</v>
      </c>
      <c r="F9" s="16" t="n">
        <f aca="false">Raw_Prices!F9/Raw_Prices!F8-1</f>
        <v>-0.0495049504950496</v>
      </c>
      <c r="G9" s="16" t="n">
        <f aca="false">Raw_Prices!G9/Raw_Prices!G8-1</f>
        <v>-0.0638573081898018</v>
      </c>
      <c r="H9" s="16" t="n">
        <f aca="false">Raw_Prices!H9/Raw_Prices!H8-1</f>
        <v>-0.0324483775811211</v>
      </c>
      <c r="I9" s="16" t="n">
        <f aca="false">Raw_Prices!I9/Raw_Prices!I8-1</f>
        <v>-0.089403166869671</v>
      </c>
      <c r="J9" s="16" t="n">
        <f aca="false">KSE100_Benchmark!B9/KSE100_Benchmark!B8-1</f>
        <v>-0.0283986243450193</v>
      </c>
    </row>
    <row r="10" customFormat="false" ht="15" hidden="false" customHeight="true" outlineLevel="0" collapsed="false">
      <c r="A10" s="13" t="n">
        <f aca="false">Raw_Prices!A10</f>
        <v>42248</v>
      </c>
      <c r="B10" s="16" t="n">
        <f aca="false">Raw_Prices!B10/Raw_Prices!B9-1</f>
        <v>-0.121944366395055</v>
      </c>
      <c r="C10" s="16" t="n">
        <f aca="false">Raw_Prices!C10/Raw_Prices!C9-1</f>
        <v>0.00831889081455794</v>
      </c>
      <c r="D10" s="16" t="n">
        <f aca="false">Raw_Prices!D10/Raw_Prices!D9-1</f>
        <v>-0.0598802395209581</v>
      </c>
      <c r="E10" s="16" t="n">
        <f aca="false">Raw_Prices!E10/Raw_Prices!E9-1</f>
        <v>-0.0988142292490118</v>
      </c>
      <c r="F10" s="16" t="n">
        <f aca="false">Raw_Prices!F10/Raw_Prices!F9-1</f>
        <v>-0.00568181818181823</v>
      </c>
      <c r="G10" s="16" t="n">
        <f aca="false">Raw_Prices!G10/Raw_Prices!G9-1</f>
        <v>-0.0960657406734056</v>
      </c>
      <c r="H10" s="16" t="n">
        <f aca="false">Raw_Prices!H10/Raw_Prices!H9-1</f>
        <v>-0.174542682926829</v>
      </c>
      <c r="I10" s="16" t="n">
        <f aca="false">Raw_Prices!I10/Raw_Prices!I9-1</f>
        <v>-0.102728731942215</v>
      </c>
      <c r="J10" s="16" t="n">
        <f aca="false">KSE100_Benchmark!B10/KSE100_Benchmark!B9-1</f>
        <v>-0.0702374065231434</v>
      </c>
    </row>
    <row r="11" customFormat="false" ht="15" hidden="false" customHeight="true" outlineLevel="0" collapsed="false">
      <c r="A11" s="13" t="n">
        <f aca="false">Raw_Prices!A11</f>
        <v>42278</v>
      </c>
      <c r="B11" s="16" t="n">
        <f aca="false">Raw_Prices!B11/Raw_Prices!B10-1</f>
        <v>0.104</v>
      </c>
      <c r="C11" s="16" t="n">
        <f aca="false">Raw_Prices!C11/Raw_Prices!C10-1</f>
        <v>-0.0580955654864215</v>
      </c>
      <c r="D11" s="16" t="n">
        <f aca="false">Raw_Prices!D11/Raw_Prices!D10-1</f>
        <v>0.0224606101240363</v>
      </c>
      <c r="E11" s="16" t="n">
        <f aca="false">Raw_Prices!E11/Raw_Prices!E10-1</f>
        <v>0.0745614035087718</v>
      </c>
      <c r="F11" s="16" t="n">
        <f aca="false">Raw_Prices!F11/Raw_Prices!F10-1</f>
        <v>0.0282666666666667</v>
      </c>
      <c r="G11" s="16" t="n">
        <f aca="false">Raw_Prices!G11/Raw_Prices!G10-1</f>
        <v>0.0112630732099759</v>
      </c>
      <c r="H11" s="16" t="n">
        <f aca="false">Raw_Prices!H11/Raw_Prices!H10-1</f>
        <v>0.0341643582640812</v>
      </c>
      <c r="I11" s="16" t="n">
        <f aca="false">Raw_Prices!I11/Raw_Prices!I10-1</f>
        <v>0.153846153846154</v>
      </c>
      <c r="J11" s="16" t="n">
        <f aca="false">KSE100_Benchmark!B11/KSE100_Benchmark!B10-1</f>
        <v>0.0611442664493682</v>
      </c>
    </row>
    <row r="12" customFormat="false" ht="15" hidden="false" customHeight="true" outlineLevel="0" collapsed="false">
      <c r="A12" s="13" t="n">
        <f aca="false">Raw_Prices!A12</f>
        <v>42309</v>
      </c>
      <c r="B12" s="16" t="n">
        <f aca="false">Raw_Prices!B12/Raw_Prices!B11-1</f>
        <v>-0.120289855072464</v>
      </c>
      <c r="C12" s="16" t="n">
        <f aca="false">Raw_Prices!C12/Raw_Prices!C11-1</f>
        <v>-0.0233576642335765</v>
      </c>
      <c r="D12" s="16" t="n">
        <f aca="false">Raw_Prices!D12/Raw_Prices!D11-1</f>
        <v>-0.109289617486339</v>
      </c>
      <c r="E12" s="16" t="n">
        <f aca="false">Raw_Prices!E12/Raw_Prices!E11-1</f>
        <v>-0.166734693877551</v>
      </c>
      <c r="F12" s="16" t="n">
        <f aca="false">Raw_Prices!F12/Raw_Prices!F11-1</f>
        <v>-0.10992145820984</v>
      </c>
      <c r="G12" s="16" t="n">
        <f aca="false">Raw_Prices!G12/Raw_Prices!G11-1</f>
        <v>-0.0433571996817821</v>
      </c>
      <c r="H12" s="16" t="n">
        <f aca="false">Raw_Prices!H12/Raw_Prices!H11-1</f>
        <v>-0.0973214285714286</v>
      </c>
      <c r="I12" s="16" t="n">
        <f aca="false">Raw_Prices!I12/Raw_Prices!I11-1</f>
        <v>0.216020671834625</v>
      </c>
      <c r="J12" s="16" t="n">
        <f aca="false">KSE100_Benchmark!B12/KSE100_Benchmark!B11-1</f>
        <v>-0.058561188035585</v>
      </c>
    </row>
    <row r="13" customFormat="false" ht="15" hidden="false" customHeight="true" outlineLevel="0" collapsed="false">
      <c r="A13" s="13" t="n">
        <f aca="false">Raw_Prices!A13</f>
        <v>42339</v>
      </c>
      <c r="B13" s="16" t="n">
        <f aca="false">Raw_Prices!B13/Raw_Prices!B12-1</f>
        <v>-0.0337726523887975</v>
      </c>
      <c r="C13" s="16" t="n">
        <f aca="false">Raw_Prices!C13/Raw_Prices!C12-1</f>
        <v>-0.00560538116591935</v>
      </c>
      <c r="D13" s="16" t="n">
        <f aca="false">Raw_Prices!D13/Raw_Prices!D12-1</f>
        <v>0.0336196319018405</v>
      </c>
      <c r="E13" s="16" t="n">
        <f aca="false">Raw_Prices!E13/Raw_Prices!E12-1</f>
        <v>0.0675973548861131</v>
      </c>
      <c r="F13" s="16" t="n">
        <f aca="false">Raw_Prices!F13/Raw_Prices!F12-1</f>
        <v>0.0260145681581685</v>
      </c>
      <c r="G13" s="16" t="n">
        <f aca="false">Raw_Prices!G13/Raw_Prices!G12-1</f>
        <v>-0.0187110187110187</v>
      </c>
      <c r="H13" s="16" t="n">
        <f aca="false">Raw_Prices!H13/Raw_Prices!H12-1</f>
        <v>0.0652818991097923</v>
      </c>
      <c r="I13" s="16" t="n">
        <f aca="false">Raw_Prices!I13/Raw_Prices!I12-1</f>
        <v>0.359966000849979</v>
      </c>
      <c r="J13" s="16" t="n">
        <f aca="false">KSE100_Benchmark!B13/KSE100_Benchmark!B12-1</f>
        <v>0.0173959547607827</v>
      </c>
    </row>
    <row r="14" customFormat="false" ht="15" hidden="false" customHeight="true" outlineLevel="0" collapsed="false">
      <c r="A14" s="13" t="n">
        <f aca="false">Raw_Prices!A14</f>
        <v>42370</v>
      </c>
      <c r="B14" s="16" t="n">
        <f aca="false">Raw_Prices!B14/Raw_Prices!B13-1</f>
        <v>-0.0707587382779198</v>
      </c>
      <c r="C14" s="16" t="n">
        <f aca="false">Raw_Prices!C14/Raw_Prices!C13-1</f>
        <v>-0.0492296129274709</v>
      </c>
      <c r="D14" s="16" t="n">
        <f aca="false">Raw_Prices!D14/Raw_Prices!D13-1</f>
        <v>-0.0531813865147197</v>
      </c>
      <c r="E14" s="16" t="n">
        <f aca="false">Raw_Prices!E14/Raw_Prices!E13-1</f>
        <v>-0.114475797201193</v>
      </c>
      <c r="F14" s="16" t="n">
        <f aca="false">Raw_Prices!F14/Raw_Prices!F13-1</f>
        <v>-0.02026369168357</v>
      </c>
      <c r="G14" s="16" t="n">
        <f aca="false">Raw_Prices!G14/Raw_Prices!G13-1</f>
        <v>-0.0583898305084746</v>
      </c>
      <c r="H14" s="16" t="n">
        <f aca="false">Raw_Prices!H14/Raw_Prices!H13-1</f>
        <v>-0.0789229340761374</v>
      </c>
      <c r="I14" s="16" t="n">
        <f aca="false">Raw_Prices!I14/Raw_Prices!I13-1</f>
        <v>-0.1190625</v>
      </c>
      <c r="J14" s="16" t="n">
        <f aca="false">KSE100_Benchmark!B14/KSE100_Benchmark!B13-1</f>
        <v>-0.0462486489187846</v>
      </c>
    </row>
    <row r="15" customFormat="false" ht="15" hidden="false" customHeight="true" outlineLevel="0" collapsed="false">
      <c r="A15" s="13" t="n">
        <f aca="false">Raw_Prices!A15</f>
        <v>42401</v>
      </c>
      <c r="B15" s="16" t="n">
        <f aca="false">Raw_Prices!B15/Raw_Prices!B14-1</f>
        <v>-0.0155045871559633</v>
      </c>
      <c r="C15" s="16" t="n">
        <f aca="false">Raw_Prices!C15/Raw_Prices!C14-1</f>
        <v>-0.0379446640316206</v>
      </c>
      <c r="D15" s="16" t="n">
        <f aca="false">Raw_Prices!D15/Raw_Prices!D14-1</f>
        <v>-0.0549147442326983</v>
      </c>
      <c r="E15" s="16" t="n">
        <f aca="false">Raw_Prices!E15/Raw_Prices!E14-1</f>
        <v>0.0134715025906735</v>
      </c>
      <c r="F15" s="16" t="n">
        <f aca="false">Raw_Prices!F15/Raw_Prices!F14-1</f>
        <v>0.0157139603734913</v>
      </c>
      <c r="G15" s="16" t="n">
        <f aca="false">Raw_Prices!G15/Raw_Prices!G14-1</f>
        <v>-0.0225902259022591</v>
      </c>
      <c r="H15" s="16" t="n">
        <f aca="false">Raw_Prices!H15/Raw_Prices!H14-1</f>
        <v>-0.0352822580645161</v>
      </c>
      <c r="I15" s="16" t="n">
        <f aca="false">Raw_Prices!I15/Raw_Prices!I14-1</f>
        <v>-0.0549840368925151</v>
      </c>
      <c r="J15" s="16" t="n">
        <f aca="false">KSE100_Benchmark!B15/KSE100_Benchmark!B14-1</f>
        <v>0.0022655965442544</v>
      </c>
    </row>
    <row r="16" customFormat="false" ht="15" hidden="false" customHeight="true" outlineLevel="0" collapsed="false">
      <c r="A16" s="13" t="n">
        <f aca="false">Raw_Prices!A16</f>
        <v>42430</v>
      </c>
      <c r="B16" s="16" t="n">
        <f aca="false">Raw_Prices!B16/Raw_Prices!B15-1</f>
        <v>0.0687727145652781</v>
      </c>
      <c r="C16" s="16" t="n">
        <f aca="false">Raw_Prices!C16/Raw_Prices!C15-1</f>
        <v>0.00369761709120797</v>
      </c>
      <c r="D16" s="16" t="n">
        <f aca="false">Raw_Prices!D16/Raw_Prices!D15-1</f>
        <v>-0.0793313876359776</v>
      </c>
      <c r="E16" s="16" t="n">
        <f aca="false">Raw_Prices!E16/Raw_Prices!E15-1</f>
        <v>0.0532208588957055</v>
      </c>
      <c r="F16" s="16" t="n">
        <f aca="false">Raw_Prices!F16/Raw_Prices!F15-1</f>
        <v>0.0945780676722381</v>
      </c>
      <c r="G16" s="16" t="n">
        <f aca="false">Raw_Prices!G16/Raw_Prices!G15-1</f>
        <v>-0.0206261510128913</v>
      </c>
      <c r="H16" s="16" t="n">
        <f aca="false">Raw_Prices!H16/Raw_Prices!H15-1</f>
        <v>0.0794148380355277</v>
      </c>
      <c r="I16" s="16" t="n">
        <f aca="false">Raw_Prices!I16/Raw_Prices!I15-1</f>
        <v>0.211148648648649</v>
      </c>
      <c r="J16" s="16" t="n">
        <f aca="false">KSE100_Benchmark!B16/KSE100_Benchmark!B15-1</f>
        <v>0.0564079579183736</v>
      </c>
    </row>
    <row r="17" customFormat="false" ht="15" hidden="false" customHeight="true" outlineLevel="0" collapsed="false">
      <c r="A17" s="13" t="n">
        <f aca="false">Raw_Prices!A17</f>
        <v>42461</v>
      </c>
      <c r="B17" s="16" t="n">
        <f aca="false">Raw_Prices!B17/Raw_Prices!B16-1</f>
        <v>0.145697096521057</v>
      </c>
      <c r="C17" s="16" t="n">
        <f aca="false">Raw_Prices!C17/Raw_Prices!C16-1</f>
        <v>-0.00122799836266885</v>
      </c>
      <c r="D17" s="16" t="n">
        <f aca="false">Raw_Prices!D17/Raw_Prices!D16-1</f>
        <v>0.0057636887608068</v>
      </c>
      <c r="E17" s="16" t="n">
        <f aca="false">Raw_Prices!E17/Raw_Prices!E16-1</f>
        <v>0.0282510557739917</v>
      </c>
      <c r="F17" s="16" t="n">
        <f aca="false">Raw_Prices!F17/Raw_Prices!F16-1</f>
        <v>0.0288640595903167</v>
      </c>
      <c r="G17" s="16" t="n">
        <f aca="false">Raw_Prices!G17/Raw_Prices!G16-1</f>
        <v>0.00611132004512971</v>
      </c>
      <c r="H17" s="16" t="n">
        <f aca="false">Raw_Prices!H17/Raw_Prices!H16-1</f>
        <v>0.107454017424976</v>
      </c>
      <c r="I17" s="16" t="n">
        <f aca="false">Raw_Prices!I17/Raw_Prices!I16-1</f>
        <v>0.0785681078568108</v>
      </c>
      <c r="J17" s="16" t="n">
        <f aca="false">KSE100_Benchmark!B17/KSE100_Benchmark!B16-1</f>
        <v>0.0476867135399379</v>
      </c>
    </row>
    <row r="18" customFormat="false" ht="15" hidden="false" customHeight="true" outlineLevel="0" collapsed="false">
      <c r="A18" s="13" t="n">
        <f aca="false">Raw_Prices!A18</f>
        <v>42491</v>
      </c>
      <c r="B18" s="16" t="n">
        <f aca="false">Raw_Prices!B18/Raw_Prices!B17-1</f>
        <v>0.0616438356164384</v>
      </c>
      <c r="C18" s="16" t="n">
        <f aca="false">Raw_Prices!C18/Raw_Prices!C17-1</f>
        <v>-0.0106557377049179</v>
      </c>
      <c r="D18" s="16" t="n">
        <f aca="false">Raw_Prices!D18/Raw_Prices!D17-1</f>
        <v>0.00372492836676219</v>
      </c>
      <c r="E18" s="16" t="n">
        <f aca="false">Raw_Prices!E18/Raw_Prices!E17-1</f>
        <v>-0.0228013029315961</v>
      </c>
      <c r="F18" s="16" t="n">
        <f aca="false">Raw_Prices!F18/Raw_Prices!F17-1</f>
        <v>0.0751131221719457</v>
      </c>
      <c r="G18" s="16" t="n">
        <f aca="false">Raw_Prices!G18/Raw_Prices!G17-1</f>
        <v>0.0629847677787123</v>
      </c>
      <c r="H18" s="16" t="n">
        <f aca="false">Raw_Prices!H18/Raw_Prices!H17-1</f>
        <v>-0.0777972027972027</v>
      </c>
      <c r="I18" s="16" t="n">
        <f aca="false">Raw_Prices!I18/Raw_Prices!I17-1</f>
        <v>0.161063218390805</v>
      </c>
      <c r="J18" s="16" t="n">
        <f aca="false">KSE100_Benchmark!B18/KSE100_Benchmark!B17-1</f>
        <v>0.0386606408137953</v>
      </c>
    </row>
    <row r="19" customFormat="false" ht="15" hidden="false" customHeight="true" outlineLevel="0" collapsed="false">
      <c r="A19" s="13" t="n">
        <f aca="false">Raw_Prices!A19</f>
        <v>42522</v>
      </c>
      <c r="B19" s="16" t="n">
        <f aca="false">Raw_Prices!B19/Raw_Prices!B18-1</f>
        <v>-0.00716845878136196</v>
      </c>
      <c r="C19" s="16" t="n">
        <f aca="false">Raw_Prices!C19/Raw_Prices!C18-1</f>
        <v>0.0240265120132559</v>
      </c>
      <c r="D19" s="16" t="n">
        <f aca="false">Raw_Prices!D19/Raw_Prices!D18-1</f>
        <v>-0.0793605481016272</v>
      </c>
      <c r="E19" s="16" t="n">
        <f aca="false">Raw_Prices!E19/Raw_Prices!E18-1</f>
        <v>0.0542028985507246</v>
      </c>
      <c r="F19" s="16" t="n">
        <f aca="false">Raw_Prices!F19/Raw_Prices!F18-1</f>
        <v>0.0892255892255893</v>
      </c>
      <c r="G19" s="16" t="n">
        <f aca="false">Raw_Prices!G19/Raw_Prices!G18-1</f>
        <v>0.010989010989011</v>
      </c>
      <c r="H19" s="16" t="n">
        <f aca="false">Raw_Prices!H19/Raw_Prices!H18-1</f>
        <v>-0.00379146919431284</v>
      </c>
      <c r="I19" s="16" t="n">
        <f aca="false">Raw_Prices!I19/Raw_Prices!I18-1</f>
        <v>0.0295755475807449</v>
      </c>
      <c r="J19" s="16" t="n">
        <f aca="false">KSE100_Benchmark!B19/KSE100_Benchmark!B18-1</f>
        <v>0.0477511233568377</v>
      </c>
    </row>
    <row r="20" customFormat="false" ht="15" hidden="false" customHeight="true" outlineLevel="0" collapsed="false">
      <c r="A20" s="13" t="n">
        <f aca="false">Raw_Prices!A20</f>
        <v>42552</v>
      </c>
      <c r="B20" s="16" t="n">
        <f aca="false">Raw_Prices!B20/Raw_Prices!B19-1</f>
        <v>-0.0119133574007221</v>
      </c>
      <c r="C20" s="16" t="n">
        <f aca="false">Raw_Prices!C20/Raw_Prices!C19-1</f>
        <v>0.105987055016181</v>
      </c>
      <c r="D20" s="16" t="n">
        <f aca="false">Raw_Prices!D20/Raw_Prices!D19-1</f>
        <v>0.0635658914728681</v>
      </c>
      <c r="E20" s="16" t="n">
        <f aca="false">Raw_Prices!E20/Raw_Prices!E19-1</f>
        <v>0.00820273118870851</v>
      </c>
      <c r="F20" s="16" t="n">
        <f aca="false">Raw_Prices!F20/Raw_Prices!F19-1</f>
        <v>0.146058732612056</v>
      </c>
      <c r="G20" s="16" t="n">
        <f aca="false">Raw_Prices!G20/Raw_Prices!G19-1</f>
        <v>-0.0104347826086957</v>
      </c>
      <c r="H20" s="16" t="n">
        <f aca="false">Raw_Prices!H20/Raw_Prices!H19-1</f>
        <v>0.0561370123691722</v>
      </c>
      <c r="I20" s="16" t="n">
        <f aca="false">Raw_Prices!I20/Raw_Prices!I19-1</f>
        <v>0.0728365384615386</v>
      </c>
      <c r="J20" s="16" t="n">
        <f aca="false">KSE100_Benchmark!B20/KSE100_Benchmark!B19-1</f>
        <v>0.0455685200486773</v>
      </c>
    </row>
    <row r="21" customFormat="false" ht="15" hidden="false" customHeight="true" outlineLevel="0" collapsed="false">
      <c r="A21" s="13" t="n">
        <f aca="false">Raw_Prices!A21</f>
        <v>42583</v>
      </c>
      <c r="B21" s="16" t="n">
        <f aca="false">Raw_Prices!B21/Raw_Prices!B20-1</f>
        <v>0.0295944464742419</v>
      </c>
      <c r="C21" s="16" t="n">
        <f aca="false">Raw_Prices!C21/Raw_Prices!C20-1</f>
        <v>0.128017556693489</v>
      </c>
      <c r="D21" s="16" t="n">
        <f aca="false">Raw_Prices!D21/Raw_Prices!D20-1</f>
        <v>-0.0157434402332362</v>
      </c>
      <c r="E21" s="16" t="n">
        <f aca="false">Raw_Prices!E21/Raw_Prices!E20-1</f>
        <v>-0.0489068678696423</v>
      </c>
      <c r="F21" s="16" t="n">
        <f aca="false">Raw_Prices!F21/Raw_Prices!F20-1</f>
        <v>-0.064733648010789</v>
      </c>
      <c r="G21" s="16" t="n">
        <f aca="false">Raw_Prices!G21/Raw_Prices!G20-1</f>
        <v>-0.0258347978910369</v>
      </c>
      <c r="H21" s="16" t="n">
        <f aca="false">Raw_Prices!H21/Raw_Prices!H20-1</f>
        <v>0.134234234234234</v>
      </c>
      <c r="I21" s="16" t="n">
        <f aca="false">Raw_Prices!I21/Raw_Prices!I20-1</f>
        <v>-0.0072820972440063</v>
      </c>
      <c r="J21" s="16" t="n">
        <f aca="false">KSE100_Benchmark!B21/KSE100_Benchmark!B20-1</f>
        <v>0.00770276783255319</v>
      </c>
    </row>
    <row r="22" customFormat="false" ht="15" hidden="false" customHeight="true" outlineLevel="0" collapsed="false">
      <c r="A22" s="13" t="n">
        <f aca="false">Raw_Prices!A22</f>
        <v>42614</v>
      </c>
      <c r="B22" s="16" t="n">
        <f aca="false">Raw_Prices!B22/Raw_Prices!B21-1</f>
        <v>0.000780695528743713</v>
      </c>
      <c r="C22" s="16" t="n">
        <f aca="false">Raw_Prices!C22/Raw_Prices!C21-1</f>
        <v>0.0372892347600518</v>
      </c>
      <c r="D22" s="16" t="n">
        <f aca="false">Raw_Prices!D22/Raw_Prices!D21-1</f>
        <v>-0.0888625592417061</v>
      </c>
      <c r="E22" s="16" t="n">
        <f aca="false">Raw_Prices!E22/Raw_Prices!E21-1</f>
        <v>0.053763440860215</v>
      </c>
      <c r="F22" s="16" t="n">
        <f aca="false">Raw_Prices!F22/Raw_Prices!F21-1</f>
        <v>-0.0237923576063447</v>
      </c>
      <c r="G22" s="16" t="n">
        <f aca="false">Raw_Prices!G22/Raw_Prices!G21-1</f>
        <v>-0.0627818870647663</v>
      </c>
      <c r="H22" s="16" t="n">
        <f aca="false">Raw_Prices!H22/Raw_Prices!H21-1</f>
        <v>0.550436854646545</v>
      </c>
      <c r="I22" s="16" t="n">
        <f aca="false">Raw_Prices!I22/Raw_Prices!I21-1</f>
        <v>-0.0139939058796975</v>
      </c>
      <c r="J22" s="16" t="n">
        <f aca="false">KSE100_Benchmark!B22/KSE100_Benchmark!B21-1</f>
        <v>0.0183933113587231</v>
      </c>
    </row>
    <row r="23" customFormat="false" ht="15" hidden="false" customHeight="true" outlineLevel="0" collapsed="false">
      <c r="A23" s="13" t="n">
        <f aca="false">Raw_Prices!A23</f>
        <v>42644</v>
      </c>
      <c r="B23" s="16" t="n">
        <f aca="false">Raw_Prices!B23/Raw_Prices!B22-1</f>
        <v>-0.00361676476845607</v>
      </c>
      <c r="C23" s="16" t="n">
        <f aca="false">Raw_Prices!C23/Raw_Prices!C22-1</f>
        <v>-0.0481400437636761</v>
      </c>
      <c r="D23" s="16" t="n">
        <f aca="false">Raw_Prices!D23/Raw_Prices!D22-1</f>
        <v>0.0313719115734721</v>
      </c>
      <c r="E23" s="16" t="n">
        <f aca="false">Raw_Prices!E23/Raw_Prices!E22-1</f>
        <v>-0.0272108843537415</v>
      </c>
      <c r="F23" s="16" t="n">
        <f aca="false">Raw_Prices!F23/Raw_Prices!F22-1</f>
        <v>-0.00590841949778431</v>
      </c>
      <c r="G23" s="16" t="n">
        <f aca="false">Raw_Prices!G23/Raw_Prices!G22-1</f>
        <v>0.00577478344562077</v>
      </c>
      <c r="H23" s="16" t="n">
        <f aca="false">Raw_Prices!H23/Raw_Prices!H22-1</f>
        <v>0.235655737704918</v>
      </c>
      <c r="I23" s="16" t="n">
        <f aca="false">Raw_Prices!I23/Raw_Prices!I22-1</f>
        <v>0.0310175117317155</v>
      </c>
      <c r="J23" s="16" t="n">
        <f aca="false">KSE100_Benchmark!B23/KSE100_Benchmark!B22-1</f>
        <v>-0.0159827595265234</v>
      </c>
    </row>
    <row r="24" customFormat="false" ht="15" hidden="false" customHeight="true" outlineLevel="0" collapsed="false">
      <c r="A24" s="13" t="n">
        <f aca="false">Raw_Prices!A24</f>
        <v>42675</v>
      </c>
      <c r="B24" s="16" t="n">
        <f aca="false">Raw_Prices!B24/Raw_Prices!B23-1</f>
        <v>0.00355871886121006</v>
      </c>
      <c r="C24" s="16" t="n">
        <f aca="false">Raw_Prices!C24/Raw_Prices!C23-1</f>
        <v>0.0935960591133005</v>
      </c>
      <c r="D24" s="16" t="n">
        <f aca="false">Raw_Prices!D24/Raw_Prices!D23-1</f>
        <v>0.0159180457052797</v>
      </c>
      <c r="E24" s="16" t="n">
        <f aca="false">Raw_Prices!E24/Raw_Prices!E23-1</f>
        <v>0.0372960372960374</v>
      </c>
      <c r="F24" s="16" t="n">
        <f aca="false">Raw_Prices!F24/Raw_Prices!F23-1</f>
        <v>0.089153046062407</v>
      </c>
      <c r="G24" s="16" t="n">
        <f aca="false">Raw_Prices!G24/Raw_Prices!G23-1</f>
        <v>0.00574162679425827</v>
      </c>
      <c r="H24" s="16" t="n">
        <f aca="false">Raw_Prices!H24/Raw_Prices!H23-1</f>
        <v>0.406716417910448</v>
      </c>
      <c r="I24" s="16" t="n">
        <f aca="false">Raw_Prices!I24/Raw_Prices!I23-1</f>
        <v>0.0652753108348134</v>
      </c>
      <c r="J24" s="16" t="n">
        <f aca="false">KSE100_Benchmark!B24/KSE100_Benchmark!B23-1</f>
        <v>0.0683947697188339</v>
      </c>
    </row>
    <row r="25" customFormat="false" ht="15" hidden="false" customHeight="true" outlineLevel="0" collapsed="false">
      <c r="A25" s="13" t="n">
        <f aca="false">Raw_Prices!A25</f>
        <v>42705</v>
      </c>
      <c r="B25" s="16" t="n">
        <f aca="false">Raw_Prices!B25/Raw_Prices!B24-1</f>
        <v>0.173758865248227</v>
      </c>
      <c r="C25" s="16" t="n">
        <f aca="false">Raw_Prices!C25/Raw_Prices!C24-1</f>
        <v>0.170870870870871</v>
      </c>
      <c r="D25" s="16" t="n">
        <f aca="false">Raw_Prices!D25/Raw_Prices!D24-1</f>
        <v>0.0549177784672665</v>
      </c>
      <c r="E25" s="16" t="n">
        <f aca="false">Raw_Prices!E25/Raw_Prices!E24-1</f>
        <v>0.0701573033707865</v>
      </c>
      <c r="F25" s="16" t="n">
        <f aca="false">Raw_Prices!F25/Raw_Prices!F24-1</f>
        <v>0.178581173260573</v>
      </c>
      <c r="G25" s="16" t="n">
        <f aca="false">Raw_Prices!G25/Raw_Prices!G24-1</f>
        <v>-0.00666032350142709</v>
      </c>
      <c r="H25" s="16" t="n">
        <f aca="false">Raw_Prices!H25/Raw_Prices!H24-1</f>
        <v>-0.053050397877984</v>
      </c>
      <c r="I25" s="16" t="n">
        <f aca="false">Raw_Prices!I25/Raw_Prices!I24-1</f>
        <v>0.328261775739892</v>
      </c>
      <c r="J25" s="16" t="n">
        <f aca="false">KSE100_Benchmark!B25/KSE100_Benchmark!B24-1</f>
        <v>0.121640349891383</v>
      </c>
    </row>
    <row r="26" customFormat="false" ht="15" hidden="false" customHeight="true" outlineLevel="0" collapsed="false">
      <c r="A26" s="13" t="n">
        <f aca="false">Raw_Prices!A26</f>
        <v>42736</v>
      </c>
      <c r="B26" s="16" t="n">
        <f aca="false">Raw_Prices!B26/Raw_Prices!B25-1</f>
        <v>-0.0302114803625377</v>
      </c>
      <c r="C26" s="16" t="n">
        <f aca="false">Raw_Prices!C26/Raw_Prices!C25-1</f>
        <v>-0.0164144652474993</v>
      </c>
      <c r="D26" s="16" t="n">
        <f aca="false">Raw_Prices!D26/Raw_Prices!D25-1</f>
        <v>0.0511764705882354</v>
      </c>
      <c r="E26" s="16" t="n">
        <f aca="false">Raw_Prices!E26/Raw_Prices!E25-1</f>
        <v>0.0226785939271765</v>
      </c>
      <c r="F26" s="16" t="n">
        <f aca="false">Raw_Prices!F26/Raw_Prices!F25-1</f>
        <v>-0.0277809931705059</v>
      </c>
      <c r="G26" s="16" t="n">
        <f aca="false">Raw_Prices!G26/Raw_Prices!G25-1</f>
        <v>0.109291187739464</v>
      </c>
      <c r="H26" s="16" t="n">
        <f aca="false">Raw_Prices!H26/Raw_Prices!H25-1</f>
        <v>-0.0323685029567383</v>
      </c>
      <c r="I26" s="16" t="n">
        <f aca="false">Raw_Prices!I26/Raw_Prices!I25-1</f>
        <v>-0.0702965636278048</v>
      </c>
      <c r="J26" s="16" t="n">
        <f aca="false">KSE100_Benchmark!B26/KSE100_Benchmark!B25-1</f>
        <v>0.0198862216116185</v>
      </c>
    </row>
    <row r="27" customFormat="false" ht="15" hidden="false" customHeight="true" outlineLevel="0" collapsed="false">
      <c r="A27" s="13" t="n">
        <f aca="false">Raw_Prices!A27</f>
        <v>42767</v>
      </c>
      <c r="B27" s="16" t="n">
        <f aca="false">Raw_Prices!B27/Raw_Prices!B26-1</f>
        <v>-0.0218068535825545</v>
      </c>
      <c r="C27" s="16" t="n">
        <f aca="false">Raw_Prices!C27/Raw_Prices!C26-1</f>
        <v>-0.0307692307692308</v>
      </c>
      <c r="D27" s="16" t="n">
        <f aca="false">Raw_Prices!D27/Raw_Prices!D26-1</f>
        <v>-0.0486849468382765</v>
      </c>
      <c r="E27" s="16" t="n">
        <f aca="false">Raw_Prices!E27/Raw_Prices!E26-1</f>
        <v>-0.0669377027637468</v>
      </c>
      <c r="F27" s="16" t="n">
        <f aca="false">Raw_Prices!F27/Raw_Prices!F26-1</f>
        <v>0.0370282176449577</v>
      </c>
      <c r="G27" s="16" t="n">
        <f aca="false">Raw_Prices!G27/Raw_Prices!G26-1</f>
        <v>-0.0674380450738279</v>
      </c>
      <c r="H27" s="16" t="n">
        <f aca="false">Raw_Prices!H27/Raw_Prices!H26-1</f>
        <v>-0.0266966870376326</v>
      </c>
      <c r="I27" s="16" t="n">
        <f aca="false">Raw_Prices!I27/Raw_Prices!I26-1</f>
        <v>0.0383966244725738</v>
      </c>
      <c r="J27" s="16" t="n">
        <f aca="false">KSE100_Benchmark!B27/KSE100_Benchmark!B26-1</f>
        <v>-0.00458266360964321</v>
      </c>
    </row>
    <row r="28" customFormat="false" ht="15" hidden="false" customHeight="true" outlineLevel="0" collapsed="false">
      <c r="A28" s="13" t="n">
        <f aca="false">Raw_Prices!A28</f>
        <v>42795</v>
      </c>
      <c r="B28" s="16" t="n">
        <f aca="false">Raw_Prices!B28/Raw_Prices!B27-1</f>
        <v>-0.0531847133757961</v>
      </c>
      <c r="C28" s="16" t="n">
        <f aca="false">Raw_Prices!C28/Raw_Prices!C27-1</f>
        <v>0.11891310196395</v>
      </c>
      <c r="D28" s="16" t="n">
        <f aca="false">Raw_Prices!D28/Raw_Prices!D27-1</f>
        <v>-0.08</v>
      </c>
      <c r="E28" s="16" t="n">
        <f aca="false">Raw_Prices!E28/Raw_Prices!E27-1</f>
        <v>0.00347695964086081</v>
      </c>
      <c r="F28" s="16" t="n">
        <f aca="false">Raw_Prices!F28/Raw_Prices!F27-1</f>
        <v>-0.0413088404133181</v>
      </c>
      <c r="G28" s="16" t="n">
        <f aca="false">Raw_Prices!G28/Raw_Prices!G27-1</f>
        <v>-0.0379629629629629</v>
      </c>
      <c r="H28" s="16" t="n">
        <f aca="false">Raw_Prices!H28/Raw_Prices!H27-1</f>
        <v>0.0284203569068076</v>
      </c>
      <c r="I28" s="16" t="n">
        <f aca="false">Raw_Prices!I28/Raw_Prices!I27-1</f>
        <v>0.134660707029663</v>
      </c>
      <c r="J28" s="16" t="n">
        <f aca="false">KSE100_Benchmark!B28/KSE100_Benchmark!B27-1</f>
        <v>-0.0077944988516353</v>
      </c>
    </row>
    <row r="29" customFormat="false" ht="15" hidden="false" customHeight="true" outlineLevel="0" collapsed="false">
      <c r="A29" s="13" t="n">
        <f aca="false">Raw_Prices!A29</f>
        <v>42826</v>
      </c>
      <c r="B29" s="16" t="n">
        <f aca="false">Raw_Prices!B29/Raw_Prices!B28-1</f>
        <v>0.0427177934746048</v>
      </c>
      <c r="C29" s="16" t="n">
        <f aca="false">Raw_Prices!C29/Raw_Prices!C28-1</f>
        <v>0.119018994950709</v>
      </c>
      <c r="D29" s="16" t="n">
        <f aca="false">Raw_Prices!D29/Raw_Prices!D28-1</f>
        <v>-0.0545076726342711</v>
      </c>
      <c r="E29" s="16" t="n">
        <f aca="false">Raw_Prices!E29/Raw_Prices!E28-1</f>
        <v>-0.0526315789473685</v>
      </c>
      <c r="F29" s="16" t="n">
        <f aca="false">Raw_Prices!F29/Raw_Prices!F28-1</f>
        <v>0.0598548537759576</v>
      </c>
      <c r="G29" s="16" t="n">
        <f aca="false">Raw_Prices!G29/Raw_Prices!G28-1</f>
        <v>-0.0760346487006738</v>
      </c>
      <c r="H29" s="16" t="n">
        <f aca="false">Raw_Prices!H29/Raw_Prices!H28-1</f>
        <v>0.283097686375321</v>
      </c>
      <c r="I29" s="16" t="n">
        <f aca="false">Raw_Prices!I29/Raw_Prices!I28-1</f>
        <v>0.0391777682280476</v>
      </c>
      <c r="J29" s="16" t="n">
        <f aca="false">KSE100_Benchmark!B29/KSE100_Benchmark!B28-1</f>
        <v>0.0237763033545402</v>
      </c>
    </row>
    <row r="30" customFormat="false" ht="15" hidden="false" customHeight="true" outlineLevel="0" collapsed="false">
      <c r="A30" s="13" t="n">
        <f aca="false">Raw_Prices!A30</f>
        <v>42856</v>
      </c>
      <c r="B30" s="16" t="n">
        <f aca="false">Raw_Prices!B30/Raw_Prices!B29-1</f>
        <v>0.14083870967742</v>
      </c>
      <c r="C30" s="16" t="n">
        <f aca="false">Raw_Prices!C30/Raw_Prices!C29-1</f>
        <v>0.0373871938117749</v>
      </c>
      <c r="D30" s="16" t="n">
        <f aca="false">Raw_Prices!D30/Raw_Prices!D29-1</f>
        <v>0.0278951817413355</v>
      </c>
      <c r="E30" s="16" t="n">
        <f aca="false">Raw_Prices!E30/Raw_Prices!E29-1</f>
        <v>0.0199074074074075</v>
      </c>
      <c r="F30" s="16" t="n">
        <f aca="false">Raw_Prices!F30/Raw_Prices!F29-1</f>
        <v>-0.0291299435028248</v>
      </c>
      <c r="G30" s="16" t="n">
        <f aca="false">Raw_Prices!G30/Raw_Prices!G29-1</f>
        <v>0.00291666666666668</v>
      </c>
      <c r="H30" s="16" t="n">
        <f aca="false">Raw_Prices!H30/Raw_Prices!H29-1</f>
        <v>0.722263961933383</v>
      </c>
      <c r="I30" s="16" t="n">
        <f aca="false">Raw_Prices!I30/Raw_Prices!I29-1</f>
        <v>0.0697498104624716</v>
      </c>
      <c r="J30" s="16" t="n">
        <f aca="false">KSE100_Benchmark!B30/KSE100_Benchmark!B29-1</f>
        <v>0.0261794409432687</v>
      </c>
    </row>
    <row r="31" customFormat="false" ht="15" hidden="false" customHeight="true" outlineLevel="0" collapsed="false">
      <c r="A31" s="13" t="n">
        <f aca="false">Raw_Prices!A31</f>
        <v>42887</v>
      </c>
      <c r="B31" s="16" t="n">
        <f aca="false">Raw_Prices!B31/Raw_Prices!B30-1</f>
        <v>-0.204377085336199</v>
      </c>
      <c r="C31" s="16" t="n">
        <f aca="false">Raw_Prices!C31/Raw_Prices!C30-1</f>
        <v>-0.048053024026512</v>
      </c>
      <c r="D31" s="16" t="n">
        <f aca="false">Raw_Prices!D31/Raw_Prices!D30-1</f>
        <v>-0.0929276315789474</v>
      </c>
      <c r="E31" s="16" t="n">
        <f aca="false">Raw_Prices!E31/Raw_Prices!E30-1</f>
        <v>-0.0433499773036768</v>
      </c>
      <c r="F31" s="16" t="n">
        <f aca="false">Raw_Prices!F31/Raw_Prices!F30-1</f>
        <v>-0.0212052792067224</v>
      </c>
      <c r="G31" s="16" t="n">
        <f aca="false">Raw_Prices!G31/Raw_Prices!G30-1</f>
        <v>-0.143124221022019</v>
      </c>
      <c r="H31" s="16" t="n">
        <f aca="false">Raw_Prices!H31/Raw_Prices!H30-1</f>
        <v>0.340119238039843</v>
      </c>
      <c r="I31" s="16" t="n">
        <f aca="false">Raw_Prices!I31/Raw_Prices!I30-1</f>
        <v>-0.0681657109722312</v>
      </c>
      <c r="J31" s="16" t="n">
        <f aca="false">KSE100_Benchmark!B31/KSE100_Benchmark!B30-1</f>
        <v>-0.0795840097470784</v>
      </c>
    </row>
    <row r="32" customFormat="false" ht="15" hidden="false" customHeight="true" outlineLevel="0" collapsed="false">
      <c r="A32" s="13" t="n">
        <f aca="false">Raw_Prices!A32</f>
        <v>42917</v>
      </c>
      <c r="B32" s="16" t="n">
        <f aca="false">Raw_Prices!B32/Raw_Prices!B31-1</f>
        <v>0.110668846399886</v>
      </c>
      <c r="C32" s="16" t="n">
        <f aca="false">Raw_Prices!C32/Raw_Prices!C31-1</f>
        <v>0.0126196692776326</v>
      </c>
      <c r="D32" s="16" t="n">
        <f aca="false">Raw_Prices!D32/Raw_Prices!D31-1</f>
        <v>0.0536718041704443</v>
      </c>
      <c r="E32" s="16" t="n">
        <f aca="false">Raw_Prices!E32/Raw_Prices!E31-1</f>
        <v>-0.0197864768683274</v>
      </c>
      <c r="F32" s="16" t="n">
        <f aca="false">Raw_Prices!F32/Raw_Prices!F31-1</f>
        <v>-0.158323424494649</v>
      </c>
      <c r="G32" s="16" t="n">
        <f aca="false">Raw_Prices!G32/Raw_Prices!G31-1</f>
        <v>-0.0270303030303031</v>
      </c>
      <c r="H32" s="16" t="n">
        <f aca="false">Raw_Prices!H32/Raw_Prices!H31-1</f>
        <v>-0.175564236111111</v>
      </c>
      <c r="I32" s="16" t="n">
        <f aca="false">Raw_Prices!I32/Raw_Prices!I31-1</f>
        <v>0.111111111111111</v>
      </c>
      <c r="J32" s="16" t="n">
        <f aca="false">KSE100_Benchmark!B32/KSE100_Benchmark!B31-1</f>
        <v>-0.011915312886487</v>
      </c>
    </row>
    <row r="33" customFormat="false" ht="15" hidden="false" customHeight="true" outlineLevel="0" collapsed="false">
      <c r="A33" s="13" t="n">
        <f aca="false">Raw_Prices!A33</f>
        <v>42948</v>
      </c>
      <c r="B33" s="16" t="n">
        <f aca="false">Raw_Prices!B33/Raw_Prices!B32-1</f>
        <v>-0.0970177908613848</v>
      </c>
      <c r="C33" s="16" t="n">
        <f aca="false">Raw_Prices!C33/Raw_Prices!C32-1</f>
        <v>-0.0595186935969058</v>
      </c>
      <c r="D33" s="16" t="n">
        <f aca="false">Raw_Prices!D33/Raw_Prices!D32-1</f>
        <v>-0.0037859232490105</v>
      </c>
      <c r="E33" s="16" t="n">
        <f aca="false">Raw_Prices!E33/Raw_Prices!E32-1</f>
        <v>-0.0635105044050731</v>
      </c>
      <c r="F33" s="16" t="n">
        <f aca="false">Raw_Prices!F33/Raw_Prices!F32-1</f>
        <v>-0.156600974782793</v>
      </c>
      <c r="G33" s="16" t="n">
        <f aca="false">Raw_Prices!G33/Raw_Prices!G32-1</f>
        <v>-0.117229350940576</v>
      </c>
      <c r="H33" s="16" t="n">
        <f aca="false">Raw_Prices!H33/Raw_Prices!H32-1</f>
        <v>-0.309160305343511</v>
      </c>
      <c r="I33" s="16" t="n">
        <f aca="false">Raw_Prices!I33/Raw_Prices!I32-1</f>
        <v>-0.151462352209085</v>
      </c>
      <c r="J33" s="16" t="n">
        <f aca="false">KSE100_Benchmark!B33/KSE100_Benchmark!B32-1</f>
        <v>-0.104399326674701</v>
      </c>
    </row>
    <row r="34" customFormat="false" ht="15" hidden="false" customHeight="true" outlineLevel="0" collapsed="false">
      <c r="A34" s="13" t="n">
        <f aca="false">Raw_Prices!A34</f>
        <v>42979</v>
      </c>
      <c r="B34" s="16" t="n">
        <f aca="false">Raw_Prices!B34/Raw_Prices!B33-1</f>
        <v>0.0510276399716514</v>
      </c>
      <c r="C34" s="16" t="n">
        <f aca="false">Raw_Prices!C34/Raw_Prices!C33-1</f>
        <v>0.0109664153529814</v>
      </c>
      <c r="D34" s="16" t="n">
        <f aca="false">Raw_Prices!D34/Raw_Prices!D33-1</f>
        <v>0.0856797374330627</v>
      </c>
      <c r="E34" s="16" t="n">
        <f aca="false">Raw_Prices!E34/Raw_Prices!E33-1</f>
        <v>0.0699369378682933</v>
      </c>
      <c r="F34" s="16" t="n">
        <f aca="false">Raw_Prices!F34/Raw_Prices!F33-1</f>
        <v>-0.0536013400335008</v>
      </c>
      <c r="G34" s="16" t="n">
        <f aca="false">Raw_Prices!G34/Raw_Prices!G33-1</f>
        <v>0.173299463731301</v>
      </c>
      <c r="H34" s="16" t="n">
        <f aca="false">Raw_Prices!H34/Raw_Prices!H33-1</f>
        <v>0.0320060963993141</v>
      </c>
      <c r="I34" s="16" t="n">
        <f aca="false">Raw_Prices!I34/Raw_Prices!I33-1</f>
        <v>0.0101202698738632</v>
      </c>
      <c r="J34" s="16" t="n">
        <f aca="false">KSE100_Benchmark!B34/KSE100_Benchmark!B33-1</f>
        <v>0.0291766032898788</v>
      </c>
    </row>
    <row r="35" customFormat="false" ht="15" hidden="false" customHeight="true" outlineLevel="0" collapsed="false">
      <c r="A35" s="13" t="n">
        <f aca="false">Raw_Prices!A35</f>
        <v>43009</v>
      </c>
      <c r="B35" s="16" t="n">
        <f aca="false">Raw_Prices!B35/Raw_Prices!B34-1</f>
        <v>-0.0340525960890088</v>
      </c>
      <c r="C35" s="16" t="n">
        <f aca="false">Raw_Prices!C35/Raw_Prices!C34-1</f>
        <v>-0.12090395480226</v>
      </c>
      <c r="D35" s="16" t="n">
        <f aca="false">Raw_Prices!D35/Raw_Prices!D34-1</f>
        <v>0.0342084327764518</v>
      </c>
      <c r="E35" s="16" t="n">
        <f aca="false">Raw_Prices!E35/Raw_Prices!E34-1</f>
        <v>-0.033769747330789</v>
      </c>
      <c r="F35" s="16" t="n">
        <f aca="false">Raw_Prices!F35/Raw_Prices!F34-1</f>
        <v>-0.139823008849558</v>
      </c>
      <c r="G35" s="16" t="n">
        <f aca="false">Raw_Prices!G35/Raw_Prices!G34-1</f>
        <v>-0.0377676208804426</v>
      </c>
      <c r="H35" s="16" t="n">
        <f aca="false">Raw_Prices!H35/Raw_Prices!H34-1</f>
        <v>-0.0535351670666421</v>
      </c>
      <c r="I35" s="16" t="n">
        <f aca="false">Raw_Prices!I35/Raw_Prices!I34-1</f>
        <v>-0.0333236532597648</v>
      </c>
      <c r="J35" s="16" t="n">
        <f aca="false">KSE100_Benchmark!B35/KSE100_Benchmark!B34-1</f>
        <v>-0.0658365494147859</v>
      </c>
    </row>
    <row r="36" customFormat="false" ht="15" hidden="false" customHeight="true" outlineLevel="0" collapsed="false">
      <c r="A36" s="13" t="n">
        <f aca="false">Raw_Prices!A36</f>
        <v>43040</v>
      </c>
      <c r="B36" s="16" t="n">
        <f aca="false">Raw_Prices!B36/Raw_Prices!B35-1</f>
        <v>0.0854450261780106</v>
      </c>
      <c r="C36" s="16" t="n">
        <f aca="false">Raw_Prices!C36/Raw_Prices!C35-1</f>
        <v>0.0154241645244215</v>
      </c>
      <c r="D36" s="16" t="n">
        <f aca="false">Raw_Prices!D36/Raw_Prices!D35-1</f>
        <v>0.0113846153846153</v>
      </c>
      <c r="E36" s="16" t="n">
        <f aca="false">Raw_Prices!E36/Raw_Prices!E35-1</f>
        <v>0.02155</v>
      </c>
      <c r="F36" s="16" t="n">
        <f aca="false">Raw_Prices!F36/Raw_Prices!F35-1</f>
        <v>0.0123456790123457</v>
      </c>
      <c r="G36" s="16" t="n">
        <f aca="false">Raw_Prices!G36/Raw_Prices!G35-1</f>
        <v>0.0133749999999999</v>
      </c>
      <c r="H36" s="16" t="n">
        <f aca="false">Raw_Prices!H36/Raw_Prices!H35-1</f>
        <v>0.497171835381315</v>
      </c>
      <c r="I36" s="16" t="n">
        <f aca="false">Raw_Prices!I36/Raw_Prices!I35-1</f>
        <v>0.0275628989861059</v>
      </c>
      <c r="J36" s="16" t="n">
        <f aca="false">KSE100_Benchmark!B36/KSE100_Benchmark!B35-1</f>
        <v>0.00992422733666865</v>
      </c>
    </row>
    <row r="37" customFormat="false" ht="15" hidden="false" customHeight="true" outlineLevel="0" collapsed="false">
      <c r="A37" s="13" t="n">
        <f aca="false">Raw_Prices!A37</f>
        <v>43070</v>
      </c>
      <c r="B37" s="16" t="n">
        <f aca="false">Raw_Prices!B37/Raw_Prices!B36-1</f>
        <v>0.0418676442214934</v>
      </c>
      <c r="C37" s="16" t="n">
        <f aca="false">Raw_Prices!C37/Raw_Prices!C36-1</f>
        <v>0.0149367088607595</v>
      </c>
      <c r="D37" s="16" t="n">
        <f aca="false">Raw_Prices!D37/Raw_Prices!D36-1</f>
        <v>0.0327045938545787</v>
      </c>
      <c r="E37" s="16" t="n">
        <f aca="false">Raw_Prices!E37/Raw_Prices!E36-1</f>
        <v>0.0327443590622094</v>
      </c>
      <c r="F37" s="16" t="n">
        <f aca="false">Raw_Prices!F37/Raw_Prices!F36-1</f>
        <v>0.0477642276422765</v>
      </c>
      <c r="G37" s="16" t="n">
        <f aca="false">Raw_Prices!G37/Raw_Prices!G36-1</f>
        <v>-0.0255334895769087</v>
      </c>
      <c r="H37" s="16" t="n">
        <f aca="false">Raw_Prices!H37/Raw_Prices!H36-1</f>
        <v>-0.032569046378322</v>
      </c>
      <c r="I37" s="16" t="n">
        <f aca="false">Raw_Prices!I37/Raw_Prices!I36-1</f>
        <v>-0.0207571992398773</v>
      </c>
      <c r="J37" s="16" t="n">
        <f aca="false">KSE100_Benchmark!B37/KSE100_Benchmark!B36-1</f>
        <v>0.0115250150211097</v>
      </c>
    </row>
    <row r="38" customFormat="false" ht="15" hidden="false" customHeight="true" outlineLevel="0" collapsed="false">
      <c r="A38" s="13" t="n">
        <f aca="false">Raw_Prices!A38</f>
        <v>43101</v>
      </c>
      <c r="B38" s="16" t="n">
        <f aca="false">Raw_Prices!B38/Raw_Prices!B37-1</f>
        <v>0.0139506172839505</v>
      </c>
      <c r="C38" s="16" t="n">
        <f aca="false">Raw_Prices!C38/Raw_Prices!C37-1</f>
        <v>0.140683462210027</v>
      </c>
      <c r="D38" s="16" t="n">
        <f aca="false">Raw_Prices!D38/Raw_Prices!D37-1</f>
        <v>0.0266607747827368</v>
      </c>
      <c r="E38" s="16" t="n">
        <f aca="false">Raw_Prices!E38/Raw_Prices!E37-1</f>
        <v>0.0727488151658768</v>
      </c>
      <c r="F38" s="16" t="n">
        <f aca="false">Raw_Prices!F38/Raw_Prices!F37-1</f>
        <v>0.193423860329777</v>
      </c>
      <c r="G38" s="16" t="n">
        <f aca="false">Raw_Prices!G38/Raw_Prices!G37-1</f>
        <v>0.143037974683544</v>
      </c>
      <c r="H38" s="16" t="n">
        <f aca="false">Raw_Prices!H38/Raw_Prices!H37-1</f>
        <v>-0.0253164556962027</v>
      </c>
      <c r="I38" s="16" t="n">
        <f aca="false">Raw_Prices!I38/Raw_Prices!I37-1</f>
        <v>0.0727720555306761</v>
      </c>
      <c r="J38" s="16" t="n">
        <f aca="false">KSE100_Benchmark!B38/KSE100_Benchmark!B37-1</f>
        <v>0.0883973108964633</v>
      </c>
    </row>
    <row r="39" customFormat="false" ht="15" hidden="false" customHeight="true" outlineLevel="0" collapsed="false">
      <c r="A39" s="13" t="n">
        <f aca="false">Raw_Prices!A39</f>
        <v>43132</v>
      </c>
      <c r="B39" s="16" t="n">
        <f aca="false">Raw_Prices!B39/Raw_Prices!B38-1</f>
        <v>-0.00176549372945323</v>
      </c>
      <c r="C39" s="16" t="n">
        <f aca="false">Raw_Prices!C39/Raw_Prices!C38-1</f>
        <v>-0.0260223048327137</v>
      </c>
      <c r="D39" s="16" t="n">
        <f aca="false">Raw_Prices!D39/Raw_Prices!D38-1</f>
        <v>-0.00588235294117645</v>
      </c>
      <c r="E39" s="16" t="n">
        <f aca="false">Raw_Prices!E39/Raw_Prices!E38-1</f>
        <v>-0.0368897724762536</v>
      </c>
      <c r="F39" s="16" t="n">
        <f aca="false">Raw_Prices!F39/Raw_Prices!F38-1</f>
        <v>-0.0235041693080412</v>
      </c>
      <c r="G39" s="16" t="n">
        <f aca="false">Raw_Prices!G39/Raw_Prices!G38-1</f>
        <v>-0.017718715393134</v>
      </c>
      <c r="H39" s="16" t="n">
        <f aca="false">Raw_Prices!H39/Raw_Prices!H38-1</f>
        <v>0.0386847195357836</v>
      </c>
      <c r="I39" s="16" t="n">
        <f aca="false">Raw_Prices!I39/Raw_Prices!I38-1</f>
        <v>-0.0672093508662075</v>
      </c>
      <c r="J39" s="16" t="n">
        <f aca="false">KSE100_Benchmark!B39/KSE100_Benchmark!B38-1</f>
        <v>-0.0183797380420236</v>
      </c>
    </row>
    <row r="40" customFormat="false" ht="15" hidden="false" customHeight="true" outlineLevel="0" collapsed="false">
      <c r="A40" s="13" t="n">
        <f aca="false">Raw_Prices!A40</f>
        <v>43160</v>
      </c>
      <c r="B40" s="16" t="n">
        <f aca="false">Raw_Prices!B40/Raw_Prices!B39-1</f>
        <v>0.0610477526376776</v>
      </c>
      <c r="C40" s="16" t="n">
        <f aca="false">Raw_Prices!C40/Raw_Prices!C39-1</f>
        <v>0.0588235294117647</v>
      </c>
      <c r="D40" s="16" t="n">
        <f aca="false">Raw_Prices!D40/Raw_Prices!D39-1</f>
        <v>-0.00288641939673839</v>
      </c>
      <c r="E40" s="16" t="n">
        <f aca="false">Raw_Prices!E40/Raw_Prices!E39-1</f>
        <v>0.00977064220183488</v>
      </c>
      <c r="F40" s="16" t="n">
        <f aca="false">Raw_Prices!F40/Raw_Prices!F39-1</f>
        <v>0.147931751976696</v>
      </c>
      <c r="G40" s="16" t="n">
        <f aca="false">Raw_Prices!G40/Raw_Prices!G39-1</f>
        <v>0.0569334836527622</v>
      </c>
      <c r="H40" s="16" t="n">
        <f aca="false">Raw_Prices!H40/Raw_Prices!H39-1</f>
        <v>0.369779196594839</v>
      </c>
      <c r="I40" s="16" t="n">
        <f aca="false">Raw_Prices!I40/Raw_Prices!I39-1</f>
        <v>0.0198403818900574</v>
      </c>
      <c r="J40" s="16" t="n">
        <f aca="false">KSE100_Benchmark!B40/KSE100_Benchmark!B39-1</f>
        <v>0.0536746081817896</v>
      </c>
    </row>
    <row r="41" customFormat="false" ht="15" hidden="false" customHeight="true" outlineLevel="0" collapsed="false">
      <c r="A41" s="13" t="n">
        <f aca="false">Raw_Prices!A41</f>
        <v>43191</v>
      </c>
      <c r="B41" s="16" t="n">
        <f aca="false">Raw_Prices!B41/Raw_Prices!B40-1</f>
        <v>-0.0416714564892516</v>
      </c>
      <c r="C41" s="16" t="n">
        <f aca="false">Raw_Prices!C41/Raw_Prices!C40-1</f>
        <v>-0.00508905852417296</v>
      </c>
      <c r="D41" s="16" t="n">
        <f aca="false">Raw_Prices!D41/Raw_Prices!D40-1</f>
        <v>0.0450137501809234</v>
      </c>
      <c r="E41" s="16" t="n">
        <f aca="false">Raw_Prices!E41/Raw_Prices!E40-1</f>
        <v>-0.0514695861536364</v>
      </c>
      <c r="F41" s="16" t="n">
        <f aca="false">Raw_Prices!F41/Raw_Prices!F40-1</f>
        <v>-0.0487514863258026</v>
      </c>
      <c r="G41" s="16" t="n">
        <f aca="false">Raw_Prices!G41/Raw_Prices!G40-1</f>
        <v>0.0629333333333333</v>
      </c>
      <c r="H41" s="16" t="n">
        <f aca="false">Raw_Prices!H41/Raw_Prices!H40-1</f>
        <v>-0.0160225286463391</v>
      </c>
      <c r="I41" s="16" t="n">
        <f aca="false">Raw_Prices!I41/Raw_Prices!I40-1</f>
        <v>0.030863746068895</v>
      </c>
      <c r="J41" s="16" t="n">
        <f aca="false">KSE100_Benchmark!B41/KSE100_Benchmark!B40-1</f>
        <v>-0.00156803181717424</v>
      </c>
    </row>
    <row r="42" customFormat="false" ht="15" hidden="false" customHeight="true" outlineLevel="0" collapsed="false">
      <c r="A42" s="13" t="n">
        <f aca="false">Raw_Prices!A42</f>
        <v>43221</v>
      </c>
      <c r="B42" s="16" t="n">
        <f aca="false">Raw_Prices!B42/Raw_Prices!B41-1</f>
        <v>-0.0230312481257122</v>
      </c>
      <c r="C42" s="16" t="n">
        <f aca="false">Raw_Prices!C42/Raw_Prices!C41-1</f>
        <v>-0.0507246376811594</v>
      </c>
      <c r="D42" s="16" t="n">
        <f aca="false">Raw_Prices!D42/Raw_Prices!D41-1</f>
        <v>0.0314404432132964</v>
      </c>
      <c r="E42" s="16" t="n">
        <f aca="false">Raw_Prices!E42/Raw_Prices!E41-1</f>
        <v>-0.0235153256704982</v>
      </c>
      <c r="F42" s="16" t="n">
        <f aca="false">Raw_Prices!F42/Raw_Prices!F41-1</f>
        <v>-0.166158536585366</v>
      </c>
      <c r="G42" s="16" t="n">
        <f aca="false">Raw_Prices!G42/Raw_Prices!G41-1</f>
        <v>-0.0155544405418967</v>
      </c>
      <c r="H42" s="16" t="n">
        <f aca="false">Raw_Prices!H42/Raw_Prices!H41-1</f>
        <v>0.0551662883647488</v>
      </c>
      <c r="I42" s="16" t="n">
        <f aca="false">Raw_Prices!I42/Raw_Prices!I41-1</f>
        <v>-0.0161759489180561</v>
      </c>
      <c r="J42" s="16" t="n">
        <f aca="false">KSE100_Benchmark!B42/KSE100_Benchmark!B41-1</f>
        <v>-0.0580849904789876</v>
      </c>
    </row>
    <row r="43" customFormat="false" ht="15" hidden="false" customHeight="true" outlineLevel="0" collapsed="false">
      <c r="A43" s="13" t="n">
        <f aca="false">Raw_Prices!A43</f>
        <v>43252</v>
      </c>
      <c r="B43" s="16" t="n">
        <f aca="false">Raw_Prices!B43/Raw_Prices!B42-1</f>
        <v>-0.0446313463073239</v>
      </c>
      <c r="C43" s="16" t="n">
        <f aca="false">Raw_Prices!C43/Raw_Prices!C42-1</f>
        <v>0.0898069151324652</v>
      </c>
      <c r="D43" s="16" t="n">
        <f aca="false">Raw_Prices!D43/Raw_Prices!D42-1</f>
        <v>0.00590841949778431</v>
      </c>
      <c r="E43" s="16" t="n">
        <f aca="false">Raw_Prices!E43/Raw_Prices!E42-1</f>
        <v>-0.0300161851979007</v>
      </c>
      <c r="F43" s="16" t="n">
        <f aca="false">Raw_Prices!F43/Raw_Prices!F42-1</f>
        <v>-0.0714259597806216</v>
      </c>
      <c r="G43" s="16" t="n">
        <f aca="false">Raw_Prices!G43/Raw_Prices!G42-1</f>
        <v>0.008053007135576</v>
      </c>
      <c r="H43" s="16" t="n">
        <f aca="false">Raw_Prices!H43/Raw_Prices!H42-1</f>
        <v>0.0760381593714927</v>
      </c>
      <c r="I43" s="16" t="n">
        <f aca="false">Raw_Prices!I43/Raw_Prices!I42-1</f>
        <v>-0.00259609144010953</v>
      </c>
      <c r="J43" s="16" t="n">
        <f aca="false">KSE100_Benchmark!B43/KSE100_Benchmark!B42-1</f>
        <v>-0.0218392854142121</v>
      </c>
    </row>
    <row r="44" customFormat="false" ht="15" hidden="false" customHeight="true" outlineLevel="0" collapsed="false">
      <c r="A44" s="13" t="n">
        <f aca="false">Raw_Prices!A44</f>
        <v>43282</v>
      </c>
      <c r="B44" s="16" t="n">
        <f aca="false">Raw_Prices!B44/Raw_Prices!B43-1</f>
        <v>-0.0312941781262049</v>
      </c>
      <c r="C44" s="16" t="n">
        <f aca="false">Raw_Prices!C44/Raw_Prices!C43-1</f>
        <v>0.0976514215080346</v>
      </c>
      <c r="D44" s="16" t="n">
        <f aca="false">Raw_Prices!D44/Raw_Prices!D43-1</f>
        <v>0.0545988519556802</v>
      </c>
      <c r="E44" s="16" t="n">
        <f aca="false">Raw_Prices!E44/Raw_Prices!E43-1</f>
        <v>0.0466703746776558</v>
      </c>
      <c r="F44" s="16" t="n">
        <f aca="false">Raw_Prices!F44/Raw_Prices!F43-1</f>
        <v>0.0847557734333471</v>
      </c>
      <c r="G44" s="16" t="n">
        <f aca="false">Raw_Prices!G44/Raw_Prices!G43-1</f>
        <v>0.0067752047729801</v>
      </c>
      <c r="H44" s="16" t="n">
        <f aca="false">Raw_Prices!H44/Raw_Prices!H43-1</f>
        <v>0.130551933941764</v>
      </c>
      <c r="I44" s="16" t="n">
        <f aca="false">Raw_Prices!I44/Raw_Prices!I43-1</f>
        <v>-0.032680211119948</v>
      </c>
      <c r="J44" s="16" t="n">
        <f aca="false">KSE100_Benchmark!B44/KSE100_Benchmark!B43-1</f>
        <v>0.019124619132493</v>
      </c>
    </row>
    <row r="45" customFormat="false" ht="15" hidden="false" customHeight="true" outlineLevel="0" collapsed="false">
      <c r="A45" s="13" t="n">
        <f aca="false">Raw_Prices!A45</f>
        <v>43313</v>
      </c>
      <c r="B45" s="16" t="n">
        <f aca="false">Raw_Prices!B45/Raw_Prices!B44-1</f>
        <v>0.00842454394693215</v>
      </c>
      <c r="C45" s="16" t="n">
        <f aca="false">Raw_Prices!C45/Raw_Prices!C44-1</f>
        <v>0.0439189189189189</v>
      </c>
      <c r="D45" s="16" t="n">
        <f aca="false">Raw_Prices!D45/Raw_Prices!D44-1</f>
        <v>-0.000126582278481058</v>
      </c>
      <c r="E45" s="16" t="n">
        <f aca="false">Raw_Prices!E45/Raw_Prices!E44-1</f>
        <v>-0.033816425120773</v>
      </c>
      <c r="F45" s="16" t="n">
        <f aca="false">Raw_Prices!F45/Raw_Prices!F44-1</f>
        <v>-0.0185124686921486</v>
      </c>
      <c r="G45" s="16" t="n">
        <f aca="false">Raw_Prices!G45/Raw_Prices!G44-1</f>
        <v>-0.01727601446364</v>
      </c>
      <c r="H45" s="16" t="n">
        <f aca="false">Raw_Prices!H45/Raw_Prices!H44-1</f>
        <v>-0.134004766664104</v>
      </c>
      <c r="I45" s="16" t="n">
        <f aca="false">Raw_Prices!I45/Raw_Prices!I44-1</f>
        <v>0.053516705284401</v>
      </c>
      <c r="J45" s="16" t="n">
        <f aca="false">KSE100_Benchmark!B45/KSE100_Benchmark!B44-1</f>
        <v>-0.0227144650866271</v>
      </c>
    </row>
    <row r="46" customFormat="false" ht="15" hidden="false" customHeight="true" outlineLevel="0" collapsed="false">
      <c r="A46" s="13" t="n">
        <f aca="false">Raw_Prices!A46</f>
        <v>43344</v>
      </c>
      <c r="B46" s="16" t="n">
        <f aca="false">Raw_Prices!B46/Raw_Prices!B45-1</f>
        <v>0.00644652019471126</v>
      </c>
      <c r="C46" s="16" t="n">
        <f aca="false">Raw_Prices!C46/Raw_Prices!C45-1</f>
        <v>0.0454872348076232</v>
      </c>
      <c r="D46" s="16" t="n">
        <f aca="false">Raw_Prices!D46/Raw_Prices!D45-1</f>
        <v>-0.0429168249145462</v>
      </c>
      <c r="E46" s="16" t="n">
        <f aca="false">Raw_Prices!E46/Raw_Prices!E45-1</f>
        <v>-0.0048999999999999</v>
      </c>
      <c r="F46" s="16" t="n">
        <f aca="false">Raw_Prices!F46/Raw_Prices!F45-1</f>
        <v>-0.0495210621694588</v>
      </c>
      <c r="G46" s="16" t="n">
        <f aca="false">Raw_Prices!G46/Raw_Prices!G45-1</f>
        <v>-0.00091986917416198</v>
      </c>
      <c r="H46" s="16" t="n">
        <f aca="false">Raw_Prices!H46/Raw_Prices!H45-1</f>
        <v>0.0483842329545454</v>
      </c>
      <c r="I46" s="16" t="n">
        <f aca="false">Raw_Prices!I46/Raw_Prices!I45-1</f>
        <v>0.016317843206811</v>
      </c>
      <c r="J46" s="16" t="n">
        <f aca="false">KSE100_Benchmark!B46/KSE100_Benchmark!B45-1</f>
        <v>-0.0178152873444262</v>
      </c>
    </row>
    <row r="47" customFormat="false" ht="15" hidden="false" customHeight="true" outlineLevel="0" collapsed="false">
      <c r="A47" s="13" t="n">
        <f aca="false">Raw_Prices!A47</f>
        <v>43374</v>
      </c>
      <c r="B47" s="16" t="n">
        <f aca="false">Raw_Prices!B47/Raw_Prices!B46-1</f>
        <v>0.0327450980392157</v>
      </c>
      <c r="C47" s="16" t="n">
        <f aca="false">Raw_Prices!C47/Raw_Prices!C46-1</f>
        <v>0.122441960447119</v>
      </c>
      <c r="D47" s="16" t="n">
        <f aca="false">Raw_Prices!D47/Raw_Prices!D46-1</f>
        <v>0.0674603174603177</v>
      </c>
      <c r="E47" s="16" t="n">
        <f aca="false">Raw_Prices!E47/Raw_Prices!E46-1</f>
        <v>-0.0101497336951061</v>
      </c>
      <c r="F47" s="16" t="n">
        <f aca="false">Raw_Prices!F47/Raw_Prices!F46-1</f>
        <v>-0.0369649805447471</v>
      </c>
      <c r="G47" s="16" t="n">
        <f aca="false">Raw_Prices!G47/Raw_Prices!G46-1</f>
        <v>0.00767263427109977</v>
      </c>
      <c r="H47" s="16" t="n">
        <f aca="false">Raw_Prices!H47/Raw_Prices!H46-1</f>
        <v>-0.042679312388856</v>
      </c>
      <c r="I47" s="16" t="n">
        <f aca="false">Raw_Prices!I47/Raw_Prices!I46-1</f>
        <v>0.0400698080279234</v>
      </c>
      <c r="J47" s="16" t="n">
        <f aca="false">KSE100_Benchmark!B47/KSE100_Benchmark!B46-1</f>
        <v>0.0158729849002126</v>
      </c>
    </row>
    <row r="48" customFormat="false" ht="15" hidden="false" customHeight="true" outlineLevel="0" collapsed="false">
      <c r="A48" s="13" t="n">
        <f aca="false">Raw_Prices!A48</f>
        <v>43405</v>
      </c>
      <c r="B48" s="16" t="n">
        <f aca="false">Raw_Prices!B48/Raw_Prices!B47-1</f>
        <v>-0.0662616290108221</v>
      </c>
      <c r="C48" s="16" t="n">
        <f aca="false">Raw_Prices!C48/Raw_Prices!C47-1</f>
        <v>-0.0151677646698329</v>
      </c>
      <c r="D48" s="16" t="n">
        <f aca="false">Raw_Prices!D48/Raw_Prices!D47-1</f>
        <v>-0.0536555142503098</v>
      </c>
      <c r="E48" s="16" t="n">
        <f aca="false">Raw_Prices!E48/Raw_Prices!E47-1</f>
        <v>0.0461928934010152</v>
      </c>
      <c r="F48" s="16" t="n">
        <f aca="false">Raw_Prices!F48/Raw_Prices!F47-1</f>
        <v>-0.00218181818181817</v>
      </c>
      <c r="G48" s="16" t="n">
        <f aca="false">Raw_Prices!G48/Raw_Prices!G47-1</f>
        <v>0.00253807106598991</v>
      </c>
      <c r="H48" s="16" t="n">
        <f aca="false">Raw_Prices!H48/Raw_Prices!H47-1</f>
        <v>-0.117912428129146</v>
      </c>
      <c r="I48" s="16" t="n">
        <f aca="false">Raw_Prices!I48/Raw_Prices!I47-1</f>
        <v>-0.0565809785891671</v>
      </c>
      <c r="J48" s="16" t="n">
        <f aca="false">KSE100_Benchmark!B48/KSE100_Benchmark!B47-1</f>
        <v>-0.0276914219090042</v>
      </c>
    </row>
    <row r="49" customFormat="false" ht="15" hidden="false" customHeight="true" outlineLevel="0" collapsed="false">
      <c r="A49" s="13" t="n">
        <f aca="false">Raw_Prices!A49</f>
        <v>43435</v>
      </c>
      <c r="B49" s="16" t="n">
        <f aca="false">Raw_Prices!B49/Raw_Prices!B48-1</f>
        <v>-0.132099769554019</v>
      </c>
      <c r="C49" s="16" t="n">
        <f aca="false">Raw_Prices!C49/Raw_Prices!C48-1</f>
        <v>-0.0796515245799627</v>
      </c>
      <c r="D49" s="16" t="n">
        <f aca="false">Raw_Prices!D49/Raw_Prices!D48-1</f>
        <v>-0.0881236087468902</v>
      </c>
      <c r="E49" s="16" t="n">
        <f aca="false">Raw_Prices!E49/Raw_Prices!E48-1</f>
        <v>-0.0587093643862202</v>
      </c>
      <c r="F49" s="16" t="n">
        <f aca="false">Raw_Prices!F49/Raw_Prices!F48-1</f>
        <v>-0.11995869776482</v>
      </c>
      <c r="G49" s="16" t="n">
        <f aca="false">Raw_Prices!G49/Raw_Prices!G48-1</f>
        <v>-0.0582278481012658</v>
      </c>
      <c r="H49" s="16" t="n">
        <f aca="false">Raw_Prices!H49/Raw_Prices!H48-1</f>
        <v>-0.0765142398716405</v>
      </c>
      <c r="I49" s="16" t="n">
        <f aca="false">Raw_Prices!I49/Raw_Prices!I48-1</f>
        <v>-0.136809903244166</v>
      </c>
      <c r="J49" s="16" t="n">
        <f aca="false">KSE100_Benchmark!B49/KSE100_Benchmark!B48-1</f>
        <v>-0.0846838566644681</v>
      </c>
    </row>
    <row r="50" customFormat="false" ht="15" hidden="false" customHeight="true" outlineLevel="0" collapsed="false">
      <c r="A50" s="13" t="n">
        <f aca="false">Raw_Prices!A50</f>
        <v>43466</v>
      </c>
      <c r="B50" s="16" t="n">
        <f aca="false">Raw_Prices!B50/Raw_Prices!B49-1</f>
        <v>0.174853572823116</v>
      </c>
      <c r="C50" s="16" t="n">
        <f aca="false">Raw_Prices!C50/Raw_Prices!C49-1</f>
        <v>0.00388776200135244</v>
      </c>
      <c r="D50" s="16" t="n">
        <f aca="false">Raw_Prices!D50/Raw_Prices!D49-1</f>
        <v>0.0891728891441699</v>
      </c>
      <c r="E50" s="16" t="n">
        <f aca="false">Raw_Prices!E50/Raw_Prices!E49-1</f>
        <v>0.0739175257731959</v>
      </c>
      <c r="F50" s="16" t="n">
        <f aca="false">Raw_Prices!F50/Raw_Prices!F49-1</f>
        <v>0.079600616559689</v>
      </c>
      <c r="G50" s="16" t="n">
        <f aca="false">Raw_Prices!G50/Raw_Prices!G49-1</f>
        <v>0.145161290322581</v>
      </c>
      <c r="H50" s="16" t="n">
        <f aca="false">Raw_Prices!H50/Raw_Prices!H49-1</f>
        <v>0.0127049625366489</v>
      </c>
      <c r="I50" s="16" t="n">
        <f aca="false">Raw_Prices!I50/Raw_Prices!I49-1</f>
        <v>0.0739306024890796</v>
      </c>
      <c r="J50" s="16" t="n">
        <f aca="false">KSE100_Benchmark!B50/KSE100_Benchmark!B49-1</f>
        <v>0.100706375835758</v>
      </c>
    </row>
    <row r="51" customFormat="false" ht="15" hidden="false" customHeight="true" outlineLevel="0" collapsed="false">
      <c r="A51" s="13" t="n">
        <f aca="false">Raw_Prices!A51</f>
        <v>43497</v>
      </c>
      <c r="B51" s="16" t="n">
        <f aca="false">Raw_Prices!B51/Raw_Prices!B50-1</f>
        <v>-0.00631480989098632</v>
      </c>
      <c r="C51" s="16" t="n">
        <f aca="false">Raw_Prices!C51/Raw_Prices!C50-1</f>
        <v>0.0670146489307963</v>
      </c>
      <c r="D51" s="16" t="n">
        <f aca="false">Raw_Prices!D51/Raw_Prices!D50-1</f>
        <v>-0.0311140408701385</v>
      </c>
      <c r="E51" s="16" t="n">
        <f aca="false">Raw_Prices!E51/Raw_Prices!E50-1</f>
        <v>-0.0154075069597773</v>
      </c>
      <c r="F51" s="16" t="n">
        <f aca="false">Raw_Prices!F51/Raw_Prices!F50-1</f>
        <v>-0.0053913525262641</v>
      </c>
      <c r="G51" s="16" t="n">
        <f aca="false">Raw_Prices!G51/Raw_Prices!G50-1</f>
        <v>0.00600938967136155</v>
      </c>
      <c r="H51" s="16" t="n">
        <f aca="false">Raw_Prices!H51/Raw_Prices!H50-1</f>
        <v>0.00428908428050612</v>
      </c>
      <c r="I51" s="16" t="n">
        <f aca="false">Raw_Prices!I51/Raw_Prices!I50-1</f>
        <v>0.00943975441289324</v>
      </c>
      <c r="J51" s="16" t="n">
        <f aca="false">KSE100_Benchmark!B51/KSE100_Benchmark!B50-1</f>
        <v>-0.0427681502135319</v>
      </c>
    </row>
    <row r="52" customFormat="false" ht="15" hidden="false" customHeight="true" outlineLevel="0" collapsed="false">
      <c r="A52" s="13" t="n">
        <f aca="false">Raw_Prices!A52</f>
        <v>43525</v>
      </c>
      <c r="B52" s="16" t="n">
        <f aca="false">Raw_Prices!B52/Raw_Prices!B51-1</f>
        <v>-0.012308515619774</v>
      </c>
      <c r="C52" s="16" t="n">
        <f aca="false">Raw_Prices!C52/Raw_Prices!C51-1</f>
        <v>0.0104150228814897</v>
      </c>
      <c r="D52" s="16" t="n">
        <f aca="false">Raw_Prices!D52/Raw_Prices!D51-1</f>
        <v>-0.0268063682133624</v>
      </c>
      <c r="E52" s="16" t="n">
        <f aca="false">Raw_Prices!E52/Raw_Prices!E51-1</f>
        <v>-0.0420708818797836</v>
      </c>
      <c r="F52" s="16" t="n">
        <f aca="false">Raw_Prices!F52/Raw_Prices!F51-1</f>
        <v>-0.0824870377512105</v>
      </c>
      <c r="G52" s="16" t="n">
        <f aca="false">Raw_Prices!G52/Raw_Prices!G51-1</f>
        <v>-0.0246406570841889</v>
      </c>
      <c r="H52" s="16" t="n">
        <f aca="false">Raw_Prices!H52/Raw_Prices!H51-1</f>
        <v>0.0337390561605808</v>
      </c>
      <c r="I52" s="16" t="n">
        <f aca="false">Raw_Prices!I52/Raw_Prices!I51-1</f>
        <v>-0.0477457614232495</v>
      </c>
      <c r="J52" s="16" t="n">
        <f aca="false">KSE100_Benchmark!B52/KSE100_Benchmark!B51-1</f>
        <v>-0.0103767545948493</v>
      </c>
    </row>
    <row r="53" customFormat="false" ht="15" hidden="false" customHeight="true" outlineLevel="0" collapsed="false">
      <c r="A53" s="13" t="n">
        <f aca="false">Raw_Prices!A53</f>
        <v>43556</v>
      </c>
      <c r="B53" s="16" t="n">
        <f aca="false">Raw_Prices!B53/Raw_Prices!B52-1</f>
        <v>-0.0484253301727058</v>
      </c>
      <c r="C53" s="16" t="n">
        <f aca="false">Raw_Prices!C53/Raw_Prices!C52-1</f>
        <v>-0.0306106512572232</v>
      </c>
      <c r="D53" s="16" t="n">
        <f aca="false">Raw_Prices!D53/Raw_Prices!D52-1</f>
        <v>-0.0282438478747203</v>
      </c>
      <c r="E53" s="16" t="n">
        <f aca="false">Raw_Prices!E53/Raw_Prices!E52-1</f>
        <v>-0.0330788804071247</v>
      </c>
      <c r="F53" s="16" t="n">
        <f aca="false">Raw_Prices!F53/Raw_Prices!F52-1</f>
        <v>-0.100154119185503</v>
      </c>
      <c r="G53" s="16" t="n">
        <f aca="false">Raw_Prices!G53/Raw_Prices!G52-1</f>
        <v>-0.00478468899521534</v>
      </c>
      <c r="H53" s="16" t="n">
        <f aca="false">Raw_Prices!H53/Raw_Prices!H52-1</f>
        <v>0.000722991117537708</v>
      </c>
      <c r="I53" s="16" t="n">
        <f aca="false">Raw_Prices!I53/Raw_Prices!I52-1</f>
        <v>-0.0596407185628742</v>
      </c>
      <c r="J53" s="16" t="n">
        <f aca="false">KSE100_Benchmark!B53/KSE100_Benchmark!B52-1</f>
        <v>-0.0482517942091636</v>
      </c>
    </row>
    <row r="54" customFormat="false" ht="15" hidden="false" customHeight="true" outlineLevel="0" collapsed="false">
      <c r="A54" s="13" t="n">
        <f aca="false">Raw_Prices!A54</f>
        <v>43586</v>
      </c>
      <c r="B54" s="16" t="n">
        <f aca="false">Raw_Prices!B54/Raw_Prices!B53-1</f>
        <v>-0.0283985765124556</v>
      </c>
      <c r="C54" s="16" t="n">
        <f aca="false">Raw_Prices!C54/Raw_Prices!C53-1</f>
        <v>0.0853874657644596</v>
      </c>
      <c r="D54" s="16" t="n">
        <f aca="false">Raw_Prices!D54/Raw_Prices!D53-1</f>
        <v>-0.0071942446043165</v>
      </c>
      <c r="E54" s="16" t="n">
        <f aca="false">Raw_Prices!E54/Raw_Prices!E53-1</f>
        <v>-0.0731578947368421</v>
      </c>
      <c r="F54" s="16" t="n">
        <f aca="false">Raw_Prices!F54/Raw_Prices!F53-1</f>
        <v>0.0998053717399765</v>
      </c>
      <c r="G54" s="16" t="n">
        <f aca="false">Raw_Prices!G54/Raw_Prices!G53-1</f>
        <v>-0.105769230769231</v>
      </c>
      <c r="H54" s="16" t="n">
        <f aca="false">Raw_Prices!H54/Raw_Prices!H53-1</f>
        <v>-0.00835999587160696</v>
      </c>
      <c r="I54" s="16" t="n">
        <f aca="false">Raw_Prices!I54/Raw_Prices!I53-1</f>
        <v>-0.0137544574630668</v>
      </c>
      <c r="J54" s="16" t="n">
        <f aca="false">KSE100_Benchmark!B54/KSE100_Benchmark!B53-1</f>
        <v>-0.0220106653791657</v>
      </c>
    </row>
    <row r="55" customFormat="false" ht="15" hidden="false" customHeight="true" outlineLevel="0" collapsed="false">
      <c r="A55" s="13" t="n">
        <f aca="false">Raw_Prices!A55</f>
        <v>43617</v>
      </c>
      <c r="B55" s="16" t="n">
        <f aca="false">Raw_Prices!B55/Raw_Prices!B54-1</f>
        <v>-0.0367738627206796</v>
      </c>
      <c r="C55" s="16" t="n">
        <f aca="false">Raw_Prices!C55/Raw_Prices!C54-1</f>
        <v>-0.0702092919697195</v>
      </c>
      <c r="D55" s="16" t="n">
        <f aca="false">Raw_Prices!D55/Raw_Prices!D54-1</f>
        <v>-0.0772463768115942</v>
      </c>
      <c r="E55" s="16" t="n">
        <f aca="false">Raw_Prices!E55/Raw_Prices!E54-1</f>
        <v>-0.00936967632027264</v>
      </c>
      <c r="F55" s="16" t="n">
        <f aca="false">Raw_Prices!F55/Raw_Prices!F54-1</f>
        <v>-0.109270663740827</v>
      </c>
      <c r="G55" s="16" t="n">
        <f aca="false">Raw_Prices!G55/Raw_Prices!G54-1</f>
        <v>-0.0696774193548387</v>
      </c>
      <c r="H55" s="16" t="n">
        <f aca="false">Raw_Prices!H55/Raw_Prices!H54-1</f>
        <v>-0.0788925895087427</v>
      </c>
      <c r="I55" s="16" t="n">
        <f aca="false">Raw_Prices!I55/Raw_Prices!I54-1</f>
        <v>-0.108643250688705</v>
      </c>
      <c r="J55" s="16" t="n">
        <f aca="false">KSE100_Benchmark!B55/KSE100_Benchmark!B54-1</f>
        <v>-0.0576295233412064</v>
      </c>
    </row>
    <row r="56" customFormat="false" ht="15" hidden="false" customHeight="true" outlineLevel="0" collapsed="false">
      <c r="A56" s="13" t="n">
        <f aca="false">Raw_Prices!A56</f>
        <v>43647</v>
      </c>
      <c r="B56" s="16" t="n">
        <f aca="false">Raw_Prices!B56/Raw_Prices!B55-1</f>
        <v>-0.0360483686972394</v>
      </c>
      <c r="C56" s="16" t="n">
        <f aca="false">Raw_Prices!C56/Raw_Prices!C55-1</f>
        <v>-0.0593869731800766</v>
      </c>
      <c r="D56" s="16" t="n">
        <f aca="false">Raw_Prices!D56/Raw_Prices!D55-1</f>
        <v>0.00675357311135527</v>
      </c>
      <c r="E56" s="16" t="n">
        <f aca="false">Raw_Prices!E56/Raw_Prices!E55-1</f>
        <v>0.000630553167096704</v>
      </c>
      <c r="F56" s="16" t="n">
        <f aca="false">Raw_Prices!F56/Raw_Prices!F55-1</f>
        <v>0.00397350993377477</v>
      </c>
      <c r="G56" s="16" t="n">
        <f aca="false">Raw_Prices!G56/Raw_Prices!G55-1</f>
        <v>0.0985899214054553</v>
      </c>
      <c r="H56" s="16" t="n">
        <f aca="false">Raw_Prices!H56/Raw_Prices!H55-1</f>
        <v>-0.112768361581921</v>
      </c>
      <c r="I56" s="16" t="n">
        <f aca="false">Raw_Prices!I56/Raw_Prices!I55-1</f>
        <v>-0.0829631060459726</v>
      </c>
      <c r="J56" s="16" t="n">
        <f aca="false">KSE100_Benchmark!B56/KSE100_Benchmark!B55-1</f>
        <v>-0.0579058557152794</v>
      </c>
    </row>
    <row r="57" customFormat="false" ht="15" hidden="false" customHeight="true" outlineLevel="0" collapsed="false">
      <c r="A57" s="13" t="n">
        <f aca="false">Raw_Prices!A57</f>
        <v>43678</v>
      </c>
      <c r="B57" s="16" t="n">
        <f aca="false">Raw_Prices!B57/Raw_Prices!B56-1</f>
        <v>-0.175069033530572</v>
      </c>
      <c r="C57" s="16" t="n">
        <f aca="false">Raw_Prices!C57/Raw_Prices!C56-1</f>
        <v>-0.0804480651731161</v>
      </c>
      <c r="D57" s="16" t="n">
        <f aca="false">Raw_Prices!D57/Raw_Prices!D56-1</f>
        <v>0.0265210608424338</v>
      </c>
      <c r="E57" s="16" t="n">
        <f aca="false">Raw_Prices!E57/Raw_Prices!E56-1</f>
        <v>-0.0346585701191569</v>
      </c>
      <c r="F57" s="16" t="n">
        <f aca="false">Raw_Prices!F57/Raw_Prices!F56-1</f>
        <v>-0.0764379947229552</v>
      </c>
      <c r="G57" s="16" t="n">
        <f aca="false">Raw_Prices!G57/Raw_Prices!G56-1</f>
        <v>-0.039347711730668</v>
      </c>
      <c r="H57" s="16" t="n">
        <f aca="false">Raw_Prices!H57/Raw_Prices!H56-1</f>
        <v>0.0906775343861437</v>
      </c>
      <c r="I57" s="16" t="n">
        <f aca="false">Raw_Prices!I57/Raw_Prices!I56-1</f>
        <v>-0.109004739336493</v>
      </c>
      <c r="J57" s="16" t="n">
        <f aca="false">KSE100_Benchmark!B57/KSE100_Benchmark!B56-1</f>
        <v>-0.0709601709286103</v>
      </c>
    </row>
    <row r="58" customFormat="false" ht="15" hidden="false" customHeight="true" outlineLevel="0" collapsed="false">
      <c r="A58" s="13" t="n">
        <f aca="false">Raw_Prices!A58</f>
        <v>43709</v>
      </c>
      <c r="B58" s="16" t="n">
        <f aca="false">Raw_Prices!B58/Raw_Prices!B57-1</f>
        <v>0.185826319816373</v>
      </c>
      <c r="C58" s="16" t="n">
        <f aca="false">Raw_Prices!C58/Raw_Prices!C57-1</f>
        <v>-0.0409745293466224</v>
      </c>
      <c r="D58" s="16" t="n">
        <f aca="false">Raw_Prices!D58/Raw_Prices!D57-1</f>
        <v>0.0334346504559271</v>
      </c>
      <c r="E58" s="16" t="n">
        <f aca="false">Raw_Prices!E58/Raw_Prices!E57-1</f>
        <v>0.0147765711233756</v>
      </c>
      <c r="F58" s="16" t="n">
        <f aca="false">Raw_Prices!F58/Raw_Prices!F57-1</f>
        <v>-0.0232551495586092</v>
      </c>
      <c r="G58" s="16" t="n">
        <f aca="false">Raw_Prices!G58/Raw_Prices!G57-1</f>
        <v>0.0234366443982039</v>
      </c>
      <c r="H58" s="16" t="n">
        <f aca="false">Raw_Prices!H58/Raw_Prices!H57-1</f>
        <v>-0.0760158804297058</v>
      </c>
      <c r="I58" s="16" t="n">
        <f aca="false">Raw_Prices!I58/Raw_Prices!I57-1</f>
        <v>0.0745862884160757</v>
      </c>
      <c r="J58" s="16" t="n">
        <f aca="false">KSE100_Benchmark!B58/KSE100_Benchmark!B57-1</f>
        <v>0.0811108205278222</v>
      </c>
    </row>
    <row r="59" customFormat="false" ht="15" hidden="false" customHeight="true" outlineLevel="0" collapsed="false">
      <c r="A59" s="13" t="n">
        <f aca="false">Raw_Prices!A59</f>
        <v>43739</v>
      </c>
      <c r="B59" s="16" t="n">
        <f aca="false">Raw_Prices!B59/Raw_Prices!B58-1</f>
        <v>0.0367771594483428</v>
      </c>
      <c r="C59" s="16" t="n">
        <f aca="false">Raw_Prices!C59/Raw_Prices!C58-1</f>
        <v>0.0789068514241724</v>
      </c>
      <c r="D59" s="16" t="n">
        <f aca="false">Raw_Prices!D59/Raw_Prices!D58-1</f>
        <v>0.0491176470588235</v>
      </c>
      <c r="E59" s="16" t="n">
        <f aca="false">Raw_Prices!E59/Raw_Prices!E58-1</f>
        <v>0.0228070175438597</v>
      </c>
      <c r="F59" s="16" t="n">
        <f aca="false">Raw_Prices!F59/Raw_Prices!F58-1</f>
        <v>0.0237210798794933</v>
      </c>
      <c r="G59" s="16" t="n">
        <f aca="false">Raw_Prices!G59/Raw_Prices!G58-1</f>
        <v>0.00588550026752266</v>
      </c>
      <c r="H59" s="16" t="n">
        <f aca="false">Raw_Prices!H59/Raw_Prices!H58-1</f>
        <v>0.0203462656388222</v>
      </c>
      <c r="I59" s="16" t="n">
        <f aca="false">Raw_Prices!I59/Raw_Prices!I58-1</f>
        <v>0.340446595534045</v>
      </c>
      <c r="J59" s="16" t="n">
        <f aca="false">KSE100_Benchmark!B59/KSE100_Benchmark!B58-1</f>
        <v>0.0662377236091694</v>
      </c>
    </row>
    <row r="60" customFormat="false" ht="15" hidden="false" customHeight="true" outlineLevel="0" collapsed="false">
      <c r="A60" s="13" t="n">
        <f aca="false">Raw_Prices!A60</f>
        <v>43770</v>
      </c>
      <c r="B60" s="16" t="n">
        <f aca="false">Raw_Prices!B60/Raw_Prices!B59-1</f>
        <v>0.0248930377285101</v>
      </c>
      <c r="C60" s="16" t="n">
        <f aca="false">Raw_Prices!C60/Raw_Prices!C59-1</f>
        <v>0.115590438815555</v>
      </c>
      <c r="D60" s="16" t="n">
        <f aca="false">Raw_Prices!D60/Raw_Prices!D59-1</f>
        <v>-0.0330810204653771</v>
      </c>
      <c r="E60" s="16" t="n">
        <f aca="false">Raw_Prices!E60/Raw_Prices!E59-1</f>
        <v>0.137793024585477</v>
      </c>
      <c r="F60" s="16" t="n">
        <f aca="false">Raw_Prices!F60/Raw_Prices!F59-1</f>
        <v>0.200828571428572</v>
      </c>
      <c r="G60" s="16" t="n">
        <f aca="false">Raw_Prices!G60/Raw_Prices!G59-1</f>
        <v>0.127765957446809</v>
      </c>
      <c r="H60" s="16" t="n">
        <f aca="false">Raw_Prices!H60/Raw_Prices!H59-1</f>
        <v>0</v>
      </c>
      <c r="I60" s="16" t="n">
        <f aca="false">Raw_Prices!I60/Raw_Prices!I59-1</f>
        <v>0.11332676842278</v>
      </c>
      <c r="J60" s="16" t="n">
        <f aca="false">KSE100_Benchmark!B60/KSE100_Benchmark!B59-1</f>
        <v>0.148638099760026</v>
      </c>
    </row>
    <row r="61" customFormat="false" ht="15" hidden="false" customHeight="true" outlineLevel="0" collapsed="false">
      <c r="A61" s="13" t="n">
        <f aca="false">Raw_Prices!A61</f>
        <v>43800</v>
      </c>
      <c r="B61" s="16" t="n">
        <f aca="false">Raw_Prices!B61/Raw_Prices!B60-1</f>
        <v>0.0793168880455406</v>
      </c>
      <c r="C61" s="16" t="n">
        <f aca="false">Raw_Prices!C61/Raw_Prices!C60-1</f>
        <v>0.0917812599936041</v>
      </c>
      <c r="D61" s="16" t="n">
        <f aca="false">Raw_Prices!D61/Raw_Prices!D60-1</f>
        <v>0.0582777616700492</v>
      </c>
      <c r="E61" s="16" t="n">
        <f aca="false">Raw_Prices!E61/Raw_Prices!E60-1</f>
        <v>0.0603015075376885</v>
      </c>
      <c r="F61" s="16" t="n">
        <f aca="false">Raw_Prices!F61/Raw_Prices!F60-1</f>
        <v>0.0142044778605248</v>
      </c>
      <c r="G61" s="16" t="n">
        <f aca="false">Raw_Prices!G61/Raw_Prices!G60-1</f>
        <v>-0.0421658334119422</v>
      </c>
      <c r="H61" s="16" t="n">
        <f aca="false">Raw_Prices!H61/Raw_Prices!H60-1</f>
        <v>0.195070596977954</v>
      </c>
      <c r="I61" s="16" t="n">
        <f aca="false">Raw_Prices!I61/Raw_Prices!I60-1</f>
        <v>0.0851330434141668</v>
      </c>
      <c r="J61" s="16" t="n">
        <f aca="false">KSE100_Benchmark!B61/KSE100_Benchmark!B60-1</f>
        <v>0.0368418574284795</v>
      </c>
    </row>
    <row r="62" customFormat="false" ht="15" hidden="false" customHeight="true" outlineLevel="0" collapsed="false">
      <c r="A62" s="13" t="n">
        <f aca="false">Raw_Prices!A62</f>
        <v>43831</v>
      </c>
      <c r="B62" s="16" t="n">
        <f aca="false">Raw_Prices!B62/Raw_Prices!B61-1</f>
        <v>-0.029676511954993</v>
      </c>
      <c r="C62" s="16" t="n">
        <f aca="false">Raw_Prices!C62/Raw_Prices!C61-1</f>
        <v>0.08406561218512</v>
      </c>
      <c r="D62" s="16" t="n">
        <f aca="false">Raw_Prices!D62/Raw_Prices!D61-1</f>
        <v>-0.073013698630137</v>
      </c>
      <c r="E62" s="16" t="n">
        <f aca="false">Raw_Prices!E62/Raw_Prices!E61-1</f>
        <v>0</v>
      </c>
      <c r="F62" s="16" t="n">
        <f aca="false">Raw_Prices!F62/Raw_Prices!F61-1</f>
        <v>0.116689344531507</v>
      </c>
      <c r="G62" s="16" t="n">
        <f aca="false">Raw_Prices!G62/Raw_Prices!G61-1</f>
        <v>0.0354540082726018</v>
      </c>
      <c r="H62" s="16" t="n">
        <f aca="false">Raw_Prices!H62/Raw_Prices!H61-1</f>
        <v>-0.0126437972846927</v>
      </c>
      <c r="I62" s="16" t="n">
        <f aca="false">Raw_Prices!I62/Raw_Prices!I61-1</f>
        <v>0.0256758592582529</v>
      </c>
      <c r="J62" s="16" t="n">
        <f aca="false">KSE100_Benchmark!B62/KSE100_Benchmark!B61-1</f>
        <v>0.0219923466456922</v>
      </c>
    </row>
    <row r="63" customFormat="false" ht="15" hidden="false" customHeight="true" outlineLevel="0" collapsed="false">
      <c r="A63" s="13" t="n">
        <f aca="false">Raw_Prices!A63</f>
        <v>43862</v>
      </c>
      <c r="B63" s="16" t="n">
        <f aca="false">Raw_Prices!B63/Raw_Prices!B62-1</f>
        <v>-0.147557617045949</v>
      </c>
      <c r="C63" s="16" t="n">
        <f aca="false">Raw_Prices!C63/Raw_Prices!C62-1</f>
        <v>-0.0301269927046742</v>
      </c>
      <c r="D63" s="16" t="n">
        <f aca="false">Raw_Prices!D63/Raw_Prices!D62-1</f>
        <v>-0.0667947391754101</v>
      </c>
      <c r="E63" s="16" t="n">
        <f aca="false">Raw_Prices!E63/Raw_Prices!E62-1</f>
        <v>-0.057345971563981</v>
      </c>
      <c r="F63" s="16" t="n">
        <f aca="false">Raw_Prices!F63/Raw_Prices!F62-1</f>
        <v>0.0274999999999999</v>
      </c>
      <c r="G63" s="16" t="n">
        <f aca="false">Raw_Prices!G63/Raw_Prices!G62-1</f>
        <v>-0.0165493627544226</v>
      </c>
      <c r="H63" s="16" t="n">
        <f aca="false">Raw_Prices!H63/Raw_Prices!H62-1</f>
        <v>0.0889052167523881</v>
      </c>
      <c r="I63" s="16" t="n">
        <f aca="false">Raw_Prices!I63/Raw_Prices!I62-1</f>
        <v>-0.109668874172185</v>
      </c>
      <c r="J63" s="16" t="n">
        <f aca="false">KSE100_Benchmark!B63/KSE100_Benchmark!B62-1</f>
        <v>-0.0876108010052139</v>
      </c>
    </row>
    <row r="64" customFormat="false" ht="15" hidden="false" customHeight="true" outlineLevel="0" collapsed="false">
      <c r="A64" s="13" t="n">
        <f aca="false">Raw_Prices!A64</f>
        <v>43891</v>
      </c>
      <c r="B64" s="16" t="n">
        <f aca="false">Raw_Prices!B64/Raw_Prices!B63-1</f>
        <v>-0.344584254378507</v>
      </c>
      <c r="C64" s="16" t="n">
        <f aca="false">Raw_Prices!C64/Raw_Prices!C63-1</f>
        <v>-0.349352277475972</v>
      </c>
      <c r="D64" s="16" t="n">
        <f aca="false">Raw_Prices!D64/Raw_Prices!D63-1</f>
        <v>-0.089311163895487</v>
      </c>
      <c r="E64" s="16" t="n">
        <f aca="false">Raw_Prices!E64/Raw_Prices!E63-1</f>
        <v>-0.248366013071895</v>
      </c>
      <c r="F64" s="16" t="n">
        <f aca="false">Raw_Prices!F64/Raw_Prices!F63-1</f>
        <v>-0.245537631110838</v>
      </c>
      <c r="G64" s="16" t="n">
        <f aca="false">Raw_Prices!G64/Raw_Prices!G63-1</f>
        <v>-0.10009671179884</v>
      </c>
      <c r="H64" s="16" t="n">
        <f aca="false">Raw_Prices!H64/Raw_Prices!H63-1</f>
        <v>-0.435319066898014</v>
      </c>
      <c r="I64" s="16" t="n">
        <f aca="false">Raw_Prices!I64/Raw_Prices!I63-1</f>
        <v>-0.262198750371913</v>
      </c>
      <c r="J64" s="16" t="n">
        <f aca="false">KSE100_Benchmark!B64/KSE100_Benchmark!B63-1</f>
        <v>-0.230414847242048</v>
      </c>
    </row>
    <row r="65" customFormat="false" ht="15" hidden="false" customHeight="true" outlineLevel="0" collapsed="false">
      <c r="A65" s="13" t="n">
        <f aca="false">Raw_Prices!A65</f>
        <v>43922</v>
      </c>
      <c r="B65" s="16" t="n">
        <f aca="false">Raw_Prices!B65/Raw_Prices!B64-1</f>
        <v>0.366714230120638</v>
      </c>
      <c r="C65" s="16" t="n">
        <f aca="false">Raw_Prices!C65/Raw_Prices!C64-1</f>
        <v>0.00792121601370144</v>
      </c>
      <c r="D65" s="16" t="n">
        <f aca="false">Raw_Prices!D65/Raw_Prices!D64-1</f>
        <v>0.0763345505129542</v>
      </c>
      <c r="E65" s="16" t="n">
        <f aca="false">Raw_Prices!E65/Raw_Prices!E64-1</f>
        <v>0.0903010033444816</v>
      </c>
      <c r="F65" s="16" t="n">
        <f aca="false">Raw_Prices!F65/Raw_Prices!F64-1</f>
        <v>0.271029810298103</v>
      </c>
      <c r="G65" s="16" t="n">
        <f aca="false">Raw_Prices!G65/Raw_Prices!G64-1</f>
        <v>0.201504567436862</v>
      </c>
      <c r="H65" s="16" t="n">
        <f aca="false">Raw_Prices!H65/Raw_Prices!H64-1</f>
        <v>-0.164561283714578</v>
      </c>
      <c r="I65" s="16" t="n">
        <f aca="false">Raw_Prices!I65/Raw_Prices!I64-1</f>
        <v>0.313438854723259</v>
      </c>
      <c r="J65" s="16" t="n">
        <f aca="false">KSE100_Benchmark!B65/KSE100_Benchmark!B64-1</f>
        <v>0.166942794500341</v>
      </c>
    </row>
    <row r="66" customFormat="false" ht="15" hidden="false" customHeight="true" outlineLevel="0" collapsed="false">
      <c r="A66" s="13" t="n">
        <f aca="false">Raw_Prices!A66</f>
        <v>43952</v>
      </c>
      <c r="B66" s="16" t="n">
        <f aca="false">Raw_Prices!B66/Raw_Prices!B65-1</f>
        <v>0.0914958238420653</v>
      </c>
      <c r="C66" s="16" t="n">
        <f aca="false">Raw_Prices!C66/Raw_Prices!C65-1</f>
        <v>-0.0535259133389974</v>
      </c>
      <c r="D66" s="16" t="n">
        <f aca="false">Raw_Prices!D66/Raw_Prices!D65-1</f>
        <v>-0.0274636510500808</v>
      </c>
      <c r="E66" s="16" t="n">
        <f aca="false">Raw_Prices!E66/Raw_Prices!E65-1</f>
        <v>-0.0736196319018405</v>
      </c>
      <c r="F66" s="16" t="n">
        <f aca="false">Raw_Prices!F66/Raw_Prices!F65-1</f>
        <v>-0.025393914841901</v>
      </c>
      <c r="G66" s="16" t="n">
        <f aca="false">Raw_Prices!G66/Raw_Prices!G65-1</f>
        <v>-0.0259391771019677</v>
      </c>
      <c r="H66" s="16" t="n">
        <f aca="false">Raw_Prices!H66/Raw_Prices!H65-1</f>
        <v>0.354107069881487</v>
      </c>
      <c r="I66" s="16" t="n">
        <f aca="false">Raw_Prices!I66/Raw_Prices!I65-1</f>
        <v>0.0575683143997543</v>
      </c>
      <c r="J66" s="16" t="n">
        <f aca="false">KSE100_Benchmark!B66/KSE100_Benchmark!B65-1</f>
        <v>-0.00528881050573926</v>
      </c>
    </row>
    <row r="67" customFormat="false" ht="15" hidden="false" customHeight="true" outlineLevel="0" collapsed="false">
      <c r="A67" s="13" t="n">
        <f aca="false">Raw_Prices!A67</f>
        <v>43983</v>
      </c>
      <c r="B67" s="16" t="n">
        <f aca="false">Raw_Prices!B67/Raw_Prices!B66-1</f>
        <v>-0.0304347826086957</v>
      </c>
      <c r="C67" s="16" t="n">
        <f aca="false">Raw_Prices!C67/Raw_Prices!C66-1</f>
        <v>0.112208258527828</v>
      </c>
      <c r="D67" s="16" t="n">
        <f aca="false">Raw_Prices!D67/Raw_Prices!D66-1</f>
        <v>0.00315614617940185</v>
      </c>
      <c r="E67" s="16" t="n">
        <f aca="false">Raw_Prices!E67/Raw_Prices!E66-1</f>
        <v>0.0695364238410596</v>
      </c>
      <c r="F67" s="16" t="n">
        <f aca="false">Raw_Prices!F67/Raw_Prices!F66-1</f>
        <v>0.0107416320280025</v>
      </c>
      <c r="G67" s="16" t="n">
        <f aca="false">Raw_Prices!G67/Raw_Prices!G66-1</f>
        <v>0.0105601469237833</v>
      </c>
      <c r="H67" s="16" t="n">
        <f aca="false">Raw_Prices!H67/Raw_Prices!H66-1</f>
        <v>0.124188924098386</v>
      </c>
      <c r="I67" s="16" t="n">
        <f aca="false">Raw_Prices!I67/Raw_Prices!I66-1</f>
        <v>0.00391929162432869</v>
      </c>
      <c r="J67" s="16" t="n">
        <f aca="false">KSE100_Benchmark!B67/KSE100_Benchmark!B66-1</f>
        <v>0.0144613089475387</v>
      </c>
    </row>
    <row r="68" customFormat="false" ht="15" hidden="false" customHeight="true" outlineLevel="0" collapsed="false">
      <c r="A68" s="13" t="n">
        <f aca="false">Raw_Prices!A68</f>
        <v>44013</v>
      </c>
      <c r="B68" s="16" t="n">
        <f aca="false">Raw_Prices!B68/Raw_Prices!B67-1</f>
        <v>0.0269058295964126</v>
      </c>
      <c r="C68" s="16" t="n">
        <f aca="false">Raw_Prices!C68/Raw_Prices!C67-1</f>
        <v>0.228208232445521</v>
      </c>
      <c r="D68" s="16" t="n">
        <f aca="false">Raw_Prices!D68/Raw_Prices!D67-1</f>
        <v>0.106143401225368</v>
      </c>
      <c r="E68" s="16" t="n">
        <f aca="false">Raw_Prices!E68/Raw_Prices!E67-1</f>
        <v>0.0990712074303406</v>
      </c>
      <c r="F68" s="16" t="n">
        <f aca="false">Raw_Prices!F68/Raw_Prices!F67-1</f>
        <v>0.259734637778403</v>
      </c>
      <c r="G68" s="16" t="n">
        <f aca="false">Raw_Prices!G68/Raw_Prices!G67-1</f>
        <v>0.00272603362108126</v>
      </c>
      <c r="H68" s="16" t="n">
        <f aca="false">Raw_Prices!H68/Raw_Prices!H67-1</f>
        <v>0.170738255033557</v>
      </c>
      <c r="I68" s="16" t="n">
        <f aca="false">Raw_Prices!I68/Raw_Prices!I67-1</f>
        <v>0.108516483516484</v>
      </c>
      <c r="J68" s="16" t="n">
        <f aca="false">KSE100_Benchmark!B68/KSE100_Benchmark!B67-1</f>
        <v>0.140506979273672</v>
      </c>
    </row>
    <row r="69" customFormat="false" ht="15" hidden="false" customHeight="true" outlineLevel="0" collapsed="false">
      <c r="A69" s="13" t="n">
        <f aca="false">Raw_Prices!A69</f>
        <v>44044</v>
      </c>
      <c r="B69" s="16" t="n">
        <f aca="false">Raw_Prices!B69/Raw_Prices!B68-1</f>
        <v>0.00410480349344988</v>
      </c>
      <c r="C69" s="16" t="n">
        <f aca="false">Raw_Prices!C69/Raw_Prices!C68-1</f>
        <v>0.0673566617381305</v>
      </c>
      <c r="D69" s="16" t="n">
        <f aca="false">Raw_Prices!D69/Raw_Prices!D68-1</f>
        <v>-0.0523952095808383</v>
      </c>
      <c r="E69" s="16" t="n">
        <f aca="false">Raw_Prices!E69/Raw_Prices!E68-1</f>
        <v>-0.0366760563380281</v>
      </c>
      <c r="F69" s="16" t="n">
        <f aca="false">Raw_Prices!F69/Raw_Prices!F68-1</f>
        <v>0.0549646913283277</v>
      </c>
      <c r="G69" s="16" t="n">
        <f aca="false">Raw_Prices!G69/Raw_Prices!G68-1</f>
        <v>-0.021295876755777</v>
      </c>
      <c r="H69" s="16" t="n">
        <f aca="false">Raw_Prices!H69/Raw_Prices!H68-1</f>
        <v>0.212795230451731</v>
      </c>
      <c r="I69" s="16" t="n">
        <f aca="false">Raw_Prices!I69/Raw_Prices!I68-1</f>
        <v>0.0463705732733319</v>
      </c>
      <c r="J69" s="16" t="n">
        <f aca="false">KSE100_Benchmark!B69/KSE100_Benchmark!B68-1</f>
        <v>0.0471870507335492</v>
      </c>
    </row>
    <row r="70" customFormat="false" ht="15" hidden="false" customHeight="true" outlineLevel="0" collapsed="false">
      <c r="A70" s="13" t="n">
        <f aca="false">Raw_Prices!A70</f>
        <v>44075</v>
      </c>
      <c r="B70" s="16" t="n">
        <f aca="false">Raw_Prices!B70/Raw_Prices!B69-1</f>
        <v>-0.150821953553101</v>
      </c>
      <c r="C70" s="16" t="n">
        <f aca="false">Raw_Prices!C70/Raw_Prices!C69-1</f>
        <v>0.00446359858396184</v>
      </c>
      <c r="D70" s="16" t="n">
        <f aca="false">Raw_Prices!D70/Raw_Prices!D69-1</f>
        <v>-0.0347551342812006</v>
      </c>
      <c r="E70" s="16" t="n">
        <f aca="false">Raw_Prices!E70/Raw_Prices!E69-1</f>
        <v>0.0176618515702671</v>
      </c>
      <c r="F70" s="16" t="n">
        <f aca="false">Raw_Prices!F70/Raw_Prices!F69-1</f>
        <v>0.0553745928338762</v>
      </c>
      <c r="G70" s="16" t="n">
        <f aca="false">Raw_Prices!G70/Raw_Prices!G69-1</f>
        <v>0</v>
      </c>
      <c r="H70" s="16" t="n">
        <f aca="false">Raw_Prices!H70/Raw_Prices!H69-1</f>
        <v>-0.0434864813764416</v>
      </c>
      <c r="I70" s="16" t="n">
        <f aca="false">Raw_Prices!I70/Raw_Prices!I69-1</f>
        <v>-0.0477437048117676</v>
      </c>
      <c r="J70" s="16" t="n">
        <f aca="false">KSE100_Benchmark!B70/KSE100_Benchmark!B69-1</f>
        <v>-0.0131218145636695</v>
      </c>
    </row>
    <row r="71" customFormat="false" ht="15" hidden="false" customHeight="true" outlineLevel="0" collapsed="false">
      <c r="A71" s="13" t="n">
        <f aca="false">Raw_Prices!A71</f>
        <v>44105</v>
      </c>
      <c r="B71" s="16" t="n">
        <f aca="false">Raw_Prices!B71/Raw_Prices!B70-1</f>
        <v>-0.0494724982075182</v>
      </c>
      <c r="C71" s="16" t="n">
        <f aca="false">Raw_Prices!C71/Raw_Prices!C70-1</f>
        <v>0.0484216978240881</v>
      </c>
      <c r="D71" s="16" t="n">
        <f aca="false">Raw_Prices!D71/Raw_Prices!D70-1</f>
        <v>0.0556464811783961</v>
      </c>
      <c r="E71" s="16" t="n">
        <f aca="false">Raw_Prices!E71/Raw_Prices!E70-1</f>
        <v>-0.0488477673696914</v>
      </c>
      <c r="F71" s="16" t="n">
        <f aca="false">Raw_Prices!F71/Raw_Prices!F70-1</f>
        <v>0.0385802469135803</v>
      </c>
      <c r="G71" s="16" t="n">
        <f aca="false">Raw_Prices!G71/Raw_Prices!G70-1</f>
        <v>-0.0187037037037037</v>
      </c>
      <c r="H71" s="16" t="n">
        <f aca="false">Raw_Prices!H71/Raw_Prices!H70-1</f>
        <v>0.208835738288199</v>
      </c>
      <c r="I71" s="16" t="n">
        <f aca="false">Raw_Prices!I71/Raw_Prices!I70-1</f>
        <v>-0.0919622987302003</v>
      </c>
      <c r="J71" s="16" t="n">
        <f aca="false">KSE100_Benchmark!B71/KSE100_Benchmark!B70-1</f>
        <v>-0.0168463166736832</v>
      </c>
    </row>
    <row r="72" customFormat="false" ht="15" hidden="false" customHeight="true" outlineLevel="0" collapsed="false">
      <c r="A72" s="13" t="n">
        <f aca="false">Raw_Prices!A72</f>
        <v>44136</v>
      </c>
      <c r="B72" s="16" t="n">
        <f aca="false">Raw_Prices!B72/Raw_Prices!B71-1</f>
        <v>0.0668103448275863</v>
      </c>
      <c r="C72" s="16" t="n">
        <f aca="false">Raw_Prices!C72/Raw_Prices!C71-1</f>
        <v>0.0952937737503654</v>
      </c>
      <c r="D72" s="16" t="n">
        <f aca="false">Raw_Prices!D72/Raw_Prices!D71-1</f>
        <v>-0.0603100775193799</v>
      </c>
      <c r="E72" s="16" t="n">
        <f aca="false">Raw_Prices!E72/Raw_Prices!E71-1</f>
        <v>0.0637423720621111</v>
      </c>
      <c r="F72" s="16" t="n">
        <f aca="false">Raw_Prices!F72/Raw_Prices!F71-1</f>
        <v>-0.0277117384843982</v>
      </c>
      <c r="G72" s="16" t="n">
        <f aca="false">Raw_Prices!G72/Raw_Prices!G71-1</f>
        <v>-0.0257595772787319</v>
      </c>
      <c r="H72" s="16" t="n">
        <f aca="false">Raw_Prices!H72/Raw_Prices!H71-1</f>
        <v>-0.02199329572398</v>
      </c>
      <c r="I72" s="16" t="n">
        <f aca="false">Raw_Prices!I72/Raw_Prices!I71-1</f>
        <v>0.0828227492251137</v>
      </c>
      <c r="J72" s="16" t="n">
        <f aca="false">KSE100_Benchmark!B72/KSE100_Benchmark!B71-1</f>
        <v>0.0296033894905736</v>
      </c>
    </row>
    <row r="73" customFormat="false" ht="15" hidden="false" customHeight="true" outlineLevel="0" collapsed="false">
      <c r="A73" s="13" t="n">
        <f aca="false">Raw_Prices!A73</f>
        <v>44166</v>
      </c>
      <c r="B73" s="16" t="n">
        <f aca="false">Raw_Prices!B73/Raw_Prices!B72-1</f>
        <v>0.0502020202020201</v>
      </c>
      <c r="C73" s="16" t="n">
        <f aca="false">Raw_Prices!C73/Raw_Prices!C72-1</f>
        <v>0.107552708833734</v>
      </c>
      <c r="D73" s="16" t="n">
        <f aca="false">Raw_Prices!D73/Raw_Prices!D72-1</f>
        <v>0.0427322224055438</v>
      </c>
      <c r="E73" s="16" t="n">
        <f aca="false">Raw_Prices!E73/Raw_Prices!E72-1</f>
        <v>0.0661138248324433</v>
      </c>
      <c r="F73" s="16" t="n">
        <f aca="false">Raw_Prices!F73/Raw_Prices!F72-1</f>
        <v>0.0636509513257431</v>
      </c>
      <c r="G73" s="16" t="n">
        <f aca="false">Raw_Prices!G73/Raw_Prices!G72-1</f>
        <v>0.0542372881355933</v>
      </c>
      <c r="H73" s="16" t="n">
        <f aca="false">Raw_Prices!H73/Raw_Prices!H72-1</f>
        <v>0.167112522989467</v>
      </c>
      <c r="I73" s="16" t="n">
        <f aca="false">Raw_Prices!I73/Raw_Prices!I72-1</f>
        <v>-0.0021967780588471</v>
      </c>
      <c r="J73" s="16" t="n">
        <f aca="false">KSE100_Benchmark!B73/KSE100_Benchmark!B72-1</f>
        <v>0.0654160504246286</v>
      </c>
    </row>
    <row r="74" customFormat="false" ht="15" hidden="false" customHeight="true" outlineLevel="0" collapsed="false">
      <c r="A74" s="13" t="n">
        <f aca="false">Raw_Prices!A74</f>
        <v>44197</v>
      </c>
      <c r="B74" s="16" t="n">
        <f aca="false">Raw_Prices!B74/Raw_Prices!B73-1</f>
        <v>0.0267384822544965</v>
      </c>
      <c r="C74" s="16" t="n">
        <f aca="false">Raw_Prices!C74/Raw_Prices!C73-1</f>
        <v>0.0672289156626507</v>
      </c>
      <c r="D74" s="16" t="n">
        <f aca="false">Raw_Prices!D74/Raw_Prices!D73-1</f>
        <v>0.0283227848101264</v>
      </c>
      <c r="E74" s="16" t="n">
        <f aca="false">Raw_Prices!E74/Raw_Prices!E73-1</f>
        <v>0.0259456579648376</v>
      </c>
      <c r="F74" s="16" t="n">
        <f aca="false">Raw_Prices!F74/Raw_Prices!F73-1</f>
        <v>0.0449568965517242</v>
      </c>
      <c r="G74" s="16" t="n">
        <f aca="false">Raw_Prices!G74/Raw_Prices!G73-1</f>
        <v>0.0115755627009646</v>
      </c>
      <c r="H74" s="16" t="n">
        <f aca="false">Raw_Prices!H74/Raw_Prices!H73-1</f>
        <v>0.035384284793353</v>
      </c>
      <c r="I74" s="16" t="n">
        <f aca="false">Raw_Prices!I74/Raw_Prices!I73-1</f>
        <v>0.0452331709920608</v>
      </c>
      <c r="J74" s="16" t="n">
        <f aca="false">KSE100_Benchmark!B74/KSE100_Benchmark!B73-1</f>
        <v>0.0601105509768172</v>
      </c>
    </row>
    <row r="75" customFormat="false" ht="15" hidden="false" customHeight="true" outlineLevel="0" collapsed="false">
      <c r="A75" s="13" t="n">
        <f aca="false">Raw_Prices!A75</f>
        <v>44228</v>
      </c>
      <c r="B75" s="16" t="n">
        <f aca="false">Raw_Prices!B75/Raw_Prices!B74-1</f>
        <v>-0.019016393442623</v>
      </c>
      <c r="C75" s="16" t="n">
        <f aca="false">Raw_Prices!C75/Raw_Prices!C74-1</f>
        <v>-0.0308195981034094</v>
      </c>
      <c r="D75" s="16" t="n">
        <f aca="false">Raw_Prices!D75/Raw_Prices!D74-1</f>
        <v>0.00261578704416077</v>
      </c>
      <c r="E75" s="16" t="n">
        <f aca="false">Raw_Prices!E75/Raw_Prices!E74-1</f>
        <v>-0.049176922677468</v>
      </c>
      <c r="F75" s="16" t="n">
        <f aca="false">Raw_Prices!F75/Raw_Prices!F74-1</f>
        <v>0.216474858722105</v>
      </c>
      <c r="G75" s="16" t="n">
        <f aca="false">Raw_Prices!G75/Raw_Prices!G74-1</f>
        <v>0.00581236944873309</v>
      </c>
      <c r="H75" s="16" t="n">
        <f aca="false">Raw_Prices!H75/Raw_Prices!H74-1</f>
        <v>-0.00594949844344528</v>
      </c>
      <c r="I75" s="16" t="n">
        <f aca="false">Raw_Prices!I75/Raw_Prices!I74-1</f>
        <v>0.134741814003957</v>
      </c>
      <c r="J75" s="16" t="n">
        <f aca="false">KSE100_Benchmark!B75/KSE100_Benchmark!B74-1</f>
        <v>-0.0112216005246464</v>
      </c>
    </row>
    <row r="76" customFormat="false" ht="15" hidden="false" customHeight="true" outlineLevel="0" collapsed="false">
      <c r="A76" s="13" t="n">
        <f aca="false">Raw_Prices!A76</f>
        <v>44256</v>
      </c>
      <c r="B76" s="16" t="n">
        <f aca="false">Raw_Prices!B76/Raw_Prices!B75-1</f>
        <v>-0.0307486631016043</v>
      </c>
      <c r="C76" s="16" t="n">
        <f aca="false">Raw_Prices!C76/Raw_Prices!C75-1</f>
        <v>0.048806057076296</v>
      </c>
      <c r="D76" s="16" t="n">
        <f aca="false">Raw_Prices!D76/Raw_Prices!D75-1</f>
        <v>-0.0415899324739103</v>
      </c>
      <c r="E76" s="16" t="n">
        <f aca="false">Raw_Prices!E76/Raw_Prices!E75-1</f>
        <v>-0.0606226105953031</v>
      </c>
      <c r="F76" s="16" t="n">
        <f aca="false">Raw_Prices!F76/Raw_Prices!F75-1</f>
        <v>-0.0737287081934602</v>
      </c>
      <c r="G76" s="16" t="n">
        <f aca="false">Raw_Prices!G76/Raw_Prices!G75-1</f>
        <v>-0.0609480812641083</v>
      </c>
      <c r="H76" s="16" t="n">
        <f aca="false">Raw_Prices!H76/Raw_Prices!H75-1</f>
        <v>-0.0444011413459531</v>
      </c>
      <c r="I76" s="16" t="n">
        <f aca="false">Raw_Prices!I76/Raw_Prices!I75-1</f>
        <v>-0.0375182810214871</v>
      </c>
      <c r="J76" s="16" t="n">
        <f aca="false">KSE100_Benchmark!B76/KSE100_Benchmark!B75-1</f>
        <v>-0.027846275876474</v>
      </c>
    </row>
    <row r="77" customFormat="false" ht="15" hidden="false" customHeight="true" outlineLevel="0" collapsed="false">
      <c r="A77" s="13" t="n">
        <f aca="false">Raw_Prices!A77</f>
        <v>44287</v>
      </c>
      <c r="B77" s="16" t="n">
        <f aca="false">Raw_Prices!B77/Raw_Prices!B76-1</f>
        <v>-0.103448275862069</v>
      </c>
      <c r="C77" s="16" t="n">
        <f aca="false">Raw_Prices!C77/Raw_Prices!C76-1</f>
        <v>-0.0517547756552644</v>
      </c>
      <c r="D77" s="16" t="n">
        <f aca="false">Raw_Prices!D77/Raw_Prices!D76-1</f>
        <v>0.0728582866293035</v>
      </c>
      <c r="E77" s="16" t="n">
        <f aca="false">Raw_Prices!E77/Raw_Prices!E76-1</f>
        <v>-0.0523255813953488</v>
      </c>
      <c r="F77" s="16" t="n">
        <f aca="false">Raw_Prices!F77/Raw_Prices!F76-1</f>
        <v>0.0189261744966442</v>
      </c>
      <c r="G77" s="16" t="n">
        <f aca="false">Raw_Prices!G77/Raw_Prices!G76-1</f>
        <v>0.00961538461538458</v>
      </c>
      <c r="H77" s="16" t="n">
        <f aca="false">Raw_Prices!H77/Raw_Prices!H76-1</f>
        <v>-0.10647440099046</v>
      </c>
      <c r="I77" s="16" t="n">
        <f aca="false">Raw_Prices!I77/Raw_Prices!I76-1</f>
        <v>-0.016246858745836</v>
      </c>
      <c r="J77" s="16" t="n">
        <f aca="false">KSE100_Benchmark!B77/KSE100_Benchmark!B76-1</f>
        <v>-0.00730019500828139</v>
      </c>
    </row>
    <row r="78" customFormat="false" ht="15" hidden="false" customHeight="true" outlineLevel="0" collapsed="false">
      <c r="A78" s="13" t="n">
        <f aca="false">Raw_Prices!A78</f>
        <v>44317</v>
      </c>
      <c r="B78" s="16" t="n">
        <f aca="false">Raw_Prices!B78/Raw_Prices!B77-1</f>
        <v>0.0703296703296703</v>
      </c>
      <c r="C78" s="16" t="n">
        <f aca="false">Raw_Prices!C78/Raw_Prices!C77-1</f>
        <v>0.0556336378542985</v>
      </c>
      <c r="D78" s="16" t="n">
        <f aca="false">Raw_Prices!D78/Raw_Prices!D77-1</f>
        <v>0.0634328358208955</v>
      </c>
      <c r="E78" s="16" t="n">
        <f aca="false">Raw_Prices!E78/Raw_Prices!E77-1</f>
        <v>0.01840490797546</v>
      </c>
      <c r="F78" s="16" t="n">
        <f aca="false">Raw_Prices!F78/Raw_Prices!F77-1</f>
        <v>0.116154297553323</v>
      </c>
      <c r="G78" s="16" t="n">
        <f aca="false">Raw_Prices!G78/Raw_Prices!G77-1</f>
        <v>0.0227619047619048</v>
      </c>
      <c r="H78" s="16" t="n">
        <f aca="false">Raw_Prices!H78/Raw_Prices!H77-1</f>
        <v>0.0752302551145161</v>
      </c>
      <c r="I78" s="16" t="n">
        <f aca="false">Raw_Prices!I78/Raw_Prices!I77-1</f>
        <v>0.0297035584863066</v>
      </c>
      <c r="J78" s="16" t="n">
        <f aca="false">KSE100_Benchmark!B78/KSE100_Benchmark!B77-1</f>
        <v>0.0821011536893093</v>
      </c>
    </row>
    <row r="79" customFormat="false" ht="15" hidden="false" customHeight="true" outlineLevel="0" collapsed="false">
      <c r="A79" s="13" t="n">
        <f aca="false">Raw_Prices!A79</f>
        <v>44348</v>
      </c>
      <c r="B79" s="16" t="n">
        <f aca="false">Raw_Prices!B79/Raw_Prices!B78-1</f>
        <v>-0.0220739219712526</v>
      </c>
      <c r="C79" s="16" t="n">
        <f aca="false">Raw_Prices!C79/Raw_Prices!C78-1</f>
        <v>0.0093198712970155</v>
      </c>
      <c r="D79" s="16" t="n">
        <f aca="false">Raw_Prices!D79/Raw_Prices!D78-1</f>
        <v>-0.015438596491228</v>
      </c>
      <c r="E79" s="16" t="n">
        <f aca="false">Raw_Prices!E79/Raw_Prices!E78-1</f>
        <v>-0.0301204819277109</v>
      </c>
      <c r="F79" s="16" t="n">
        <f aca="false">Raw_Prices!F79/Raw_Prices!F78-1</f>
        <v>-0.0718991416309013</v>
      </c>
      <c r="G79" s="16" t="n">
        <f aca="false">Raw_Prices!G79/Raw_Prices!G78-1</f>
        <v>-0.012664121426576</v>
      </c>
      <c r="H79" s="16" t="n">
        <f aca="false">Raw_Prices!H79/Raw_Prices!H78-1</f>
        <v>-0.0156913280776227</v>
      </c>
      <c r="I79" s="16" t="n">
        <f aca="false">Raw_Prices!I79/Raw_Prices!I78-1</f>
        <v>-0.0224427392834479</v>
      </c>
      <c r="J79" s="16" t="n">
        <f aca="false">KSE100_Benchmark!B79/KSE100_Benchmark!B78-1</f>
        <v>-0.0112810289888539</v>
      </c>
    </row>
    <row r="80" customFormat="false" ht="15" hidden="false" customHeight="true" outlineLevel="0" collapsed="false">
      <c r="A80" s="13" t="n">
        <f aca="false">Raw_Prices!A80</f>
        <v>44378</v>
      </c>
      <c r="B80" s="16" t="n">
        <f aca="false">Raw_Prices!B80/Raw_Prices!B79-1</f>
        <v>-0.0195275590551181</v>
      </c>
      <c r="C80" s="16" t="n">
        <f aca="false">Raw_Prices!C80/Raw_Prices!C79-1</f>
        <v>0.0861822578872156</v>
      </c>
      <c r="D80" s="16" t="n">
        <f aca="false">Raw_Prices!D80/Raw_Prices!D79-1</f>
        <v>0.0848182466143976</v>
      </c>
      <c r="E80" s="16" t="n">
        <f aca="false">Raw_Prices!E80/Raw_Prices!E79-1</f>
        <v>0.00453416149068309</v>
      </c>
      <c r="F80" s="16" t="n">
        <f aca="false">Raw_Prices!F80/Raw_Prices!F79-1</f>
        <v>0.0225551740482548</v>
      </c>
      <c r="G80" s="16" t="n">
        <f aca="false">Raw_Prices!G80/Raw_Prices!G79-1</f>
        <v>0.00443270772422899</v>
      </c>
      <c r="H80" s="16" t="n">
        <f aca="false">Raw_Prices!H80/Raw_Prices!H79-1</f>
        <v>-0.049826723142087</v>
      </c>
      <c r="I80" s="16" t="n">
        <f aca="false">Raw_Prices!I80/Raw_Prices!I79-1</f>
        <v>-0.00914778092540136</v>
      </c>
      <c r="J80" s="16" t="n">
        <f aca="false">KSE100_Benchmark!B80/KSE100_Benchmark!B79-1</f>
        <v>-0.00635040698099199</v>
      </c>
    </row>
    <row r="81" customFormat="false" ht="15" hidden="false" customHeight="true" outlineLevel="0" collapsed="false">
      <c r="A81" s="13" t="n">
        <f aca="false">Raw_Prices!A81</f>
        <v>44409</v>
      </c>
      <c r="B81" s="16" t="n">
        <f aca="false">Raw_Prices!B81/Raw_Prices!B80-1</f>
        <v>-0.00631759289003109</v>
      </c>
      <c r="C81" s="16" t="n">
        <f aca="false">Raw_Prices!C81/Raw_Prices!C80-1</f>
        <v>0.23600850116385</v>
      </c>
      <c r="D81" s="16" t="n">
        <f aca="false">Raw_Prices!D81/Raw_Prices!D80-1</f>
        <v>0.0151116951379764</v>
      </c>
      <c r="E81" s="16" t="n">
        <f aca="false">Raw_Prices!E81/Raw_Prices!E80-1</f>
        <v>0.0171891423978234</v>
      </c>
      <c r="F81" s="16" t="n">
        <f aca="false">Raw_Prices!F81/Raw_Prices!F80-1</f>
        <v>-0.0616167326172979</v>
      </c>
      <c r="G81" s="16" t="n">
        <f aca="false">Raw_Prices!G81/Raw_Prices!G80-1</f>
        <v>-0.00516431924882621</v>
      </c>
      <c r="H81" s="16" t="n">
        <f aca="false">Raw_Prices!H81/Raw_Prices!H80-1</f>
        <v>0.0286918463284163</v>
      </c>
      <c r="I81" s="16" t="n">
        <f aca="false">Raw_Prices!I81/Raw_Prices!I80-1</f>
        <v>0.0191792244922273</v>
      </c>
      <c r="J81" s="16" t="n">
        <f aca="false">KSE100_Benchmark!B81/KSE100_Benchmark!B80-1</f>
        <v>0.00774514406350479</v>
      </c>
    </row>
    <row r="82" customFormat="false" ht="15" hidden="false" customHeight="true" outlineLevel="0" collapsed="false">
      <c r="A82" s="13" t="n">
        <f aca="false">Raw_Prices!A82</f>
        <v>44440</v>
      </c>
      <c r="B82" s="16" t="n">
        <f aca="false">Raw_Prices!B82/Raw_Prices!B81-1</f>
        <v>-0.0991379310344828</v>
      </c>
      <c r="C82" s="16" t="n">
        <f aca="false">Raw_Prices!C82/Raw_Prices!C81-1</f>
        <v>0.0420863014820274</v>
      </c>
      <c r="D82" s="16" t="n">
        <f aca="false">Raw_Prices!D82/Raw_Prices!D81-1</f>
        <v>-0.0939805825242719</v>
      </c>
      <c r="E82" s="16" t="n">
        <f aca="false">Raw_Prices!E82/Raw_Prices!E81-1</f>
        <v>-0.0705732174335906</v>
      </c>
      <c r="F82" s="16" t="n">
        <f aca="false">Raw_Prices!F82/Raw_Prices!F81-1</f>
        <v>-0.131204819277108</v>
      </c>
      <c r="G82" s="16" t="n">
        <f aca="false">Raw_Prices!G82/Raw_Prices!G81-1</f>
        <v>-0.0373761208117037</v>
      </c>
      <c r="H82" s="16" t="n">
        <f aca="false">Raw_Prices!H82/Raw_Prices!H81-1</f>
        <v>-0.199968484084463</v>
      </c>
      <c r="I82" s="16" t="n">
        <f aca="false">Raw_Prices!I82/Raw_Prices!I81-1</f>
        <v>0.0123312489042136</v>
      </c>
      <c r="J82" s="16" t="n">
        <f aca="false">KSE100_Benchmark!B82/KSE100_Benchmark!B81-1</f>
        <v>-0.0531453778531894</v>
      </c>
    </row>
    <row r="83" customFormat="false" ht="15" hidden="false" customHeight="true" outlineLevel="0" collapsed="false">
      <c r="A83" s="13" t="n">
        <f aca="false">Raw_Prices!A83</f>
        <v>44470</v>
      </c>
      <c r="B83" s="16" t="n">
        <f aca="false">Raw_Prices!B83/Raw_Prices!B82-1</f>
        <v>0.0233253588516746</v>
      </c>
      <c r="C83" s="16" t="n">
        <f aca="false">Raw_Prices!C83/Raw_Prices!C82-1</f>
        <v>-0.0499724994107017</v>
      </c>
      <c r="D83" s="16" t="n">
        <f aca="false">Raw_Prices!D83/Raw_Prices!D82-1</f>
        <v>0.0215745106443779</v>
      </c>
      <c r="E83" s="16" t="n">
        <f aca="false">Raw_Prices!E83/Raw_Prices!E82-1</f>
        <v>0.0725964682799214</v>
      </c>
      <c r="F83" s="16" t="n">
        <f aca="false">Raw_Prices!F83/Raw_Prices!F82-1</f>
        <v>0.0747469144362778</v>
      </c>
      <c r="G83" s="16" t="n">
        <f aca="false">Raw_Prices!G83/Raw_Prices!G82-1</f>
        <v>0.00990293165996681</v>
      </c>
      <c r="H83" s="16" t="n">
        <f aca="false">Raw_Prices!H83/Raw_Prices!H82-1</f>
        <v>0.171951940122119</v>
      </c>
      <c r="I83" s="16" t="n">
        <f aca="false">Raw_Prices!I83/Raw_Prices!I82-1</f>
        <v>0.0904629950352152</v>
      </c>
      <c r="J83" s="16" t="n">
        <f aca="false">KSE100_Benchmark!B83/KSE100_Benchmark!B82-1</f>
        <v>0.029384003420966</v>
      </c>
    </row>
    <row r="84" customFormat="false" ht="15" hidden="false" customHeight="true" outlineLevel="0" collapsed="false">
      <c r="A84" s="13" t="n">
        <f aca="false">Raw_Prices!A84</f>
        <v>44501</v>
      </c>
      <c r="B84" s="16" t="n">
        <f aca="false">Raw_Prices!B84/Raw_Prices!B83-1</f>
        <v>-0.00759789596727045</v>
      </c>
      <c r="C84" s="16" t="n">
        <f aca="false">Raw_Prices!C84/Raw_Prices!C83-1</f>
        <v>0.120254734926805</v>
      </c>
      <c r="D84" s="16" t="n">
        <f aca="false">Raw_Prices!D84/Raw_Prices!D83-1</f>
        <v>0.034965034965035</v>
      </c>
      <c r="E84" s="16" t="n">
        <f aca="false">Raw_Prices!E84/Raw_Prices!E83-1</f>
        <v>-0.0426829268292683</v>
      </c>
      <c r="F84" s="16" t="n">
        <f aca="false">Raw_Prices!F84/Raw_Prices!F83-1</f>
        <v>-0.072258064516129</v>
      </c>
      <c r="G84" s="16" t="n">
        <f aca="false">Raw_Prices!G84/Raw_Prices!G83-1</f>
        <v>-0.0242718446601942</v>
      </c>
      <c r="H84" s="16" t="n">
        <f aca="false">Raw_Prices!H84/Raw_Prices!H83-1</f>
        <v>-0.138655462184874</v>
      </c>
      <c r="I84" s="16" t="n">
        <f aca="false">Raw_Prices!I84/Raw_Prices!I83-1</f>
        <v>0.00587643602096466</v>
      </c>
      <c r="J84" s="16" t="n">
        <f aca="false">KSE100_Benchmark!B84/KSE100_Benchmark!B83-1</f>
        <v>-0.0248069351670409</v>
      </c>
    </row>
    <row r="85" customFormat="false" ht="15" hidden="false" customHeight="true" outlineLevel="0" collapsed="false">
      <c r="A85" s="13" t="n">
        <f aca="false">Raw_Prices!A85</f>
        <v>44531</v>
      </c>
      <c r="B85" s="16" t="n">
        <f aca="false">Raw_Prices!B85/Raw_Prices!B84-1</f>
        <v>0.0153121319199057</v>
      </c>
      <c r="C85" s="16" t="n">
        <f aca="false">Raw_Prices!C85/Raw_Prices!C84-1</f>
        <v>-0.0998892580287928</v>
      </c>
      <c r="D85" s="16" t="n">
        <f aca="false">Raw_Prices!D85/Raw_Prices!D84-1</f>
        <v>0.0282432432432433</v>
      </c>
      <c r="E85" s="16" t="n">
        <f aca="false">Raw_Prices!E85/Raw_Prices!E84-1</f>
        <v>-0.0232484076433122</v>
      </c>
      <c r="F85" s="16" t="n">
        <f aca="false">Raw_Prices!F85/Raw_Prices!F84-1</f>
        <v>-0.0552433936022253</v>
      </c>
      <c r="G85" s="16" t="n">
        <f aca="false">Raw_Prices!G85/Raw_Prices!G84-1</f>
        <v>-0.00238805970149247</v>
      </c>
      <c r="H85" s="16" t="n">
        <f aca="false">Raw_Prices!H85/Raw_Prices!H84-1</f>
        <v>-0.0505365853658537</v>
      </c>
      <c r="I85" s="16" t="n">
        <f aca="false">Raw_Prices!I85/Raw_Prices!I84-1</f>
        <v>-0.0321578947368422</v>
      </c>
      <c r="J85" s="16" t="n">
        <f aca="false">KSE100_Benchmark!B85/KSE100_Benchmark!B84-1</f>
        <v>-0.0105676691579188</v>
      </c>
    </row>
    <row r="86" customFormat="false" ht="15" hidden="false" customHeight="true" outlineLevel="0" collapsed="false">
      <c r="A86" s="13" t="n">
        <f aca="false">Raw_Prices!A86</f>
        <v>44562</v>
      </c>
      <c r="B86" s="16" t="n">
        <f aca="false">Raw_Prices!B86/Raw_Prices!B85-1</f>
        <v>0.00928074245939681</v>
      </c>
      <c r="C86" s="16" t="n">
        <f aca="false">Raw_Prices!C86/Raw_Prices!C85-1</f>
        <v>0.021489501312336</v>
      </c>
      <c r="D86" s="16" t="n">
        <f aca="false">Raw_Prices!D86/Raw_Prices!D85-1</f>
        <v>0.0776711788671309</v>
      </c>
      <c r="E86" s="16" t="n">
        <f aca="false">Raw_Prices!E86/Raw_Prices!E85-1</f>
        <v>0.0511900880339093</v>
      </c>
      <c r="F86" s="16" t="n">
        <f aca="false">Raw_Prices!F86/Raw_Prices!F85-1</f>
        <v>0.00253209280414568</v>
      </c>
      <c r="G86" s="16" t="n">
        <f aca="false">Raw_Prices!G86/Raw_Prices!G85-1</f>
        <v>0.0652304009575104</v>
      </c>
      <c r="H86" s="16" t="n">
        <f aca="false">Raw_Prices!H86/Raw_Prices!H85-1</f>
        <v>-0.0479860254829427</v>
      </c>
      <c r="I86" s="16" t="n">
        <f aca="false">Raw_Prices!I86/Raw_Prices!I85-1</f>
        <v>0.0271901680352384</v>
      </c>
      <c r="J86" s="16" t="n">
        <f aca="false">KSE100_Benchmark!B86/KSE100_Benchmark!B85-1</f>
        <v>0.017459161760218</v>
      </c>
    </row>
    <row r="87" customFormat="false" ht="15" hidden="false" customHeight="true" outlineLevel="0" collapsed="false">
      <c r="A87" s="13" t="n">
        <f aca="false">Raw_Prices!A87</f>
        <v>44593</v>
      </c>
      <c r="B87" s="16" t="n">
        <f aca="false">Raw_Prices!B87/Raw_Prices!B86-1</f>
        <v>0.0131034482758621</v>
      </c>
      <c r="C87" s="16" t="n">
        <f aca="false">Raw_Prices!C87/Raw_Prices!C86-1</f>
        <v>0.0175847117392003</v>
      </c>
      <c r="D87" s="16" t="n">
        <f aca="false">Raw_Prices!D87/Raw_Prices!D86-1</f>
        <v>0.0817073170731708</v>
      </c>
      <c r="E87" s="16" t="n">
        <f aca="false">Raw_Prices!E87/Raw_Prices!E86-1</f>
        <v>-0.0226426799007443</v>
      </c>
      <c r="F87" s="16" t="n">
        <f aca="false">Raw_Prices!F87/Raw_Prices!F86-1</f>
        <v>-0.0381791483113069</v>
      </c>
      <c r="G87" s="16" t="n">
        <f aca="false">Raw_Prices!G87/Raw_Prices!G86-1</f>
        <v>0.0289325842696631</v>
      </c>
      <c r="H87" s="16" t="n">
        <f aca="false">Raw_Prices!H87/Raw_Prices!H86-1</f>
        <v>-0.0836481381543444</v>
      </c>
      <c r="I87" s="16" t="n">
        <f aca="false">Raw_Prices!I87/Raw_Prices!I86-1</f>
        <v>0.0529408650537351</v>
      </c>
      <c r="J87" s="16" t="n">
        <f aca="false">KSE100_Benchmark!B87/KSE100_Benchmark!B86-1</f>
        <v>-0.020136119968229</v>
      </c>
    </row>
    <row r="88" customFormat="false" ht="15" hidden="false" customHeight="true" outlineLevel="0" collapsed="false">
      <c r="A88" s="13" t="n">
        <f aca="false">Raw_Prices!A88</f>
        <v>44621</v>
      </c>
      <c r="B88" s="16" t="n">
        <f aca="false">Raw_Prices!B88/Raw_Prices!B87-1</f>
        <v>-0.0568413886997958</v>
      </c>
      <c r="C88" s="16" t="n">
        <f aca="false">Raw_Prices!C88/Raw_Prices!C87-1</f>
        <v>-0.0606012783082144</v>
      </c>
      <c r="D88" s="16" t="n">
        <f aca="false">Raw_Prices!D88/Raw_Prices!D87-1</f>
        <v>0.0346110484780158</v>
      </c>
      <c r="E88" s="16" t="n">
        <f aca="false">Raw_Prices!E88/Raw_Prices!E87-1</f>
        <v>-0.0754681053633768</v>
      </c>
      <c r="F88" s="16" t="n">
        <f aca="false">Raw_Prices!F88/Raw_Prices!F87-1</f>
        <v>-0.0284732824427481</v>
      </c>
      <c r="G88" s="16" t="n">
        <f aca="false">Raw_Prices!G88/Raw_Prices!G87-1</f>
        <v>0.0330330330330331</v>
      </c>
      <c r="H88" s="16" t="n">
        <f aca="false">Raw_Prices!H88/Raw_Prices!H87-1</f>
        <v>-0.104829210836278</v>
      </c>
      <c r="I88" s="16" t="n">
        <f aca="false">Raw_Prices!I88/Raw_Prices!I87-1</f>
        <v>-0.0139775755442706</v>
      </c>
      <c r="J88" s="16" t="n">
        <f aca="false">KSE100_Benchmark!B88/KSE100_Benchmark!B87-1</f>
        <v>0.0105220281770477</v>
      </c>
    </row>
    <row r="89" customFormat="false" ht="15" hidden="false" customHeight="true" outlineLevel="0" collapsed="false">
      <c r="A89" s="13" t="n">
        <f aca="false">Raw_Prices!A89</f>
        <v>44652</v>
      </c>
      <c r="B89" s="16" t="n">
        <f aca="false">Raw_Prices!B89/Raw_Prices!B88-1</f>
        <v>0.0176831468783834</v>
      </c>
      <c r="C89" s="16" t="n">
        <f aca="false">Raw_Prices!C89/Raw_Prices!C88-1</f>
        <v>0.0690466190676187</v>
      </c>
      <c r="D89" s="16" t="n">
        <f aca="false">Raw_Prices!D89/Raw_Prices!D88-1</f>
        <v>0.0351966873706004</v>
      </c>
      <c r="E89" s="16" t="n">
        <f aca="false">Raw_Prices!E89/Raw_Prices!E88-1</f>
        <v>0.0393381848139502</v>
      </c>
      <c r="F89" s="16" t="n">
        <f aca="false">Raw_Prices!F89/Raw_Prices!F88-1</f>
        <v>-0.111338100102145</v>
      </c>
      <c r="G89" s="16" t="n">
        <f aca="false">Raw_Prices!G89/Raw_Prices!G88-1</f>
        <v>0.0658914728682172</v>
      </c>
      <c r="H89" s="16" t="n">
        <f aca="false">Raw_Prices!H89/Raw_Prices!H88-1</f>
        <v>0.00421052631578944</v>
      </c>
      <c r="I89" s="16" t="n">
        <f aca="false">Raw_Prices!I89/Raw_Prices!I88-1</f>
        <v>-0.0311559838865944</v>
      </c>
      <c r="J89" s="16" t="n">
        <f aca="false">KSE100_Benchmark!B89/KSE100_Benchmark!B88-1</f>
        <v>0.00713528484939396</v>
      </c>
    </row>
    <row r="90" customFormat="false" ht="15" hidden="false" customHeight="true" outlineLevel="0" collapsed="false">
      <c r="A90" s="13" t="n">
        <f aca="false">Raw_Prices!A90</f>
        <v>44682</v>
      </c>
      <c r="B90" s="16" t="n">
        <f aca="false">Raw_Prices!B90/Raw_Prices!B89-1</f>
        <v>-0.0464539007092197</v>
      </c>
      <c r="C90" s="16" t="n">
        <f aca="false">Raw_Prices!C90/Raw_Prices!C89-1</f>
        <v>-0.0624656242633771</v>
      </c>
      <c r="D90" s="16" t="n">
        <f aca="false">Raw_Prices!D90/Raw_Prices!D89-1</f>
        <v>-0.088421052631579</v>
      </c>
      <c r="E90" s="16" t="n">
        <f aca="false">Raw_Prices!E90/Raw_Prices!E89-1</f>
        <v>-0.11823766431072</v>
      </c>
      <c r="F90" s="16" t="n">
        <f aca="false">Raw_Prices!F90/Raw_Prices!F89-1</f>
        <v>-0.163572060123784</v>
      </c>
      <c r="G90" s="16" t="n">
        <f aca="false">Raw_Prices!G90/Raw_Prices!G89-1</f>
        <v>-0.0578512396694215</v>
      </c>
      <c r="H90" s="16" t="n">
        <f aca="false">Raw_Prices!H90/Raw_Prices!H89-1</f>
        <v>-0.116221174004193</v>
      </c>
      <c r="I90" s="16" t="n">
        <f aca="false">Raw_Prices!I90/Raw_Prices!I89-1</f>
        <v>-0.0584210526315789</v>
      </c>
      <c r="J90" s="16" t="n">
        <f aca="false">KSE100_Benchmark!B90/KSE100_Benchmark!B89-1</f>
        <v>-0.0479844930574787</v>
      </c>
    </row>
    <row r="91" customFormat="false" ht="15" hidden="false" customHeight="true" outlineLevel="0" collapsed="false">
      <c r="A91" s="13" t="n">
        <f aca="false">Raw_Prices!A91</f>
        <v>44713</v>
      </c>
      <c r="B91" s="16" t="n">
        <f aca="false">Raw_Prices!B91/Raw_Prices!B90-1</f>
        <v>-0.021941242097434</v>
      </c>
      <c r="C91" s="16" t="n">
        <f aca="false">Raw_Prices!C91/Raw_Prices!C90-1</f>
        <v>-0.142893060677171</v>
      </c>
      <c r="D91" s="16" t="n">
        <f aca="false">Raw_Prices!D91/Raw_Prices!D90-1</f>
        <v>0.0259815242494226</v>
      </c>
      <c r="E91" s="16" t="n">
        <f aca="false">Raw_Prices!E91/Raw_Prices!E90-1</f>
        <v>-0.0748370664469249</v>
      </c>
      <c r="F91" s="16" t="n">
        <f aca="false">Raw_Prices!F91/Raw_Prices!F90-1</f>
        <v>-0.0359408033826638</v>
      </c>
      <c r="G91" s="16" t="n">
        <f aca="false">Raw_Prices!G91/Raw_Prices!G90-1</f>
        <v>-0.0333333333333333</v>
      </c>
      <c r="H91" s="16" t="n">
        <f aca="false">Raw_Prices!H91/Raw_Prices!H90-1</f>
        <v>-0.0808005930318755</v>
      </c>
      <c r="I91" s="16" t="n">
        <f aca="false">Raw_Prices!I91/Raw_Prices!I90-1</f>
        <v>0.0788149804359977</v>
      </c>
      <c r="J91" s="16" t="n">
        <f aca="false">KSE100_Benchmark!B91/KSE100_Benchmark!B90-1</f>
        <v>-0.0356865454265202</v>
      </c>
    </row>
    <row r="92" customFormat="false" ht="15" hidden="false" customHeight="true" outlineLevel="0" collapsed="false">
      <c r="A92" s="13" t="n">
        <f aca="false">Raw_Prices!A92</f>
        <v>44743</v>
      </c>
      <c r="B92" s="16" t="n">
        <f aca="false">Raw_Prices!B92/Raw_Prices!B91-1</f>
        <v>0.0192648922686944</v>
      </c>
      <c r="C92" s="16" t="n">
        <f aca="false">Raw_Prices!C92/Raw_Prices!C91-1</f>
        <v>0.0528991884228025</v>
      </c>
      <c r="D92" s="16" t="n">
        <f aca="false">Raw_Prices!D92/Raw_Prices!D91-1</f>
        <v>-0.110861001688239</v>
      </c>
      <c r="E92" s="16" t="n">
        <f aca="false">Raw_Prices!E92/Raw_Prices!E91-1</f>
        <v>-0.0080971659919028</v>
      </c>
      <c r="F92" s="16" t="n">
        <f aca="false">Raw_Prices!F92/Raw_Prices!F91-1</f>
        <v>-0.0966447368421053</v>
      </c>
      <c r="G92" s="16" t="n">
        <f aca="false">Raw_Prices!G92/Raw_Prices!G91-1</f>
        <v>-0.0607078039927405</v>
      </c>
      <c r="H92" s="16" t="n">
        <f aca="false">Raw_Prices!H92/Raw_Prices!H91-1</f>
        <v>-0.0241935483870968</v>
      </c>
      <c r="I92" s="16" t="n">
        <f aca="false">Raw_Prices!I92/Raw_Prices!I91-1</f>
        <v>-0.0247668393782383</v>
      </c>
      <c r="J92" s="16" t="n">
        <f aca="false">KSE100_Benchmark!B92/KSE100_Benchmark!B91-1</f>
        <v>-0.0334723692328729</v>
      </c>
    </row>
    <row r="93" customFormat="false" ht="15" hidden="false" customHeight="true" outlineLevel="0" collapsed="false">
      <c r="A93" s="13" t="n">
        <f aca="false">Raw_Prices!A93</f>
        <v>44774</v>
      </c>
      <c r="B93" s="16" t="n">
        <f aca="false">Raw_Prices!B93/Raw_Prices!B92-1</f>
        <v>0.0289728923153445</v>
      </c>
      <c r="C93" s="16" t="n">
        <f aca="false">Raw_Prices!C93/Raw_Prices!C92-1</f>
        <v>0.12555720653789</v>
      </c>
      <c r="D93" s="16" t="n">
        <f aca="false">Raw_Prices!D93/Raw_Prices!D92-1</f>
        <v>0.0664556962025316</v>
      </c>
      <c r="E93" s="16" t="n">
        <f aca="false">Raw_Prices!E93/Raw_Prices!E92-1</f>
        <v>-0.0220408163265307</v>
      </c>
      <c r="F93" s="16" t="n">
        <f aca="false">Raw_Prices!F93/Raw_Prices!F92-1</f>
        <v>0.258709003956983</v>
      </c>
      <c r="G93" s="16" t="n">
        <f aca="false">Raw_Prices!G93/Raw_Prices!G92-1</f>
        <v>0.0057965413969665</v>
      </c>
      <c r="H93" s="16" t="n">
        <f aca="false">Raw_Prices!H93/Raw_Prices!H92-1</f>
        <v>0.0722314049586779</v>
      </c>
      <c r="I93" s="16" t="n">
        <f aca="false">Raw_Prices!I93/Raw_Prices!I92-1</f>
        <v>-0.00233768993730743</v>
      </c>
      <c r="J93" s="16" t="n">
        <f aca="false">KSE100_Benchmark!B93/KSE100_Benchmark!B92-1</f>
        <v>0.0548137052818456</v>
      </c>
    </row>
    <row r="94" customFormat="false" ht="15" hidden="false" customHeight="true" outlineLevel="0" collapsed="false">
      <c r="A94" s="13" t="n">
        <f aca="false">Raw_Prices!A94</f>
        <v>44805</v>
      </c>
      <c r="B94" s="16" t="n">
        <f aca="false">Raw_Prices!B94/Raw_Prices!B93-1</f>
        <v>-0.0849546827794562</v>
      </c>
      <c r="C94" s="16" t="n">
        <f aca="false">Raw_Prices!C94/Raw_Prices!C93-1</f>
        <v>-0.0944719471947195</v>
      </c>
      <c r="D94" s="16" t="n">
        <f aca="false">Raw_Prices!D94/Raw_Prices!D93-1</f>
        <v>-0.0739465875370921</v>
      </c>
      <c r="E94" s="16" t="n">
        <f aca="false">Raw_Prices!E94/Raw_Prices!E93-1</f>
        <v>-0.00667779632721199</v>
      </c>
      <c r="F94" s="16" t="n">
        <f aca="false">Raw_Prices!F94/Raw_Prices!F93-1</f>
        <v>-0.0423143683702989</v>
      </c>
      <c r="G94" s="16" t="n">
        <f aca="false">Raw_Prices!G94/Raw_Prices!G93-1</f>
        <v>-0.0268946306790894</v>
      </c>
      <c r="H94" s="16" t="n">
        <f aca="false">Raw_Prices!H94/Raw_Prices!H93-1</f>
        <v>-0.0827809465084015</v>
      </c>
      <c r="I94" s="16" t="n">
        <f aca="false">Raw_Prices!I94/Raw_Prices!I93-1</f>
        <v>-0.0710405794014273</v>
      </c>
      <c r="J94" s="16" t="n">
        <f aca="false">KSE100_Benchmark!B94/KSE100_Benchmark!B93-1</f>
        <v>-0.028865331874105</v>
      </c>
    </row>
    <row r="95" customFormat="false" ht="15" hidden="false" customHeight="true" outlineLevel="0" collapsed="false">
      <c r="A95" s="13" t="n">
        <f aca="false">Raw_Prices!A95</f>
        <v>44835</v>
      </c>
      <c r="B95" s="16" t="n">
        <f aca="false">Raw_Prices!B95/Raw_Prices!B94-1</f>
        <v>-0.0759376650818806</v>
      </c>
      <c r="C95" s="16" t="n">
        <f aca="false">Raw_Prices!C95/Raw_Prices!C94-1</f>
        <v>-0.0341685649202733</v>
      </c>
      <c r="D95" s="16" t="n">
        <f aca="false">Raw_Prices!D95/Raw_Prices!D94-1</f>
        <v>0.0369136118943862</v>
      </c>
      <c r="E95" s="16" t="n">
        <f aca="false">Raw_Prices!E95/Raw_Prices!E94-1</f>
        <v>0.025126050420168</v>
      </c>
      <c r="F95" s="16" t="n">
        <f aca="false">Raw_Prices!F95/Raw_Prices!F94-1</f>
        <v>-0.0212864507813758</v>
      </c>
      <c r="G95" s="16" t="n">
        <f aca="false">Raw_Prices!G95/Raw_Prices!G94-1</f>
        <v>0.020136215575955</v>
      </c>
      <c r="H95" s="16" t="n">
        <f aca="false">Raw_Prices!H95/Raw_Prices!H94-1</f>
        <v>-0.133613445378151</v>
      </c>
      <c r="I95" s="16" t="n">
        <f aca="false">Raw_Prices!I95/Raw_Prices!I94-1</f>
        <v>0.0701100664985095</v>
      </c>
      <c r="J95" s="16" t="n">
        <f aca="false">KSE100_Benchmark!B95/KSE100_Benchmark!B94-1</f>
        <v>0.00330645265212826</v>
      </c>
    </row>
    <row r="96" customFormat="false" ht="15" hidden="false" customHeight="true" outlineLevel="0" collapsed="false">
      <c r="A96" s="13" t="n">
        <f aca="false">Raw_Prices!A96</f>
        <v>44866</v>
      </c>
      <c r="B96" s="16" t="n">
        <f aca="false">Raw_Prices!B96/Raw_Prices!B95-1</f>
        <v>0.0332999857081606</v>
      </c>
      <c r="C96" s="16" t="n">
        <f aca="false">Raw_Prices!C96/Raw_Prices!C95-1</f>
        <v>0.0353773584905661</v>
      </c>
      <c r="D96" s="16" t="n">
        <f aca="false">Raw_Prices!D96/Raw_Prices!D95-1</f>
        <v>0.00247218788627923</v>
      </c>
      <c r="E96" s="16" t="n">
        <f aca="false">Raw_Prices!E96/Raw_Prices!E95-1</f>
        <v>-0.020821378801541</v>
      </c>
      <c r="F96" s="16" t="n">
        <f aca="false">Raw_Prices!F96/Raw_Prices!F95-1</f>
        <v>-0.0267289450400214</v>
      </c>
      <c r="G96" s="16" t="n">
        <f aca="false">Raw_Prices!G96/Raw_Prices!G95-1</f>
        <v>-0.00880503144654088</v>
      </c>
      <c r="H96" s="16" t="n">
        <f aca="false">Raw_Prices!H96/Raw_Prices!H95-1</f>
        <v>0.135790494665373</v>
      </c>
      <c r="I96" s="16" t="n">
        <f aca="false">Raw_Prices!I96/Raw_Prices!I95-1</f>
        <v>-0.00658916805057053</v>
      </c>
      <c r="J96" s="16" t="n">
        <f aca="false">KSE100_Benchmark!B96/KSE100_Benchmark!B95-1</f>
        <v>0.0262687248604494</v>
      </c>
    </row>
    <row r="97" customFormat="false" ht="15" hidden="false" customHeight="true" outlineLevel="0" collapsed="false">
      <c r="A97" s="13" t="n">
        <f aca="false">Raw_Prices!A97</f>
        <v>44896</v>
      </c>
      <c r="B97" s="16" t="n">
        <f aca="false">Raw_Prices!B97/Raw_Prices!B96-1</f>
        <v>0.10179806362379</v>
      </c>
      <c r="C97" s="16" t="n">
        <f aca="false">Raw_Prices!C97/Raw_Prices!C96-1</f>
        <v>-0.0930296127562642</v>
      </c>
      <c r="D97" s="16" t="n">
        <f aca="false">Raw_Prices!D97/Raw_Prices!D96-1</f>
        <v>-0.0519112207151664</v>
      </c>
      <c r="E97" s="16" t="n">
        <f aca="false">Raw_Prices!E97/Raw_Prices!E96-1</f>
        <v>-0.0372540812055253</v>
      </c>
      <c r="F97" s="16" t="n">
        <f aca="false">Raw_Prices!F97/Raw_Prices!F96-1</f>
        <v>-0.0570824524312896</v>
      </c>
      <c r="G97" s="16" t="n">
        <f aca="false">Raw_Prices!G97/Raw_Prices!G96-1</f>
        <v>-0.036411557985162</v>
      </c>
      <c r="H97" s="16" t="n">
        <f aca="false">Raw_Prices!H97/Raw_Prices!H96-1</f>
        <v>-0.174210076857387</v>
      </c>
      <c r="I97" s="16" t="n">
        <f aca="false">Raw_Prices!I97/Raw_Prices!I96-1</f>
        <v>-0.0562985332182916</v>
      </c>
      <c r="J97" s="16" t="n">
        <f aca="false">KSE100_Benchmark!B97/KSE100_Benchmark!B96-1</f>
        <v>-0.0455311069094797</v>
      </c>
    </row>
    <row r="98" customFormat="false" ht="15" hidden="false" customHeight="true" outlineLevel="0" collapsed="false">
      <c r="A98" s="13" t="n">
        <f aca="false">Raw_Prices!A98</f>
        <v>44927</v>
      </c>
      <c r="B98" s="16" t="n">
        <f aca="false">Raw_Prices!B98/Raw_Prices!B97-1</f>
        <v>0.103941752447904</v>
      </c>
      <c r="C98" s="16" t="n">
        <f aca="false">Raw_Prices!C98/Raw_Prices!C97-1</f>
        <v>-0.0707253365481214</v>
      </c>
      <c r="D98" s="16" t="n">
        <f aca="false">Raw_Prices!D98/Raw_Prices!D97-1</f>
        <v>0.0625568994667707</v>
      </c>
      <c r="E98" s="16" t="n">
        <f aca="false">Raw_Prices!E98/Raw_Prices!E97-1</f>
        <v>-0.0163478260869565</v>
      </c>
      <c r="F98" s="16" t="n">
        <f aca="false">Raw_Prices!F98/Raw_Prices!F97-1</f>
        <v>-0.0829596412556054</v>
      </c>
      <c r="G98" s="16" t="n">
        <f aca="false">Raw_Prices!G98/Raw_Prices!G97-1</f>
        <v>0.049539053793942</v>
      </c>
      <c r="H98" s="16" t="n">
        <f aca="false">Raw_Prices!H98/Raw_Prices!H97-1</f>
        <v>-0.00620475698035172</v>
      </c>
      <c r="I98" s="16" t="n">
        <f aca="false">Raw_Prices!I98/Raw_Prices!I97-1</f>
        <v>-0.0361714285714286</v>
      </c>
      <c r="J98" s="16" t="n">
        <f aca="false">KSE100_Benchmark!B98/KSE100_Benchmark!B97-1</f>
        <v>0.00624955931960192</v>
      </c>
    </row>
    <row r="99" customFormat="false" ht="15" hidden="false" customHeight="true" outlineLevel="0" collapsed="false">
      <c r="A99" s="13" t="n">
        <f aca="false">Raw_Prices!A99</f>
        <v>44958</v>
      </c>
      <c r="B99" s="16" t="n">
        <f aca="false">Raw_Prices!B99/Raw_Prices!B98-1</f>
        <v>-0.0675460541278145</v>
      </c>
      <c r="C99" s="16" t="n">
        <f aca="false">Raw_Prices!C99/Raw_Prices!C98-1</f>
        <v>0.0264864864864864</v>
      </c>
      <c r="D99" s="16" t="n">
        <f aca="false">Raw_Prices!D99/Raw_Prices!D98-1</f>
        <v>0.0351285189718482</v>
      </c>
      <c r="E99" s="16" t="n">
        <f aca="false">Raw_Prices!E99/Raw_Prices!E98-1</f>
        <v>0.0325318246110324</v>
      </c>
      <c r="F99" s="16" t="n">
        <f aca="false">Raw_Prices!F99/Raw_Prices!F98-1</f>
        <v>0.011002444987775</v>
      </c>
      <c r="G99" s="16" t="n">
        <f aca="false">Raw_Prices!G99/Raw_Prices!G98-1</f>
        <v>-0.0178571428571428</v>
      </c>
      <c r="H99" s="16" t="n">
        <f aca="false">Raw_Prices!H99/Raw_Prices!H98-1</f>
        <v>0.0874089490114465</v>
      </c>
      <c r="I99" s="16" t="n">
        <f aca="false">Raw_Prices!I99/Raw_Prices!I98-1</f>
        <v>-0.0537143534712751</v>
      </c>
      <c r="J99" s="16" t="n">
        <f aca="false">KSE100_Benchmark!B99/KSE100_Benchmark!B98-1</f>
        <v>-0.00399994492669087</v>
      </c>
    </row>
    <row r="100" customFormat="false" ht="15" hidden="false" customHeight="true" outlineLevel="0" collapsed="false">
      <c r="A100" s="13" t="n">
        <f aca="false">Raw_Prices!A100</f>
        <v>44986</v>
      </c>
      <c r="B100" s="16" t="n">
        <f aca="false">Raw_Prices!B100/Raw_Prices!B99-1</f>
        <v>0.00914634146341453</v>
      </c>
      <c r="C100" s="16" t="n">
        <f aca="false">Raw_Prices!C100/Raw_Prices!C99-1</f>
        <v>-0.000526592943654536</v>
      </c>
      <c r="D100" s="16" t="n">
        <f aca="false">Raw_Prices!D100/Raw_Prices!D99-1</f>
        <v>0.00331086673761383</v>
      </c>
      <c r="E100" s="16" t="n">
        <f aca="false">Raw_Prices!E100/Raw_Prices!E99-1</f>
        <v>-0.0154965753424657</v>
      </c>
      <c r="F100" s="16" t="n">
        <f aca="false">Raw_Prices!F100/Raw_Prices!F99-1</f>
        <v>-0.0205562273276905</v>
      </c>
      <c r="G100" s="16" t="n">
        <f aca="false">Raw_Prices!G100/Raw_Prices!G99-1</f>
        <v>-0.0183783783783784</v>
      </c>
      <c r="H100" s="16" t="n">
        <f aca="false">Raw_Prices!H100/Raw_Prices!H99-1</f>
        <v>-0.129186602870813</v>
      </c>
      <c r="I100" s="16" t="n">
        <f aca="false">Raw_Prices!I100/Raw_Prices!I99-1</f>
        <v>0.0574525405676336</v>
      </c>
      <c r="J100" s="16" t="n">
        <f aca="false">KSE100_Benchmark!B100/KSE100_Benchmark!B99-1</f>
        <v>-0.0125780139751871</v>
      </c>
    </row>
    <row r="101" customFormat="false" ht="15" hidden="false" customHeight="true" outlineLevel="0" collapsed="false">
      <c r="A101" s="13" t="n">
        <f aca="false">Raw_Prices!A101</f>
        <v>45017</v>
      </c>
      <c r="B101" s="16" t="n">
        <f aca="false">Raw_Prices!B101/Raw_Prices!B100-1</f>
        <v>0.0389123867069485</v>
      </c>
      <c r="C101" s="16" t="n">
        <f aca="false">Raw_Prices!C101/Raw_Prices!C100-1</f>
        <v>0.0464699683877765</v>
      </c>
      <c r="D101" s="16" t="n">
        <f aca="false">Raw_Prices!D101/Raw_Prices!D100-1</f>
        <v>-0.00883912787271657</v>
      </c>
      <c r="E101" s="16" t="n">
        <f aca="false">Raw_Prices!E101/Raw_Prices!E100-1</f>
        <v>0.0435690060005218</v>
      </c>
      <c r="F101" s="16" t="n">
        <f aca="false">Raw_Prices!F101/Raw_Prices!F100-1</f>
        <v>-0.00743209876543205</v>
      </c>
      <c r="G101" s="16" t="n">
        <f aca="false">Raw_Prices!G101/Raw_Prices!G100-1</f>
        <v>0.0312374849819783</v>
      </c>
      <c r="H101" s="16" t="n">
        <f aca="false">Raw_Prices!H101/Raw_Prices!H100-1</f>
        <v>0.175824175824176</v>
      </c>
      <c r="I101" s="16" t="n">
        <f aca="false">Raw_Prices!I101/Raw_Prices!I100-1</f>
        <v>0.0466287474819291</v>
      </c>
      <c r="J101" s="16" t="n">
        <f aca="false">KSE100_Benchmark!B101/KSE100_Benchmark!B100-1</f>
        <v>0.0394996803816321</v>
      </c>
    </row>
    <row r="102" customFormat="false" ht="15" hidden="false" customHeight="true" outlineLevel="0" collapsed="false">
      <c r="A102" s="13" t="n">
        <f aca="false">Raw_Prices!A102</f>
        <v>45047</v>
      </c>
      <c r="B102" s="16" t="n">
        <f aca="false">Raw_Prices!B102/Raw_Prices!B101-1</f>
        <v>-0.129696405722927</v>
      </c>
      <c r="C102" s="16" t="n">
        <f aca="false">Raw_Prices!C102/Raw_Prices!C101-1</f>
        <v>-0.105830228577183</v>
      </c>
      <c r="D102" s="16" t="n">
        <f aca="false">Raw_Prices!D102/Raw_Prices!D101-1</f>
        <v>0.0225921521997623</v>
      </c>
      <c r="E102" s="16" t="n">
        <f aca="false">Raw_Prices!E102/Raw_Prices!E101-1</f>
        <v>-0.0376666666666666</v>
      </c>
      <c r="F102" s="16" t="n">
        <f aca="false">Raw_Prices!F102/Raw_Prices!F101-1</f>
        <v>0.28361402024926</v>
      </c>
      <c r="G102" s="16" t="n">
        <f aca="false">Raw_Prices!G102/Raw_Prices!G101-1</f>
        <v>-0.0179611650485436</v>
      </c>
      <c r="H102" s="16" t="n">
        <f aca="false">Raw_Prices!H102/Raw_Prices!H101-1</f>
        <v>-0.0904672897196263</v>
      </c>
      <c r="I102" s="16" t="n">
        <f aca="false">Raw_Prices!I102/Raw_Prices!I101-1</f>
        <v>-0.0294933484290971</v>
      </c>
      <c r="J102" s="16" t="n">
        <f aca="false">KSE100_Benchmark!B102/KSE100_Benchmark!B101-1</f>
        <v>-0.00584475786329519</v>
      </c>
    </row>
    <row r="103" customFormat="false" ht="15" hidden="false" customHeight="true" outlineLevel="0" collapsed="false">
      <c r="A103" s="13" t="n">
        <f aca="false">Raw_Prices!A103</f>
        <v>45078</v>
      </c>
      <c r="B103" s="16" t="n">
        <f aca="false">Raw_Prices!B103/Raw_Prices!B102-1</f>
        <v>0.0404971932638332</v>
      </c>
      <c r="C103" s="16" t="n">
        <f aca="false">Raw_Prices!C103/Raw_Prices!C102-1</f>
        <v>-0.0315315315315315</v>
      </c>
      <c r="D103" s="16" t="n">
        <f aca="false">Raw_Prices!D103/Raw_Prices!D102-1</f>
        <v>-0.0470930232558139</v>
      </c>
      <c r="E103" s="16" t="n">
        <f aca="false">Raw_Prices!E103/Raw_Prices!E102-1</f>
        <v>-0.0149809490820921</v>
      </c>
      <c r="F103" s="16" t="n">
        <f aca="false">Raw_Prices!F103/Raw_Prices!F102-1</f>
        <v>0.0106589147286822</v>
      </c>
      <c r="G103" s="16" t="n">
        <f aca="false">Raw_Prices!G103/Raw_Prices!G102-1</f>
        <v>-0.0271873455264459</v>
      </c>
      <c r="H103" s="16" t="n">
        <f aca="false">Raw_Prices!H103/Raw_Prices!H102-1</f>
        <v>0.0439786272092069</v>
      </c>
      <c r="I103" s="16" t="n">
        <f aca="false">Raw_Prices!I103/Raw_Prices!I102-1</f>
        <v>-0.0213485767615492</v>
      </c>
      <c r="J103" s="16" t="n">
        <f aca="false">KSE100_Benchmark!B103/KSE100_Benchmark!B102-1</f>
        <v>0.00277856935851961</v>
      </c>
    </row>
    <row r="104" customFormat="false" ht="15" hidden="false" customHeight="true" outlineLevel="0" collapsed="false">
      <c r="A104" s="13" t="n">
        <f aca="false">Raw_Prices!A104</f>
        <v>45108</v>
      </c>
      <c r="B104" s="16" t="n">
        <f aca="false">Raw_Prices!B104/Raw_Prices!B103-1</f>
        <v>0.224791265253693</v>
      </c>
      <c r="C104" s="16" t="n">
        <f aca="false">Raw_Prices!C104/Raw_Prices!C103-1</f>
        <v>0.536046511627907</v>
      </c>
      <c r="D104" s="16" t="n">
        <f aca="false">Raw_Prices!D104/Raw_Prices!D103-1</f>
        <v>0.00183038438071992</v>
      </c>
      <c r="E104" s="16" t="n">
        <f aca="false">Raw_Prices!E104/Raw_Prices!E103-1</f>
        <v>0.296351648351648</v>
      </c>
      <c r="F104" s="16" t="n">
        <f aca="false">Raw_Prices!F104/Raw_Prices!F103-1</f>
        <v>0.13039309683605</v>
      </c>
      <c r="G104" s="16" t="n">
        <f aca="false">Raw_Prices!G104/Raw_Prices!G103-1</f>
        <v>0.0240853658536584</v>
      </c>
      <c r="H104" s="16" t="n">
        <f aca="false">Raw_Prices!H104/Raw_Prices!H103-1</f>
        <v>0.392716535433071</v>
      </c>
      <c r="I104" s="16" t="n">
        <f aca="false">Raw_Prices!I104/Raw_Prices!I103-1</f>
        <v>0.0628799618548099</v>
      </c>
      <c r="J104" s="16" t="n">
        <f aca="false">KSE100_Benchmark!B104/KSE100_Benchmark!B103-1</f>
        <v>0.158781289894887</v>
      </c>
    </row>
    <row r="105" customFormat="false" ht="15" hidden="false" customHeight="true" outlineLevel="0" collapsed="false">
      <c r="A105" s="13" t="n">
        <f aca="false">Raw_Prices!A105</f>
        <v>45139</v>
      </c>
      <c r="B105" s="16" t="n">
        <f aca="false">Raw_Prices!B105/Raw_Prices!B104-1</f>
        <v>-0.0152071316203459</v>
      </c>
      <c r="C105" s="16" t="n">
        <f aca="false">Raw_Prices!C105/Raw_Prices!C104-1</f>
        <v>-0.121877365632097</v>
      </c>
      <c r="D105" s="16" t="n">
        <f aca="false">Raw_Prices!D105/Raw_Prices!D104-1</f>
        <v>-0.0609013398294762</v>
      </c>
      <c r="E105" s="16" t="n">
        <f aca="false">Raw_Prices!E105/Raw_Prices!E104-1</f>
        <v>-0.123423301234233</v>
      </c>
      <c r="F105" s="16" t="n">
        <f aca="false">Raw_Prices!F105/Raw_Prices!F104-1</f>
        <v>-0.056810856658185</v>
      </c>
      <c r="G105" s="16" t="n">
        <f aca="false">Raw_Prices!G105/Raw_Prices!G104-1</f>
        <v>-0.0597400019847176</v>
      </c>
      <c r="H105" s="16" t="n">
        <f aca="false">Raw_Prices!H105/Raw_Prices!H104-1</f>
        <v>-0.0812720848056537</v>
      </c>
      <c r="I105" s="16" t="n">
        <f aca="false">Raw_Prices!I105/Raw_Prices!I104-1</f>
        <v>-0.00314024561206749</v>
      </c>
      <c r="J105" s="16" t="n">
        <f aca="false">KSE100_Benchmark!B105/KSE100_Benchmark!B104-1</f>
        <v>-0.0631249272659555</v>
      </c>
    </row>
    <row r="106" customFormat="false" ht="15" hidden="false" customHeight="true" outlineLevel="0" collapsed="false">
      <c r="A106" s="13" t="n">
        <f aca="false">Raw_Prices!A106</f>
        <v>45170</v>
      </c>
      <c r="B106" s="16" t="n">
        <f aca="false">Raw_Prices!B106/Raw_Prices!B105-1</f>
        <v>0.0276890308839191</v>
      </c>
      <c r="C106" s="16" t="n">
        <f aca="false">Raw_Prices!C106/Raw_Prices!C105-1</f>
        <v>-0.0129310344827587</v>
      </c>
      <c r="D106" s="16" t="n">
        <f aca="false">Raw_Prices!D106/Raw_Prices!D105-1</f>
        <v>-0.0142671854734111</v>
      </c>
      <c r="E106" s="16" t="n">
        <f aca="false">Raw_Prices!E106/Raw_Prices!E105-1</f>
        <v>0.00185672288410954</v>
      </c>
      <c r="F106" s="16" t="n">
        <f aca="false">Raw_Prices!F106/Raw_Prices!F105-1</f>
        <v>0.0127515692163811</v>
      </c>
      <c r="G106" s="16" t="n">
        <f aca="false">Raw_Prices!G106/Raw_Prices!G105-1</f>
        <v>-0.021108179419525</v>
      </c>
      <c r="H106" s="16" t="n">
        <f aca="false">Raw_Prices!H106/Raw_Prices!H105-1</f>
        <v>0.430461538461538</v>
      </c>
      <c r="I106" s="16" t="n">
        <f aca="false">Raw_Prices!I106/Raw_Prices!I105-1</f>
        <v>-0.0237947910221074</v>
      </c>
      <c r="J106" s="16" t="n">
        <f aca="false">KSE100_Benchmark!B106/KSE100_Benchmark!B105-1</f>
        <v>0.0273358693456638</v>
      </c>
    </row>
    <row r="107" customFormat="false" ht="15" hidden="false" customHeight="true" outlineLevel="0" collapsed="false">
      <c r="A107" s="13" t="n">
        <f aca="false">Raw_Prices!A107</f>
        <v>45200</v>
      </c>
      <c r="B107" s="16" t="n">
        <f aca="false">Raw_Prices!B107/Raw_Prices!B106-1</f>
        <v>0.0414507772020725</v>
      </c>
      <c r="C107" s="16" t="n">
        <f aca="false">Raw_Prices!C107/Raw_Prices!C106-1</f>
        <v>0.200786026200873</v>
      </c>
      <c r="D107" s="16" t="n">
        <f aca="false">Raw_Prices!D107/Raw_Prices!D106-1</f>
        <v>0.142105263157895</v>
      </c>
      <c r="E107" s="16" t="n">
        <f aca="false">Raw_Prices!E107/Raw_Prices!E106-1</f>
        <v>0.177528957528958</v>
      </c>
      <c r="F107" s="16" t="n">
        <f aca="false">Raw_Prices!F107/Raw_Prices!F106-1</f>
        <v>0.127686023796839</v>
      </c>
      <c r="G107" s="16" t="n">
        <f aca="false">Raw_Prices!G107/Raw_Prices!G106-1</f>
        <v>0.113207547169811</v>
      </c>
      <c r="H107" s="16" t="n">
        <f aca="false">Raw_Prices!H107/Raw_Prices!H106-1</f>
        <v>0.754140675414067</v>
      </c>
      <c r="I107" s="16" t="n">
        <f aca="false">Raw_Prices!I107/Raw_Prices!I106-1</f>
        <v>0.00766393914947572</v>
      </c>
      <c r="J107" s="16" t="n">
        <f aca="false">KSE100_Benchmark!B107/KSE100_Benchmark!B106-1</f>
        <v>0.12423530673925</v>
      </c>
    </row>
    <row r="108" customFormat="false" ht="15" hidden="false" customHeight="true" outlineLevel="0" collapsed="false">
      <c r="A108" s="13" t="n">
        <f aca="false">Raw_Prices!A108</f>
        <v>45231</v>
      </c>
      <c r="B108" s="16" t="n">
        <f aca="false">Raw_Prices!B108/Raw_Prices!B107-1</f>
        <v>0.0845771144278606</v>
      </c>
      <c r="C108" s="16" t="n">
        <f aca="false">Raw_Prices!C108/Raw_Prices!C107-1</f>
        <v>0.123718088588261</v>
      </c>
      <c r="D108" s="16" t="n">
        <f aca="false">Raw_Prices!D108/Raw_Prices!D107-1</f>
        <v>0.163248847926267</v>
      </c>
      <c r="E108" s="16" t="n">
        <f aca="false">Raw_Prices!E108/Raw_Prices!E107-1</f>
        <v>0.0984326841104335</v>
      </c>
      <c r="F108" s="16" t="n">
        <f aca="false">Raw_Prices!F108/Raw_Prices!F107-1</f>
        <v>0.24251968503937</v>
      </c>
      <c r="G108" s="16" t="n">
        <f aca="false">Raw_Prices!G108/Raw_Prices!G107-1</f>
        <v>0.085230024213075</v>
      </c>
      <c r="H108" s="16" t="n">
        <f aca="false">Raw_Prices!H108/Raw_Prices!H107-1</f>
        <v>0.140404659717964</v>
      </c>
      <c r="I108" s="16" t="n">
        <f aca="false">Raw_Prices!I108/Raw_Prices!I107-1</f>
        <v>0.0840052610510664</v>
      </c>
      <c r="J108" s="16" t="n">
        <f aca="false">KSE100_Benchmark!B108/KSE100_Benchmark!B107-1</f>
        <v>0.164506868609949</v>
      </c>
    </row>
    <row r="109" customFormat="false" ht="15" hidden="false" customHeight="true" outlineLevel="0" collapsed="false">
      <c r="A109" s="13" t="n">
        <f aca="false">Raw_Prices!A109</f>
        <v>45261</v>
      </c>
      <c r="B109" s="16" t="n">
        <f aca="false">Raw_Prices!B109/Raw_Prices!B108-1</f>
        <v>0.0284403669724771</v>
      </c>
      <c r="C109" s="16" t="n">
        <f aca="false">Raw_Prices!C109/Raw_Prices!C108-1</f>
        <v>0.0420064724919094</v>
      </c>
      <c r="D109" s="16" t="n">
        <f aca="false">Raw_Prices!D109/Raw_Prices!D108-1</f>
        <v>0.11221154798455</v>
      </c>
      <c r="E109" s="16" t="n">
        <f aca="false">Raw_Prices!E109/Raw_Prices!E108-1</f>
        <v>0.026865671641791</v>
      </c>
      <c r="F109" s="16" t="n">
        <f aca="false">Raw_Prices!F109/Raw_Prices!F108-1</f>
        <v>0.00126742712294048</v>
      </c>
      <c r="G109" s="16" t="n">
        <f aca="false">Raw_Prices!G109/Raw_Prices!G108-1</f>
        <v>0.0111557340473003</v>
      </c>
      <c r="H109" s="16" t="n">
        <f aca="false">Raw_Prices!H109/Raw_Prices!H108-1</f>
        <v>-0.0456989247311828</v>
      </c>
      <c r="I109" s="16" t="n">
        <f aca="false">Raw_Prices!I109/Raw_Prices!I108-1</f>
        <v>0.225047478370964</v>
      </c>
      <c r="J109" s="16" t="n">
        <f aca="false">KSE100_Benchmark!B109/KSE100_Benchmark!B108-1</f>
        <v>0.0317920483779326</v>
      </c>
    </row>
    <row r="110" customFormat="false" ht="15" hidden="false" customHeight="true" outlineLevel="0" collapsed="false">
      <c r="A110" s="13" t="n">
        <f aca="false">Raw_Prices!A110</f>
        <v>45292</v>
      </c>
      <c r="B110" s="16" t="n">
        <f aca="false">Raw_Prices!B110/Raw_Prices!B109-1</f>
        <v>0.204460303300625</v>
      </c>
      <c r="C110" s="16" t="n">
        <f aca="false">Raw_Prices!C110/Raw_Prices!C109-1</f>
        <v>0.00627368159513009</v>
      </c>
      <c r="D110" s="16" t="n">
        <f aca="false">Raw_Prices!D110/Raw_Prices!D109-1</f>
        <v>0.0863757791629565</v>
      </c>
      <c r="E110" s="16" t="n">
        <f aca="false">Raw_Prices!E110/Raw_Prices!E109-1</f>
        <v>0.0441860465116279</v>
      </c>
      <c r="F110" s="16" t="n">
        <f aca="false">Raw_Prices!F110/Raw_Prices!F109-1</f>
        <v>-0.0671518987341772</v>
      </c>
      <c r="G110" s="16" t="n">
        <f aca="false">Raw_Prices!G110/Raw_Prices!G109-1</f>
        <v>-0.00264783759929388</v>
      </c>
      <c r="H110" s="16" t="n">
        <f aca="false">Raw_Prices!H110/Raw_Prices!H109-1</f>
        <v>0.189859154929577</v>
      </c>
      <c r="I110" s="16" t="n">
        <f aca="false">Raw_Prices!I110/Raw_Prices!I109-1</f>
        <v>0.0766514512100596</v>
      </c>
      <c r="J110" s="16" t="n">
        <f aca="false">KSE100_Benchmark!B110/KSE100_Benchmark!B109-1</f>
        <v>-0.00755567881655772</v>
      </c>
    </row>
    <row r="111" customFormat="false" ht="15" hidden="false" customHeight="true" outlineLevel="0" collapsed="false">
      <c r="A111" s="13" t="n">
        <f aca="false">Raw_Prices!A111</f>
        <v>45323</v>
      </c>
      <c r="B111" s="16" t="n">
        <f aca="false">Raw_Prices!B111/Raw_Prices!B110-1</f>
        <v>-0.0719893349133463</v>
      </c>
      <c r="C111" s="16" t="n">
        <f aca="false">Raw_Prices!C111/Raw_Prices!C110-1</f>
        <v>0.157407407407407</v>
      </c>
      <c r="D111" s="16" t="n">
        <f aca="false">Raw_Prices!D111/Raw_Prices!D110-1</f>
        <v>0.204754098360656</v>
      </c>
      <c r="E111" s="16" t="n">
        <f aca="false">Raw_Prices!E111/Raw_Prices!E110-1</f>
        <v>0.108017817371938</v>
      </c>
      <c r="F111" s="16" t="n">
        <f aca="false">Raw_Prices!F111/Raw_Prices!F110-1</f>
        <v>0.0165547187733224</v>
      </c>
      <c r="G111" s="16" t="n">
        <f aca="false">Raw_Prices!G111/Raw_Prices!G110-1</f>
        <v>0.0566371681415929</v>
      </c>
      <c r="H111" s="16" t="n">
        <f aca="false">Raw_Prices!H111/Raw_Prices!H110-1</f>
        <v>0.709280303030303</v>
      </c>
      <c r="I111" s="16" t="n">
        <f aca="false">Raw_Prices!I111/Raw_Prices!I110-1</f>
        <v>0.0434765218782496</v>
      </c>
      <c r="J111" s="16" t="n">
        <f aca="false">KSE100_Benchmark!B111/KSE100_Benchmark!B110-1</f>
        <v>0.0419389220702822</v>
      </c>
    </row>
    <row r="112" customFormat="false" ht="15" hidden="false" customHeight="true" outlineLevel="0" collapsed="false">
      <c r="A112" s="13" t="n">
        <f aca="false">Raw_Prices!A112</f>
        <v>45352</v>
      </c>
      <c r="B112" s="16" t="n">
        <f aca="false">Raw_Prices!B112/Raw_Prices!B111-1</f>
        <v>-0.0315243415802076</v>
      </c>
      <c r="C112" s="16" t="n">
        <f aca="false">Raw_Prices!C112/Raw_Prices!C111-1</f>
        <v>0.143893333333333</v>
      </c>
      <c r="D112" s="16" t="n">
        <f aca="false">Raw_Prices!D112/Raw_Prices!D111-1</f>
        <v>0.00551095387127498</v>
      </c>
      <c r="E112" s="16" t="n">
        <f aca="false">Raw_Prices!E112/Raw_Prices!E111-1</f>
        <v>0.0201005025125629</v>
      </c>
      <c r="F112" s="16" t="n">
        <f aca="false">Raw_Prices!F112/Raw_Prices!F111-1</f>
        <v>0.0211573116198358</v>
      </c>
      <c r="G112" s="16" t="n">
        <f aca="false">Raw_Prices!G112/Raw_Prices!G111-1</f>
        <v>0.0594639865996649</v>
      </c>
      <c r="H112" s="16" t="n">
        <f aca="false">Raw_Prices!H112/Raw_Prices!H111-1</f>
        <v>0.074792243767313</v>
      </c>
      <c r="I112" s="16" t="n">
        <f aca="false">Raw_Prices!I112/Raw_Prices!I111-1</f>
        <v>0.0775039288589061</v>
      </c>
      <c r="J112" s="16" t="n">
        <f aca="false">KSE100_Benchmark!B112/KSE100_Benchmark!B111-1</f>
        <v>0.0375758069401406</v>
      </c>
    </row>
    <row r="113" customFormat="false" ht="15" hidden="false" customHeight="true" outlineLevel="0" collapsed="false">
      <c r="A113" s="13" t="n">
        <f aca="false">Raw_Prices!A113</f>
        <v>45383</v>
      </c>
      <c r="B113" s="16" t="n">
        <f aca="false">Raw_Prices!B113/Raw_Prices!B112-1</f>
        <v>0.100123609394314</v>
      </c>
      <c r="C113" s="16" t="n">
        <f aca="false">Raw_Prices!C113/Raw_Prices!C112-1</f>
        <v>-0.004615814994405</v>
      </c>
      <c r="D113" s="16" t="n">
        <f aca="false">Raw_Prices!D113/Raw_Prices!D112-1</f>
        <v>0.0644157250152244</v>
      </c>
      <c r="E113" s="16" t="n">
        <f aca="false">Raw_Prices!E113/Raw_Prices!E112-1</f>
        <v>0.0322167487684728</v>
      </c>
      <c r="F113" s="16" t="n">
        <f aca="false">Raw_Prices!F113/Raw_Prices!F112-1</f>
        <v>0.0928104575163398</v>
      </c>
      <c r="G113" s="16" t="n">
        <f aca="false">Raw_Prices!G113/Raw_Prices!G112-1</f>
        <v>0.150197628458498</v>
      </c>
      <c r="H113" s="16" t="n">
        <f aca="false">Raw_Prices!H113/Raw_Prices!H112-1</f>
        <v>0.809278350515464</v>
      </c>
      <c r="I113" s="16" t="n">
        <f aca="false">Raw_Prices!I113/Raw_Prices!I112-1</f>
        <v>0.0782611788979404</v>
      </c>
      <c r="J113" s="16" t="n">
        <f aca="false">KSE100_Benchmark!B113/KSE100_Benchmark!B112-1</f>
        <v>0.0611511569789229</v>
      </c>
    </row>
    <row r="114" customFormat="false" ht="15" hidden="false" customHeight="true" outlineLevel="0" collapsed="false">
      <c r="A114" s="13" t="n">
        <f aca="false">Raw_Prices!A114</f>
        <v>45413</v>
      </c>
      <c r="B114" s="16" t="n">
        <f aca="false">Raw_Prices!B114/Raw_Prices!B113-1</f>
        <v>0.00149812734082388</v>
      </c>
      <c r="C114" s="16" t="n">
        <f aca="false">Raw_Prices!C114/Raw_Prices!C113-1</f>
        <v>0.15551079675863</v>
      </c>
      <c r="D114" s="16" t="n">
        <f aca="false">Raw_Prices!D114/Raw_Prices!D113-1</f>
        <v>0.017735681139152</v>
      </c>
      <c r="E114" s="16" t="n">
        <f aca="false">Raw_Prices!E114/Raw_Prices!E113-1</f>
        <v>-0.0121217905889091</v>
      </c>
      <c r="F114" s="16" t="n">
        <f aca="false">Raw_Prices!F114/Raw_Prices!F113-1</f>
        <v>0.0735645933014355</v>
      </c>
      <c r="G114" s="16" t="n">
        <f aca="false">Raw_Prices!G114/Raw_Prices!G113-1</f>
        <v>-0.0240549828178694</v>
      </c>
      <c r="H114" s="16" t="n">
        <f aca="false">Raw_Prices!H114/Raw_Prices!H113-1</f>
        <v>0.11985754985755</v>
      </c>
      <c r="I114" s="16" t="n">
        <f aca="false">Raw_Prices!I114/Raw_Prices!I113-1</f>
        <v>0.0223681171851802</v>
      </c>
      <c r="J114" s="16" t="n">
        <f aca="false">KSE100_Benchmark!B114/KSE100_Benchmark!B113-1</f>
        <v>0.0671696022153916</v>
      </c>
    </row>
    <row r="115" customFormat="false" ht="15" hidden="false" customHeight="true" outlineLevel="0" collapsed="false">
      <c r="A115" s="13" t="n">
        <f aca="false">Raw_Prices!A115</f>
        <v>45444</v>
      </c>
      <c r="B115" s="16" t="n">
        <f aca="false">Raw_Prices!B115/Raw_Prices!B114-1</f>
        <v>0.0108451757666419</v>
      </c>
      <c r="C115" s="16" t="n">
        <f aca="false">Raw_Prices!C115/Raw_Prices!C114-1</f>
        <v>-0.0311727269042118</v>
      </c>
      <c r="D115" s="16" t="n">
        <f aca="false">Raw_Prices!D115/Raw_Prices!D114-1</f>
        <v>0.0369768894440976</v>
      </c>
      <c r="E115" s="16" t="n">
        <f aca="false">Raw_Prices!E115/Raw_Prices!E114-1</f>
        <v>0.0966183574879227</v>
      </c>
      <c r="F115" s="16" t="n">
        <f aca="false">Raw_Prices!F115/Raw_Prices!F114-1</f>
        <v>0.0062729805013928</v>
      </c>
      <c r="G115" s="16" t="n">
        <f aca="false">Raw_Prices!G115/Raw_Prices!G114-1</f>
        <v>0.149295774647887</v>
      </c>
      <c r="H115" s="16" t="n">
        <f aca="false">Raw_Prices!H115/Raw_Prices!H114-1</f>
        <v>0.0614903197903682</v>
      </c>
      <c r="I115" s="16" t="n">
        <f aca="false">Raw_Prices!I115/Raw_Prices!I114-1</f>
        <v>-0.0308496563296654</v>
      </c>
      <c r="J115" s="16" t="n">
        <f aca="false">KSE100_Benchmark!B115/KSE100_Benchmark!B114-1</f>
        <v>0.0338235557696993</v>
      </c>
    </row>
    <row r="116" customFormat="false" ht="15" hidden="false" customHeight="true" outlineLevel="0" collapsed="false">
      <c r="A116" s="13" t="n">
        <f aca="false">Raw_Prices!A116</f>
        <v>45474</v>
      </c>
      <c r="B116" s="16" t="n">
        <f aca="false">Raw_Prices!B116/Raw_Prices!B115-1</f>
        <v>-0.0450610432852386</v>
      </c>
      <c r="C116" s="16" t="n">
        <f aca="false">Raw_Prices!C116/Raw_Prices!C115-1</f>
        <v>-0.00376569037656904</v>
      </c>
      <c r="D116" s="16" t="n">
        <f aca="false">Raw_Prices!D116/Raw_Prices!D115-1</f>
        <v>0.00891458860378269</v>
      </c>
      <c r="E116" s="16" t="n">
        <f aca="false">Raw_Prices!E116/Raw_Prices!E115-1</f>
        <v>0.00110132158590304</v>
      </c>
      <c r="F116" s="16" t="n">
        <f aca="false">Raw_Prices!F116/Raw_Prices!F115-1</f>
        <v>-0.0344690133203415</v>
      </c>
      <c r="G116" s="16" t="n">
        <f aca="false">Raw_Prices!G116/Raw_Prices!G115-1</f>
        <v>0.110600490196078</v>
      </c>
      <c r="H116" s="16" t="n">
        <f aca="false">Raw_Prices!H116/Raw_Prices!H115-1</f>
        <v>0.27384718627169</v>
      </c>
      <c r="I116" s="16" t="n">
        <f aca="false">Raw_Prices!I116/Raw_Prices!I115-1</f>
        <v>-0.0192121999134285</v>
      </c>
      <c r="J116" s="16" t="n">
        <f aca="false">KSE100_Benchmark!B116/KSE100_Benchmark!B115-1</f>
        <v>-0.00711288526375697</v>
      </c>
    </row>
    <row r="117" customFormat="false" ht="15" hidden="false" customHeight="true" outlineLevel="0" collapsed="false">
      <c r="A117" s="13" t="n">
        <f aca="false">Raw_Prices!A117</f>
        <v>45505</v>
      </c>
      <c r="B117" s="16" t="n">
        <f aca="false">Raw_Prices!B117/Raw_Prices!B116-1</f>
        <v>0.0282039361537267</v>
      </c>
      <c r="C117" s="16" t="n">
        <f aca="false">Raw_Prices!C117/Raw_Prices!C116-1</f>
        <v>-0.0130197396052079</v>
      </c>
      <c r="D117" s="16" t="n">
        <f aca="false">Raw_Prices!D117/Raw_Prices!D116-1</f>
        <v>-0.0388059701492537</v>
      </c>
      <c r="E117" s="16" t="n">
        <f aca="false">Raw_Prices!E117/Raw_Prices!E116-1</f>
        <v>-0.0565456545654566</v>
      </c>
      <c r="F117" s="16" t="n">
        <f aca="false">Raw_Prices!F117/Raw_Prices!F116-1</f>
        <v>-0.0470183486238532</v>
      </c>
      <c r="G117" s="16" t="n">
        <f aca="false">Raw_Prices!G117/Raw_Prices!G116-1</f>
        <v>-0.00143448275862068</v>
      </c>
      <c r="H117" s="16" t="n">
        <f aca="false">Raw_Prices!H117/Raw_Prices!H116-1</f>
        <v>-0.049755409219191</v>
      </c>
      <c r="I117" s="16" t="n">
        <f aca="false">Raw_Prices!I117/Raw_Prices!I116-1</f>
        <v>0.279875067897882</v>
      </c>
      <c r="J117" s="16" t="n">
        <f aca="false">KSE100_Benchmark!B117/KSE100_Benchmark!B116-1</f>
        <v>0.00771926094460707</v>
      </c>
    </row>
    <row r="118" customFormat="false" ht="15" hidden="false" customHeight="true" outlineLevel="0" collapsed="false">
      <c r="A118" s="13" t="n">
        <f aca="false">Raw_Prices!A118</f>
        <v>45536</v>
      </c>
      <c r="B118" s="16" t="n">
        <f aca="false">Raw_Prices!B118/Raw_Prices!B117-1</f>
        <v>0.080859080633007</v>
      </c>
      <c r="C118" s="16" t="n">
        <f aca="false">Raw_Prices!C118/Raw_Prices!C117-1</f>
        <v>-0.0291489361702127</v>
      </c>
      <c r="D118" s="16" t="n">
        <f aca="false">Raw_Prices!D118/Raw_Prices!D117-1</f>
        <v>0.181739130434783</v>
      </c>
      <c r="E118" s="16" t="n">
        <f aca="false">Raw_Prices!E118/Raw_Prices!E117-1</f>
        <v>0.121268656716418</v>
      </c>
      <c r="F118" s="16" t="n">
        <f aca="false">Raw_Prices!F118/Raw_Prices!F117-1</f>
        <v>0.063826714801444</v>
      </c>
      <c r="G118" s="16" t="n">
        <f aca="false">Raw_Prices!G118/Raw_Prices!G117-1</f>
        <v>0.229073429471241</v>
      </c>
      <c r="H118" s="16" t="n">
        <f aca="false">Raw_Prices!H118/Raw_Prices!H117-1</f>
        <v>-0.0470443813050063</v>
      </c>
      <c r="I118" s="16" t="n">
        <f aca="false">Raw_Prices!I118/Raw_Prices!I117-1</f>
        <v>0.128753315649867</v>
      </c>
      <c r="J118" s="16" t="n">
        <f aca="false">KSE100_Benchmark!B118/KSE100_Benchmark!B117-1</f>
        <v>0.033456995202592</v>
      </c>
    </row>
    <row r="119" customFormat="false" ht="15" hidden="false" customHeight="true" outlineLevel="0" collapsed="false">
      <c r="A119" s="13" t="n">
        <f aca="false">Raw_Prices!A119</f>
        <v>45566</v>
      </c>
      <c r="B119" s="16" t="n">
        <f aca="false">Raw_Prices!B119/Raw_Prices!B118-1</f>
        <v>0.200097608589556</v>
      </c>
      <c r="C119" s="16" t="n">
        <f aca="false">Raw_Prices!C119/Raw_Prices!C118-1</f>
        <v>0.0163488932719702</v>
      </c>
      <c r="D119" s="16" t="n">
        <f aca="false">Raw_Prices!D119/Raw_Prices!D118-1</f>
        <v>0.0190791548407443</v>
      </c>
      <c r="E119" s="16" t="n">
        <f aca="false">Raw_Prices!E119/Raw_Prices!E118-1</f>
        <v>0.0155158069883528</v>
      </c>
      <c r="F119" s="16" t="n">
        <f aca="false">Raw_Prices!F119/Raw_Prices!F118-1</f>
        <v>-0.000950183249626591</v>
      </c>
      <c r="G119" s="16" t="n">
        <f aca="false">Raw_Prices!G119/Raw_Prices!G118-1</f>
        <v>0.265048325466397</v>
      </c>
      <c r="H119" s="16" t="n">
        <f aca="false">Raw_Prices!H119/Raw_Prices!H118-1</f>
        <v>0.085758214816277</v>
      </c>
      <c r="I119" s="16" t="n">
        <f aca="false">Raw_Prices!I119/Raw_Prices!I118-1</f>
        <v>-0.0448136485406777</v>
      </c>
      <c r="J119" s="16" t="n">
        <f aca="false">KSE100_Benchmark!B119/KSE100_Benchmark!B118-1</f>
        <v>0.0968088201572599</v>
      </c>
    </row>
    <row r="120" customFormat="false" ht="15" hidden="false" customHeight="true" outlineLevel="0" collapsed="false">
      <c r="A120" s="13" t="n">
        <f aca="false">Raw_Prices!A120</f>
        <v>45597</v>
      </c>
      <c r="B120" s="16" t="n">
        <f aca="false">Raw_Prices!B120/Raw_Prices!B119-1</f>
        <v>0.13431708592343</v>
      </c>
      <c r="C120" s="16" t="n">
        <f aca="false">Raw_Prices!C120/Raw_Prices!C119-1</f>
        <v>-0.0194065896153183</v>
      </c>
      <c r="D120" s="16" t="n">
        <f aca="false">Raw_Prices!D120/Raw_Prices!D119-1</f>
        <v>0.0325958017432566</v>
      </c>
      <c r="E120" s="16" t="n">
        <f aca="false">Raw_Prices!E120/Raw_Prices!E119-1</f>
        <v>0.111129316347848</v>
      </c>
      <c r="F120" s="16" t="n">
        <f aca="false">Raw_Prices!F120/Raw_Prices!F119-1</f>
        <v>0.154381793478261</v>
      </c>
      <c r="G120" s="16" t="n">
        <f aca="false">Raw_Prices!G120/Raw_Prices!G119-1</f>
        <v>0.154507657865747</v>
      </c>
      <c r="H120" s="16" t="n">
        <f aca="false">Raw_Prices!H120/Raw_Prices!H119-1</f>
        <v>-0.0388943108100351</v>
      </c>
      <c r="I120" s="16" t="n">
        <f aca="false">Raw_Prices!I120/Raw_Prices!I119-1</f>
        <v>0.137156493714173</v>
      </c>
      <c r="J120" s="16" t="n">
        <f aca="false">KSE100_Benchmark!B120/KSE100_Benchmark!B119-1</f>
        <v>0.139271662891662</v>
      </c>
    </row>
    <row r="121" customFormat="false" ht="15" hidden="false" customHeight="true" outlineLevel="0" collapsed="false">
      <c r="A121" s="13" t="n">
        <f aca="false">Raw_Prices!A121</f>
        <v>45627</v>
      </c>
      <c r="B121" s="16" t="n">
        <f aca="false">Raw_Prices!B121/Raw_Prices!B120-1</f>
        <v>0.163943661971831</v>
      </c>
      <c r="C121" s="16" t="n">
        <f aca="false">Raw_Prices!C121/Raw_Prices!C120-1</f>
        <v>0.0641657137830944</v>
      </c>
      <c r="D121" s="16" t="n">
        <f aca="false">Raw_Prices!D121/Raw_Prices!D120-1</f>
        <v>0.0198791269167373</v>
      </c>
      <c r="E121" s="16" t="n">
        <f aca="false">Raw_Prices!E121/Raw_Prices!E120-1</f>
        <v>0.0370124603701247</v>
      </c>
      <c r="F121" s="16" t="n">
        <f aca="false">Raw_Prices!F121/Raw_Prices!F120-1</f>
        <v>0.0793879652787994</v>
      </c>
      <c r="G121" s="16" t="n">
        <f aca="false">Raw_Prices!G121/Raw_Prices!G120-1</f>
        <v>0.127520083720644</v>
      </c>
      <c r="H121" s="16" t="n">
        <f aca="false">Raw_Prices!H121/Raw_Prices!H120-1</f>
        <v>0.113380919670679</v>
      </c>
      <c r="I121" s="16" t="n">
        <f aca="false">Raw_Prices!I121/Raw_Prices!I120-1</f>
        <v>0.556856042577128</v>
      </c>
      <c r="J121" s="16" t="n">
        <f aca="false">KSE100_Benchmark!B121/KSE100_Benchmark!B120-1</f>
        <v>0.135851855593656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10" min="3" style="1" width="10"/>
  </cols>
  <sheetData>
    <row r="1" customFormat="false" ht="17.25" hidden="false" customHeight="true" outlineLevel="0" collapsed="false">
      <c r="A1" s="2" t="s">
        <v>64</v>
      </c>
    </row>
    <row r="2" customFormat="false" ht="15" hidden="false" customHeight="true" outlineLevel="0" collapsed="false">
      <c r="A2" s="5" t="s">
        <v>65</v>
      </c>
    </row>
    <row r="4" customFormat="false" ht="15" hidden="false" customHeight="true" outlineLevel="0" collapsed="false">
      <c r="A4" s="12" t="s">
        <v>66</v>
      </c>
      <c r="B4" s="12" t="s">
        <v>51</v>
      </c>
      <c r="C4" s="12" t="s">
        <v>52</v>
      </c>
      <c r="D4" s="12" t="s">
        <v>53</v>
      </c>
      <c r="E4" s="12" t="s">
        <v>54</v>
      </c>
      <c r="F4" s="12" t="s">
        <v>55</v>
      </c>
      <c r="G4" s="12" t="s">
        <v>56</v>
      </c>
      <c r="H4" s="12" t="s">
        <v>57</v>
      </c>
      <c r="I4" s="12" t="s">
        <v>58</v>
      </c>
      <c r="J4" s="12" t="s">
        <v>59</v>
      </c>
    </row>
    <row r="5" customFormat="false" ht="15" hidden="false" customHeight="true" outlineLevel="0" collapsed="false">
      <c r="A5" s="1" t="n">
        <v>1</v>
      </c>
      <c r="B5" s="13" t="n">
        <f aca="false">Returns!A2</f>
        <v>42005</v>
      </c>
      <c r="C5" s="16"/>
      <c r="D5" s="16"/>
      <c r="E5" s="16"/>
      <c r="F5" s="16"/>
      <c r="G5" s="16"/>
      <c r="H5" s="16"/>
      <c r="I5" s="16"/>
      <c r="J5" s="16"/>
    </row>
    <row r="6" customFormat="false" ht="15" hidden="false" customHeight="true" outlineLevel="0" collapsed="false">
      <c r="A6" s="1" t="n">
        <v>2</v>
      </c>
      <c r="B6" s="13" t="n">
        <f aca="false">Returns!A3</f>
        <v>42036</v>
      </c>
      <c r="C6" s="16"/>
      <c r="D6" s="16"/>
      <c r="E6" s="16"/>
      <c r="F6" s="16"/>
      <c r="G6" s="16"/>
      <c r="H6" s="16"/>
      <c r="I6" s="16"/>
      <c r="J6" s="16"/>
    </row>
    <row r="7" customFormat="false" ht="15" hidden="false" customHeight="true" outlineLevel="0" collapsed="false">
      <c r="A7" s="1" t="n">
        <v>3</v>
      </c>
      <c r="B7" s="13" t="n">
        <f aca="false">Returns!A4</f>
        <v>42064</v>
      </c>
      <c r="C7" s="16"/>
      <c r="D7" s="16"/>
      <c r="E7" s="16"/>
      <c r="F7" s="16"/>
      <c r="G7" s="16"/>
      <c r="H7" s="16"/>
      <c r="I7" s="16"/>
      <c r="J7" s="16"/>
    </row>
    <row r="8" customFormat="false" ht="15" hidden="false" customHeight="true" outlineLevel="0" collapsed="false">
      <c r="A8" s="1" t="n">
        <v>4</v>
      </c>
      <c r="B8" s="13" t="n">
        <f aca="false">Returns!A5</f>
        <v>42095</v>
      </c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true" outlineLevel="0" collapsed="false">
      <c r="A9" s="1" t="n">
        <v>5</v>
      </c>
      <c r="B9" s="13" t="n">
        <f aca="false">Returns!A6</f>
        <v>42125</v>
      </c>
      <c r="C9" s="16"/>
      <c r="D9" s="16"/>
      <c r="E9" s="16"/>
      <c r="F9" s="16"/>
      <c r="G9" s="16"/>
      <c r="H9" s="16"/>
      <c r="I9" s="16"/>
      <c r="J9" s="16"/>
    </row>
    <row r="10" customFormat="false" ht="15" hidden="false" customHeight="true" outlineLevel="0" collapsed="false">
      <c r="A10" s="1" t="n">
        <v>6</v>
      </c>
      <c r="B10" s="13" t="n">
        <f aca="false">Returns!A7</f>
        <v>42156</v>
      </c>
      <c r="C10" s="16"/>
      <c r="D10" s="16"/>
      <c r="E10" s="16"/>
      <c r="F10" s="16"/>
      <c r="G10" s="16"/>
      <c r="H10" s="16"/>
      <c r="I10" s="16"/>
      <c r="J10" s="16"/>
    </row>
    <row r="11" customFormat="false" ht="15" hidden="false" customHeight="true" outlineLevel="0" collapsed="false">
      <c r="A11" s="1" t="n">
        <v>7</v>
      </c>
      <c r="B11" s="13" t="n">
        <f aca="false">Returns!A8</f>
        <v>42186</v>
      </c>
      <c r="C11" s="16" t="n">
        <f aca="false">(1+Returns!C3)*(1+Returns!C4)*(1+Returns!C5)*(1+Returns!C6)*(1+Returns!C7)*(1+Returns!C8)-1</f>
        <v>-0.0742523203850123</v>
      </c>
      <c r="D11" s="16" t="n">
        <f aca="false">(1+Returns!D3)*(1+Returns!D4)*(1+Returns!D5)*(1+Returns!D6)*(1+Returns!D7)*(1+Returns!D8)-1</f>
        <v>0.0855070768510935</v>
      </c>
      <c r="E11" s="16" t="n">
        <f aca="false">(1+Returns!E3)*(1+Returns!E4)*(1+Returns!E5)*(1+Returns!E6)*(1+Returns!E7)*(1+Returns!E8)-1</f>
        <v>-0.159411588111678</v>
      </c>
      <c r="F11" s="16" t="n">
        <f aca="false">(1+Returns!F3)*(1+Returns!F4)*(1+Returns!F5)*(1+Returns!F6)*(1+Returns!F7)*(1+Returns!F8)-1</f>
        <v>0.0641966321193892</v>
      </c>
      <c r="G11" s="16" t="n">
        <f aca="false">(1+Returns!G3)*(1+Returns!G4)*(1+Returns!G5)*(1+Returns!G6)*(1+Returns!G7)*(1+Returns!G8)-1</f>
        <v>0.110867427966422</v>
      </c>
      <c r="H11" s="16" t="n">
        <f aca="false">(1+Returns!H3)*(1+Returns!H4)*(1+Returns!H5)*(1+Returns!H6)*(1+Returns!H7)*(1+Returns!H8)-1</f>
        <v>0.14527027027027</v>
      </c>
      <c r="I11" s="16" t="n">
        <f aca="false">(1+Returns!I3)*(1+Returns!I4)*(1+Returns!I5)*(1+Returns!I6)*(1+Returns!I7)*(1+Returns!I8)-1</f>
        <v>-0.258623803503703</v>
      </c>
      <c r="J11" s="16" t="n">
        <f aca="false">(1+Returns!J3)*(1+Returns!J4)*(1+Returns!J5)*(1+Returns!J6)*(1+Returns!J7)*(1+Returns!J8)-1</f>
        <v>0.0376743379881526</v>
      </c>
    </row>
    <row r="12" customFormat="false" ht="15" hidden="false" customHeight="true" outlineLevel="0" collapsed="false">
      <c r="A12" s="1" t="n">
        <v>8</v>
      </c>
      <c r="B12" s="13" t="n">
        <f aca="false">Returns!A9</f>
        <v>42217</v>
      </c>
      <c r="C12" s="16" t="n">
        <f aca="false">(1+Returns!C4)*(1+Returns!C5)*(1+Returns!C6)*(1+Returns!C7)*(1+Returns!C8)*(1+Returns!C9)-1</f>
        <v>0.0140597539543057</v>
      </c>
      <c r="D12" s="16" t="n">
        <f aca="false">(1+Returns!D4)*(1+Returns!D5)*(1+Returns!D6)*(1+Returns!D7)*(1+Returns!D8)*(1+Returns!D9)-1</f>
        <v>0.109828611402588</v>
      </c>
      <c r="E12" s="16" t="n">
        <f aca="false">(1+Returns!E4)*(1+Returns!E5)*(1+Returns!E6)*(1+Returns!E7)*(1+Returns!E8)*(1+Returns!E9)-1</f>
        <v>-0.17849141150112</v>
      </c>
      <c r="F12" s="16" t="n">
        <f aca="false">(1+Returns!F4)*(1+Returns!F5)*(1+Returns!F6)*(1+Returns!F7)*(1+Returns!F8)*(1+Returns!F9)-1</f>
        <v>0.049806143751864</v>
      </c>
      <c r="G12" s="16" t="n">
        <f aca="false">(1+Returns!G4)*(1+Returns!G5)*(1+Returns!G6)*(1+Returns!G7)*(1+Returns!G8)*(1+Returns!G9)-1</f>
        <v>-0.0277856334841627</v>
      </c>
      <c r="H12" s="16" t="n">
        <f aca="false">(1+Returns!H4)*(1+Returns!H5)*(1+Returns!H6)*(1+Returns!H7)*(1+Returns!H8)*(1+Returns!H9)-1</f>
        <v>-0.133421400264201</v>
      </c>
      <c r="I12" s="16" t="n">
        <f aca="false">(1+Returns!I4)*(1+Returns!I5)*(1+Returns!I6)*(1+Returns!I7)*(1+Returns!I8)*(1+Returns!I9)-1</f>
        <v>-0.234800409416581</v>
      </c>
      <c r="J12" s="16" t="n">
        <f aca="false">(1+Returns!J4)*(1+Returns!J5)*(1+Returns!J6)*(1+Returns!J7)*(1+Returns!J8)*(1+Returns!J9)-1</f>
        <v>0.0325378751725651</v>
      </c>
    </row>
    <row r="13" customFormat="false" ht="15" hidden="false" customHeight="true" outlineLevel="0" collapsed="false">
      <c r="A13" s="1" t="n">
        <v>9</v>
      </c>
      <c r="B13" s="13" t="n">
        <f aca="false">Returns!A10</f>
        <v>42248</v>
      </c>
      <c r="C13" s="16" t="n">
        <f aca="false">(1+Returns!C5)*(1+Returns!C6)*(1+Returns!C7)*(1+Returns!C8)*(1+Returns!C9)*(1+Returns!C10)-1</f>
        <v>0.13411306042885</v>
      </c>
      <c r="D13" s="16" t="n">
        <f aca="false">(1+Returns!D5)*(1+Returns!D6)*(1+Returns!D7)*(1+Returns!D8)*(1+Returns!D9)*(1+Returns!D10)-1</f>
        <v>0.160098522167488</v>
      </c>
      <c r="E13" s="16" t="n">
        <f aca="false">(1+Returns!E5)*(1+Returns!E6)*(1+Returns!E7)*(1+Returns!E8)*(1+Returns!E9)*(1+Returns!E10)-1</f>
        <v>-0.0750507099391481</v>
      </c>
      <c r="F13" s="16" t="n">
        <f aca="false">(1+Returns!F5)*(1+Returns!F6)*(1+Returns!F7)*(1+Returns!F8)*(1+Returns!F9)*(1+Returns!F10)-1</f>
        <v>0.177024482109228</v>
      </c>
      <c r="G13" s="16" t="n">
        <f aca="false">(1+Returns!G5)*(1+Returns!G6)*(1+Returns!G7)*(1+Returns!G8)*(1+Returns!G9)*(1+Returns!G10)-1</f>
        <v>-0.0671669793621014</v>
      </c>
      <c r="H13" s="16" t="n">
        <f aca="false">(1+Returns!H5)*(1+Returns!H6)*(1+Returns!H7)*(1+Returns!H8)*(1+Returns!H9)*(1+Returns!H10)-1</f>
        <v>-0.18876404494382</v>
      </c>
      <c r="I13" s="16" t="n">
        <f aca="false">(1+Returns!I5)*(1+Returns!I6)*(1+Returns!I7)*(1+Returns!I8)*(1+Returns!I9)*(1+Returns!I10)-1</f>
        <v>-0.291956934768841</v>
      </c>
      <c r="J13" s="16" t="n">
        <f aca="false">(1+Returns!J5)*(1+Returns!J6)*(1+Returns!J7)*(1+Returns!J8)*(1+Returns!J9)*(1+Returns!J10)-1</f>
        <v>0.06792183733012</v>
      </c>
    </row>
    <row r="14" customFormat="false" ht="15" hidden="false" customHeight="true" outlineLevel="0" collapsed="false">
      <c r="A14" s="1" t="n">
        <v>10</v>
      </c>
      <c r="B14" s="13" t="n">
        <f aca="false">Returns!A11</f>
        <v>42278</v>
      </c>
      <c r="C14" s="16" t="n">
        <f aca="false">(1+Returns!C6)*(1+Returns!C7)*(1+Returns!C8)*(1+Returns!C9)*(1+Returns!C10)*(1+Returns!C11)-1</f>
        <v>0.0703124999999998</v>
      </c>
      <c r="D14" s="16" t="n">
        <f aca="false">(1+Returns!D6)*(1+Returns!D7)*(1+Returns!D8)*(1+Returns!D9)*(1+Returns!D10)*(1+Returns!D11)-1</f>
        <v>0.0565819861431873</v>
      </c>
      <c r="E14" s="16" t="n">
        <f aca="false">(1+Returns!E6)*(1+Returns!E7)*(1+Returns!E8)*(1+Returns!E9)*(1+Returns!E10)*(1+Returns!E11)-1</f>
        <v>-0.112640347700109</v>
      </c>
      <c r="F14" s="16" t="n">
        <f aca="false">(1+Returns!F6)*(1+Returns!F7)*(1+Returns!F8)*(1+Returns!F9)*(1+Returns!F10)*(1+Returns!F11)-1</f>
        <v>0.106229508196721</v>
      </c>
      <c r="G14" s="16" t="n">
        <f aca="false">(1+Returns!G6)*(1+Returns!G7)*(1+Returns!G8)*(1+Returns!G9)*(1+Returns!G10)*(1+Returns!G11)-1</f>
        <v>-0.117894736842105</v>
      </c>
      <c r="H14" s="16" t="n">
        <f aca="false">(1+Returns!H6)*(1+Returns!H7)*(1+Returns!H8)*(1+Returns!H9)*(1+Returns!H10)*(1+Returns!H11)-1</f>
        <v>-0.187817258883249</v>
      </c>
      <c r="I14" s="16" t="n">
        <f aca="false">(1+Returns!I6)*(1+Returns!I7)*(1+Returns!I8)*(1+Returns!I9)*(1+Returns!I10)*(1+Returns!I11)-1</f>
        <v>-0.228161148783407</v>
      </c>
      <c r="J14" s="16" t="n">
        <f aca="false">(1+Returns!J6)*(1+Returns!J7)*(1+Returns!J8)*(1+Returns!J9)*(1+Returns!J10)*(1+Returns!J11)-1</f>
        <v>0.0157616552169046</v>
      </c>
    </row>
    <row r="15" customFormat="false" ht="15" hidden="false" customHeight="true" outlineLevel="0" collapsed="false">
      <c r="A15" s="1" t="n">
        <v>11</v>
      </c>
      <c r="B15" s="13" t="n">
        <f aca="false">Returns!A12</f>
        <v>42309</v>
      </c>
      <c r="C15" s="16" t="n">
        <f aca="false">(1+Returns!C7)*(1+Returns!C8)*(1+Returns!C9)*(1+Returns!C10)*(1+Returns!C11)*(1+Returns!C12)-1</f>
        <v>0.0980713992613871</v>
      </c>
      <c r="D15" s="16" t="n">
        <f aca="false">(1+Returns!D7)*(1+Returns!D8)*(1+Returns!D9)*(1+Returns!D10)*(1+Returns!D11)*(1+Returns!D12)-1</f>
        <v>-0.0314913844325613</v>
      </c>
      <c r="E15" s="16" t="n">
        <f aca="false">(1+Returns!E7)*(1+Returns!E8)*(1+Returns!E9)*(1+Returns!E10)*(1+Returns!E11)*(1+Returns!E12)-1</f>
        <v>-0.240315558367135</v>
      </c>
      <c r="F15" s="16" t="n">
        <f aca="false">(1+Returns!F7)*(1+Returns!F8)*(1+Returns!F9)*(1+Returns!F10)*(1+Returns!F11)*(1+Returns!F12)-1</f>
        <v>0.0709907500278613</v>
      </c>
      <c r="G15" s="16" t="n">
        <f aca="false">(1+Returns!G7)*(1+Returns!G8)*(1+Returns!G9)*(1+Returns!G10)*(1+Returns!G11)*(1+Returns!G12)-1</f>
        <v>-0.143518518518519</v>
      </c>
      <c r="H15" s="16" t="n">
        <f aca="false">(1+Returns!H7)*(1+Returns!H8)*(1+Returns!H9)*(1+Returns!H10)*(1+Returns!H11)*(1+Returns!H12)-1</f>
        <v>-0.207058823529412</v>
      </c>
      <c r="I15" s="16" t="n">
        <f aca="false">(1+Returns!I7)*(1+Returns!I8)*(1+Returns!I9)*(1+Returns!I10)*(1+Returns!I11)*(1+Returns!I12)-1</f>
        <v>0.0944186046511628</v>
      </c>
      <c r="J15" s="16" t="n">
        <f aca="false">(1+Returns!J7)*(1+Returns!J8)*(1+Returns!J9)*(1+Returns!J10)*(1+Returns!J11)*(1+Returns!J12)-1</f>
        <v>-0.0242488759495405</v>
      </c>
    </row>
    <row r="16" customFormat="false" ht="15" hidden="false" customHeight="true" outlineLevel="0" collapsed="false">
      <c r="A16" s="1" t="n">
        <v>12</v>
      </c>
      <c r="B16" s="13" t="n">
        <f aca="false">Returns!A13</f>
        <v>42339</v>
      </c>
      <c r="C16" s="16" t="n">
        <f aca="false">(1+Returns!C8)*(1+Returns!C9)*(1+Returns!C10)*(1+Returns!C11)*(1+Returns!C12)*(1+Returns!C13)-1</f>
        <v>0.115723270440251</v>
      </c>
      <c r="D16" s="16" t="n">
        <f aca="false">(1+Returns!D8)*(1+Returns!D9)*(1+Returns!D10)*(1+Returns!D11)*(1+Returns!D12)*(1+Returns!D13)-1</f>
        <v>-0.0481355932203389</v>
      </c>
      <c r="E16" s="16" t="n">
        <f aca="false">(1+Returns!E8)*(1+Returns!E9)*(1+Returns!E10)*(1+Returns!E11)*(1+Returns!E12)*(1+Returns!E13)-1</f>
        <v>-0.123819095477387</v>
      </c>
      <c r="F16" s="16" t="n">
        <f aca="false">(1+Returns!F8)*(1+Returns!F9)*(1+Returns!F10)*(1+Returns!F11)*(1+Returns!F12)*(1+Returns!F13)-1</f>
        <v>-0.0479868687843973</v>
      </c>
      <c r="G16" s="16" t="n">
        <f aca="false">(1+Returns!G8)*(1+Returns!G9)*(1+Returns!G10)*(1+Returns!G11)*(1+Returns!G12)*(1+Returns!G13)-1</f>
        <v>-0.213333333333333</v>
      </c>
      <c r="H16" s="16" t="n">
        <f aca="false">(1+Returns!H8)*(1+Returns!H9)*(1+Returns!H10)*(1+Returns!H11)*(1+Returns!H12)*(1+Returns!H13)-1</f>
        <v>-0.168339768339768</v>
      </c>
      <c r="I16" s="16" t="n">
        <f aca="false">(1+Returns!I8)*(1+Returns!I9)*(1+Returns!I10)*(1+Returns!I11)*(1+Returns!I12)*(1+Returns!I13)-1</f>
        <v>0.482854494902688</v>
      </c>
      <c r="J16" s="16" t="n">
        <f aca="false">(1+Returns!J8)*(1+Returns!J9)*(1+Returns!J10)*(1+Returns!J11)*(1+Returns!J12)*(1+Returns!J13)-1</f>
        <v>-0.0460058850787498</v>
      </c>
    </row>
    <row r="17" customFormat="false" ht="15" hidden="false" customHeight="true" outlineLevel="0" collapsed="false">
      <c r="A17" s="1" t="n">
        <v>13</v>
      </c>
      <c r="B17" s="13" t="n">
        <f aca="false">Returns!A14</f>
        <v>42370</v>
      </c>
      <c r="C17" s="16" t="n">
        <f aca="false">(1+Returns!C9)*(1+Returns!C10)*(1+Returns!C11)*(1+Returns!C12)*(1+Returns!C13)*(1+Returns!C14)-1</f>
        <v>-0.0605272929818047</v>
      </c>
      <c r="D17" s="16" t="n">
        <f aca="false">(1+Returns!D9)*(1+Returns!D10)*(1+Returns!D11)*(1+Returns!D12)*(1+Returns!D13)*(1+Returns!D14)-1</f>
        <v>-0.14051724137931</v>
      </c>
      <c r="E17" s="16" t="n">
        <f aca="false">(1+Returns!E9)*(1+Returns!E10)*(1+Returns!E11)*(1+Returns!E12)*(1+Returns!E13)*(1+Returns!E14)-1</f>
        <v>-0.310714285714286</v>
      </c>
      <c r="F17" s="16" t="n">
        <f aca="false">(1+Returns!F9)*(1+Returns!F10)*(1+Returns!F11)*(1+Returns!F12)*(1+Returns!F13)*(1+Returns!F14)-1</f>
        <v>-0.130495049504951</v>
      </c>
      <c r="G17" s="16" t="n">
        <f aca="false">(1+Returns!G9)*(1+Returns!G10)*(1+Returns!G11)*(1+Returns!G12)*(1+Returns!G13)*(1+Returns!G14)-1</f>
        <v>-0.243583634011846</v>
      </c>
      <c r="H17" s="16" t="n">
        <f aca="false">(1+Returns!H9)*(1+Returns!H10)*(1+Returns!H11)*(1+Returns!H12)*(1+Returns!H13)*(1+Returns!H14)-1</f>
        <v>-0.268436578171092</v>
      </c>
      <c r="I17" s="16" t="n">
        <f aca="false">(1+Returns!I9)*(1+Returns!I10)*(1+Returns!I11)*(1+Returns!I12)*(1+Returns!I13)*(1+Returns!I14)-1</f>
        <v>0.373447015834349</v>
      </c>
      <c r="J17" s="16" t="n">
        <f aca="false">(1+Returns!J9)*(1+Returns!J10)*(1+Returns!J11)*(1+Returns!J12)*(1+Returns!J13)*(1+Returns!J14)-1</f>
        <v>-0.124306968478117</v>
      </c>
    </row>
    <row r="18" customFormat="false" ht="15" hidden="false" customHeight="true" outlineLevel="0" collapsed="false">
      <c r="A18" s="1" t="n">
        <v>14</v>
      </c>
      <c r="B18" s="13" t="n">
        <f aca="false">Returns!A15</f>
        <v>42401</v>
      </c>
      <c r="C18" s="16" t="n">
        <f aca="false">(1+Returns!C10)*(1+Returns!C11)*(1+Returns!C12)*(1+Returns!C13)*(1+Returns!C14)*(1+Returns!C15)-1</f>
        <v>-0.15632582322357</v>
      </c>
      <c r="D18" s="16" t="n">
        <f aca="false">(1+Returns!D10)*(1+Returns!D11)*(1+Returns!D12)*(1+Returns!D13)*(1+Returns!D14)*(1+Returns!D15)-1</f>
        <v>-0.208110095598277</v>
      </c>
      <c r="E18" s="16" t="n">
        <f aca="false">(1+Returns!E10)*(1+Returns!E11)*(1+Returns!E12)*(1+Returns!E13)*(1+Returns!E14)*(1+Returns!E15)-1</f>
        <v>-0.226877470355731</v>
      </c>
      <c r="F18" s="16" t="n">
        <f aca="false">(1+Returns!F10)*(1+Returns!F11)*(1+Returns!F12)*(1+Returns!F13)*(1+Returns!F14)*(1+Returns!F15)-1</f>
        <v>-0.0708333333333334</v>
      </c>
      <c r="G18" s="16" t="n">
        <f aca="false">(1+Returns!G10)*(1+Returns!G11)*(1+Returns!G12)*(1+Returns!G13)*(1+Returns!G14)*(1+Returns!G15)-1</f>
        <v>-0.210239255326885</v>
      </c>
      <c r="H18" s="16" t="n">
        <f aca="false">(1+Returns!H10)*(1+Returns!H11)*(1+Returns!H12)*(1+Returns!H13)*(1+Returns!H14)*(1+Returns!H15)-1</f>
        <v>-0.270579268292683</v>
      </c>
      <c r="I18" s="16" t="n">
        <f aca="false">(1+Returns!I10)*(1+Returns!I11)*(1+Returns!I12)*(1+Returns!I13)*(1+Returns!I14)*(1+Returns!I15)-1</f>
        <v>0.425361155698234</v>
      </c>
      <c r="J18" s="16" t="n">
        <f aca="false">(1+Returns!J10)*(1+Returns!J11)*(1+Returns!J12)*(1+Returns!J13)*(1+Returns!J14)*(1+Returns!J15)-1</f>
        <v>-0.0966696624567227</v>
      </c>
    </row>
    <row r="19" customFormat="false" ht="15" hidden="false" customHeight="true" outlineLevel="0" collapsed="false">
      <c r="A19" s="1" t="n">
        <v>15</v>
      </c>
      <c r="B19" s="13" t="n">
        <f aca="false">Returns!A16</f>
        <v>42430</v>
      </c>
      <c r="C19" s="16" t="n">
        <f aca="false">(1+Returns!C11)*(1+Returns!C12)*(1+Returns!C13)*(1+Returns!C14)*(1+Returns!C15)*(1+Returns!C16)-1</f>
        <v>-0.160192506015813</v>
      </c>
      <c r="D19" s="16" t="n">
        <f aca="false">(1+Returns!D11)*(1+Returns!D12)*(1+Returns!D13)*(1+Returns!D14)*(1+Returns!D15)*(1+Returns!D16)-1</f>
        <v>-0.224494356911387</v>
      </c>
      <c r="E19" s="16" t="n">
        <f aca="false">(1+Returns!E11)*(1+Returns!E12)*(1+Returns!E13)*(1+Returns!E14)*(1+Returns!E15)*(1+Returns!E16)-1</f>
        <v>-0.0964473684210528</v>
      </c>
      <c r="F19" s="16" t="n">
        <f aca="false">(1+Returns!F11)*(1+Returns!F12)*(1+Returns!F13)*(1+Returns!F14)*(1+Returns!F15)*(1+Returns!F16)-1</f>
        <v>0.0228571428571427</v>
      </c>
      <c r="G19" s="16" t="n">
        <f aca="false">(1+Returns!G11)*(1+Returns!G12)*(1+Returns!G13)*(1+Returns!G14)*(1+Returns!G15)*(1+Returns!G16)-1</f>
        <v>-0.144328238133548</v>
      </c>
      <c r="H19" s="16" t="n">
        <f aca="false">(1+Returns!H11)*(1+Returns!H12)*(1+Returns!H13)*(1+Returns!H14)*(1+Returns!H15)*(1+Returns!H16)-1</f>
        <v>-0.0461680517082178</v>
      </c>
      <c r="I19" s="16" t="n">
        <f aca="false">(1+Returns!I11)*(1+Returns!I12)*(1+Returns!I13)*(1+Returns!I14)*(1+Returns!I15)*(1+Returns!I16)-1</f>
        <v>0.92397137745975</v>
      </c>
      <c r="J19" s="16" t="n">
        <f aca="false">(1+Returns!J11)*(1+Returns!J12)*(1+Returns!J13)*(1+Returns!J14)*(1+Returns!J15)*(1+Returns!J16)-1</f>
        <v>0.0263752961293582</v>
      </c>
    </row>
    <row r="20" customFormat="false" ht="15" hidden="false" customHeight="true" outlineLevel="0" collapsed="false">
      <c r="A20" s="1" t="n">
        <v>16</v>
      </c>
      <c r="B20" s="13" t="n">
        <f aca="false">Returns!A17</f>
        <v>42461</v>
      </c>
      <c r="C20" s="16" t="n">
        <f aca="false">(1+Returns!C12)*(1+Returns!C13)*(1+Returns!C14)*(1+Returns!C15)*(1+Returns!C16)*(1+Returns!C17)-1</f>
        <v>-0.10948905109489</v>
      </c>
      <c r="D20" s="16" t="n">
        <f aca="false">(1+Returns!D12)*(1+Returns!D13)*(1+Returns!D14)*(1+Returns!D15)*(1+Returns!D16)*(1+Returns!D17)-1</f>
        <v>-0.237158469945355</v>
      </c>
      <c r="E20" s="16" t="n">
        <f aca="false">(1+Returns!E12)*(1+Returns!E13)*(1+Returns!E14)*(1+Returns!E15)*(1+Returns!E16)*(1+Returns!E17)-1</f>
        <v>-0.135387755102041</v>
      </c>
      <c r="F20" s="16" t="n">
        <f aca="false">(1+Returns!F12)*(1+Returns!F13)*(1+Returns!F14)*(1+Returns!F15)*(1+Returns!F16)*(1+Returns!F17)-1</f>
        <v>0.0234513930053348</v>
      </c>
      <c r="G20" s="16" t="n">
        <f aca="false">(1+Returns!G12)*(1+Returns!G13)*(1+Returns!G14)*(1+Returns!G15)*(1+Returns!G16)*(1+Returns!G17)-1</f>
        <v>-0.148687350835322</v>
      </c>
      <c r="H20" s="16" t="n">
        <f aca="false">(1+Returns!H12)*(1+Returns!H13)*(1+Returns!H14)*(1+Returns!H15)*(1+Returns!H16)*(1+Returns!H17)-1</f>
        <v>0.0214285714285716</v>
      </c>
      <c r="I20" s="16" t="n">
        <f aca="false">(1+Returns!I12)*(1+Returns!I13)*(1+Returns!I14)*(1+Returns!I15)*(1+Returns!I16)*(1+Returns!I17)-1</f>
        <v>0.798449612403101</v>
      </c>
      <c r="J20" s="16" t="n">
        <f aca="false">(1+Returns!J12)*(1+Returns!J13)*(1+Returns!J14)*(1+Returns!J15)*(1+Returns!J16)*(1+Returns!J17)-1</f>
        <v>0.013358687276718</v>
      </c>
    </row>
    <row r="21" customFormat="false" ht="15" hidden="false" customHeight="true" outlineLevel="0" collapsed="false">
      <c r="A21" s="1" t="n">
        <v>17</v>
      </c>
      <c r="B21" s="13" t="n">
        <f aca="false">Returns!A18</f>
        <v>42491</v>
      </c>
      <c r="C21" s="16" t="n">
        <f aca="false">(1+Returns!C13)*(1+Returns!C14)*(1+Returns!C15)*(1+Returns!C16)*(1+Returns!C17)*(1+Returns!C18)-1</f>
        <v>-0.0979073243647233</v>
      </c>
      <c r="D21" s="16" t="n">
        <f aca="false">(1+Returns!D13)*(1+Returns!D14)*(1+Returns!D15)*(1+Returns!D16)*(1+Returns!D17)*(1+Returns!D18)-1</f>
        <v>-0.140368098159509</v>
      </c>
      <c r="E21" s="16" t="n">
        <f aca="false">(1+Returns!E13)*(1+Returns!E14)*(1+Returns!E15)*(1+Returns!E16)*(1+Returns!E17)*(1+Returns!E18)-1</f>
        <v>0.0139603232916969</v>
      </c>
      <c r="F21" s="16" t="n">
        <f aca="false">(1+Returns!F13)*(1+Returns!F14)*(1+Returns!F15)*(1+Returns!F16)*(1+Returns!F17)*(1+Returns!F18)-1</f>
        <v>0.236212278876171</v>
      </c>
      <c r="G21" s="16" t="n">
        <f aca="false">(1+Returns!G13)*(1+Returns!G14)*(1+Returns!G15)*(1+Returns!G16)*(1+Returns!G17)*(1+Returns!G18)-1</f>
        <v>-0.0540540540540542</v>
      </c>
      <c r="H21" s="16" t="n">
        <f aca="false">(1+Returns!H13)*(1+Returns!H14)*(1+Returns!H15)*(1+Returns!H16)*(1+Returns!H17)*(1+Returns!H18)-1</f>
        <v>0.0435212660731952</v>
      </c>
      <c r="I21" s="16" t="n">
        <f aca="false">(1+Returns!I13)*(1+Returns!I14)*(1+Returns!I15)*(1+Returns!I16)*(1+Returns!I17)*(1+Returns!I18)-1</f>
        <v>0.717169570760731</v>
      </c>
      <c r="J21" s="16" t="n">
        <f aca="false">(1+Returns!J13)*(1+Returns!J14)*(1+Returns!J15)*(1+Returns!J16)*(1+Returns!J17)*(1+Returns!J18)-1</f>
        <v>0.11800763907835</v>
      </c>
    </row>
    <row r="22" customFormat="false" ht="15" hidden="false" customHeight="true" outlineLevel="0" collapsed="false">
      <c r="A22" s="1" t="n">
        <v>18</v>
      </c>
      <c r="B22" s="13" t="n">
        <f aca="false">Returns!A19</f>
        <v>42522</v>
      </c>
      <c r="C22" s="16" t="n">
        <f aca="false">(1+Returns!C14)*(1+Returns!C15)*(1+Returns!C16)*(1+Returns!C17)*(1+Returns!C18)*(1+Returns!C19)-1</f>
        <v>-0.0710259301014655</v>
      </c>
      <c r="D22" s="16" t="n">
        <f aca="false">(1+Returns!D14)*(1+Returns!D15)*(1+Returns!D16)*(1+Returns!D17)*(1+Returns!D18)*(1+Returns!D19)-1</f>
        <v>-0.234330484330484</v>
      </c>
      <c r="E22" s="16" t="n">
        <f aca="false">(1+Returns!E14)*(1+Returns!E15)*(1+Returns!E16)*(1+Returns!E17)*(1+Returns!E18)*(1+Returns!E19)-1</f>
        <v>0.00123881624225741</v>
      </c>
      <c r="F22" s="16" t="n">
        <f aca="false">(1+Returns!F14)*(1+Returns!F15)*(1+Returns!F16)*(1+Returns!F17)*(1+Returns!F18)*(1+Returns!F19)-1</f>
        <v>0.31237322515213</v>
      </c>
      <c r="G22" s="16" t="n">
        <f aca="false">(1+Returns!G14)*(1+Returns!G15)*(1+Returns!G16)*(1+Returns!G17)*(1+Returns!G18)*(1+Returns!G19)-1</f>
        <v>-0.0254237288135595</v>
      </c>
      <c r="H22" s="16" t="n">
        <f aca="false">(1+Returns!H14)*(1+Returns!H15)*(1+Returns!H16)*(1+Returns!H17)*(1+Returns!H18)*(1+Returns!H19)-1</f>
        <v>-0.0241411327762302</v>
      </c>
      <c r="I22" s="16" t="n">
        <f aca="false">(1+Returns!I14)*(1+Returns!I15)*(1+Returns!I16)*(1+Returns!I17)*(1+Returns!I18)*(1+Returns!I19)-1</f>
        <v>0.3</v>
      </c>
      <c r="J22" s="16" t="n">
        <f aca="false">(1+Returns!J14)*(1+Returns!J15)*(1+Returns!J16)*(1+Returns!J17)*(1+Returns!J18)*(1+Returns!J19)-1</f>
        <v>0.151364672018274</v>
      </c>
    </row>
    <row r="23" customFormat="false" ht="15" hidden="false" customHeight="true" outlineLevel="0" collapsed="false">
      <c r="A23" s="1" t="n">
        <v>19</v>
      </c>
      <c r="B23" s="13" t="n">
        <f aca="false">Returns!A20</f>
        <v>42552</v>
      </c>
      <c r="C23" s="16" t="n">
        <f aca="false">(1+Returns!C15)*(1+Returns!C16)*(1+Returns!C17)*(1+Returns!C18)*(1+Returns!C19)*(1+Returns!C20)-1</f>
        <v>0.0806324110671939</v>
      </c>
      <c r="D23" s="16" t="n">
        <f aca="false">(1+Returns!D15)*(1+Returns!D16)*(1+Returns!D17)*(1+Returns!D18)*(1+Returns!D19)*(1+Returns!D20)-1</f>
        <v>-0.139919759277834</v>
      </c>
      <c r="E23" s="16" t="n">
        <f aca="false">(1+Returns!E15)*(1+Returns!E16)*(1+Returns!E17)*(1+Returns!E18)*(1+Returns!E19)*(1+Returns!E20)-1</f>
        <v>0.139948186528497</v>
      </c>
      <c r="F23" s="16" t="n">
        <f aca="false">(1+Returns!F15)*(1+Returns!F16)*(1+Returns!F17)*(1+Returns!F18)*(1+Returns!F19)*(1+Returns!F20)-1</f>
        <v>0.535164903418149</v>
      </c>
      <c r="G23" s="16" t="n">
        <f aca="false">(1+Returns!G15)*(1+Returns!G16)*(1+Returns!G17)*(1+Returns!G18)*(1+Returns!G19)*(1+Returns!G20)-1</f>
        <v>0.0242102421024211</v>
      </c>
      <c r="H23" s="16" t="n">
        <f aca="false">(1+Returns!H15)*(1+Returns!H16)*(1+Returns!H17)*(1+Returns!H18)*(1+Returns!H19)*(1+Returns!H20)-1</f>
        <v>0.118951612903226</v>
      </c>
      <c r="I23" s="16" t="n">
        <f aca="false">(1+Returns!I15)*(1+Returns!I16)*(1+Returns!I17)*(1+Returns!I18)*(1+Returns!I19)*(1+Returns!I20)-1</f>
        <v>0.583185526782547</v>
      </c>
      <c r="J23" s="16" t="n">
        <f aca="false">(1+Returns!J15)*(1+Returns!J16)*(1+Returns!J17)*(1+Returns!J18)*(1+Returns!J19)*(1+Returns!J20)-1</f>
        <v>0.262205977264159</v>
      </c>
    </row>
    <row r="24" customFormat="false" ht="15" hidden="false" customHeight="true" outlineLevel="0" collapsed="false">
      <c r="A24" s="1" t="n">
        <v>20</v>
      </c>
      <c r="B24" s="13" t="n">
        <f aca="false">Returns!A21</f>
        <v>42583</v>
      </c>
      <c r="C24" s="16" t="n">
        <f aca="false">(1+Returns!C16)*(1+Returns!C17)*(1+Returns!C18)*(1+Returns!C19)*(1+Returns!C20)*(1+Returns!C21)-1</f>
        <v>0.267050123253903</v>
      </c>
      <c r="D24" s="16" t="n">
        <f aca="false">(1+Returns!D16)*(1+Returns!D17)*(1+Returns!D18)*(1+Returns!D19)*(1+Returns!D20)*(1+Returns!D21)-1</f>
        <v>-0.104271690103476</v>
      </c>
      <c r="E24" s="16" t="n">
        <f aca="false">(1+Returns!E16)*(1+Returns!E17)*(1+Returns!E18)*(1+Returns!E19)*(1+Returns!E20)*(1+Returns!E21)-1</f>
        <v>0.0697852760736195</v>
      </c>
      <c r="F24" s="16" t="n">
        <f aca="false">(1+Returns!F16)*(1+Returns!F17)*(1+Returns!F18)*(1+Returns!F19)*(1+Returns!F20)*(1+Returns!F21)-1</f>
        <v>0.413575214023645</v>
      </c>
      <c r="G24" s="16" t="n">
        <f aca="false">(1+Returns!G16)*(1+Returns!G17)*(1+Returns!G18)*(1+Returns!G19)*(1+Returns!G20)*(1+Returns!G21)-1</f>
        <v>0.0208103130755066</v>
      </c>
      <c r="H24" s="16" t="n">
        <f aca="false">(1+Returns!H16)*(1+Returns!H17)*(1+Returns!H18)*(1+Returns!H19)*(1+Returns!H20)*(1+Returns!H21)-1</f>
        <v>0.315569487983281</v>
      </c>
      <c r="I24" s="16" t="n">
        <f aca="false">(1+Returns!I16)*(1+Returns!I17)*(1+Returns!I18)*(1+Returns!I19)*(1+Returns!I20)*(1+Returns!I21)-1</f>
        <v>0.663100600600601</v>
      </c>
      <c r="J24" s="16" t="n">
        <f aca="false">(1+Returns!J16)*(1+Returns!J17)*(1+Returns!J18)*(1+Returns!J19)*(1+Returns!J20)*(1+Returns!J21)-1</f>
        <v>0.269053294106284</v>
      </c>
    </row>
    <row r="25" customFormat="false" ht="15" hidden="false" customHeight="true" outlineLevel="0" collapsed="false">
      <c r="A25" s="1" t="n">
        <v>21</v>
      </c>
      <c r="B25" s="13" t="n">
        <f aca="false">Returns!A22</f>
        <v>42614</v>
      </c>
      <c r="C25" s="16" t="n">
        <f aca="false">(1+Returns!C17)*(1+Returns!C18)*(1+Returns!C19)*(1+Returns!C20)*(1+Returns!C21)*(1+Returns!C22)-1</f>
        <v>0.30945558739255</v>
      </c>
      <c r="D25" s="16" t="n">
        <f aca="false">(1+Returns!D17)*(1+Returns!D18)*(1+Returns!D19)*(1+Returns!D20)*(1+Returns!D21)*(1+Returns!D22)-1</f>
        <v>-0.113544668587896</v>
      </c>
      <c r="E25" s="16" t="n">
        <f aca="false">(1+Returns!E17)*(1+Returns!E18)*(1+Returns!E19)*(1+Returns!E20)*(1+Returns!E21)*(1+Returns!E22)-1</f>
        <v>0.0703363914373087</v>
      </c>
      <c r="F25" s="16" t="n">
        <f aca="false">(1+Returns!F17)*(1+Returns!F18)*(1+Returns!F19)*(1+Returns!F20)*(1+Returns!F21)*(1+Returns!F22)-1</f>
        <v>0.260707635009311</v>
      </c>
      <c r="G25" s="16" t="n">
        <f aca="false">(1+Returns!G17)*(1+Returns!G18)*(1+Returns!G19)*(1+Returns!G20)*(1+Returns!G21)*(1+Returns!G22)-1</f>
        <v>-0.0231289958631064</v>
      </c>
      <c r="H25" s="16" t="n">
        <f aca="false">(1+Returns!H17)*(1+Returns!H18)*(1+Returns!H19)*(1+Returns!H20)*(1+Returns!H21)*(1+Returns!H22)-1</f>
        <v>0.889641819941917</v>
      </c>
      <c r="I25" s="16" t="n">
        <f aca="false">(1+Returns!I17)*(1+Returns!I18)*(1+Returns!I19)*(1+Returns!I20)*(1+Returns!I21)*(1+Returns!I22)-1</f>
        <v>0.353943902061057</v>
      </c>
      <c r="J25" s="16" t="n">
        <f aca="false">(1+Returns!J17)*(1+Returns!J18)*(1+Returns!J19)*(1+Returns!J20)*(1+Returns!J21)*(1+Returns!J22)-1</f>
        <v>0.223386644135309</v>
      </c>
    </row>
    <row r="26" customFormat="false" ht="15" hidden="false" customHeight="true" outlineLevel="0" collapsed="false">
      <c r="A26" s="1" t="n">
        <v>22</v>
      </c>
      <c r="B26" s="13" t="n">
        <f aca="false">Returns!A23</f>
        <v>42644</v>
      </c>
      <c r="C26" s="16" t="n">
        <f aca="false">(1+Returns!C18)*(1+Returns!C19)*(1+Returns!C20)*(1+Returns!C21)*(1+Returns!C22)*(1+Returns!C23)-1</f>
        <v>0.247950819672131</v>
      </c>
      <c r="D26" s="16" t="n">
        <f aca="false">(1+Returns!D18)*(1+Returns!D19)*(1+Returns!D20)*(1+Returns!D21)*(1+Returns!D22)*(1+Returns!D23)-1</f>
        <v>-0.0909742120343839</v>
      </c>
      <c r="E26" s="16" t="n">
        <f aca="false">(1+Returns!E18)*(1+Returns!E19)*(1+Returns!E20)*(1+Returns!E21)*(1+Returns!E22)*(1+Returns!E23)-1</f>
        <v>0.0126044469621864</v>
      </c>
      <c r="F26" s="16" t="n">
        <f aca="false">(1+Returns!F18)*(1+Returns!F19)*(1+Returns!F20)*(1+Returns!F21)*(1+Returns!F22)*(1+Returns!F23)-1</f>
        <v>0.218099547511312</v>
      </c>
      <c r="G26" s="16" t="n">
        <f aca="false">(1+Returns!G18)*(1+Returns!G19)*(1+Returns!G20)*(1+Returns!G21)*(1+Returns!G22)*(1+Returns!G23)-1</f>
        <v>-0.0234557517988971</v>
      </c>
      <c r="H26" s="16" t="n">
        <f aca="false">(1+Returns!H18)*(1+Returns!H19)*(1+Returns!H20)*(1+Returns!H21)*(1+Returns!H22)*(1+Returns!H23)-1</f>
        <v>1.10839160839161</v>
      </c>
      <c r="I26" s="16" t="n">
        <f aca="false">(1+Returns!I18)*(1+Returns!I19)*(1+Returns!I20)*(1+Returns!I21)*(1+Returns!I22)*(1+Returns!I23)-1</f>
        <v>0.294252873563219</v>
      </c>
      <c r="J26" s="16" t="n">
        <f aca="false">(1+Returns!J18)*(1+Returns!J19)*(1+Returns!J20)*(1+Returns!J21)*(1+Returns!J22)*(1+Returns!J23)-1</f>
        <v>0.149039626098345</v>
      </c>
    </row>
    <row r="27" customFormat="false" ht="15" hidden="false" customHeight="true" outlineLevel="0" collapsed="false">
      <c r="A27" s="1" t="n">
        <v>23</v>
      </c>
      <c r="B27" s="13" t="n">
        <f aca="false">Returns!A24</f>
        <v>42675</v>
      </c>
      <c r="C27" s="16" t="n">
        <f aca="false">(1+Returns!C19)*(1+Returns!C20)*(1+Returns!C21)*(1+Returns!C22)*(1+Returns!C23)*(1+Returns!C24)-1</f>
        <v>0.379453189726594</v>
      </c>
      <c r="D27" s="16" t="n">
        <f aca="false">(1+Returns!D19)*(1+Returns!D20)*(1+Returns!D21)*(1+Returns!D22)*(1+Returns!D23)*(1+Returns!D24)-1</f>
        <v>-0.0799314872966028</v>
      </c>
      <c r="E27" s="16" t="n">
        <f aca="false">(1+Returns!E19)*(1+Returns!E20)*(1+Returns!E21)*(1+Returns!E22)*(1+Returns!E23)*(1+Returns!E24)-1</f>
        <v>0.07487922705314</v>
      </c>
      <c r="F27" s="16" t="n">
        <f aca="false">(1+Returns!F19)*(1+Returns!F20)*(1+Returns!F21)*(1+Returns!F22)*(1+Returns!F23)*(1+Returns!F24)-1</f>
        <v>0.234006734006734</v>
      </c>
      <c r="G27" s="16" t="n">
        <f aca="false">(1+Returns!G19)*(1+Returns!G20)*(1+Returns!G21)*(1+Returns!G22)*(1+Returns!G23)*(1+Returns!G24)-1</f>
        <v>-0.0760439560439561</v>
      </c>
      <c r="H27" s="16" t="n">
        <f aca="false">(1+Returns!H19)*(1+Returns!H20)*(1+Returns!H21)*(1+Returns!H22)*(1+Returns!H23)*(1+Returns!H24)-1</f>
        <v>2.21611374407583</v>
      </c>
      <c r="I27" s="16" t="n">
        <f aca="false">(1+Returns!I19)*(1+Returns!I20)*(1+Returns!I21)*(1+Returns!I22)*(1+Returns!I23)*(1+Returns!I24)-1</f>
        <v>0.187476797426061</v>
      </c>
      <c r="J27" s="16" t="n">
        <f aca="false">(1+Returns!J19)*(1+Returns!J20)*(1+Returns!J21)*(1+Returns!J22)*(1+Returns!J23)*(1+Returns!J24)-1</f>
        <v>0.181933615739308</v>
      </c>
    </row>
    <row r="28" customFormat="false" ht="15" hidden="false" customHeight="true" outlineLevel="0" collapsed="false">
      <c r="A28" s="1" t="n">
        <v>24</v>
      </c>
      <c r="B28" s="13" t="n">
        <f aca="false">Returns!A25</f>
        <v>42705</v>
      </c>
      <c r="C28" s="16" t="n">
        <f aca="false">(1+Returns!C20)*(1+Returns!C21)*(1+Returns!C22)*(1+Returns!C23)*(1+Returns!C24)*(1+Returns!C25)-1</f>
        <v>0.577265372168285</v>
      </c>
      <c r="D28" s="16" t="n">
        <f aca="false">(1+Returns!D20)*(1+Returns!D21)*(1+Returns!D22)*(1+Returns!D23)*(1+Returns!D24)*(1+Returns!D25)-1</f>
        <v>0.054263565891473</v>
      </c>
      <c r="E28" s="16" t="n">
        <f aca="false">(1+Returns!E20)*(1+Returns!E21)*(1+Returns!E22)*(1+Returns!E23)*(1+Returns!E24)*(1+Returns!E25)-1</f>
        <v>0.091146549353863</v>
      </c>
      <c r="F28" s="16" t="n">
        <f aca="false">(1+Returns!F20)*(1+Returns!F21)*(1+Returns!F22)*(1+Returns!F23)*(1+Returns!F24)*(1+Returns!F25)-1</f>
        <v>0.335239567233385</v>
      </c>
      <c r="G28" s="16" t="n">
        <f aca="false">(1+Returns!G20)*(1+Returns!G21)*(1+Returns!G22)*(1+Returns!G23)*(1+Returns!G24)*(1+Returns!G25)-1</f>
        <v>-0.0921739130434782</v>
      </c>
      <c r="H28" s="16" t="n">
        <f aca="false">(1+Returns!H20)*(1+Returns!H21)*(1+Returns!H22)*(1+Returns!H23)*(1+Returns!H24)*(1+Returns!H25)-1</f>
        <v>2.05708848715509</v>
      </c>
      <c r="I28" s="16" t="n">
        <f aca="false">(1+Returns!I20)*(1+Returns!I21)*(1+Returns!I22)*(1+Returns!I23)*(1+Returns!I24)*(1+Returns!I25)-1</f>
        <v>0.531971153846154</v>
      </c>
      <c r="J28" s="16" t="n">
        <f aca="false">(1+Returns!J20)*(1+Returns!J21)*(1+Returns!J22)*(1+Returns!J23)*(1+Returns!J24)*(1+Returns!J25)-1</f>
        <v>0.265285624375059</v>
      </c>
    </row>
    <row r="29" customFormat="false" ht="15" hidden="false" customHeight="true" outlineLevel="0" collapsed="false">
      <c r="A29" s="1" t="n">
        <v>25</v>
      </c>
      <c r="B29" s="13" t="n">
        <f aca="false">Returns!A26</f>
        <v>42736</v>
      </c>
      <c r="C29" s="16" t="n">
        <f aca="false">(1+Returns!C21)*(1+Returns!C22)*(1+Returns!C23)*(1+Returns!C24)*(1+Returns!C25)*(1+Returns!C26)-1</f>
        <v>0.402706656912948</v>
      </c>
      <c r="D29" s="16" t="n">
        <f aca="false">(1+Returns!D21)*(1+Returns!D22)*(1+Returns!D23)*(1+Returns!D24)*(1+Returns!D25)*(1+Returns!D26)-1</f>
        <v>0.04198250728863</v>
      </c>
      <c r="E29" s="16" t="n">
        <f aca="false">(1+Returns!E21)*(1+Returns!E22)*(1+Returns!E23)*(1+Returns!E24)*(1+Returns!E25)*(1+Returns!E26)-1</f>
        <v>0.10681332666697</v>
      </c>
      <c r="F29" s="16" t="n">
        <f aca="false">(1+Returns!F21)*(1+Returns!F22)*(1+Returns!F23)*(1+Returns!F24)*(1+Returns!F25)*(1+Returns!F26)-1</f>
        <v>0.132703978422117</v>
      </c>
      <c r="G29" s="16" t="n">
        <f aca="false">(1+Returns!G21)*(1+Returns!G22)*(1+Returns!G23)*(1+Returns!G24)*(1+Returns!G25)*(1+Returns!G26)-1</f>
        <v>0.0176625659050966</v>
      </c>
      <c r="H29" s="16" t="n">
        <f aca="false">(1+Returns!H21)*(1+Returns!H22)*(1+Returns!H23)*(1+Returns!H24)*(1+Returns!H25)*(1+Returns!H26)-1</f>
        <v>1.8009009009009</v>
      </c>
      <c r="I29" s="16" t="n">
        <f aca="false">(1+Returns!I21)*(1+Returns!I22)*(1+Returns!I23)*(1+Returns!I24)*(1+Returns!I25)*(1+Returns!I26)-1</f>
        <v>0.32758234371499</v>
      </c>
      <c r="J29" s="16" t="n">
        <f aca="false">(1+Returns!J21)*(1+Returns!J22)*(1+Returns!J23)*(1+Returns!J24)*(1+Returns!J25)*(1+Returns!J26)-1</f>
        <v>0.234206414939978</v>
      </c>
    </row>
    <row r="30" customFormat="false" ht="15" hidden="false" customHeight="true" outlineLevel="0" collapsed="false">
      <c r="A30" s="1" t="n">
        <v>26</v>
      </c>
      <c r="B30" s="13" t="n">
        <f aca="false">Returns!A27</f>
        <v>42767</v>
      </c>
      <c r="C30" s="16" t="n">
        <f aca="false">(1+Returns!C22)*(1+Returns!C23)*(1+Returns!C24)*(1+Returns!C25)*(1+Returns!C26)*(1+Returns!C27)-1</f>
        <v>0.205252918287938</v>
      </c>
      <c r="D30" s="16" t="n">
        <f aca="false">(1+Returns!D22)*(1+Returns!D23)*(1+Returns!D24)*(1+Returns!D25)*(1+Returns!D26)*(1+Returns!D27)-1</f>
        <v>0.00710900473933651</v>
      </c>
      <c r="E30" s="16" t="n">
        <f aca="false">(1+Returns!E22)*(1+Returns!E23)*(1+Returns!E24)*(1+Returns!E25)*(1+Returns!E26)*(1+Returns!E27)-1</f>
        <v>0.0858303464755079</v>
      </c>
      <c r="F30" s="16" t="n">
        <f aca="false">(1+Returns!F22)*(1+Returns!F23)*(1+Returns!F24)*(1+Returns!F25)*(1+Returns!F26)*(1+Returns!F27)-1</f>
        <v>0.255948089401586</v>
      </c>
      <c r="G30" s="16" t="n">
        <f aca="false">(1+Returns!G22)*(1+Returns!G23)*(1+Returns!G24)*(1+Returns!G25)*(1+Returns!G26)*(1+Returns!G27)-1</f>
        <v>-0.0257983041674184</v>
      </c>
      <c r="H30" s="16" t="n">
        <f aca="false">(1+Returns!H22)*(1+Returns!H23)*(1+Returns!H24)*(1+Returns!H25)*(1+Returns!H26)*(1+Returns!H27)-1</f>
        <v>1.40349483717236</v>
      </c>
      <c r="I30" s="16" t="n">
        <f aca="false">(1+Returns!I22)*(1+Returns!I23)*(1+Returns!I24)*(1+Returns!I25)*(1+Returns!I26)*(1+Returns!I27)-1</f>
        <v>0.388669450400632</v>
      </c>
      <c r="J30" s="16" t="n">
        <f aca="false">(1+Returns!J22)*(1+Returns!J23)*(1+Returns!J24)*(1+Returns!J25)*(1+Returns!J26)*(1+Returns!J27)-1</f>
        <v>0.219159559081005</v>
      </c>
    </row>
    <row r="31" customFormat="false" ht="15" hidden="false" customHeight="true" outlineLevel="0" collapsed="false">
      <c r="A31" s="1" t="n">
        <v>27</v>
      </c>
      <c r="B31" s="13" t="n">
        <f aca="false">Returns!A28</f>
        <v>42795</v>
      </c>
      <c r="C31" s="16" t="n">
        <f aca="false">(1+Returns!C23)*(1+Returns!C24)*(1+Returns!C25)*(1+Returns!C26)*(1+Returns!C27)*(1+Returns!C28)-1</f>
        <v>0.300093779306033</v>
      </c>
      <c r="D31" s="16" t="n">
        <f aca="false">(1+Returns!D23)*(1+Returns!D24)*(1+Returns!D25)*(1+Returns!D26)*(1+Returns!D27)*(1+Returns!D28)-1</f>
        <v>0.0169050715214563</v>
      </c>
      <c r="E31" s="16" t="n">
        <f aca="false">(1+Returns!E23)*(1+Returns!E24)*(1+Returns!E25)*(1+Returns!E26)*(1+Returns!E27)*(1+Returns!E28)-1</f>
        <v>0.0340136054421771</v>
      </c>
      <c r="F31" s="16" t="n">
        <f aca="false">(1+Returns!F23)*(1+Returns!F24)*(1+Returns!F25)*(1+Returns!F26)*(1+Returns!F27)*(1+Returns!F28)-1</f>
        <v>0.23341211225997</v>
      </c>
      <c r="G31" s="16" t="n">
        <f aca="false">(1+Returns!G23)*(1+Returns!G24)*(1+Returns!G25)*(1+Returns!G26)*(1+Returns!G27)*(1+Returns!G28)-1</f>
        <v>0</v>
      </c>
      <c r="H31" s="16" t="n">
        <f aca="false">(1+Returns!H23)*(1+Returns!H24)*(1+Returns!H25)*(1+Returns!H26)*(1+Returns!H27)*(1+Returns!H28)-1</f>
        <v>0.594262295081967</v>
      </c>
      <c r="I31" s="16" t="n">
        <f aca="false">(1+Returns!I23)*(1+Returns!I24)*(1+Returns!I25)*(1+Returns!I26)*(1+Returns!I27)*(1+Returns!I28)-1</f>
        <v>0.59803136087902</v>
      </c>
      <c r="J31" s="16" t="n">
        <f aca="false">(1+Returns!J23)*(1+Returns!J24)*(1+Returns!J25)*(1+Returns!J26)*(1+Returns!J27)*(1+Returns!J28)-1</f>
        <v>0.187809079071704</v>
      </c>
    </row>
    <row r="32" customFormat="false" ht="15" hidden="false" customHeight="true" outlineLevel="0" collapsed="false">
      <c r="A32" s="1" t="n">
        <v>28</v>
      </c>
      <c r="B32" s="13" t="n">
        <f aca="false">Returns!A29</f>
        <v>42826</v>
      </c>
      <c r="C32" s="16" t="n">
        <f aca="false">(1+Returns!C24)*(1+Returns!C25)*(1+Returns!C26)*(1+Returns!C27)*(1+Returns!C28)*(1+Returns!C29)-1</f>
        <v>0.528407224958949</v>
      </c>
      <c r="D32" s="16" t="n">
        <f aca="false">(1+Returns!D24)*(1+Returns!D25)*(1+Returns!D26)*(1+Returns!D27)*(1+Returns!D28)*(1+Returns!D29)-1</f>
        <v>-0.0677698975571316</v>
      </c>
      <c r="E32" s="16" t="n">
        <f aca="false">(1+Returns!E24)*(1+Returns!E25)*(1+Returns!E26)*(1+Returns!E27)*(1+Returns!E28)*(1+Returns!E29)-1</f>
        <v>0.00699300699300709</v>
      </c>
      <c r="F32" s="16" t="n">
        <f aca="false">(1+Returns!F24)*(1+Returns!F25)*(1+Returns!F26)*(1+Returns!F27)*(1+Returns!F28)*(1+Returns!F29)-1</f>
        <v>0.315007429420505</v>
      </c>
      <c r="G32" s="16" t="n">
        <f aca="false">(1+Returns!G24)*(1+Returns!G25)*(1+Returns!G26)*(1+Returns!G27)*(1+Returns!G28)*(1+Returns!G29)-1</f>
        <v>-0.0813397129186604</v>
      </c>
      <c r="H32" s="16" t="n">
        <f aca="false">(1+Returns!H24)*(1+Returns!H25)*(1+Returns!H26)*(1+Returns!H27)*(1+Returns!H28)*(1+Returns!H29)-1</f>
        <v>0.65547263681592</v>
      </c>
      <c r="I32" s="16" t="n">
        <f aca="false">(1+Returns!I24)*(1+Returns!I25)*(1+Returns!I26)*(1+Returns!I27)*(1+Returns!I28)*(1+Returns!I29)-1</f>
        <v>0.610679396092362</v>
      </c>
      <c r="J32" s="16" t="n">
        <f aca="false">(1+Returns!J24)*(1+Returns!J25)*(1+Returns!J26)*(1+Returns!J27)*(1+Returns!J28)*(1+Returns!J29)-1</f>
        <v>0.23580231935557</v>
      </c>
    </row>
    <row r="33" customFormat="false" ht="15" hidden="false" customHeight="true" outlineLevel="0" collapsed="false">
      <c r="A33" s="1" t="n">
        <v>29</v>
      </c>
      <c r="B33" s="13" t="n">
        <f aca="false">Returns!A30</f>
        <v>42856</v>
      </c>
      <c r="C33" s="16" t="n">
        <f aca="false">(1+Returns!C25)*(1+Returns!C26)*(1+Returns!C27)*(1+Returns!C28)*(1+Returns!C29)*(1+Returns!C30)-1</f>
        <v>0.449849849849851</v>
      </c>
      <c r="D33" s="16" t="n">
        <f aca="false">(1+Returns!D25)*(1+Returns!D26)*(1+Returns!D27)*(1+Returns!D28)*(1+Returns!D29)*(1+Returns!D30)-1</f>
        <v>-0.0567793980763265</v>
      </c>
      <c r="E33" s="16" t="n">
        <f aca="false">(1+Returns!E25)*(1+Returns!E26)*(1+Returns!E27)*(1+Returns!E28)*(1+Returns!E29)*(1+Returns!E30)-1</f>
        <v>-0.00988764044943824</v>
      </c>
      <c r="F33" s="16" t="n">
        <f aca="false">(1+Returns!F25)*(1+Returns!F26)*(1+Returns!F27)*(1+Returns!F28)*(1+Returns!F29)*(1+Returns!F30)-1</f>
        <v>0.172196452933151</v>
      </c>
      <c r="G33" s="16" t="n">
        <f aca="false">(1+Returns!G25)*(1+Returns!G26)*(1+Returns!G27)*(1+Returns!G28)*(1+Returns!G29)*(1+Returns!G30)-1</f>
        <v>-0.0839200761179828</v>
      </c>
      <c r="H33" s="16" t="n">
        <f aca="false">(1+Returns!H25)*(1+Returns!H26)*(1+Returns!H27)*(1+Returns!H28)*(1+Returns!H29)*(1+Returns!H30)-1</f>
        <v>1.02681992337165</v>
      </c>
      <c r="I33" s="16" t="n">
        <f aca="false">(1+Returns!I25)*(1+Returns!I26)*(1+Returns!I27)*(1+Returns!I28)*(1+Returns!I29)*(1+Returns!I30)-1</f>
        <v>0.617444768653606</v>
      </c>
      <c r="J33" s="16" t="n">
        <f aca="false">(1+Returns!J25)*(1+Returns!J26)*(1+Returns!J27)*(1+Returns!J28)*(1+Returns!J29)*(1+Returns!J30)-1</f>
        <v>0.186972240164027</v>
      </c>
    </row>
    <row r="34" customFormat="false" ht="15" hidden="false" customHeight="true" outlineLevel="0" collapsed="false">
      <c r="A34" s="1" t="n">
        <v>30</v>
      </c>
      <c r="B34" s="13" t="n">
        <f aca="false">Returns!A31</f>
        <v>42887</v>
      </c>
      <c r="C34" s="16" t="n">
        <f aca="false">(1+Returns!C26)*(1+Returns!C27)*(1+Returns!C28)*(1+Returns!C29)*(1+Returns!C30)*(1+Returns!C31)-1</f>
        <v>0.178763785586048</v>
      </c>
      <c r="D34" s="16" t="n">
        <f aca="false">(1+Returns!D26)*(1+Returns!D27)*(1+Returns!D28)*(1+Returns!D29)*(1+Returns!D30)*(1+Returns!D31)-1</f>
        <v>-0.188970588235294</v>
      </c>
      <c r="E34" s="16" t="n">
        <f aca="false">(1+Returns!E26)*(1+Returns!E27)*(1+Returns!E28)*(1+Returns!E29)*(1+Returns!E30)*(1+Returns!E31)-1</f>
        <v>-0.114904875897694</v>
      </c>
      <c r="F34" s="16" t="n">
        <f aca="false">(1+Returns!F26)*(1+Returns!F27)*(1+Returns!F28)*(1+Returns!F29)*(1+Returns!F30)*(1+Returns!F31)-1</f>
        <v>-0.0265076976501911</v>
      </c>
      <c r="G34" s="16" t="n">
        <f aca="false">(1+Returns!G26)*(1+Returns!G27)*(1+Returns!G28)*(1+Returns!G29)*(1+Returns!G30)*(1+Returns!G31)-1</f>
        <v>-0.209770114942529</v>
      </c>
      <c r="H34" s="16" t="n">
        <f aca="false">(1+Returns!H26)*(1+Returns!H27)*(1+Returns!H28)*(1+Returns!H29)*(1+Returns!H30)*(1+Returns!H31)-1</f>
        <v>1.86834733893557</v>
      </c>
      <c r="I34" s="16" t="n">
        <f aca="false">(1+Returns!I26)*(1+Returns!I27)*(1+Returns!I28)*(1+Returns!I29)*(1+Returns!I30)*(1+Returns!I31)-1</f>
        <v>0.134708928291229</v>
      </c>
      <c r="J34" s="16" t="n">
        <f aca="false">(1+Returns!J26)*(1+Returns!J27)*(1+Returns!J28)*(1+Returns!J29)*(1+Returns!J30)*(1+Returns!J31)-1</f>
        <v>-0.0259727817931151</v>
      </c>
    </row>
    <row r="35" customFormat="false" ht="15" hidden="false" customHeight="true" outlineLevel="0" collapsed="false">
      <c r="A35" s="1" t="n">
        <v>31</v>
      </c>
      <c r="B35" s="13" t="n">
        <f aca="false">Returns!A32</f>
        <v>42917</v>
      </c>
      <c r="C35" s="16" t="n">
        <f aca="false">(1+Returns!C27)*(1+Returns!C28)*(1+Returns!C29)*(1+Returns!C30)*(1+Returns!C31)*(1+Returns!C32)-1</f>
        <v>0.213559322033898</v>
      </c>
      <c r="D35" s="16" t="n">
        <f aca="false">(1+Returns!D27)*(1+Returns!D28)*(1+Returns!D29)*(1+Returns!D30)*(1+Returns!D31)*(1+Returns!D32)-1</f>
        <v>-0.187045327364298</v>
      </c>
      <c r="E35" s="16" t="n">
        <f aca="false">(1+Returns!E27)*(1+Returns!E28)*(1+Returns!E29)*(1+Returns!E30)*(1+Returns!E31)*(1+Returns!E32)-1</f>
        <v>-0.151657016138968</v>
      </c>
      <c r="F35" s="16" t="n">
        <f aca="false">(1+Returns!F27)*(1+Returns!F28)*(1+Returns!F29)*(1+Returns!F30)*(1+Returns!F31)*(1+Returns!F32)-1</f>
        <v>-0.157221097749732</v>
      </c>
      <c r="G35" s="16" t="n">
        <f aca="false">(1+Returns!G27)*(1+Returns!G28)*(1+Returns!G29)*(1+Returns!G30)*(1+Returns!G31)*(1+Returns!G32)-1</f>
        <v>-0.306881961834039</v>
      </c>
      <c r="H35" s="16" t="n">
        <f aca="false">(1+Returns!H27)*(1+Returns!H28)*(1+Returns!H29)*(1+Returns!H30)*(1+Returns!H31)*(1+Returns!H32)-1</f>
        <v>1.44387262785462</v>
      </c>
      <c r="I35" s="16" t="n">
        <f aca="false">(1+Returns!I27)*(1+Returns!I28)*(1+Returns!I29)*(1+Returns!I30)*(1+Returns!I31)*(1+Returns!I32)-1</f>
        <v>0.356118143459916</v>
      </c>
      <c r="J35" s="16" t="n">
        <f aca="false">(1+Returns!J27)*(1+Returns!J28)*(1+Returns!J29)*(1+Returns!J30)*(1+Returns!J31)*(1+Returns!J32)-1</f>
        <v>-0.0563443659223255</v>
      </c>
    </row>
    <row r="36" customFormat="false" ht="15" hidden="false" customHeight="true" outlineLevel="0" collapsed="false">
      <c r="A36" s="1" t="n">
        <v>32</v>
      </c>
      <c r="B36" s="13" t="n">
        <f aca="false">Returns!A33</f>
        <v>42948</v>
      </c>
      <c r="C36" s="16" t="n">
        <f aca="false">(1+Returns!C28)*(1+Returns!C29)*(1+Returns!C30)*(1+Returns!C31)*(1+Returns!C32)*(1+Returns!C33)-1</f>
        <v>0.177562550443906</v>
      </c>
      <c r="D36" s="16" t="n">
        <f aca="false">(1+Returns!D28)*(1+Returns!D29)*(1+Returns!D30)*(1+Returns!D31)*(1+Returns!D32)*(1+Returns!D33)-1</f>
        <v>-0.148676470588235</v>
      </c>
      <c r="E36" s="16" t="n">
        <f aca="false">(1+Returns!E28)*(1+Returns!E29)*(1+Returns!E30)*(1+Returns!E31)*(1+Returns!E32)*(1+Returns!E33)-1</f>
        <v>-0.148540997315259</v>
      </c>
      <c r="F36" s="16" t="n">
        <f aca="false">(1+Returns!F28)*(1+Returns!F29)*(1+Returns!F30)*(1+Returns!F31)*(1+Returns!F32)*(1+Returns!F33)-1</f>
        <v>-0.314580941446613</v>
      </c>
      <c r="G36" s="16" t="n">
        <f aca="false">(1+Returns!G28)*(1+Returns!G29)*(1+Returns!G30)*(1+Returns!G31)*(1+Returns!G32)*(1+Returns!G33)-1</f>
        <v>-0.343888888888889</v>
      </c>
      <c r="H36" s="16" t="n">
        <f aca="false">(1+Returns!H28)*(1+Returns!H29)*(1+Returns!H30)*(1+Returns!H31)*(1+Returns!H32)*(1+Returns!H33)-1</f>
        <v>0.734633179114342</v>
      </c>
      <c r="I36" s="16" t="n">
        <f aca="false">(1+Returns!I28)*(1+Returns!I29)*(1+Returns!I30)*(1+Returns!I31)*(1+Returns!I32)*(1+Returns!I33)-1</f>
        <v>0.108167411621292</v>
      </c>
      <c r="J36" s="16" t="n">
        <f aca="false">(1+Returns!J28)*(1+Returns!J29)*(1+Returns!J30)*(1+Returns!J31)*(1+Returns!J32)*(1+Returns!J33)-1</f>
        <v>-0.150970562425736</v>
      </c>
    </row>
    <row r="37" customFormat="false" ht="15" hidden="false" customHeight="true" outlineLevel="0" collapsed="false">
      <c r="A37" s="1" t="n">
        <v>33</v>
      </c>
      <c r="B37" s="13" t="n">
        <f aca="false">Returns!A34</f>
        <v>42979</v>
      </c>
      <c r="C37" s="16" t="n">
        <f aca="false">(1+Returns!C29)*(1+Returns!C30)*(1+Returns!C31)*(1+Returns!C32)*(1+Returns!C33)*(1+Returns!C34)-1</f>
        <v>0.0639576821351284</v>
      </c>
      <c r="D37" s="16" t="n">
        <f aca="false">(1+Returns!D29)*(1+Returns!D30)*(1+Returns!D31)*(1+Returns!D32)*(1+Returns!D33)*(1+Returns!D34)-1</f>
        <v>0.00463554987212267</v>
      </c>
      <c r="E37" s="16" t="n">
        <f aca="false">(1+Returns!E29)*(1+Returns!E30)*(1+Returns!E31)*(1+Returns!E32)*(1+Returns!E33)*(1+Returns!E34)-1</f>
        <v>-0.0921491228070174</v>
      </c>
      <c r="F37" s="16" t="n">
        <f aca="false">(1+Returns!F29)*(1+Returns!F30)*(1+Returns!F31)*(1+Returns!F32)*(1+Returns!F33)*(1+Returns!F34)-1</f>
        <v>-0.323369500131733</v>
      </c>
      <c r="G37" s="16" t="n">
        <f aca="false">(1+Returns!G29)*(1+Returns!G30)*(1+Returns!G31)*(1+Returns!G32)*(1+Returns!G33)*(1+Returns!G34)-1</f>
        <v>-0.199807507218479</v>
      </c>
      <c r="H37" s="16" t="n">
        <f aca="false">(1+Returns!H29)*(1+Returns!H30)*(1+Returns!H31)*(1+Returns!H32)*(1+Returns!H33)*(1+Returns!H34)-1</f>
        <v>0.740681233933161</v>
      </c>
      <c r="I37" s="16" t="n">
        <f aca="false">(1+Returns!I29)*(1+Returns!I30)*(1+Returns!I31)*(1+Returns!I32)*(1+Returns!I33)*(1+Returns!I34)-1</f>
        <v>-0.0134651196103708</v>
      </c>
      <c r="J37" s="16" t="n">
        <f aca="false">(1+Returns!J29)*(1+Returns!J30)*(1+Returns!J31)*(1+Returns!J32)*(1+Returns!J33)*(1+Returns!J34)-1</f>
        <v>-0.119334420496084</v>
      </c>
    </row>
    <row r="38" customFormat="false" ht="15" hidden="false" customHeight="true" outlineLevel="0" collapsed="false">
      <c r="A38" s="1" t="n">
        <v>34</v>
      </c>
      <c r="B38" s="13" t="n">
        <f aca="false">Returns!A35</f>
        <v>43009</v>
      </c>
      <c r="C38" s="16" t="n">
        <f aca="false">(1+Returns!C30)*(1+Returns!C31)*(1+Returns!C32)*(1+Returns!C33)*(1+Returns!C34)*(1+Returns!C35)-1</f>
        <v>-0.164159862483885</v>
      </c>
      <c r="D38" s="16" t="n">
        <f aca="false">(1+Returns!D30)*(1+Returns!D31)*(1+Returns!D32)*(1+Returns!D33)*(1+Returns!D34)*(1+Returns!D35)-1</f>
        <v>0.0989010989010988</v>
      </c>
      <c r="E38" s="16" t="n">
        <f aca="false">(1+Returns!E30)*(1+Returns!E31)*(1+Returns!E32)*(1+Returns!E33)*(1+Returns!E34)*(1+Returns!E35)-1</f>
        <v>-0.074074074074074</v>
      </c>
      <c r="F38" s="16" t="n">
        <f aca="false">(1+Returns!F30)*(1+Returns!F31)*(1+Returns!F32)*(1+Returns!F33)*(1+Returns!F34)*(1+Returns!F35)-1</f>
        <v>-0.450847457627119</v>
      </c>
      <c r="G38" s="16" t="n">
        <f aca="false">(1+Returns!G30)*(1+Returns!G31)*(1+Returns!G32)*(1+Returns!G33)*(1+Returns!G34)*(1+Returns!G35)-1</f>
        <v>-0.166666666666667</v>
      </c>
      <c r="H38" s="16" t="n">
        <f aca="false">(1+Returns!H30)*(1+Returns!H31)*(1+Returns!H32)*(1+Returns!H33)*(1+Returns!H34)*(1+Returns!H35)-1</f>
        <v>0.283996994740796</v>
      </c>
      <c r="I38" s="16" t="n">
        <f aca="false">(1+Returns!I30)*(1+Returns!I31)*(1+Returns!I32)*(1+Returns!I33)*(1+Returns!I34)*(1+Returns!I35)-1</f>
        <v>-0.0822937487076988</v>
      </c>
      <c r="J38" s="16" t="n">
        <f aca="false">(1+Returns!J30)*(1+Returns!J31)*(1+Returns!J32)*(1+Returns!J33)*(1+Returns!J34)*(1+Returns!J35)-1</f>
        <v>-0.196420552160305</v>
      </c>
    </row>
    <row r="39" customFormat="false" ht="15" hidden="false" customHeight="true" outlineLevel="0" collapsed="false">
      <c r="A39" s="1" t="n">
        <v>35</v>
      </c>
      <c r="B39" s="13" t="n">
        <f aca="false">Returns!A36</f>
        <v>43040</v>
      </c>
      <c r="C39" s="16" t="n">
        <f aca="false">(1+Returns!C31)*(1+Returns!C32)*(1+Returns!C33)*(1+Returns!C34)*(1+Returns!C35)*(1+Returns!C36)-1</f>
        <v>-0.181855840927921</v>
      </c>
      <c r="D39" s="16" t="n">
        <f aca="false">(1+Returns!D31)*(1+Returns!D32)*(1+Returns!D33)*(1+Returns!D34)*(1+Returns!D35)*(1+Returns!D36)-1</f>
        <v>0.0812499999999998</v>
      </c>
      <c r="E39" s="16" t="n">
        <f aca="false">(1+Returns!E31)*(1+Returns!E32)*(1+Returns!E33)*(1+Returns!E34)*(1+Returns!E35)*(1+Returns!E36)-1</f>
        <v>-0.0725828415796641</v>
      </c>
      <c r="F39" s="16" t="n">
        <f aca="false">(1+Returns!F31)*(1+Returns!F32)*(1+Returns!F33)*(1+Returns!F34)*(1+Returns!F35)*(1+Returns!F36)-1</f>
        <v>-0.427387630641745</v>
      </c>
      <c r="G39" s="16" t="n">
        <f aca="false">(1+Returns!G31)*(1+Returns!G32)*(1+Returns!G33)*(1+Returns!G34)*(1+Returns!G35)*(1+Returns!G36)-1</f>
        <v>-0.157976734524304</v>
      </c>
      <c r="H39" s="16" t="n">
        <f aca="false">(1+Returns!H31)*(1+Returns!H32)*(1+Returns!H33)*(1+Returns!H34)*(1+Returns!H35)*(1+Returns!H36)-1</f>
        <v>0.116184382725026</v>
      </c>
      <c r="I39" s="16" t="n">
        <f aca="false">(1+Returns!I31)*(1+Returns!I32)*(1+Returns!I33)*(1+Returns!I34)*(1+Returns!I35)*(1+Returns!I36)-1</f>
        <v>-0.118484633722054</v>
      </c>
      <c r="J39" s="16" t="n">
        <f aca="false">(1+Returns!J31)*(1+Returns!J32)*(1+Returns!J33)*(1+Returns!J34)*(1+Returns!J35)*(1+Returns!J36)-1</f>
        <v>-0.209149666634184</v>
      </c>
    </row>
    <row r="40" customFormat="false" ht="15" hidden="false" customHeight="true" outlineLevel="0" collapsed="false">
      <c r="A40" s="1" t="n">
        <v>36</v>
      </c>
      <c r="B40" s="13" t="n">
        <f aca="false">Returns!A37</f>
        <v>43070</v>
      </c>
      <c r="C40" s="16" t="n">
        <f aca="false">(1+Returns!C32)*(1+Returns!C33)*(1+Returns!C34)*(1+Returns!C35)*(1+Returns!C36)*(1+Returns!C37)-1</f>
        <v>-0.127719756309835</v>
      </c>
      <c r="D40" s="16" t="n">
        <f aca="false">(1+Returns!D32)*(1+Returns!D33)*(1+Returns!D34)*(1+Returns!D35)*(1+Returns!D36)*(1+Returns!D37)-1</f>
        <v>0.231006346328196</v>
      </c>
      <c r="E40" s="16" t="n">
        <f aca="false">(1+Returns!E32)*(1+Returns!E33)*(1+Returns!E34)*(1+Returns!E35)*(1+Returns!E36)*(1+Returns!E37)-1</f>
        <v>0.00118623962040321</v>
      </c>
      <c r="F40" s="16" t="n">
        <f aca="false">(1+Returns!F32)*(1+Returns!F33)*(1+Returns!F34)*(1+Returns!F35)*(1+Returns!F36)*(1+Returns!F37)-1</f>
        <v>-0.387039239001189</v>
      </c>
      <c r="G40" s="16" t="n">
        <f aca="false">(1+Returns!G32)*(1+Returns!G33)*(1+Returns!G34)*(1+Returns!G35)*(1+Returns!G36)*(1+Returns!G37)-1</f>
        <v>-0.0424242424242423</v>
      </c>
      <c r="H40" s="16" t="n">
        <f aca="false">(1+Returns!H32)*(1+Returns!H33)*(1+Returns!H34)*(1+Returns!H35)*(1+Returns!H36)*(1+Returns!H37)-1</f>
        <v>-0.194227430555556</v>
      </c>
      <c r="I40" s="16" t="n">
        <f aca="false">(1+Returns!I32)*(1+Returns!I33)*(1+Returns!I34)*(1+Returns!I35)*(1+Returns!I36)*(1+Returns!I37)-1</f>
        <v>-0.0736361750674135</v>
      </c>
      <c r="J40" s="16" t="n">
        <f aca="false">(1+Returns!J32)*(1+Returns!J33)*(1+Returns!J34)*(1+Returns!J35)*(1+Returns!J36)*(1+Returns!J37)-1</f>
        <v>-0.130865930395795</v>
      </c>
    </row>
    <row r="41" customFormat="false" ht="15" hidden="false" customHeight="true" outlineLevel="0" collapsed="false">
      <c r="A41" s="1" t="n">
        <v>37</v>
      </c>
      <c r="B41" s="13" t="n">
        <f aca="false">Returns!A38</f>
        <v>43101</v>
      </c>
      <c r="C41" s="16" t="n">
        <f aca="false">(1+Returns!C33)*(1+Returns!C34)*(1+Returns!C35)*(1+Returns!C36)*(1+Returns!C37)*(1+Returns!C38)-1</f>
        <v>-0.0174043833261712</v>
      </c>
      <c r="D41" s="16" t="n">
        <f aca="false">(1+Returns!D33)*(1+Returns!D34)*(1+Returns!D35)*(1+Returns!D36)*(1+Returns!D37)*(1+Returns!D38)-1</f>
        <v>0.199449320254689</v>
      </c>
      <c r="E41" s="16" t="n">
        <f aca="false">(1+Returns!E33)*(1+Returns!E34)*(1+Returns!E35)*(1+Returns!E36)*(1+Returns!E37)*(1+Returns!E38)-1</f>
        <v>0.0957014231774616</v>
      </c>
      <c r="F41" s="16" t="n">
        <f aca="false">(1+Returns!F33)*(1+Returns!F34)*(1+Returns!F35)*(1+Returns!F36)*(1+Returns!F37)*(1+Returns!F38)-1</f>
        <v>-0.13087518542064</v>
      </c>
      <c r="G41" s="16" t="n">
        <f aca="false">(1+Returns!G33)*(1+Returns!G34)*(1+Returns!G35)*(1+Returns!G36)*(1+Returns!G37)*(1+Returns!G38)-1</f>
        <v>0.124953282670986</v>
      </c>
      <c r="H41" s="16" t="n">
        <f aca="false">(1+Returns!H33)*(1+Returns!H34)*(1+Returns!H35)*(1+Returns!H36)*(1+Returns!H37)*(1+Returns!H38)-1</f>
        <v>-0.0473808897078181</v>
      </c>
      <c r="I41" s="16" t="n">
        <f aca="false">(1+Returns!I33)*(1+Returns!I34)*(1+Returns!I35)*(1+Returns!I36)*(1+Returns!I37)*(1+Returns!I38)-1</f>
        <v>-0.105600497822029</v>
      </c>
      <c r="J41" s="16" t="n">
        <f aca="false">(1+Returns!J33)*(1+Returns!J34)*(1+Returns!J35)*(1+Returns!J36)*(1+Returns!J37)*(1+Returns!J38)-1</f>
        <v>-0.0426294461366926</v>
      </c>
    </row>
    <row r="42" customFormat="false" ht="15" hidden="false" customHeight="true" outlineLevel="0" collapsed="false">
      <c r="A42" s="1" t="n">
        <v>38</v>
      </c>
      <c r="B42" s="13" t="n">
        <f aca="false">Returns!A39</f>
        <v>43132</v>
      </c>
      <c r="C42" s="16" t="n">
        <f aca="false">(1+Returns!C34)*(1+Returns!C35)*(1+Returns!C36)*(1+Returns!C37)*(1+Returns!C38)*(1+Returns!C39)-1</f>
        <v>0.017591957962074</v>
      </c>
      <c r="D42" s="16" t="n">
        <f aca="false">(1+Returns!D34)*(1+Returns!D35)*(1+Returns!D36)*(1+Returns!D37)*(1+Returns!D38)*(1+Returns!D39)-1</f>
        <v>0.196925202971152</v>
      </c>
      <c r="E42" s="16" t="n">
        <f aca="false">(1+Returns!E34)*(1+Returns!E35)*(1+Returns!E36)*(1+Returns!E37)*(1+Returns!E38)*(1+Returns!E39)-1</f>
        <v>0.126847927220097</v>
      </c>
      <c r="F42" s="16" t="n">
        <f aca="false">(1+Returns!F34)*(1+Returns!F35)*(1+Returns!F36)*(1+Returns!F37)*(1+Returns!F38)*(1+Returns!F39)-1</f>
        <v>0.00628140703517577</v>
      </c>
      <c r="G42" s="16" t="n">
        <f aca="false">(1+Returns!G34)*(1+Returns!G35)*(1+Returns!G36)*(1+Returns!G37)*(1+Returns!G38)*(1+Returns!G39)-1</f>
        <v>0.251764041772509</v>
      </c>
      <c r="H42" s="16" t="n">
        <f aca="false">(1+Returns!H34)*(1+Returns!H35)*(1+Returns!H36)*(1+Returns!H37)*(1+Returns!H38)*(1+Returns!H39)-1</f>
        <v>0.432272813869309</v>
      </c>
      <c r="I42" s="16" t="n">
        <f aca="false">(1+Returns!I34)*(1+Returns!I35)*(1+Returns!I36)*(1+Returns!I37)*(1+Returns!I38)*(1+Returns!I39)-1</f>
        <v>-0.0167937811674982</v>
      </c>
      <c r="J42" s="16" t="n">
        <f aca="false">(1+Returns!J34)*(1+Returns!J35)*(1+Returns!J36)*(1+Returns!J37)*(1+Returns!J38)*(1+Returns!J39)-1</f>
        <v>0.0493229425396033</v>
      </c>
    </row>
    <row r="43" customFormat="false" ht="15" hidden="false" customHeight="true" outlineLevel="0" collapsed="false">
      <c r="A43" s="1" t="n">
        <v>39</v>
      </c>
      <c r="B43" s="13" t="n">
        <f aca="false">Returns!A40</f>
        <v>43160</v>
      </c>
      <c r="C43" s="16" t="n">
        <f aca="false">(1+Returns!C35)*(1+Returns!C36)*(1+Returns!C37)*(1+Returns!C38)*(1+Returns!C39)*(1+Returns!C40)-1</f>
        <v>0.0657627118644066</v>
      </c>
      <c r="D43" s="16" t="n">
        <f aca="false">(1+Returns!D35)*(1+Returns!D36)*(1+Returns!D37)*(1+Returns!D38)*(1+Returns!D39)*(1+Returns!D40)-1</f>
        <v>0.099284009546539</v>
      </c>
      <c r="E43" s="16" t="n">
        <f aca="false">(1+Returns!E35)*(1+Returns!E36)*(1+Returns!E37)*(1+Returns!E38)*(1+Returns!E39)*(1+Returns!E40)-1</f>
        <v>0.0634813276003674</v>
      </c>
      <c r="F43" s="16" t="n">
        <f aca="false">(1+Returns!F35)*(1+Returns!F36)*(1+Returns!F37)*(1+Returns!F38)*(1+Returns!F39)*(1+Returns!F40)-1</f>
        <v>0.220566371681416</v>
      </c>
      <c r="G43" s="16" t="n">
        <f aca="false">(1+Returns!G35)*(1+Returns!G36)*(1+Returns!G37)*(1+Returns!G38)*(1+Returns!G39)*(1+Returns!G40)-1</f>
        <v>0.127616069280731</v>
      </c>
      <c r="H43" s="16" t="n">
        <f aca="false">(1+Returns!H35)*(1+Returns!H36)*(1+Returns!H37)*(1+Returns!H38)*(1+Returns!H39)*(1+Returns!H40)-1</f>
        <v>0.901052242938896</v>
      </c>
      <c r="I43" s="16" t="n">
        <f aca="false">(1+Returns!I35)*(1+Returns!I36)*(1+Returns!I37)*(1+Returns!I38)*(1+Returns!I39)*(1+Returns!I40)-1</f>
        <v>-0.00733265572818376</v>
      </c>
      <c r="J43" s="16" t="n">
        <f aca="false">(1+Returns!J35)*(1+Returns!J36)*(1+Returns!J37)*(1+Returns!J38)*(1+Returns!J39)*(1+Returns!J40)-1</f>
        <v>0.0743005008103179</v>
      </c>
    </row>
    <row r="44" customFormat="false" ht="15" hidden="false" customHeight="true" outlineLevel="0" collapsed="false">
      <c r="A44" s="1" t="n">
        <v>40</v>
      </c>
      <c r="B44" s="13" t="n">
        <f aca="false">Returns!A41</f>
        <v>43191</v>
      </c>
      <c r="C44" s="16" t="n">
        <f aca="false">(1+Returns!C36)*(1+Returns!C37)*(1+Returns!C38)*(1+Returns!C39)*(1+Returns!C40)*(1+Returns!C41)-1</f>
        <v>0.206169665809768</v>
      </c>
      <c r="D44" s="16" t="n">
        <f aca="false">(1+Returns!D36)*(1+Returns!D37)*(1+Returns!D38)*(1+Returns!D39)*(1+Returns!D40)*(1+Returns!D41)-1</f>
        <v>0.110769230769231</v>
      </c>
      <c r="E44" s="16" t="n">
        <f aca="false">(1+Returns!E36)*(1+Returns!E37)*(1+Returns!E38)*(1+Returns!E39)*(1+Returns!E40)*(1+Returns!E41)-1</f>
        <v>0.0440000000000003</v>
      </c>
      <c r="F44" s="16" t="n">
        <f aca="false">(1+Returns!F36)*(1+Returns!F37)*(1+Returns!F38)*(1+Returns!F39)*(1+Returns!F40)*(1+Returns!F41)-1</f>
        <v>0.349794238683128</v>
      </c>
      <c r="G44" s="16" t="n">
        <f aca="false">(1+Returns!G36)*(1+Returns!G37)*(1+Returns!G38)*(1+Returns!G39)*(1+Returns!G40)*(1+Returns!G41)-1</f>
        <v>0.245625</v>
      </c>
      <c r="H44" s="16" t="n">
        <f aca="false">(1+Returns!H36)*(1+Returns!H37)*(1+Returns!H38)*(1+Returns!H39)*(1+Returns!H40)*(1+Returns!H41)-1</f>
        <v>0.97639945387166</v>
      </c>
      <c r="I44" s="16" t="n">
        <f aca="false">(1+Returns!I36)*(1+Returns!I37)*(1+Returns!I38)*(1+Returns!I39)*(1+Returns!I40)*(1+Returns!I41)-1</f>
        <v>0.0585805482538488</v>
      </c>
      <c r="J44" s="16" t="n">
        <f aca="false">(1+Returns!J36)*(1+Returns!J37)*(1+Returns!J38)*(1+Returns!J39)*(1+Returns!J40)*(1+Returns!J41)-1</f>
        <v>0.148210158267156</v>
      </c>
    </row>
    <row r="45" customFormat="false" ht="15" hidden="false" customHeight="true" outlineLevel="0" collapsed="false">
      <c r="A45" s="1" t="n">
        <v>41</v>
      </c>
      <c r="B45" s="13" t="n">
        <f aca="false">Returns!A42</f>
        <v>43221</v>
      </c>
      <c r="C45" s="16" t="n">
        <f aca="false">(1+Returns!C37)*(1+Returns!C38)*(1+Returns!C39)*(1+Returns!C40)*(1+Returns!C41)*(1+Returns!C42)-1</f>
        <v>0.127594936708861</v>
      </c>
      <c r="D45" s="16" t="n">
        <f aca="false">(1+Returns!D37)*(1+Returns!D38)*(1+Returns!D39)*(1+Returns!D40)*(1+Returns!D41)*(1+Returns!D42)-1</f>
        <v>0.132795862488591</v>
      </c>
      <c r="E45" s="16" t="n">
        <f aca="false">(1+Returns!E37)*(1+Returns!E38)*(1+Returns!E39)*(1+Returns!E40)*(1+Returns!E41)*(1+Returns!E42)-1</f>
        <v>-0.00205569967206687</v>
      </c>
      <c r="F45" s="16" t="n">
        <f aca="false">(1+Returns!F37)*(1+Returns!F38)*(1+Returns!F39)*(1+Returns!F40)*(1+Returns!F41)*(1+Returns!F42)-1</f>
        <v>0.111788617886179</v>
      </c>
      <c r="G45" s="16" t="n">
        <f aca="false">(1+Returns!G37)*(1+Returns!G38)*(1+Returns!G39)*(1+Returns!G40)*(1+Returns!G41)*(1+Returns!G42)-1</f>
        <v>0.210065375601332</v>
      </c>
      <c r="H45" s="16" t="n">
        <f aca="false">(1+Returns!H37)*(1+Returns!H38)*(1+Returns!H39)*(1+Returns!H40)*(1+Returns!H41)*(1+Returns!H42)-1</f>
        <v>0.392912975508077</v>
      </c>
      <c r="I45" s="16" t="n">
        <f aca="false">(1+Returns!I37)*(1+Returns!I38)*(1+Returns!I39)*(1+Returns!I40)*(1+Returns!I41)*(1+Returns!I42)-1</f>
        <v>0.0135214149978071</v>
      </c>
      <c r="J45" s="16" t="n">
        <f aca="false">(1+Returns!J37)*(1+Returns!J38)*(1+Returns!J39)*(1+Returns!J40)*(1+Returns!J41)*(1+Returns!J42)-1</f>
        <v>0.0708886398422808</v>
      </c>
    </row>
    <row r="46" customFormat="false" ht="15" hidden="false" customHeight="true" outlineLevel="0" collapsed="false">
      <c r="A46" s="1" t="n">
        <v>42</v>
      </c>
      <c r="B46" s="13" t="n">
        <f aca="false">Returns!A43</f>
        <v>43252</v>
      </c>
      <c r="C46" s="16" t="n">
        <f aca="false">(1+Returns!C38)*(1+Returns!C39)*(1+Returns!C40)*(1+Returns!C41)*(1+Returns!C42)*(1+Returns!C43)-1</f>
        <v>0.210775754552258</v>
      </c>
      <c r="D46" s="16" t="n">
        <f aca="false">(1+Returns!D38)*(1+Returns!D39)*(1+Returns!D40)*(1+Returns!D41)*(1+Returns!D42)*(1+Returns!D43)-1</f>
        <v>0.103402562969509</v>
      </c>
      <c r="E46" s="16" t="n">
        <f aca="false">(1+Returns!E38)*(1+Returns!E39)*(1+Returns!E40)*(1+Returns!E41)*(1+Returns!E42)*(1+Returns!E43)-1</f>
        <v>-0.062701421800948</v>
      </c>
      <c r="F46" s="16" t="n">
        <f aca="false">(1+Returns!F38)*(1+Returns!F39)*(1+Returns!F40)*(1+Returns!F41)*(1+Returns!F42)*(1+Returns!F43)-1</f>
        <v>-0.0146847720659554</v>
      </c>
      <c r="G46" s="16" t="n">
        <f aca="false">(1+Returns!G38)*(1+Returns!G39)*(1+Returns!G40)*(1+Returns!G41)*(1+Returns!G42)*(1+Returns!G43)-1</f>
        <v>0.251772151898734</v>
      </c>
      <c r="H46" s="16" t="n">
        <f aca="false">(1+Returns!H38)*(1+Returns!H39)*(1+Returns!H40)*(1+Returns!H41)*(1+Returns!H42)*(1+Returns!H43)-1</f>
        <v>0.549286291408564</v>
      </c>
      <c r="I46" s="16" t="n">
        <f aca="false">(1+Returns!I38)*(1+Returns!I39)*(1+Returns!I40)*(1+Returns!I41)*(1+Returns!I42)*(1+Returns!I43)-1</f>
        <v>0.0323182564561875</v>
      </c>
      <c r="J46" s="16" t="n">
        <f aca="false">(1+Returns!J38)*(1+Returns!J39)*(1+Returns!J40)*(1+Returns!J41)*(1+Returns!J42)*(1+Returns!J43)-1</f>
        <v>0.0355662802546388</v>
      </c>
    </row>
    <row r="47" customFormat="false" ht="15" hidden="false" customHeight="true" outlineLevel="0" collapsed="false">
      <c r="A47" s="1" t="n">
        <v>43</v>
      </c>
      <c r="B47" s="13" t="n">
        <f aca="false">Returns!A44</f>
        <v>43282</v>
      </c>
      <c r="C47" s="16" t="n">
        <f aca="false">(1+Returns!C39)*(1+Returns!C40)*(1+Returns!C41)*(1+Returns!C42)*(1+Returns!C43)*(1+Returns!C44)-1</f>
        <v>0.16509949704789</v>
      </c>
      <c r="D47" s="16" t="n">
        <f aca="false">(1+Returns!D39)*(1+Returns!D40)*(1+Returns!D41)*(1+Returns!D42)*(1+Returns!D43)*(1+Returns!D44)-1</f>
        <v>0.133428981348637</v>
      </c>
      <c r="E47" s="16" t="n">
        <f aca="false">(1+Returns!E39)*(1+Returns!E40)*(1+Returns!E41)*(1+Returns!E42)*(1+Returns!E43)*(1+Returns!E44)-1</f>
        <v>-0.0854870775347911</v>
      </c>
      <c r="F47" s="16" t="n">
        <f aca="false">(1+Returns!F39)*(1+Returns!F40)*(1+Returns!F41)*(1+Returns!F42)*(1+Returns!F43)*(1+Returns!F44)-1</f>
        <v>-0.104403374457502</v>
      </c>
      <c r="G47" s="16" t="n">
        <f aca="false">(1+Returns!G39)*(1+Returns!G40)*(1+Returns!G41)*(1+Returns!G42)*(1+Returns!G43)*(1+Returns!G44)-1</f>
        <v>0.102547065337763</v>
      </c>
      <c r="H47" s="16" t="n">
        <f aca="false">(1+Returns!H39)*(1+Returns!H40)*(1+Returns!H41)*(1+Returns!H42)*(1+Returns!H43)*(1+Returns!H44)-1</f>
        <v>0.797043382149766</v>
      </c>
      <c r="I47" s="16" t="n">
        <f aca="false">(1+Returns!I39)*(1+Returns!I40)*(1+Returns!I41)*(1+Returns!I42)*(1+Returns!I43)*(1+Returns!I44)-1</f>
        <v>-0.0691574479927641</v>
      </c>
      <c r="J47" s="16" t="n">
        <f aca="false">(1+Returns!J39)*(1+Returns!J40)*(1+Returns!J41)*(1+Returns!J42)*(1+Returns!J43)*(1+Returns!J44)-1</f>
        <v>-0.0303439007197659</v>
      </c>
    </row>
    <row r="48" customFormat="false" ht="15" hidden="false" customHeight="true" outlineLevel="0" collapsed="false">
      <c r="A48" s="1" t="n">
        <v>44</v>
      </c>
      <c r="B48" s="13" t="n">
        <f aca="false">Returns!A45</f>
        <v>43313</v>
      </c>
      <c r="C48" s="16" t="n">
        <f aca="false">(1+Returns!C40)*(1+Returns!C41)*(1+Returns!C42)*(1+Returns!C43)*(1+Returns!C44)*(1+Returns!C45)-1</f>
        <v>0.248765154916929</v>
      </c>
      <c r="D48" s="16" t="n">
        <f aca="false">(1+Returns!D40)*(1+Returns!D41)*(1+Returns!D42)*(1+Returns!D43)*(1+Returns!D44)*(1+Returns!D45)-1</f>
        <v>0.13999134074181</v>
      </c>
      <c r="E48" s="16" t="n">
        <f aca="false">(1+Returns!E40)*(1+Returns!E41)*(1+Returns!E42)*(1+Returns!E43)*(1+Returns!E44)*(1+Returns!E45)-1</f>
        <v>-0.0825688073394495</v>
      </c>
      <c r="F48" s="16" t="n">
        <f aca="false">(1+Returns!F40)*(1+Returns!F41)*(1+Returns!F42)*(1+Returns!F43)*(1+Returns!F44)*(1+Returns!F45)-1</f>
        <v>-0.099825218476904</v>
      </c>
      <c r="G48" s="16" t="n">
        <f aca="false">(1+Returns!G40)*(1+Returns!G41)*(1+Returns!G42)*(1+Returns!G43)*(1+Returns!G44)*(1+Returns!G45)-1</f>
        <v>0.10304396843292</v>
      </c>
      <c r="H48" s="16" t="n">
        <f aca="false">(1+Returns!H40)*(1+Returns!H41)*(1+Returns!H42)*(1+Returns!H43)*(1+Returns!H44)*(1+Returns!H45)-1</f>
        <v>0.498270816706571</v>
      </c>
      <c r="I48" s="16" t="n">
        <f aca="false">(1+Returns!I40)*(1+Returns!I41)*(1+Returns!I42)*(1+Returns!I43)*(1+Returns!I44)*(1+Returns!I45)-1</f>
        <v>0.0513164764675171</v>
      </c>
      <c r="J48" s="16" t="n">
        <f aca="false">(1+Returns!J40)*(1+Returns!J41)*(1+Returns!J42)*(1+Returns!J43)*(1+Returns!J44)*(1+Returns!J45)-1</f>
        <v>-0.0346257953387001</v>
      </c>
    </row>
    <row r="49" customFormat="false" ht="15" hidden="false" customHeight="true" outlineLevel="0" collapsed="false">
      <c r="A49" s="1" t="n">
        <v>45</v>
      </c>
      <c r="B49" s="13" t="n">
        <f aca="false">Returns!A46</f>
        <v>43344</v>
      </c>
      <c r="C49" s="16" t="n">
        <f aca="false">(1+Returns!C41)*(1+Returns!C42)*(1+Returns!C43)*(1+Returns!C44)*(1+Returns!C45)*(1+Returns!C46)-1</f>
        <v>0.23303647158609</v>
      </c>
      <c r="D49" s="16" t="n">
        <f aca="false">(1+Returns!D41)*(1+Returns!D42)*(1+Returns!D43)*(1+Returns!D44)*(1+Returns!D45)*(1+Returns!D46)-1</f>
        <v>0.094224924012158</v>
      </c>
      <c r="E49" s="16" t="n">
        <f aca="false">(1+Returns!E41)*(1+Returns!E42)*(1+Returns!E43)*(1+Returns!E44)*(1+Returns!E45)*(1+Returns!E46)-1</f>
        <v>-0.0958978785263251</v>
      </c>
      <c r="F49" s="16" t="n">
        <f aca="false">(1+Returns!F41)*(1+Returns!F42)*(1+Returns!F43)*(1+Returns!F44)*(1+Returns!F45)*(1+Returns!F46)-1</f>
        <v>-0.254661987761376</v>
      </c>
      <c r="G49" s="16" t="n">
        <f aca="false">(1+Returns!G41)*(1+Returns!G42)*(1+Returns!G43)*(1+Returns!G44)*(1+Returns!G45)*(1+Returns!G46)-1</f>
        <v>0.0426666666666666</v>
      </c>
      <c r="H49" s="16" t="n">
        <f aca="false">(1+Returns!H41)*(1+Returns!H42)*(1+Returns!H43)*(1+Returns!H44)*(1+Returns!H45)*(1+Returns!H46)-1</f>
        <v>0.146727519906778</v>
      </c>
      <c r="I49" s="16" t="n">
        <f aca="false">(1+Returns!I41)*(1+Returns!I42)*(1+Returns!I43)*(1+Returns!I44)*(1+Returns!I45)*(1+Returns!I46)-1</f>
        <v>0.0476852190448329</v>
      </c>
      <c r="J49" s="16" t="n">
        <f aca="false">(1+Returns!J41)*(1+Returns!J42)*(1+Returns!J43)*(1+Returns!J44)*(1+Returns!J45)*(1+Returns!J46)-1</f>
        <v>-0.100124669942911</v>
      </c>
    </row>
    <row r="50" customFormat="false" ht="15" hidden="false" customHeight="true" outlineLevel="0" collapsed="false">
      <c r="A50" s="1" t="n">
        <v>46</v>
      </c>
      <c r="B50" s="13" t="n">
        <f aca="false">Returns!A47</f>
        <v>43374</v>
      </c>
      <c r="C50" s="16" t="n">
        <f aca="false">(1+Returns!C42)*(1+Returns!C43)*(1+Returns!C44)*(1+Returns!C45)*(1+Returns!C46)*(1+Returns!C47)-1</f>
        <v>0.391091219096334</v>
      </c>
      <c r="D50" s="16" t="n">
        <f aca="false">(1+Returns!D42)*(1+Returns!D43)*(1+Returns!D44)*(1+Returns!D45)*(1+Returns!D46)*(1+Returns!D47)-1</f>
        <v>0.117728531855956</v>
      </c>
      <c r="E50" s="16" t="n">
        <f aca="false">(1+Returns!E42)*(1+Returns!E43)*(1+Returns!E44)*(1+Returns!E45)*(1+Returns!E46)*(1+Returns!E47)-1</f>
        <v>-0.0565134099616859</v>
      </c>
      <c r="F50" s="16" t="n">
        <f aca="false">(1+Returns!F42)*(1+Returns!F43)*(1+Returns!F44)*(1+Returns!F45)*(1+Returns!F46)*(1+Returns!F47)-1</f>
        <v>-0.245426829268293</v>
      </c>
      <c r="G50" s="16" t="n">
        <f aca="false">(1+Returns!G42)*(1+Returns!G43)*(1+Returns!G44)*(1+Returns!G45)*(1+Returns!G46)*(1+Returns!G47)-1</f>
        <v>-0.0115403913697942</v>
      </c>
      <c r="H50" s="16" t="n">
        <f aca="false">(1+Returns!H42)*(1+Returns!H43)*(1+Returns!H44)*(1+Returns!H45)*(1+Returns!H46)*(1+Returns!H47)-1</f>
        <v>0.115661699398006</v>
      </c>
      <c r="I50" s="16" t="n">
        <f aca="false">(1+Returns!I42)*(1+Returns!I43)*(1+Returns!I44)*(1+Returns!I45)*(1+Returns!I46)*(1+Returns!I47)-1</f>
        <v>0.0570415040794612</v>
      </c>
      <c r="J50" s="16" t="n">
        <f aca="false">(1+Returns!J42)*(1+Returns!J43)*(1+Returns!J44)*(1+Returns!J45)*(1+Returns!J46)*(1+Returns!J47)-1</f>
        <v>-0.0844052807654444</v>
      </c>
    </row>
    <row r="51" customFormat="false" ht="15" hidden="false" customHeight="true" outlineLevel="0" collapsed="false">
      <c r="A51" s="1" t="n">
        <v>47</v>
      </c>
      <c r="B51" s="13" t="n">
        <f aca="false">Returns!A48</f>
        <v>43405</v>
      </c>
      <c r="C51" s="16" t="n">
        <f aca="false">(1+Returns!C43)*(1+Returns!C44)*(1+Returns!C45)*(1+Returns!C46)*(1+Returns!C47)*(1+Returns!C48)-1</f>
        <v>0.443197126178716</v>
      </c>
      <c r="D51" s="16" t="n">
        <f aca="false">(1+Returns!D43)*(1+Returns!D44)*(1+Returns!D45)*(1+Returns!D46)*(1+Returns!D47)*(1+Returns!D48)-1</f>
        <v>0.0255136296495233</v>
      </c>
      <c r="E51" s="16" t="n">
        <f aca="false">(1+Returns!E43)*(1+Returns!E44)*(1+Returns!E45)*(1+Returns!E46)*(1+Returns!E47)*(1+Returns!E48)-1</f>
        <v>0.0108391779881309</v>
      </c>
      <c r="F51" s="16" t="n">
        <f aca="false">(1+Returns!F43)*(1+Returns!F44)*(1+Returns!F45)*(1+Returns!F46)*(1+Returns!F47)*(1+Returns!F48)-1</f>
        <v>-0.097038391224863</v>
      </c>
      <c r="G51" s="16" t="n">
        <f aca="false">(1+Returns!G43)*(1+Returns!G44)*(1+Returns!G45)*(1+Returns!G46)*(1+Returns!G47)*(1+Returns!G48)-1</f>
        <v>0.00662589194699303</v>
      </c>
      <c r="H51" s="16" t="n">
        <f aca="false">(1+Returns!H43)*(1+Returns!H44)*(1+Returns!H45)*(1+Returns!H46)*(1+Returns!H47)*(1+Returns!H48)-1</f>
        <v>-0.0673400673400673</v>
      </c>
      <c r="I51" s="16" t="n">
        <f aca="false">(1+Returns!I43)*(1+Returns!I44)*(1+Returns!I45)*(1+Returns!I46)*(1+Returns!I47)*(1+Returns!I48)-1</f>
        <v>0.0136294800605756</v>
      </c>
      <c r="J51" s="16" t="n">
        <f aca="false">(1+Returns!J43)*(1+Returns!J44)*(1+Returns!J45)*(1+Returns!J46)*(1+Returns!J47)*(1+Returns!J48)-1</f>
        <v>-0.054861011271829</v>
      </c>
    </row>
    <row r="52" customFormat="false" ht="15" hidden="false" customHeight="true" outlineLevel="0" collapsed="false">
      <c r="A52" s="1" t="n">
        <v>48</v>
      </c>
      <c r="B52" s="13" t="n">
        <f aca="false">Returns!A49</f>
        <v>43435</v>
      </c>
      <c r="C52" s="16" t="n">
        <f aca="false">(1+Returns!C44)*(1+Returns!C45)*(1+Returns!C46)*(1+Returns!C47)*(1+Returns!C48)*(1+Returns!C49)-1</f>
        <v>0.218788627935723</v>
      </c>
      <c r="D52" s="16" t="n">
        <f aca="false">(1+Returns!D44)*(1+Returns!D45)*(1+Returns!D46)*(1+Returns!D47)*(1+Returns!D48)*(1+Returns!D49)-1</f>
        <v>-0.0703510879722336</v>
      </c>
      <c r="E52" s="16" t="n">
        <f aca="false">(1+Returns!E44)*(1+Returns!E45)*(1+Returns!E46)*(1+Returns!E47)*(1+Returns!E48)*(1+Returns!E49)-1</f>
        <v>-0.0190625474035495</v>
      </c>
      <c r="F52" s="16" t="n">
        <f aca="false">(1+Returns!F44)*(1+Returns!F45)*(1+Returns!F46)*(1+Returns!F47)*(1+Returns!F48)*(1+Returns!F49)-1</f>
        <v>-0.14423247297856</v>
      </c>
      <c r="G52" s="16" t="n">
        <f aca="false">(1+Returns!G44)*(1+Returns!G45)*(1+Returns!G46)*(1+Returns!G47)*(1+Returns!G48)*(1+Returns!G49)-1</f>
        <v>-0.0595611285266456</v>
      </c>
      <c r="H52" s="16" t="n">
        <f aca="false">(1+Returns!H44)*(1+Returns!H45)*(1+Returns!H46)*(1+Returns!H47)*(1+Returns!H48)*(1+Returns!H49)-1</f>
        <v>-0.199565406345067</v>
      </c>
      <c r="I52" s="16" t="n">
        <f aca="false">(1+Returns!I44)*(1+Returns!I45)*(1+Returns!I46)*(1+Returns!I47)*(1+Returns!I48)*(1+Returns!I49)-1</f>
        <v>-0.122767695755911</v>
      </c>
      <c r="J52" s="16" t="n">
        <f aca="false">(1+Returns!J44)*(1+Returns!J45)*(1+Returns!J46)*(1+Returns!J47)*(1+Returns!J48)*(1+Returns!J49)-1</f>
        <v>-0.11558401275086</v>
      </c>
    </row>
    <row r="53" customFormat="false" ht="15" hidden="false" customHeight="true" outlineLevel="0" collapsed="false">
      <c r="A53" s="1" t="n">
        <v>49</v>
      </c>
      <c r="B53" s="13" t="n">
        <f aca="false">Returns!A50</f>
        <v>43466</v>
      </c>
      <c r="C53" s="16" t="n">
        <f aca="false">(1+Returns!C45)*(1+Returns!C46)*(1+Returns!C47)*(1+Returns!C48)*(1+Returns!C49)*(1+Returns!C50)-1</f>
        <v>0.114677177177177</v>
      </c>
      <c r="D53" s="16" t="n">
        <f aca="false">(1+Returns!D45)*(1+Returns!D46)*(1+Returns!D47)*(1+Returns!D48)*(1+Returns!D49)*(1+Returns!D50)-1</f>
        <v>-0.039873417721519</v>
      </c>
      <c r="E53" s="16" t="n">
        <f aca="false">(1+Returns!E45)*(1+Returns!E46)*(1+Returns!E47)*(1+Returns!E48)*(1+Returns!E49)*(1+Returns!E50)-1</f>
        <v>0.00647342995169087</v>
      </c>
      <c r="F53" s="16" t="n">
        <f aca="false">(1+Returns!F45)*(1+Returns!F46)*(1+Returns!F47)*(1+Returns!F48)*(1+Returns!F49)*(1+Returns!F50)-1</f>
        <v>-0.148299393807398</v>
      </c>
      <c r="G53" s="16" t="n">
        <f aca="false">(1+Returns!G45)*(1+Returns!G46)*(1+Returns!G47)*(1+Returns!G48)*(1+Returns!G49)*(1+Returns!G50)-1</f>
        <v>0.0697067095218966</v>
      </c>
      <c r="H53" s="16" t="n">
        <f aca="false">(1+Returns!H45)*(1+Returns!H46)*(1+Returns!H47)*(1+Returns!H48)*(1+Returns!H49)*(1+Returns!H50)-1</f>
        <v>-0.283001460751903</v>
      </c>
      <c r="I53" s="16" t="n">
        <f aca="false">(1+Returns!I45)*(1+Returns!I46)*(1+Returns!I47)*(1+Returns!I48)*(1+Returns!I49)*(1+Returns!I50)-1</f>
        <v>-0.0260856566260554</v>
      </c>
      <c r="J53" s="16" t="n">
        <f aca="false">(1+Returns!J45)*(1+Returns!J46)*(1+Returns!J47)*(1+Returns!J48)*(1+Returns!J49)*(1+Returns!J50)-1</f>
        <v>-0.0447857918643355</v>
      </c>
    </row>
    <row r="54" customFormat="false" ht="15" hidden="false" customHeight="true" outlineLevel="0" collapsed="false">
      <c r="A54" s="1" t="n">
        <v>50</v>
      </c>
      <c r="B54" s="13" t="n">
        <f aca="false">Returns!A51</f>
        <v>43497</v>
      </c>
      <c r="C54" s="16" t="n">
        <f aca="false">(1+Returns!C46)*(1+Returns!C47)*(1+Returns!C48)*(1+Returns!C49)*(1+Returns!C50)*(1+Returns!C51)-1</f>
        <v>0.139338367493707</v>
      </c>
      <c r="D54" s="16" t="n">
        <f aca="false">(1+Returns!D46)*(1+Returns!D47)*(1+Returns!D48)*(1+Returns!D49)*(1+Returns!D50)*(1+Returns!D51)-1</f>
        <v>-0.0696290669705025</v>
      </c>
      <c r="E54" s="16" t="n">
        <f aca="false">(1+Returns!E46)*(1+Returns!E47)*(1+Returns!E48)*(1+Returns!E49)*(1+Returns!E50)*(1+Returns!E51)-1</f>
        <v>0.02565</v>
      </c>
      <c r="F54" s="16" t="n">
        <f aca="false">(1+Returns!F46)*(1+Returns!F47)*(1+Returns!F48)*(1+Returns!F49)*(1+Returns!F50)*(1+Returns!F51)-1</f>
        <v>-0.136913347387107</v>
      </c>
      <c r="G54" s="16" t="n">
        <f aca="false">(1+Returns!G46)*(1+Returns!G47)*(1+Returns!G48)*(1+Returns!G49)*(1+Returns!G50)*(1+Returns!G51)-1</f>
        <v>0.0950531479967296</v>
      </c>
      <c r="H54" s="16" t="n">
        <f aca="false">(1+Returns!H46)*(1+Returns!H47)*(1+Returns!H48)*(1+Returns!H49)*(1+Returns!H50)*(1+Returns!H51)-1</f>
        <v>-0.168501420454546</v>
      </c>
      <c r="I54" s="16" t="n">
        <f aca="false">(1+Returns!I46)*(1+Returns!I47)*(1+Returns!I48)*(1+Returns!I49)*(1+Returns!I50)*(1+Returns!I51)-1</f>
        <v>-0.0668322100035471</v>
      </c>
      <c r="J54" s="16" t="n">
        <f aca="false">(1+Returns!J46)*(1+Returns!J47)*(1+Returns!J48)*(1+Returns!J49)*(1+Returns!J50)*(1+Returns!J51)-1</f>
        <v>-0.064386578199924</v>
      </c>
    </row>
    <row r="55" customFormat="false" ht="15" hidden="false" customHeight="true" outlineLevel="0" collapsed="false">
      <c r="A55" s="1" t="n">
        <v>51</v>
      </c>
      <c r="B55" s="13" t="n">
        <f aca="false">Returns!A52</f>
        <v>43525</v>
      </c>
      <c r="C55" s="16" t="n">
        <f aca="false">(1+Returns!C47)*(1+Returns!C48)*(1+Returns!C49)*(1+Returns!C50)*(1+Returns!C51)*(1+Returns!C52)-1</f>
        <v>0.101117798796217</v>
      </c>
      <c r="D55" s="16" t="n">
        <f aca="false">(1+Returns!D47)*(1+Returns!D48)*(1+Returns!D49)*(1+Returns!D50)*(1+Returns!D51)*(1+Returns!D52)-1</f>
        <v>-0.0539682539682541</v>
      </c>
      <c r="E55" s="16" t="n">
        <f aca="false">(1+Returns!E47)*(1+Returns!E48)*(1+Returns!E49)*(1+Returns!E50)*(1+Returns!E51)*(1+Returns!E52)-1</f>
        <v>-0.0126620440156768</v>
      </c>
      <c r="F55" s="16" t="n">
        <f aca="false">(1+Returns!F47)*(1+Returns!F48)*(1+Returns!F49)*(1+Returns!F50)*(1+Returns!F51)*(1+Returns!F52)-1</f>
        <v>-0.166848249027237</v>
      </c>
      <c r="G55" s="16" t="n">
        <f aca="false">(1+Returns!G47)*(1+Returns!G48)*(1+Returns!G49)*(1+Returns!G50)*(1+Returns!G51)*(1+Returns!G52)-1</f>
        <v>0.0690537084398981</v>
      </c>
      <c r="H55" s="16" t="n">
        <f aca="false">(1+Returns!H47)*(1+Returns!H48)*(1+Returns!H49)*(1+Returns!H50)*(1+Returns!H51)*(1+Returns!H52)-1</f>
        <v>-0.180116860022017</v>
      </c>
      <c r="I55" s="16" t="n">
        <f aca="false">(1+Returns!I47)*(1+Returns!I48)*(1+Returns!I49)*(1+Returns!I50)*(1+Returns!I51)*(1+Returns!I52)-1</f>
        <v>-0.12565445026178</v>
      </c>
      <c r="J55" s="16" t="n">
        <f aca="false">(1+Returns!J47)*(1+Returns!J48)*(1+Returns!J49)*(1+Returns!J50)*(1+Returns!J51)*(1+Returns!J52)-1</f>
        <v>-0.05730075107461</v>
      </c>
    </row>
    <row r="56" customFormat="false" ht="15" hidden="false" customHeight="true" outlineLevel="0" collapsed="false">
      <c r="A56" s="1" t="n">
        <v>52</v>
      </c>
      <c r="B56" s="13" t="n">
        <f aca="false">Returns!A53</f>
        <v>43556</v>
      </c>
      <c r="C56" s="16" t="n">
        <f aca="false">(1+Returns!C48)*(1+Returns!C49)*(1+Returns!C50)*(1+Returns!C51)*(1+Returns!C52)*(1+Returns!C53)-1</f>
        <v>-0.0490271181247126</v>
      </c>
      <c r="D56" s="16" t="n">
        <f aca="false">(1+Returns!D48)*(1+Returns!D49)*(1+Returns!D50)*(1+Returns!D51)*(1+Returns!D52)*(1+Returns!D53)-1</f>
        <v>-0.138785625774474</v>
      </c>
      <c r="E56" s="16" t="n">
        <f aca="false">(1+Returns!E48)*(1+Returns!E49)*(1+Returns!E50)*(1+Returns!E51)*(1+Returns!E52)*(1+Returns!E53)-1</f>
        <v>-0.0355329949238579</v>
      </c>
      <c r="F56" s="16" t="n">
        <f aca="false">(1+Returns!F48)*(1+Returns!F49)*(1+Returns!F50)*(1+Returns!F51)*(1+Returns!F52)*(1+Returns!F53)-1</f>
        <v>-0.221515151515151</v>
      </c>
      <c r="G56" s="16" t="n">
        <f aca="false">(1+Returns!G48)*(1+Returns!G49)*(1+Returns!G50)*(1+Returns!G51)*(1+Returns!G52)*(1+Returns!G53)-1</f>
        <v>0.0558375634517767</v>
      </c>
      <c r="H56" s="16" t="n">
        <f aca="false">(1+Returns!H48)*(1+Returns!H49)*(1+Returns!H50)*(1+Returns!H51)*(1+Returns!H52)*(1+Returns!H53)-1</f>
        <v>-0.142945599292349</v>
      </c>
      <c r="I56" s="16" t="n">
        <f aca="false">(1+Returns!I48)*(1+Returns!I49)*(1+Returns!I50)*(1+Returns!I51)*(1+Returns!I52)*(1+Returns!I53)-1</f>
        <v>-0.209477146117189</v>
      </c>
      <c r="J56" s="16" t="n">
        <f aca="false">(1+Returns!J48)*(1+Returns!J49)*(1+Returns!J50)*(1+Returns!J51)*(1+Returns!J52)*(1+Returns!J53)-1</f>
        <v>-0.116806596788042</v>
      </c>
    </row>
    <row r="57" customFormat="false" ht="15" hidden="false" customHeight="true" outlineLevel="0" collapsed="false">
      <c r="A57" s="1" t="n">
        <v>53</v>
      </c>
      <c r="B57" s="13" t="n">
        <f aca="false">Returns!A54</f>
        <v>43586</v>
      </c>
      <c r="C57" s="16" t="n">
        <f aca="false">(1+Returns!C49)*(1+Returns!C50)*(1+Returns!C51)*(1+Returns!C52)*(1+Returns!C53)*(1+Returns!C54)-1</f>
        <v>0.0480709396390791</v>
      </c>
      <c r="D57" s="16" t="n">
        <f aca="false">(1+Returns!D49)*(1+Returns!D50)*(1+Returns!D51)*(1+Returns!D52)*(1+Returns!D53)*(1+Returns!D54)-1</f>
        <v>-0.0965038627733406</v>
      </c>
      <c r="E57" s="16" t="n">
        <f aca="false">(1+Returns!E49)*(1+Returns!E50)*(1+Returns!E51)*(1+Returns!E52)*(1+Returns!E53)*(1+Returns!E54)-1</f>
        <v>-0.145560407569141</v>
      </c>
      <c r="F57" s="16" t="n">
        <f aca="false">(1+Returns!F49)*(1+Returns!F50)*(1+Returns!F51)*(1+Returns!F52)*(1+Returns!F53)*(1+Returns!F54)-1</f>
        <v>-0.141946064139941</v>
      </c>
      <c r="G57" s="16" t="n">
        <f aca="false">(1+Returns!G49)*(1+Returns!G50)*(1+Returns!G51)*(1+Returns!G52)*(1+Returns!G53)*(1+Returns!G54)-1</f>
        <v>-0.0582278481012656</v>
      </c>
      <c r="H57" s="16" t="n">
        <f aca="false">(1+Returns!H49)*(1+Returns!H50)*(1+Returns!H51)*(1+Returns!H52)*(1+Returns!H53)*(1+Returns!H54)-1</f>
        <v>-0.0365022061772964</v>
      </c>
      <c r="I57" s="16" t="n">
        <f aca="false">(1+Returns!I49)*(1+Returns!I50)*(1+Returns!I51)*(1+Returns!I52)*(1+Returns!I53)*(1+Returns!I54)-1</f>
        <v>-0.173591348890154</v>
      </c>
      <c r="J57" s="16" t="n">
        <f aca="false">(1+Returns!J49)*(1+Returns!J50)*(1+Returns!J51)*(1+Returns!J52)*(1+Returns!J53)*(1+Returns!J54)-1</f>
        <v>-0.111646499669227</v>
      </c>
    </row>
    <row r="58" customFormat="false" ht="15" hidden="false" customHeight="true" outlineLevel="0" collapsed="false">
      <c r="A58" s="1" t="n">
        <v>54</v>
      </c>
      <c r="B58" s="13" t="n">
        <f aca="false">Returns!A55</f>
        <v>43617</v>
      </c>
      <c r="C58" s="16" t="n">
        <f aca="false">(1+Returns!C50)*(1+Returns!C51)*(1+Returns!C52)*(1+Returns!C53)*(1+Returns!C54)*(1+Returns!C55)-1</f>
        <v>0.0588235294117647</v>
      </c>
      <c r="D58" s="16" t="n">
        <f aca="false">(1+Returns!D50)*(1+Returns!D51)*(1+Returns!D52)*(1+Returns!D53)*(1+Returns!D54)*(1+Returns!D55)-1</f>
        <v>-0.085726593911545</v>
      </c>
      <c r="E58" s="16" t="n">
        <f aca="false">(1+Returns!E50)*(1+Returns!E51)*(1+Returns!E52)*(1+Returns!E53)*(1+Returns!E54)*(1+Returns!E55)-1</f>
        <v>-0.100773195876289</v>
      </c>
      <c r="F58" s="16" t="n">
        <f aca="false">(1+Returns!F50)*(1+Returns!F51)*(1+Returns!F52)*(1+Returns!F53)*(1+Returns!F54)*(1+Returns!F55)-1</f>
        <v>-0.131525064991833</v>
      </c>
      <c r="G58" s="16" t="n">
        <f aca="false">(1+Returns!G50)*(1+Returns!G51)*(1+Returns!G52)*(1+Returns!G53)*(1+Returns!G54)*(1+Returns!G55)-1</f>
        <v>-0.0696774193548385</v>
      </c>
      <c r="H58" s="16" t="n">
        <f aca="false">(1+Returns!H50)*(1+Returns!H51)*(1+Returns!H52)*(1+Returns!H53)*(1+Returns!H54)*(1+Returns!H55)-1</f>
        <v>-0.0389836029970682</v>
      </c>
      <c r="I58" s="16" t="n">
        <f aca="false">(1+Returns!I50)*(1+Returns!I51)*(1+Returns!I52)*(1+Returns!I53)*(1+Returns!I54)*(1+Returns!I55)-1</f>
        <v>-0.146624907277672</v>
      </c>
      <c r="J58" s="16" t="n">
        <f aca="false">(1+Returns!J50)*(1+Returns!J51)*(1+Returns!J52)*(1+Returns!J53)*(1+Returns!J54)*(1+Returns!J55)-1</f>
        <v>-0.0853891110261588</v>
      </c>
    </row>
    <row r="59" customFormat="false" ht="15" hidden="false" customHeight="true" outlineLevel="0" collapsed="false">
      <c r="A59" s="1" t="n">
        <v>55</v>
      </c>
      <c r="B59" s="13" t="n">
        <f aca="false">Returns!A56</f>
        <v>43647</v>
      </c>
      <c r="C59" s="16" t="n">
        <f aca="false">(1+Returns!C51)*(1+Returns!C52)*(1+Returns!C53)*(1+Returns!C54)*(1+Returns!C55)*(1+Returns!C56)-1</f>
        <v>-0.00791379020037031</v>
      </c>
      <c r="D59" s="16" t="n">
        <f aca="false">(1+Returns!D51)*(1+Returns!D52)*(1+Returns!D53)*(1+Returns!D54)*(1+Returns!D55)*(1+Returns!D56)-1</f>
        <v>-0.154911008569545</v>
      </c>
      <c r="E59" s="16" t="n">
        <f aca="false">(1+Returns!E51)*(1+Returns!E52)*(1+Returns!E53)*(1+Returns!E54)*(1+Returns!E55)*(1+Returns!E56)-1</f>
        <v>-0.16213881155803</v>
      </c>
      <c r="F59" s="16" t="n">
        <f aca="false">(1+Returns!F51)*(1+Returns!F52)*(1+Returns!F53)*(1+Returns!F54)*(1+Returns!F55)*(1+Returns!F56)-1</f>
        <v>-0.192362605749355</v>
      </c>
      <c r="G59" s="16" t="n">
        <f aca="false">(1+Returns!G51)*(1+Returns!G52)*(1+Returns!G53)*(1+Returns!G54)*(1+Returns!G55)*(1+Returns!G56)-1</f>
        <v>-0.107511737089202</v>
      </c>
      <c r="H59" s="16" t="n">
        <f aca="false">(1+Returns!H51)*(1+Returns!H52)*(1+Returns!H53)*(1+Returns!H54)*(1+Returns!H55)*(1+Returns!H56)-1</f>
        <v>-0.15805275573665</v>
      </c>
      <c r="I59" s="16" t="n">
        <f aca="false">(1+Returns!I51)*(1+Returns!I52)*(1+Returns!I53)*(1+Returns!I54)*(1+Returns!I55)*(1+Returns!I56)-1</f>
        <v>-0.271297006907137</v>
      </c>
      <c r="J59" s="16" t="n">
        <f aca="false">(1+Returns!J51)*(1+Returns!J52)*(1+Returns!J53)*(1+Returns!J54)*(1+Returns!J55)*(1+Returns!J56)-1</f>
        <v>-0.217184908057742</v>
      </c>
    </row>
    <row r="60" customFormat="false" ht="15" hidden="false" customHeight="true" outlineLevel="0" collapsed="false">
      <c r="A60" s="1" t="n">
        <v>56</v>
      </c>
      <c r="B60" s="13" t="n">
        <f aca="false">Returns!A57</f>
        <v>43678</v>
      </c>
      <c r="C60" s="16" t="n">
        <f aca="false">(1+Returns!C52)*(1+Returns!C53)*(1+Returns!C54)*(1+Returns!C55)*(1+Returns!C56)*(1+Returns!C57)-1</f>
        <v>-0.145021303455894</v>
      </c>
      <c r="D60" s="16" t="n">
        <f aca="false">(1+Returns!D52)*(1+Returns!D53)*(1+Returns!D54)*(1+Returns!D55)*(1+Returns!D56)*(1+Returns!D57)-1</f>
        <v>-0.104640087086678</v>
      </c>
      <c r="E60" s="16" t="n">
        <f aca="false">(1+Returns!E52)*(1+Returns!E53)*(1+Returns!E54)*(1+Returns!E55)*(1+Returns!E56)*(1+Returns!E57)-1</f>
        <v>-0.178520937941793</v>
      </c>
      <c r="F60" s="16" t="n">
        <f aca="false">(1+Returns!F52)*(1+Returns!F53)*(1+Returns!F54)*(1+Returns!F55)*(1+Returns!F56)*(1+Returns!F57)-1</f>
        <v>-0.250053563011527</v>
      </c>
      <c r="G60" s="16" t="n">
        <f aca="false">(1+Returns!G52)*(1+Returns!G53)*(1+Returns!G54)*(1+Returns!G55)*(1+Returns!G56)*(1+Returns!G57)-1</f>
        <v>-0.147750606682845</v>
      </c>
      <c r="H60" s="16" t="n">
        <f aca="false">(1+Returns!H52)*(1+Returns!H53)*(1+Returns!H54)*(1+Returns!H55)*(1+Returns!H56)*(1+Returns!H57)-1</f>
        <v>-0.0856288703822336</v>
      </c>
      <c r="I60" s="16" t="n">
        <f aca="false">(1+Returns!I52)*(1+Returns!I53)*(1+Returns!I54)*(1+Returns!I55)*(1+Returns!I56)*(1+Returns!I57)-1</f>
        <v>-0.356800729871512</v>
      </c>
      <c r="J60" s="16" t="n">
        <f aca="false">(1+Returns!J52)*(1+Returns!J53)*(1+Returns!J54)*(1+Returns!J55)*(1+Returns!J56)*(1+Returns!J57)-1</f>
        <v>-0.240240074152597</v>
      </c>
    </row>
    <row r="61" customFormat="false" ht="15" hidden="false" customHeight="true" outlineLevel="0" collapsed="false">
      <c r="A61" s="1" t="n">
        <v>57</v>
      </c>
      <c r="B61" s="13" t="n">
        <f aca="false">Returns!A58</f>
        <v>43709</v>
      </c>
      <c r="C61" s="16" t="n">
        <f aca="false">(1+Returns!C53)*(1+Returns!C54)*(1+Returns!C55)*(1+Returns!C56)*(1+Returns!C57)*(1+Returns!C58)-1</f>
        <v>-0.188505388099328</v>
      </c>
      <c r="D61" s="16" t="n">
        <f aca="false">(1+Returns!D53)*(1+Returns!D54)*(1+Returns!D55)*(1+Returns!D56)*(1+Returns!D57)*(1+Returns!D58)-1</f>
        <v>-0.0492170022371365</v>
      </c>
      <c r="E61" s="16" t="n">
        <f aca="false">(1+Returns!E53)*(1+Returns!E54)*(1+Returns!E55)*(1+Returns!E56)*(1+Returns!E57)*(1+Returns!E58)-1</f>
        <v>-0.129770992366412</v>
      </c>
      <c r="F61" s="16" t="n">
        <f aca="false">(1+Returns!F53)*(1+Returns!F54)*(1+Returns!F55)*(1+Returns!F56)*(1+Returns!F57)*(1+Returns!F58)-1</f>
        <v>-0.201639267700355</v>
      </c>
      <c r="G61" s="16" t="n">
        <f aca="false">(1+Returns!G53)*(1+Returns!G54)*(1+Returns!G55)*(1+Returns!G56)*(1+Returns!G57)*(1+Returns!G58)-1</f>
        <v>-0.105741626794258</v>
      </c>
      <c r="H61" s="16" t="n">
        <f aca="false">(1+Returns!H53)*(1+Returns!H54)*(1+Returns!H55)*(1+Returns!H56)*(1+Returns!H57)*(1+Returns!H58)-1</f>
        <v>-0.182710183846313</v>
      </c>
      <c r="I61" s="16" t="n">
        <f aca="false">(1+Returns!I53)*(1+Returns!I54)*(1+Returns!I55)*(1+Returns!I56)*(1+Returns!I57)*(1+Returns!I58)-1</f>
        <v>-0.274171656686627</v>
      </c>
      <c r="J61" s="16" t="n">
        <f aca="false">(1+Returns!J53)*(1+Returns!J54)*(1+Returns!J55)*(1+Returns!J56)*(1+Returns!J57)*(1+Returns!J58)-1</f>
        <v>-0.170002644288363</v>
      </c>
    </row>
    <row r="62" customFormat="false" ht="15" hidden="false" customHeight="true" outlineLevel="0" collapsed="false">
      <c r="A62" s="1" t="n">
        <v>58</v>
      </c>
      <c r="B62" s="13" t="n">
        <f aca="false">Returns!A59</f>
        <v>43739</v>
      </c>
      <c r="C62" s="16" t="n">
        <f aca="false">(1+Returns!C54)*(1+Returns!C55)*(1+Returns!C56)*(1+Returns!C57)*(1+Returns!C58)*(1+Returns!C59)-1</f>
        <v>-0.0968261640083776</v>
      </c>
      <c r="D62" s="16" t="n">
        <f aca="false">(1+Returns!D54)*(1+Returns!D55)*(1+Returns!D56)*(1+Returns!D57)*(1+Returns!D58)*(1+Returns!D59)-1</f>
        <v>0.0264748201438849</v>
      </c>
      <c r="E62" s="16" t="n">
        <f aca="false">(1+Returns!E54)*(1+Returns!E55)*(1+Returns!E56)*(1+Returns!E57)*(1+Returns!E58)*(1+Returns!E59)-1</f>
        <v>-0.0794736842105263</v>
      </c>
      <c r="F62" s="16" t="n">
        <f aca="false">(1+Returns!F54)*(1+Returns!F55)*(1+Returns!F56)*(1+Returns!F57)*(1+Returns!F58)*(1+Returns!F59)-1</f>
        <v>-0.0917347865576751</v>
      </c>
      <c r="G62" s="16" t="n">
        <f aca="false">(1+Returns!G54)*(1+Returns!G55)*(1+Returns!G56)*(1+Returns!G57)*(1+Returns!G58)*(1+Returns!G59)-1</f>
        <v>-0.0961538461538462</v>
      </c>
      <c r="H62" s="16" t="n">
        <f aca="false">(1+Returns!H54)*(1+Returns!H55)*(1+Returns!H56)*(1+Returns!H57)*(1+Returns!H58)*(1+Returns!H59)-1</f>
        <v>-0.166683868304263</v>
      </c>
      <c r="I62" s="16" t="n">
        <f aca="false">(1+Returns!I54)*(1+Returns!I55)*(1+Returns!I56)*(1+Returns!I57)*(1+Returns!I58)*(1+Returns!I59)-1</f>
        <v>0.0346408558329088</v>
      </c>
      <c r="J62" s="16" t="n">
        <f aca="false">(1+Returns!J54)*(1+Returns!J55)*(1+Returns!J56)*(1+Returns!J57)*(1+Returns!J58)*(1+Returns!J59)-1</f>
        <v>-0.0701590128869707</v>
      </c>
    </row>
    <row r="63" customFormat="false" ht="15" hidden="false" customHeight="true" outlineLevel="0" collapsed="false">
      <c r="A63" s="1" t="n">
        <v>59</v>
      </c>
      <c r="B63" s="13" t="n">
        <f aca="false">Returns!A60</f>
        <v>43770</v>
      </c>
      <c r="C63" s="16" t="n">
        <f aca="false">(1+Returns!C55)*(1+Returns!C56)*(1+Returns!C57)*(1+Returns!C58)*(1+Returns!C59)*(1+Returns!C60)-1</f>
        <v>-0.071693632180496</v>
      </c>
      <c r="D63" s="16" t="n">
        <f aca="false">(1+Returns!D55)*(1+Returns!D56)*(1+Returns!D57)*(1+Returns!D58)*(1+Returns!D59)*(1+Returns!D60)-1</f>
        <v>-0.000289855072463818</v>
      </c>
      <c r="E63" s="16" t="n">
        <f aca="false">(1+Returns!E55)*(1+Returns!E56)*(1+Returns!E57)*(1+Returns!E58)*(1+Returns!E59)*(1+Returns!E60)-1</f>
        <v>0.130039750141965</v>
      </c>
      <c r="F63" s="16" t="n">
        <f aca="false">(1+Returns!F55)*(1+Returns!F56)*(1+Returns!F57)*(1+Returns!F58)*(1+Returns!F59)*(1+Returns!F60)-1</f>
        <v>-0.00830560864538354</v>
      </c>
      <c r="G63" s="16" t="n">
        <f aca="false">(1+Returns!G55)*(1+Returns!G56)*(1+Returns!G57)*(1+Returns!G58)*(1+Returns!G59)*(1+Returns!G60)-1</f>
        <v>0.13989247311828</v>
      </c>
      <c r="H63" s="16" t="n">
        <f aca="false">(1+Returns!H55)*(1+Returns!H56)*(1+Returns!H57)*(1+Returns!H58)*(1+Returns!H59)*(1+Returns!H60)-1</f>
        <v>-0.159658617818485</v>
      </c>
      <c r="I63" s="16" t="n">
        <f aca="false">(1+Returns!I55)*(1+Returns!I56)*(1+Returns!I57)*(1+Returns!I58)*(1+Returns!I59)*(1+Returns!I60)-1</f>
        <v>0.167957988980716</v>
      </c>
      <c r="J63" s="16" t="n">
        <f aca="false">(1+Returns!J55)*(1+Returns!J56)*(1+Returns!J57)*(1+Returns!J58)*(1+Returns!J59)*(1+Returns!J60)-1</f>
        <v>0.0920883763324261</v>
      </c>
    </row>
    <row r="64" customFormat="false" ht="15" hidden="false" customHeight="true" outlineLevel="0" collapsed="false">
      <c r="A64" s="1" t="n">
        <v>60</v>
      </c>
      <c r="B64" s="13" t="n">
        <f aca="false">Returns!A61</f>
        <v>43800</v>
      </c>
      <c r="C64" s="16" t="n">
        <f aca="false">(1+Returns!C56)*(1+Returns!C57)*(1+Returns!C58)*(1+Returns!C59)*(1+Returns!C60)*(1+Returns!C61)-1</f>
        <v>0.0900383141762453</v>
      </c>
      <c r="D64" s="16" t="n">
        <f aca="false">(1+Returns!D56)*(1+Returns!D57)*(1+Returns!D58)*(1+Returns!D59)*(1+Returns!D60)*(1+Returns!D61)-1</f>
        <v>0.146536830532433</v>
      </c>
      <c r="E64" s="16" t="n">
        <f aca="false">(1+Returns!E56)*(1+Returns!E57)*(1+Returns!E58)*(1+Returns!E59)*(1+Returns!E60)*(1+Returns!E61)-1</f>
        <v>0.20951562052164</v>
      </c>
      <c r="F64" s="16" t="n">
        <f aca="false">(1+Returns!F56)*(1+Returns!F57)*(1+Returns!F58)*(1+Returns!F59)*(1+Returns!F60)*(1+Returns!F61)-1</f>
        <v>0.129165562913907</v>
      </c>
      <c r="G64" s="16" t="n">
        <f aca="false">(1+Returns!G56)*(1+Returns!G57)*(1+Returns!G58)*(1+Returns!G59)*(1+Returns!G60)*(1+Returns!G61)-1</f>
        <v>0.173601479426722</v>
      </c>
      <c r="H64" s="16" t="n">
        <f aca="false">(1+Returns!H56)*(1+Returns!H57)*(1+Returns!H58)*(1+Returns!H59)*(1+Returns!H60)*(1+Returns!H61)-1</f>
        <v>0.0902824858757065</v>
      </c>
      <c r="I64" s="16" t="n">
        <f aca="false">(1+Returns!I56)*(1+Returns!I57)*(1+Returns!I58)*(1+Returns!I59)*(1+Returns!I60)*(1+Returns!I61)-1</f>
        <v>0.421865945528298</v>
      </c>
      <c r="J64" s="16" t="n">
        <f aca="false">(1+Returns!J56)*(1+Returns!J57)*(1+Returns!J58)*(1+Returns!J59)*(1+Returns!J60)*(1+Returns!J61)-1</f>
        <v>0.201568776440508</v>
      </c>
    </row>
    <row r="65" customFormat="false" ht="15" hidden="false" customHeight="true" outlineLevel="0" collapsed="false">
      <c r="A65" s="1" t="n">
        <v>61</v>
      </c>
      <c r="B65" s="13" t="n">
        <f aca="false">Returns!A62</f>
        <v>43831</v>
      </c>
      <c r="C65" s="16" t="n">
        <f aca="false">(1+Returns!C57)*(1+Returns!C58)*(1+Returns!C59)*(1+Returns!C60)*(1+Returns!C61)*(1+Returns!C62)-1</f>
        <v>0.256279701289885</v>
      </c>
      <c r="D65" s="16" t="n">
        <f aca="false">(1+Returns!D57)*(1+Returns!D58)*(1+Returns!D59)*(1+Returns!D60)*(1+Returns!D61)*(1+Returns!D62)-1</f>
        <v>0.0556942277691108</v>
      </c>
      <c r="E65" s="16" t="n">
        <f aca="false">(1+Returns!E57)*(1+Returns!E58)*(1+Returns!E59)*(1+Returns!E60)*(1+Returns!E61)*(1+Returns!E62)-1</f>
        <v>0.208753437213566</v>
      </c>
      <c r="F65" s="16" t="n">
        <f aca="false">(1+Returns!F57)*(1+Returns!F58)*(1+Returns!F59)*(1+Returns!F60)*(1+Returns!F61)*(1+Returns!F62)-1</f>
        <v>0.255936675461742</v>
      </c>
      <c r="G65" s="16" t="n">
        <f aca="false">(1+Returns!G57)*(1+Returns!G58)*(1+Returns!G59)*(1+Returns!G60)*(1+Returns!G61)*(1+Returns!G62)-1</f>
        <v>0.106154655444503</v>
      </c>
      <c r="H65" s="16" t="n">
        <f aca="false">(1+Returns!H57)*(1+Returns!H58)*(1+Returns!H59)*(1+Returns!H60)*(1+Returns!H61)*(1+Returns!H62)-1</f>
        <v>0.213321446765156</v>
      </c>
      <c r="I65" s="16" t="n">
        <f aca="false">(1+Returns!I57)*(1+Returns!I58)*(1+Returns!I59)*(1+Returns!I60)*(1+Returns!I61)*(1+Returns!I62)-1</f>
        <v>0.590310689836756</v>
      </c>
      <c r="J65" s="16" t="n">
        <f aca="false">(1+Returns!J57)*(1+Returns!J58)*(1+Returns!J59)*(1+Returns!J60)*(1+Returns!J61)*(1+Returns!J62)-1</f>
        <v>0.303472801460808</v>
      </c>
    </row>
    <row r="66" customFormat="false" ht="15" hidden="false" customHeight="true" outlineLevel="0" collapsed="false">
      <c r="A66" s="1" t="n">
        <v>62</v>
      </c>
      <c r="B66" s="13" t="n">
        <f aca="false">Returns!A63</f>
        <v>43862</v>
      </c>
      <c r="C66" s="16" t="n">
        <f aca="false">(1+Returns!C58)*(1+Returns!C59)*(1+Returns!C60)*(1+Returns!C61)*(1+Returns!C62)*(1+Returns!C63)-1</f>
        <v>0.325027685492802</v>
      </c>
      <c r="D66" s="16" t="n">
        <f aca="false">(1+Returns!D58)*(1+Returns!D59)*(1+Returns!D60)*(1+Returns!D61)*(1+Returns!D62)*(1+Returns!D63)-1</f>
        <v>-0.0402735562310032</v>
      </c>
      <c r="E66" s="16" t="n">
        <f aca="false">(1+Returns!E58)*(1+Returns!E59)*(1+Returns!E60)*(1+Returns!E61)*(1+Returns!E62)*(1+Returns!E63)-1</f>
        <v>0.180345380096137</v>
      </c>
      <c r="F66" s="16" t="n">
        <f aca="false">(1+Returns!F58)*(1+Returns!F59)*(1+Returns!F60)*(1+Returns!F61)*(1+Returns!F62)*(1+Returns!F63)-1</f>
        <v>0.397280233122876</v>
      </c>
      <c r="G66" s="16" t="n">
        <f aca="false">(1+Returns!G58)*(1+Returns!G59)*(1+Returns!G60)*(1+Returns!G61)*(1+Returns!G62)*(1+Returns!G63)-1</f>
        <v>0.132406089146862</v>
      </c>
      <c r="H66" s="16" t="n">
        <f aca="false">(1+Returns!H58)*(1+Returns!H59)*(1+Returns!H60)*(1+Returns!H61)*(1+Returns!H62)*(1+Returns!H63)-1</f>
        <v>0.211349836524988</v>
      </c>
      <c r="I66" s="16" t="n">
        <f aca="false">(1+Returns!I58)*(1+Returns!I59)*(1+Returns!I60)*(1+Returns!I61)*(1+Returns!I62)*(1+Returns!I63)-1</f>
        <v>0.589125295508274</v>
      </c>
      <c r="J66" s="16" t="n">
        <f aca="false">(1+Returns!J58)*(1+Returns!J59)*(1+Returns!J60)*(1+Returns!J61)*(1+Returns!J62)*(1+Returns!J63)-1</f>
        <v>0.280111431202085</v>
      </c>
    </row>
    <row r="67" customFormat="false" ht="15" hidden="false" customHeight="true" outlineLevel="0" collapsed="false">
      <c r="A67" s="1" t="n">
        <v>63</v>
      </c>
      <c r="B67" s="13" t="n">
        <f aca="false">Returns!A64</f>
        <v>43891</v>
      </c>
      <c r="C67" s="16" t="n">
        <f aca="false">(1+Returns!C59)*(1+Returns!C60)*(1+Returns!C61)*(1+Returns!C62)*(1+Returns!C63)*(1+Returns!C64)-1</f>
        <v>-0.101039260969977</v>
      </c>
      <c r="D67" s="16" t="n">
        <f aca="false">(1+Returns!D59)*(1+Returns!D60)*(1+Returns!D61)*(1+Returns!D62)*(1+Returns!D63)*(1+Returns!D64)-1</f>
        <v>-0.154264705882353</v>
      </c>
      <c r="E67" s="16" t="n">
        <f aca="false">(1+Returns!E59)*(1+Returns!E60)*(1+Returns!E61)*(1+Returns!E62)*(1+Returns!E63)*(1+Returns!E64)-1</f>
        <v>-0.125730994152047</v>
      </c>
      <c r="F67" s="16" t="n">
        <f aca="false">(1+Returns!F59)*(1+Returns!F60)*(1+Returns!F61)*(1+Returns!F62)*(1+Returns!F63)*(1+Returns!F64)-1</f>
        <v>0.0792945099300944</v>
      </c>
      <c r="G67" s="16" t="n">
        <f aca="false">(1+Returns!G59)*(1+Returns!G60)*(1+Returns!G61)*(1+Returns!G62)*(1+Returns!G63)*(1+Returns!G64)-1</f>
        <v>-0.00428036383092556</v>
      </c>
      <c r="H67" s="16" t="n">
        <f aca="false">(1+Returns!H59)*(1+Returns!H60)*(1+Returns!H61)*(1+Returns!H62)*(1+Returns!H63)*(1+Returns!H64)-1</f>
        <v>-0.259699229116643</v>
      </c>
      <c r="I67" s="16" t="n">
        <f aca="false">(1+Returns!I59)*(1+Returns!I60)*(1+Returns!I61)*(1+Returns!I62)*(1+Returns!I63)*(1+Returns!I64)-1</f>
        <v>0.0910790892091078</v>
      </c>
      <c r="J67" s="16" t="n">
        <f aca="false">(1+Returns!J59)*(1+Returns!J60)*(1+Returns!J61)*(1+Returns!J62)*(1+Returns!J63)*(1+Returns!J64)-1</f>
        <v>-0.0887569223959087</v>
      </c>
    </row>
    <row r="68" customFormat="false" ht="15" hidden="false" customHeight="true" outlineLevel="0" collapsed="false">
      <c r="A68" s="1" t="n">
        <v>64</v>
      </c>
      <c r="B68" s="13" t="n">
        <f aca="false">Returns!A65</f>
        <v>43922</v>
      </c>
      <c r="C68" s="16" t="n">
        <f aca="false">(1+Returns!C60)*(1+Returns!C61)*(1+Returns!C62)*(1+Returns!C63)*(1+Returns!C64)*(1+Returns!C65)-1</f>
        <v>-0.160185515519087</v>
      </c>
      <c r="D68" s="16" t="n">
        <f aca="false">(1+Returns!D60)*(1+Returns!D61)*(1+Returns!D62)*(1+Returns!D63)*(1+Returns!D64)*(1+Returns!D65)-1</f>
        <v>-0.132324081861508</v>
      </c>
      <c r="E68" s="16" t="n">
        <f aca="false">(1+Returns!E60)*(1+Returns!E61)*(1+Returns!E62)*(1+Returns!E63)*(1+Returns!E64)*(1+Returns!E65)-1</f>
        <v>-0.0680388793596339</v>
      </c>
      <c r="F68" s="16" t="n">
        <f aca="false">(1+Returns!F60)*(1+Returns!F61)*(1+Returns!F62)*(1+Returns!F63)*(1+Returns!F64)*(1+Returns!F65)-1</f>
        <v>0.340028571428572</v>
      </c>
      <c r="G68" s="16" t="n">
        <f aca="false">(1+Returns!G60)*(1+Returns!G61)*(1+Returns!G62)*(1+Returns!G63)*(1+Returns!G64)*(1+Returns!G65)-1</f>
        <v>0.18936170212766</v>
      </c>
      <c r="H68" s="16" t="n">
        <f aca="false">(1+Returns!H60)*(1+Returns!H61)*(1+Returns!H62)*(1+Returns!H63)*(1+Returns!H64)*(1+Returns!H65)-1</f>
        <v>-0.393856824374535</v>
      </c>
      <c r="I68" s="16" t="n">
        <f aca="false">(1+Returns!I60)*(1+Returns!I61)*(1+Returns!I62)*(1+Returns!I63)*(1+Returns!I64)*(1+Returns!I65)-1</f>
        <v>0.0690956835713115</v>
      </c>
      <c r="J68" s="16" t="n">
        <f aca="false">(1+Returns!J60)*(1+Returns!J61)*(1+Returns!J62)*(1+Returns!J63)*(1+Returns!J64)*(1+Returns!J65)-1</f>
        <v>-0.00269093851889635</v>
      </c>
    </row>
    <row r="69" customFormat="false" ht="15" hidden="false" customHeight="true" outlineLevel="0" collapsed="false">
      <c r="A69" s="1" t="n">
        <v>65</v>
      </c>
      <c r="B69" s="13" t="n">
        <f aca="false">Returns!A66</f>
        <v>43952</v>
      </c>
      <c r="C69" s="16" t="n">
        <f aca="false">(1+Returns!C61)*(1+Returns!C62)*(1+Returns!C63)*(1+Returns!C64)*(1+Returns!C65)*(1+Returns!C66)-1</f>
        <v>-0.287496002558363</v>
      </c>
      <c r="D69" s="16" t="n">
        <f aca="false">(1+Returns!D61)*(1+Returns!D62)*(1+Returns!D63)*(1+Returns!D64)*(1+Returns!D65)*(1+Returns!D66)-1</f>
        <v>-0.127283270513192</v>
      </c>
      <c r="E69" s="16" t="n">
        <f aca="false">(1+Returns!E61)*(1+Returns!E62)*(1+Returns!E63)*(1+Returns!E64)*(1+Returns!E65)*(1+Returns!E66)-1</f>
        <v>-0.241206030150754</v>
      </c>
      <c r="F69" s="16" t="n">
        <f aca="false">(1+Returns!F61)*(1+Returns!F62)*(1+Returns!F63)*(1+Returns!F64)*(1+Returns!F65)*(1+Returns!F66)-1</f>
        <v>0.0875823835922815</v>
      </c>
      <c r="G69" s="16" t="n">
        <f aca="false">(1+Returns!G61)*(1+Returns!G62)*(1+Returns!G63)*(1+Returns!G64)*(1+Returns!G65)*(1+Returns!G66)-1</f>
        <v>0.0272615790963118</v>
      </c>
      <c r="H69" s="16" t="n">
        <f aca="false">(1+Returns!H61)*(1+Returns!H62)*(1+Returns!H63)*(1+Returns!H64)*(1+Returns!H65)*(1+Returns!H66)-1</f>
        <v>-0.179217240525142</v>
      </c>
      <c r="I69" s="16" t="n">
        <f aca="false">(1+Returns!I61)*(1+Returns!I62)*(1+Returns!I63)*(1+Returns!I64)*(1+Returns!I65)*(1+Returns!I66)-1</f>
        <v>0.0155524434289085</v>
      </c>
      <c r="J69" s="16" t="n">
        <f aca="false">(1+Returns!J61)*(1+Returns!J62)*(1+Returns!J63)*(1+Returns!J64)*(1+Returns!J65)*(1+Returns!J66)-1</f>
        <v>-0.136338518592993</v>
      </c>
    </row>
    <row r="70" customFormat="false" ht="15" hidden="false" customHeight="true" outlineLevel="0" collapsed="false">
      <c r="A70" s="1" t="n">
        <v>66</v>
      </c>
      <c r="B70" s="13" t="n">
        <f aca="false">Returns!A67</f>
        <v>43983</v>
      </c>
      <c r="C70" s="16" t="n">
        <f aca="false">(1+Returns!C62)*(1+Returns!C63)*(1+Returns!C64)*(1+Returns!C65)*(1+Returns!C66)*(1+Returns!C67)-1</f>
        <v>-0.274165202108963</v>
      </c>
      <c r="D70" s="16" t="n">
        <f aca="false">(1+Returns!D62)*(1+Returns!D63)*(1+Returns!D64)*(1+Returns!D65)*(1+Returns!D66)*(1+Returns!D67)-1</f>
        <v>-0.172739726027397</v>
      </c>
      <c r="E70" s="16" t="n">
        <f aca="false">(1+Returns!E62)*(1+Returns!E63)*(1+Returns!E64)*(1+Returns!E65)*(1+Returns!E66)*(1+Returns!E67)-1</f>
        <v>-0.234597156398104</v>
      </c>
      <c r="F70" s="16" t="n">
        <f aca="false">(1+Returns!F62)*(1+Returns!F63)*(1+Returns!F64)*(1+Returns!F65)*(1+Returns!F66)*(1+Returns!F67)-1</f>
        <v>0.0838690001407589</v>
      </c>
      <c r="G70" s="16" t="n">
        <f aca="false">(1+Returns!G62)*(1+Returns!G63)*(1+Returns!G64)*(1+Returns!G65)*(1+Returns!G66)*(1+Returns!G67)-1</f>
        <v>0.0838093362221783</v>
      </c>
      <c r="H70" s="16" t="n">
        <f aca="false">(1+Returns!H62)*(1+Returns!H63)*(1+Returns!H64)*(1+Returns!H65)*(1+Returns!H66)*(1+Returns!H67)-1</f>
        <v>-0.227899264172453</v>
      </c>
      <c r="I70" s="16" t="n">
        <f aca="false">(1+Returns!I62)*(1+Returns!I63)*(1+Returns!I64)*(1+Returns!I65)*(1+Returns!I66)*(1+Returns!I67)-1</f>
        <v>-0.0604537426980029</v>
      </c>
      <c r="J70" s="16" t="n">
        <f aca="false">(1+Returns!J62)*(1+Returns!J63)*(1+Returns!J64)*(1+Returns!J65)*(1+Returns!J66)*(1+Returns!J67)-1</f>
        <v>-0.154980915711962</v>
      </c>
    </row>
    <row r="71" customFormat="false" ht="15" hidden="false" customHeight="true" outlineLevel="0" collapsed="false">
      <c r="A71" s="1" t="n">
        <v>67</v>
      </c>
      <c r="B71" s="13" t="n">
        <f aca="false">Returns!A68</f>
        <v>44013</v>
      </c>
      <c r="C71" s="16" t="n">
        <f aca="false">(1+Returns!C63)*(1+Returns!C64)*(1+Returns!C65)*(1+Returns!C66)*(1+Returns!C67)*(1+Returns!C68)-1</f>
        <v>-0.177654687922183</v>
      </c>
      <c r="D71" s="16" t="n">
        <f aca="false">(1+Returns!D63)*(1+Returns!D64)*(1+Returns!D65)*(1+Returns!D66)*(1+Returns!D67)*(1+Returns!D68)-1</f>
        <v>-0.0128565095315505</v>
      </c>
      <c r="E71" s="16" t="n">
        <f aca="false">(1+Returns!E63)*(1+Returns!E64)*(1+Returns!E65)*(1+Returns!E66)*(1+Returns!E67)*(1+Returns!E68)-1</f>
        <v>-0.158767772511848</v>
      </c>
      <c r="F71" s="16" t="n">
        <f aca="false">(1+Returns!F63)*(1+Returns!F64)*(1+Returns!F65)*(1+Returns!F66)*(1+Returns!F67)*(1+Returns!F68)-1</f>
        <v>0.222710084033613</v>
      </c>
      <c r="G71" s="16" t="n">
        <f aca="false">(1+Returns!G63)*(1+Returns!G64)*(1+Returns!G65)*(1+Returns!G66)*(1+Returns!G67)*(1+Returns!G68)-1</f>
        <v>0.04955297698307</v>
      </c>
      <c r="H71" s="16" t="n">
        <f aca="false">(1+Returns!H63)*(1+Returns!H64)*(1+Returns!H65)*(1+Returns!H66)*(1+Returns!H67)*(1+Returns!H68)-1</f>
        <v>-0.0844966936076413</v>
      </c>
      <c r="I71" s="16" t="n">
        <f aca="false">(1+Returns!I63)*(1+Returns!I64)*(1+Returns!I65)*(1+Returns!I66)*(1+Returns!I67)*(1+Returns!I68)-1</f>
        <v>0.0154304635761591</v>
      </c>
      <c r="J71" s="16" t="n">
        <f aca="false">(1+Returns!J63)*(1+Returns!J64)*(1+Returns!J65)*(1+Returns!J66)*(1+Returns!J67)*(1+Returns!J68)-1</f>
        <v>-0.0569888645320045</v>
      </c>
    </row>
    <row r="72" customFormat="false" ht="15" hidden="false" customHeight="true" outlineLevel="0" collapsed="false">
      <c r="A72" s="1" t="n">
        <v>68</v>
      </c>
      <c r="B72" s="13" t="n">
        <f aca="false">Returns!A69</f>
        <v>44044</v>
      </c>
      <c r="C72" s="16" t="n">
        <f aca="false">(1+Returns!C64)*(1+Returns!C65)*(1+Returns!C66)*(1+Returns!C67)*(1+Returns!C68)*(1+Returns!C69)-1</f>
        <v>-0.0949993035241679</v>
      </c>
      <c r="D72" s="16" t="n">
        <f aca="false">(1+Returns!D64)*(1+Returns!D65)*(1+Returns!D66)*(1+Returns!D67)*(1+Returns!D68)*(1+Returns!D69)-1</f>
        <v>0.0023752969121138</v>
      </c>
      <c r="E72" s="16" t="n">
        <f aca="false">(1+Returns!E64)*(1+Returns!E65)*(1+Returns!E66)*(1+Returns!E67)*(1+Returns!E68)*(1+Returns!E69)-1</f>
        <v>-0.140321769733534</v>
      </c>
      <c r="F72" s="16" t="n">
        <f aca="false">(1+Returns!F64)*(1+Returns!F65)*(1+Returns!F66)*(1+Returns!F67)*(1+Returns!F68)*(1+Returns!F69)-1</f>
        <v>0.255392668016112</v>
      </c>
      <c r="G72" s="16" t="n">
        <f aca="false">(1+Returns!G64)*(1+Returns!G65)*(1+Returns!G66)*(1+Returns!G67)*(1+Returns!G68)*(1+Returns!G69)-1</f>
        <v>0.0444874274661506</v>
      </c>
      <c r="H72" s="16" t="n">
        <f aca="false">(1+Returns!H64)*(1+Returns!H65)*(1+Returns!H66)*(1+Returns!H67)*(1+Returns!H68)*(1+Returns!H69)-1</f>
        <v>0.0196645459803355</v>
      </c>
      <c r="I72" s="16" t="n">
        <f aca="false">(1+Returns!I64)*(1+Returns!I65)*(1+Returns!I66)*(1+Returns!I67)*(1+Returns!I68)*(1+Returns!I69)-1</f>
        <v>0.193394822969354</v>
      </c>
      <c r="J72" s="16" t="n">
        <f aca="false">(1+Returns!J64)*(1+Returns!J65)*(1+Returns!J66)*(1+Returns!J67)*(1+Returns!J68)*(1+Returns!J69)-1</f>
        <v>0.0823331214876304</v>
      </c>
    </row>
    <row r="73" customFormat="false" ht="15" hidden="false" customHeight="true" outlineLevel="0" collapsed="false">
      <c r="A73" s="1" t="n">
        <v>69</v>
      </c>
      <c r="B73" s="13" t="n">
        <f aca="false">Returns!A70</f>
        <v>44075</v>
      </c>
      <c r="C73" s="16" t="n">
        <f aca="false">(1+Returns!C65)*(1+Returns!C66)*(1+Returns!C67)*(1+Returns!C68)*(1+Returns!C69)*(1+Returns!C70)-1</f>
        <v>0.397131235281524</v>
      </c>
      <c r="D73" s="16" t="n">
        <f aca="false">(1+Returns!D65)*(1+Returns!D66)*(1+Returns!D67)*(1+Returns!D68)*(1+Returns!D69)*(1+Returns!D70)-1</f>
        <v>0.0624239262736912</v>
      </c>
      <c r="E73" s="16" t="n">
        <f aca="false">(1+Returns!E65)*(1+Returns!E66)*(1+Returns!E67)*(1+Returns!E68)*(1+Returns!E69)*(1+Returns!E70)-1</f>
        <v>0.163946488294314</v>
      </c>
      <c r="F73" s="16" t="n">
        <f aca="false">(1+Returns!F65)*(1+Returns!F66)*(1+Returns!F67)*(1+Returns!F68)*(1+Returns!F69)*(1+Returns!F70)-1</f>
        <v>0.75609756097561</v>
      </c>
      <c r="G73" s="16" t="n">
        <f aca="false">(1+Returns!G65)*(1+Returns!G66)*(1+Returns!G67)*(1+Returns!G68)*(1+Returns!G69)*(1+Returns!G70)-1</f>
        <v>0.160666308436325</v>
      </c>
      <c r="H73" s="16" t="n">
        <f aca="false">(1+Returns!H65)*(1+Returns!H66)*(1+Returns!H67)*(1+Returns!H68)*(1+Returns!H69)*(1+Returns!H70)-1</f>
        <v>0.727210652099693</v>
      </c>
      <c r="I73" s="16" t="n">
        <f aca="false">(1+Returns!I65)*(1+Returns!I66)*(1+Returns!I67)*(1+Returns!I68)*(1+Returns!I69)*(1+Returns!I70)-1</f>
        <v>0.540276237523944</v>
      </c>
      <c r="J73" s="16" t="n">
        <f aca="false">(1+Returns!J65)*(1+Returns!J66)*(1+Returns!J67)*(1+Returns!J68)*(1+Returns!J69)*(1+Returns!J70)-1</f>
        <v>0.387930813300524</v>
      </c>
    </row>
    <row r="74" customFormat="false" ht="15" hidden="false" customHeight="true" outlineLevel="0" collapsed="false">
      <c r="A74" s="1" t="n">
        <v>70</v>
      </c>
      <c r="B74" s="13" t="n">
        <f aca="false">Returns!A71</f>
        <v>44105</v>
      </c>
      <c r="C74" s="16" t="n">
        <f aca="false">(1+Returns!C66)*(1+Returns!C67)*(1+Returns!C68)*(1+Returns!C69)*(1+Returns!C70)*(1+Returns!C71)-1</f>
        <v>0.453271028037383</v>
      </c>
      <c r="D74" s="16" t="n">
        <f aca="false">(1+Returns!D66)*(1+Returns!D67)*(1+Returns!D68)*(1+Returns!D69)*(1+Returns!D70)*(1+Returns!D71)-1</f>
        <v>0.0420032310177705</v>
      </c>
      <c r="E74" s="16" t="n">
        <f aca="false">(1+Returns!E66)*(1+Returns!E67)*(1+Returns!E68)*(1+Returns!E69)*(1+Returns!E70)*(1+Returns!E71)-1</f>
        <v>0.0153987730061351</v>
      </c>
      <c r="F74" s="16" t="n">
        <f aca="false">(1+Returns!F66)*(1+Returns!F67)*(1+Returns!F68)*(1+Returns!F69)*(1+Returns!F70)*(1+Returns!F71)-1</f>
        <v>0.434937421376943</v>
      </c>
      <c r="G74" s="16" t="n">
        <f aca="false">(1+Returns!G66)*(1+Returns!G67)*(1+Returns!G68)*(1+Returns!G69)*(1+Returns!G70)*(1+Returns!G71)-1</f>
        <v>-0.0520572450805008</v>
      </c>
      <c r="H74" s="16" t="n">
        <f aca="false">(1+Returns!H66)*(1+Returns!H67)*(1+Returns!H68)*(1+Returns!H69)*(1+Returns!H70)*(1+Returns!H71)-1</f>
        <v>1.4991826726604</v>
      </c>
      <c r="I74" s="16" t="n">
        <f aca="false">(1+Returns!I66)*(1+Returns!I67)*(1+Returns!I68)*(1+Returns!I69)*(1+Returns!I70)*(1+Returns!I71)-1</f>
        <v>0.0648603008903899</v>
      </c>
      <c r="J74" s="16" t="n">
        <f aca="false">(1+Returns!J66)*(1+Returns!J67)*(1+Returns!J68)*(1+Returns!J69)*(1+Returns!J70)*(1+Returns!J71)-1</f>
        <v>0.169336918424327</v>
      </c>
    </row>
    <row r="75" customFormat="false" ht="15" hidden="false" customHeight="true" outlineLevel="0" collapsed="false">
      <c r="A75" s="1" t="n">
        <v>71</v>
      </c>
      <c r="B75" s="13" t="n">
        <f aca="false">Returns!A72</f>
        <v>44136</v>
      </c>
      <c r="C75" s="16" t="n">
        <f aca="false">(1+Returns!C67)*(1+Returns!C68)*(1+Returns!C69)*(1+Returns!C70)*(1+Returns!C71)*(1+Returns!C72)-1</f>
        <v>0.681777378815081</v>
      </c>
      <c r="D75" s="16" t="n">
        <f aca="false">(1+Returns!D67)*(1+Returns!D68)*(1+Returns!D69)*(1+Returns!D70)*(1+Returns!D71)*(1+Returns!D72)-1</f>
        <v>0.00681063122923575</v>
      </c>
      <c r="E75" s="16" t="n">
        <f aca="false">(1+Returns!E67)*(1+Returns!E68)*(1+Returns!E69)*(1+Returns!E70)*(1+Returns!E71)*(1+Returns!E72)-1</f>
        <v>0.165960264900662</v>
      </c>
      <c r="F75" s="16" t="n">
        <f aca="false">(1+Returns!F67)*(1+Returns!F68)*(1+Returns!F69)*(1+Returns!F70)*(1+Returns!F71)*(1+Returns!F72)-1</f>
        <v>0.431524830452855</v>
      </c>
      <c r="G75" s="16" t="n">
        <f aca="false">(1+Returns!G67)*(1+Returns!G68)*(1+Returns!G69)*(1+Returns!G70)*(1+Returns!G71)*(1+Returns!G72)-1</f>
        <v>-0.0518824609733701</v>
      </c>
      <c r="H75" s="16" t="n">
        <f aca="false">(1+Returns!H67)*(1+Returns!H68)*(1+Returns!H69)*(1+Returns!H70)*(1+Returns!H71)*(1+Returns!H72)-1</f>
        <v>0.805039987928173</v>
      </c>
      <c r="I75" s="16" t="n">
        <f aca="false">(1+Returns!I67)*(1+Returns!I68)*(1+Returns!I69)*(1+Returns!I70)*(1+Returns!I71)*(1+Returns!I72)-1</f>
        <v>0.0902888663086081</v>
      </c>
      <c r="J75" s="16" t="n">
        <f aca="false">(1+Returns!J67)*(1+Returns!J68)*(1+Returns!J69)*(1+Returns!J70)*(1+Returns!J71)*(1+Returns!J72)-1</f>
        <v>0.210354590741332</v>
      </c>
    </row>
    <row r="76" customFormat="false" ht="15" hidden="false" customHeight="true" outlineLevel="0" collapsed="false">
      <c r="A76" s="1" t="n">
        <v>72</v>
      </c>
      <c r="B76" s="13" t="n">
        <f aca="false">Returns!A73</f>
        <v>44166</v>
      </c>
      <c r="C76" s="16" t="n">
        <f aca="false">(1+Returns!C68)*(1+Returns!C69)*(1+Returns!C70)*(1+Returns!C71)*(1+Returns!C72)*(1+Returns!C73)-1</f>
        <v>0.674737691686844</v>
      </c>
      <c r="D76" s="16" t="n">
        <f aca="false">(1+Returns!D68)*(1+Returns!D69)*(1+Returns!D70)*(1+Returns!D71)*(1+Returns!D72)*(1+Returns!D73)-1</f>
        <v>0.0465308825964563</v>
      </c>
      <c r="E76" s="16" t="n">
        <f aca="false">(1+Returns!E68)*(1+Returns!E69)*(1+Returns!E70)*(1+Returns!E71)*(1+Returns!E72)*(1+Returns!E73)-1</f>
        <v>0.162229102167182</v>
      </c>
      <c r="F76" s="16" t="n">
        <f aca="false">(1+Returns!F68)*(1+Returns!F69)*(1+Returns!F70)*(1+Returns!F71)*(1+Returns!F72)*(1+Returns!F73)-1</f>
        <v>0.506460899114738</v>
      </c>
      <c r="G76" s="16" t="n">
        <f aca="false">(1+Returns!G68)*(1+Returns!G69)*(1+Returns!G70)*(1+Returns!G71)*(1+Returns!G72)*(1+Returns!G73)-1</f>
        <v>-0.0109041344843254</v>
      </c>
      <c r="H76" s="16" t="n">
        <f aca="false">(1+Returns!H68)*(1+Returns!H69)*(1+Returns!H70)*(1+Returns!H71)*(1+Returns!H72)*(1+Returns!H73)-1</f>
        <v>0.873959731543624</v>
      </c>
      <c r="I76" s="16" t="n">
        <f aca="false">(1+Returns!I68)*(1+Returns!I69)*(1+Returns!I70)*(1+Returns!I71)*(1+Returns!I72)*(1+Returns!I73)-1</f>
        <v>0.0836466165413534</v>
      </c>
      <c r="J76" s="16" t="n">
        <f aca="false">(1+Returns!J68)*(1+Returns!J69)*(1+Returns!J70)*(1+Returns!J71)*(1+Returns!J72)*(1+Returns!J73)-1</f>
        <v>0.271148733132841</v>
      </c>
    </row>
    <row r="77" customFormat="false" ht="15" hidden="false" customHeight="true" outlineLevel="0" collapsed="false">
      <c r="A77" s="1" t="n">
        <v>73</v>
      </c>
      <c r="B77" s="13" t="n">
        <f aca="false">Returns!A74</f>
        <v>44197</v>
      </c>
      <c r="C77" s="16" t="n">
        <f aca="false">(1+Returns!C69)*(1+Returns!C70)*(1+Returns!C71)*(1+Returns!C72)*(1+Returns!C73)*(1+Returns!C74)-1</f>
        <v>0.455232462625267</v>
      </c>
      <c r="D77" s="16" t="n">
        <f aca="false">(1+Returns!D69)*(1+Returns!D70)*(1+Returns!D71)*(1+Returns!D72)*(1+Returns!D73)*(1+Returns!D74)-1</f>
        <v>-0.0270958083832337</v>
      </c>
      <c r="E77" s="16" t="n">
        <f aca="false">(1+Returns!E69)*(1+Returns!E70)*(1+Returns!E71)*(1+Returns!E72)*(1+Returns!E73)*(1+Returns!E74)-1</f>
        <v>0.0849014084507043</v>
      </c>
      <c r="F77" s="16" t="n">
        <f aca="false">(1+Returns!F69)*(1+Returns!F70)*(1+Returns!F71)*(1+Returns!F72)*(1+Returns!F73)*(1+Returns!F74)-1</f>
        <v>0.249617704163159</v>
      </c>
      <c r="G77" s="16" t="n">
        <f aca="false">(1+Returns!G69)*(1+Returns!G70)*(1+Returns!G71)*(1+Returns!G72)*(1+Returns!G73)*(1+Returns!G74)-1</f>
        <v>-0.00217489805165383</v>
      </c>
      <c r="H77" s="16" t="n">
        <f aca="false">(1+Returns!H69)*(1+Returns!H70)*(1+Returns!H71)*(1+Returns!H72)*(1+Returns!H73)*(1+Returns!H74)-1</f>
        <v>0.657303370786517</v>
      </c>
      <c r="I77" s="16" t="n">
        <f aca="false">(1+Returns!I69)*(1+Returns!I70)*(1+Returns!I71)*(1+Returns!I72)*(1+Returns!I73)*(1+Returns!I74)-1</f>
        <v>0.0217830822409182</v>
      </c>
      <c r="J77" s="16" t="n">
        <f aca="false">(1+Returns!J69)*(1+Returns!J70)*(1+Returns!J71)*(1+Returns!J72)*(1+Returns!J73)*(1+Returns!J74)-1</f>
        <v>0.181543128050936</v>
      </c>
    </row>
    <row r="78" customFormat="false" ht="15" hidden="false" customHeight="true" outlineLevel="0" collapsed="false">
      <c r="A78" s="1" t="n">
        <v>74</v>
      </c>
      <c r="B78" s="13" t="n">
        <f aca="false">Returns!A75</f>
        <v>44228</v>
      </c>
      <c r="C78" s="16" t="n">
        <f aca="false">(1+Returns!C70)*(1+Returns!C71)*(1+Returns!C72)*(1+Returns!C73)*(1+Returns!C74)*(1+Returns!C75)-1</f>
        <v>0.321379098045251</v>
      </c>
      <c r="D78" s="16" t="n">
        <f aca="false">(1+Returns!D70)*(1+Returns!D71)*(1+Returns!D72)*(1+Returns!D73)*(1+Returns!D74)*(1+Returns!D75)-1</f>
        <v>0.0293838862559239</v>
      </c>
      <c r="E78" s="16" t="n">
        <f aca="false">(1+Returns!E70)*(1+Returns!E71)*(1+Returns!E72)*(1+Returns!E73)*(1+Returns!E74)*(1+Returns!E75)-1</f>
        <v>0.070822855137727</v>
      </c>
      <c r="F78" s="16" t="n">
        <f aca="false">(1+Returns!F70)*(1+Returns!F71)*(1+Returns!F72)*(1+Returns!F73)*(1+Returns!F74)*(1+Returns!F75)-1</f>
        <v>0.440928338762215</v>
      </c>
      <c r="G78" s="16" t="n">
        <f aca="false">(1+Returns!G70)*(1+Returns!G71)*(1+Returns!G72)*(1+Returns!G73)*(1+Returns!G74)*(1+Returns!G75)-1</f>
        <v>0.025462962962963</v>
      </c>
      <c r="H78" s="16" t="n">
        <f aca="false">(1+Returns!H70)*(1+Returns!H71)*(1+Returns!H72)*(1+Returns!H73)*(1+Returns!H74)*(1+Returns!H75)-1</f>
        <v>0.358385328039327</v>
      </c>
      <c r="I78" s="16" t="n">
        <f aca="false">(1+Returns!I70)*(1+Returns!I71)*(1+Returns!I72)*(1+Returns!I73)*(1+Returns!I74)*(1+Returns!I75)-1</f>
        <v>0.108077786088257</v>
      </c>
      <c r="J78" s="16" t="n">
        <f aca="false">(1+Returns!J70)*(1+Returns!J71)*(1+Returns!J72)*(1+Returns!J73)*(1+Returns!J74)*(1+Returns!J75)-1</f>
        <v>0.115640536470471</v>
      </c>
    </row>
    <row r="79" customFormat="false" ht="15" hidden="false" customHeight="true" outlineLevel="0" collapsed="false">
      <c r="A79" s="1" t="n">
        <v>75</v>
      </c>
      <c r="B79" s="13" t="n">
        <f aca="false">Returns!A76</f>
        <v>44256</v>
      </c>
      <c r="C79" s="16" t="n">
        <f aca="false">(1+Returns!C71)*(1+Returns!C72)*(1+Returns!C73)*(1+Returns!C74)*(1+Returns!C75)*(1+Returns!C76)-1</f>
        <v>0.379711921544591</v>
      </c>
      <c r="D79" s="16" t="n">
        <f aca="false">(1+Returns!D71)*(1+Returns!D72)*(1+Returns!D73)*(1+Returns!D74)*(1+Returns!D75)*(1+Returns!D76)-1</f>
        <v>0.0220949263502457</v>
      </c>
      <c r="E79" s="16" t="n">
        <f aca="false">(1+Returns!E71)*(1+Returns!E72)*(1+Returns!E73)*(1+Returns!E74)*(1+Returns!E75)*(1+Returns!E76)-1</f>
        <v>-0.0115510602838919</v>
      </c>
      <c r="F79" s="16" t="n">
        <f aca="false">(1+Returns!F71)*(1+Returns!F72)*(1+Returns!F73)*(1+Returns!F74)*(1+Returns!F75)*(1+Returns!F76)-1</f>
        <v>0.26466049382716</v>
      </c>
      <c r="G79" s="16" t="n">
        <f aca="false">(1+Returns!G71)*(1+Returns!G72)*(1+Returns!G73)*(1+Returns!G74)*(1+Returns!G75)*(1+Returns!G76)-1</f>
        <v>-0.037037037037037</v>
      </c>
      <c r="H79" s="16" t="n">
        <f aca="false">(1+Returns!H71)*(1+Returns!H72)*(1+Returns!H73)*(1+Returns!H74)*(1+Returns!H75)*(1+Returns!H76)-1</f>
        <v>0.35708638070765</v>
      </c>
      <c r="I79" s="16" t="n">
        <f aca="false">(1+Returns!I71)*(1+Returns!I72)*(1+Returns!I73)*(1+Returns!I74)*(1+Returns!I75)*(1+Returns!I76)-1</f>
        <v>0.119976436706375</v>
      </c>
      <c r="J79" s="16" t="n">
        <f aca="false">(1+Returns!J71)*(1+Returns!J72)*(1+Returns!J73)*(1+Returns!J74)*(1+Returns!J75)*(1+Returns!J76)-1</f>
        <v>0.0989949097247622</v>
      </c>
    </row>
    <row r="80" customFormat="false" ht="15" hidden="false" customHeight="true" outlineLevel="0" collapsed="false">
      <c r="A80" s="1" t="n">
        <v>76</v>
      </c>
      <c r="B80" s="13" t="n">
        <f aca="false">Returns!A77</f>
        <v>44287</v>
      </c>
      <c r="C80" s="16" t="n">
        <f aca="false">(1+Returns!C72)*(1+Returns!C73)*(1+Returns!C74)*(1+Returns!C75)*(1+Returns!C76)*(1+Returns!C77)-1</f>
        <v>0.247880736626718</v>
      </c>
      <c r="D80" s="16" t="n">
        <f aca="false">(1+Returns!D72)*(1+Returns!D73)*(1+Returns!D74)*(1+Returns!D75)*(1+Returns!D76)*(1+Returns!D77)-1</f>
        <v>0.0387596899224807</v>
      </c>
      <c r="E80" s="16" t="n">
        <f aca="false">(1+Returns!E72)*(1+Returns!E73)*(1+Returns!E74)*(1+Returns!E75)*(1+Returns!E76)*(1+Returns!E77)-1</f>
        <v>-0.0151652468128813</v>
      </c>
      <c r="F80" s="16" t="n">
        <f aca="false">(1+Returns!F72)*(1+Returns!F73)*(1+Returns!F74)*(1+Returns!F75)*(1+Returns!F76)*(1+Returns!F77)-1</f>
        <v>0.24072808320951</v>
      </c>
      <c r="G80" s="16" t="n">
        <f aca="false">(1+Returns!G72)*(1+Returns!G73)*(1+Returns!G74)*(1+Returns!G75)*(1+Returns!G76)*(1+Returns!G77)-1</f>
        <v>-0.00924702774108355</v>
      </c>
      <c r="H80" s="16" t="n">
        <f aca="false">(1+Returns!H72)*(1+Returns!H73)*(1+Returns!H74)*(1+Returns!H75)*(1+Returns!H76)*(1+Returns!H77)-1</f>
        <v>0.00310685961900092</v>
      </c>
      <c r="I80" s="16" t="n">
        <f aca="false">(1+Returns!I72)*(1+Returns!I73)*(1+Returns!I74)*(1+Returns!I75)*(1+Returns!I76)*(1+Returns!I77)-1</f>
        <v>0.213364088517264</v>
      </c>
      <c r="J80" s="16" t="n">
        <f aca="false">(1+Returns!J72)*(1+Returns!J73)*(1+Returns!J74)*(1+Returns!J75)*(1+Returns!J76)*(1+Returns!J77)-1</f>
        <v>0.109665814279984</v>
      </c>
    </row>
    <row r="81" customFormat="false" ht="15" hidden="false" customHeight="true" outlineLevel="0" collapsed="false">
      <c r="A81" s="1" t="n">
        <v>77</v>
      </c>
      <c r="B81" s="13" t="n">
        <f aca="false">Returns!A78</f>
        <v>44317</v>
      </c>
      <c r="C81" s="16" t="n">
        <f aca="false">(1+Returns!C73)*(1+Returns!C74)*(1+Returns!C75)*(1+Returns!C76)*(1+Returns!C77)*(1+Returns!C78)-1</f>
        <v>0.202695489725114</v>
      </c>
      <c r="D81" s="16" t="n">
        <f aca="false">(1+Returns!D73)*(1+Returns!D74)*(1+Returns!D75)*(1+Returns!D76)*(1+Returns!D77)*(1+Returns!D78)-1</f>
        <v>0.175548589341693</v>
      </c>
      <c r="E81" s="16" t="n">
        <f aca="false">(1+Returns!E73)*(1+Returns!E74)*(1+Returns!E75)*(1+Returns!E76)*(1+Returns!E77)*(1+Returns!E78)-1</f>
        <v>-0.0571396114960808</v>
      </c>
      <c r="F81" s="16" t="n">
        <f aca="false">(1+Returns!F73)*(1+Returns!F74)*(1+Returns!F75)*(1+Returns!F76)*(1+Returns!F77)*(1+Returns!F78)-1</f>
        <v>0.424314204936196</v>
      </c>
      <c r="G81" s="16" t="n">
        <f aca="false">(1+Returns!G73)*(1+Returns!G74)*(1+Returns!G75)*(1+Returns!G76)*(1+Returns!G77)*(1+Returns!G78)-1</f>
        <v>0.0400968523002421</v>
      </c>
      <c r="H81" s="16" t="n">
        <f aca="false">(1+Returns!H73)*(1+Returns!H74)*(1+Returns!H75)*(1+Returns!H76)*(1+Returns!H77)*(1+Returns!H78)-1</f>
        <v>0.102825614445745</v>
      </c>
      <c r="I81" s="16" t="n">
        <f aca="false">(1+Returns!I73)*(1+Returns!I74)*(1+Returns!I75)*(1+Returns!I76)*(1+Returns!I77)*(1+Returns!I78)-1</f>
        <v>0.153841033151378</v>
      </c>
      <c r="J81" s="16" t="n">
        <f aca="false">(1+Returns!J73)*(1+Returns!J74)*(1+Returns!J75)*(1+Returns!J76)*(1+Returns!J77)*(1+Returns!J78)-1</f>
        <v>0.166245828343741</v>
      </c>
    </row>
    <row r="82" customFormat="false" ht="15" hidden="false" customHeight="true" outlineLevel="0" collapsed="false">
      <c r="A82" s="1" t="n">
        <v>78</v>
      </c>
      <c r="B82" s="13" t="n">
        <f aca="false">Returns!A79</f>
        <v>44348</v>
      </c>
      <c r="C82" s="16" t="n">
        <f aca="false">(1+Returns!C74)*(1+Returns!C75)*(1+Returns!C76)*(1+Returns!C77)*(1+Returns!C78)*(1+Returns!C79)-1</f>
        <v>0.0960240963855423</v>
      </c>
      <c r="D82" s="16" t="n">
        <f aca="false">(1+Returns!D74)*(1+Returns!D75)*(1+Returns!D76)*(1+Returns!D77)*(1+Returns!D78)*(1+Returns!D79)-1</f>
        <v>0.10996835443038</v>
      </c>
      <c r="E82" s="16" t="n">
        <f aca="false">(1+Returns!E74)*(1+Returns!E75)*(1+Returns!E76)*(1+Returns!E77)*(1+Returns!E78)*(1+Returns!E79)-1</f>
        <v>-0.142248268513586</v>
      </c>
      <c r="F82" s="16" t="n">
        <f aca="false">(1+Returns!F74)*(1+Returns!F75)*(1+Returns!F76)*(1+Returns!F77)*(1+Returns!F78)*(1+Returns!F79)-1</f>
        <v>0.242801724137931</v>
      </c>
      <c r="G82" s="16" t="n">
        <f aca="false">(1+Returns!G74)*(1+Returns!G75)*(1+Returns!G76)*(1+Returns!G77)*(1+Returns!G78)*(1+Returns!G79)-1</f>
        <v>-0.0259072117593018</v>
      </c>
      <c r="H82" s="16" t="n">
        <f aca="false">(1+Returns!H74)*(1+Returns!H75)*(1+Returns!H76)*(1+Returns!H77)*(1+Returns!H78)*(1+Returns!H79)-1</f>
        <v>-0.0699090323042764</v>
      </c>
      <c r="I82" s="16" t="n">
        <f aca="false">(1+Returns!I74)*(1+Returns!I75)*(1+Returns!I76)*(1+Returns!I77)*(1+Returns!I78)*(1+Returns!I79)-1</f>
        <v>0.130428981252919</v>
      </c>
      <c r="J82" s="16" t="n">
        <f aca="false">(1+Returns!J74)*(1+Returns!J75)*(1+Returns!J76)*(1+Returns!J77)*(1+Returns!J78)*(1+Returns!J79)-1</f>
        <v>0.0822902235108003</v>
      </c>
    </row>
    <row r="83" customFormat="false" ht="15" hidden="false" customHeight="true" outlineLevel="0" collapsed="false">
      <c r="A83" s="1" t="n">
        <v>79</v>
      </c>
      <c r="B83" s="13" t="n">
        <f aca="false">Returns!A80</f>
        <v>44378</v>
      </c>
      <c r="C83" s="16" t="n">
        <f aca="false">(1+Returns!C75)*(1+Returns!C76)*(1+Returns!C77)*(1+Returns!C78)*(1+Returns!C79)*(1+Returns!C80)-1</f>
        <v>0.115488823662226</v>
      </c>
      <c r="D83" s="16" t="n">
        <f aca="false">(1+Returns!D75)*(1+Returns!D76)*(1+Returns!D77)*(1+Returns!D78)*(1+Returns!D79)*(1+Returns!D80)-1</f>
        <v>0.170949376827205</v>
      </c>
      <c r="E83" s="16" t="n">
        <f aca="false">(1+Returns!E75)*(1+Returns!E76)*(1+Returns!E77)*(1+Returns!E78)*(1+Returns!E79)*(1+Returns!E80)-1</f>
        <v>-0.160149556005609</v>
      </c>
      <c r="F83" s="16" t="n">
        <f aca="false">(1+Returns!F75)*(1+Returns!F76)*(1+Returns!F77)*(1+Returns!F78)*(1+Returns!F79)*(1+Returns!F80)-1</f>
        <v>0.216158616232864</v>
      </c>
      <c r="G83" s="16" t="n">
        <f aca="false">(1+Returns!G75)*(1+Returns!G76)*(1+Returns!G77)*(1+Returns!G78)*(1+Returns!G79)*(1+Returns!G80)-1</f>
        <v>-0.03278539642176</v>
      </c>
      <c r="H83" s="16" t="n">
        <f aca="false">(1+Returns!H75)*(1+Returns!H76)*(1+Returns!H77)*(1+Returns!H78)*(1+Returns!H79)*(1+Returns!H80)-1</f>
        <v>-0.146454514008993</v>
      </c>
      <c r="I83" s="16" t="n">
        <f aca="false">(1+Returns!I75)*(1+Returns!I76)*(1+Returns!I77)*(1+Returns!I78)*(1+Returns!I79)*(1+Returns!I80)-1</f>
        <v>0.0716154975426055</v>
      </c>
      <c r="J83" s="16" t="n">
        <f aca="false">(1+Returns!J75)*(1+Returns!J76)*(1+Returns!J77)*(1+Returns!J78)*(1+Returns!J79)*(1+Returns!J80)-1</f>
        <v>0.0144387669088253</v>
      </c>
    </row>
    <row r="84" customFormat="false" ht="15" hidden="false" customHeight="true" outlineLevel="0" collapsed="false">
      <c r="A84" s="1" t="n">
        <v>80</v>
      </c>
      <c r="B84" s="13" t="n">
        <f aca="false">Returns!A81</f>
        <v>44409</v>
      </c>
      <c r="C84" s="16" t="n">
        <f aca="false">(1+Returns!C76)*(1+Returns!C77)*(1+Returns!C78)*(1+Returns!C79)*(1+Returns!C80)*(1+Returns!C81)-1</f>
        <v>0.422597553873035</v>
      </c>
      <c r="D84" s="16" t="n">
        <f aca="false">(1+Returns!D76)*(1+Returns!D77)*(1+Returns!D78)*(1+Returns!D79)*(1+Returns!D80)*(1+Returns!D81)-1</f>
        <v>0.185543278084715</v>
      </c>
      <c r="E84" s="16" t="n">
        <f aca="false">(1+Returns!E76)*(1+Returns!E77)*(1+Returns!E78)*(1+Returns!E79)*(1+Returns!E80)*(1+Returns!E81)-1</f>
        <v>-0.101529219006008</v>
      </c>
      <c r="F84" s="16" t="n">
        <f aca="false">(1+Returns!F76)*(1+Returns!F77)*(1+Returns!F78)*(1+Returns!F79)*(1+Returns!F80)*(1+Returns!F81)-1</f>
        <v>-0.0618606806596366</v>
      </c>
      <c r="G84" s="16" t="n">
        <f aca="false">(1+Returns!G76)*(1+Returns!G77)*(1+Returns!G78)*(1+Returns!G79)*(1+Returns!G80)*(1+Returns!G81)-1</f>
        <v>-0.0433408577878103</v>
      </c>
      <c r="H84" s="16" t="n">
        <f aca="false">(1+Returns!H76)*(1+Returns!H77)*(1+Returns!H78)*(1+Returns!H79)*(1+Returns!H80)*(1+Returns!H81)-1</f>
        <v>-0.11670958313035</v>
      </c>
      <c r="I84" s="16" t="n">
        <f aca="false">(1+Returns!I76)*(1+Returns!I77)*(1+Returns!I78)*(1+Returns!I79)*(1+Returns!I80)*(1+Returns!I81)-1</f>
        <v>-0.0375182810214869</v>
      </c>
      <c r="J84" s="16" t="n">
        <f aca="false">(1+Returns!J76)*(1+Returns!J77)*(1+Returns!J78)*(1+Returns!J79)*(1+Returns!J80)*(1+Returns!J81)-1</f>
        <v>0.0338977285957796</v>
      </c>
    </row>
    <row r="85" customFormat="false" ht="15" hidden="false" customHeight="true" outlineLevel="0" collapsed="false">
      <c r="A85" s="1" t="n">
        <v>81</v>
      </c>
      <c r="B85" s="13" t="n">
        <f aca="false">Returns!A82</f>
        <v>44440</v>
      </c>
      <c r="C85" s="16" t="n">
        <f aca="false">(1+Returns!C77)*(1+Returns!C78)*(1+Returns!C79)*(1+Returns!C80)*(1+Returns!C81)*(1+Returns!C82)-1</f>
        <v>0.413482896490449</v>
      </c>
      <c r="D85" s="16" t="n">
        <f aca="false">(1+Returns!D77)*(1+Returns!D78)*(1+Returns!D79)*(1+Returns!D80)*(1+Returns!D81)*(1+Returns!D82)-1</f>
        <v>0.120736589271417</v>
      </c>
      <c r="E85" s="16" t="n">
        <f aca="false">(1+Returns!E77)*(1+Returns!E78)*(1+Returns!E79)*(1+Returns!E80)*(1+Returns!E81)*(1+Returns!E82)-1</f>
        <v>-0.111046511627907</v>
      </c>
      <c r="F85" s="16" t="n">
        <f aca="false">(1+Returns!F77)*(1+Returns!F78)*(1+Returns!F79)*(1+Returns!F80)*(1+Returns!F81)*(1+Returns!F82)-1</f>
        <v>-0.120073215375229</v>
      </c>
      <c r="G85" s="16" t="n">
        <f aca="false">(1+Returns!G77)*(1+Returns!G78)*(1+Returns!G79)*(1+Returns!G80)*(1+Returns!G81)*(1+Returns!G82)-1</f>
        <v>-0.0193269230769229</v>
      </c>
      <c r="H85" s="16" t="n">
        <f aca="false">(1+Returns!H77)*(1+Returns!H78)*(1+Returns!H79)*(1+Returns!H80)*(1+Returns!H81)*(1+Returns!H82)-1</f>
        <v>-0.26050542567912</v>
      </c>
      <c r="I85" s="16" t="n">
        <f aca="false">(1+Returns!I77)*(1+Returns!I78)*(1+Returns!I79)*(1+Returns!I80)*(1+Returns!I81)*(1+Returns!I82)-1</f>
        <v>0.0123312489042136</v>
      </c>
      <c r="J85" s="16" t="n">
        <f aca="false">(1+Returns!J77)*(1+Returns!J78)*(1+Returns!J79)*(1+Returns!J80)*(1+Returns!J81)*(1+Returns!J82)-1</f>
        <v>0.00699181503481317</v>
      </c>
    </row>
    <row r="86" customFormat="false" ht="15" hidden="false" customHeight="true" outlineLevel="0" collapsed="false">
      <c r="A86" s="1" t="n">
        <v>82</v>
      </c>
      <c r="B86" s="13" t="n">
        <f aca="false">Returns!A83</f>
        <v>44470</v>
      </c>
      <c r="C86" s="16" t="n">
        <f aca="false">(1+Returns!C78)*(1+Returns!C79)*(1+Returns!C80)*(1+Returns!C81)*(1+Returns!C82)*(1+Returns!C83)-1</f>
        <v>0.416139611150153</v>
      </c>
      <c r="D86" s="16" t="n">
        <f aca="false">(1+Returns!D78)*(1+Returns!D79)*(1+Returns!D80)*(1+Returns!D81)*(1+Returns!D82)*(1+Returns!D83)-1</f>
        <v>0.0671641791044777</v>
      </c>
      <c r="E86" s="16" t="n">
        <f aca="false">(1+Returns!E78)*(1+Returns!E79)*(1+Returns!E80)*(1+Returns!E81)*(1+Returns!E82)*(1+Returns!E83)-1</f>
        <v>0.0061349693251529</v>
      </c>
      <c r="F86" s="16" t="n">
        <f aca="false">(1+Returns!F78)*(1+Returns!F79)*(1+Returns!F80)*(1+Returns!F81)*(1+Returns!F82)*(1+Returns!F83)-1</f>
        <v>-0.0718674027855955</v>
      </c>
      <c r="G86" s="16" t="n">
        <f aca="false">(1+Returns!G78)*(1+Returns!G79)*(1+Returns!G80)*(1+Returns!G81)*(1+Returns!G82)*(1+Returns!G83)-1</f>
        <v>-0.0190476190476191</v>
      </c>
      <c r="H86" s="16" t="n">
        <f aca="false">(1+Returns!H78)*(1+Returns!H79)*(1+Returns!H80)*(1+Returns!H81)*(1+Returns!H82)*(1+Returns!H83)-1</f>
        <v>-0.0300758007987614</v>
      </c>
      <c r="I86" s="16" t="n">
        <f aca="false">(1+Returns!I78)*(1+Returns!I79)*(1+Returns!I80)*(1+Returns!I81)*(1+Returns!I82)*(1+Returns!I83)-1</f>
        <v>0.122141032495693</v>
      </c>
      <c r="J86" s="16" t="n">
        <f aca="false">(1+Returns!J78)*(1+Returns!J79)*(1+Returns!J80)*(1+Returns!J81)*(1+Returns!J82)*(1+Returns!J83)-1</f>
        <v>0.0442041599689127</v>
      </c>
    </row>
    <row r="87" customFormat="false" ht="15" hidden="false" customHeight="true" outlineLevel="0" collapsed="false">
      <c r="A87" s="1" t="n">
        <v>83</v>
      </c>
      <c r="B87" s="13" t="n">
        <f aca="false">Returns!A84</f>
        <v>44501</v>
      </c>
      <c r="C87" s="16" t="n">
        <f aca="false">(1+Returns!C79)*(1+Returns!C80)*(1+Returns!C81)*(1+Returns!C82)*(1+Returns!C83)*(1+Returns!C84)-1</f>
        <v>0.502829246643737</v>
      </c>
      <c r="D87" s="16" t="n">
        <f aca="false">(1+Returns!D79)*(1+Returns!D80)*(1+Returns!D81)*(1+Returns!D82)*(1+Returns!D83)*(1+Returns!D84)-1</f>
        <v>0.0385964912280705</v>
      </c>
      <c r="E87" s="16" t="n">
        <f aca="false">(1+Returns!E79)*(1+Returns!E80)*(1+Returns!E81)*(1+Returns!E82)*(1+Returns!E83)*(1+Returns!E84)-1</f>
        <v>-0.0542168674698799</v>
      </c>
      <c r="F87" s="16" t="n">
        <f aca="false">(1+Returns!F79)*(1+Returns!F80)*(1+Returns!F81)*(1+Returns!F82)*(1+Returns!F83)*(1+Returns!F84)-1</f>
        <v>-0.228540772532189</v>
      </c>
      <c r="G87" s="16" t="n">
        <f aca="false">(1+Returns!G79)*(1+Returns!G80)*(1+Returns!G81)*(1+Returns!G82)*(1+Returns!G83)*(1+Returns!G84)-1</f>
        <v>-0.0641586739919916</v>
      </c>
      <c r="H87" s="16" t="n">
        <f aca="false">(1+Returns!H79)*(1+Returns!H80)*(1+Returns!H81)*(1+Returns!H82)*(1+Returns!H83)*(1+Returns!H84)-1</f>
        <v>-0.22301394784718</v>
      </c>
      <c r="I87" s="16" t="n">
        <f aca="false">(1+Returns!I79)*(1+Returns!I80)*(1+Returns!I81)*(1+Returns!I82)*(1+Returns!I83)*(1+Returns!I84)-1</f>
        <v>0.0961749264408929</v>
      </c>
      <c r="J87" s="16" t="n">
        <f aca="false">(1+Returns!J79)*(1+Returns!J80)*(1+Returns!J81)*(1+Returns!J82)*(1+Returns!J83)*(1+Returns!J84)-1</f>
        <v>-0.0589598286633174</v>
      </c>
    </row>
    <row r="88" customFormat="false" ht="15" hidden="false" customHeight="true" outlineLevel="0" collapsed="false">
      <c r="A88" s="1" t="n">
        <v>84</v>
      </c>
      <c r="B88" s="13" t="n">
        <f aca="false">Returns!A85</f>
        <v>44531</v>
      </c>
      <c r="C88" s="16" t="n">
        <f aca="false">(1+Returns!C80)*(1+Returns!C81)*(1+Returns!C82)*(1+Returns!C83)*(1+Returns!C84)*(1+Returns!C85)-1</f>
        <v>0.340222051225679</v>
      </c>
      <c r="D88" s="16" t="n">
        <f aca="false">(1+Returns!D80)*(1+Returns!D81)*(1+Returns!D82)*(1+Returns!D83)*(1+Returns!D84)*(1+Returns!D85)-1</f>
        <v>0.0846756949394159</v>
      </c>
      <c r="E88" s="16" t="n">
        <f aca="false">(1+Returns!E80)*(1+Returns!E81)*(1+Returns!E82)*(1+Returns!E83)*(1+Returns!E84)*(1+Returns!E85)-1</f>
        <v>-0.0475155279503109</v>
      </c>
      <c r="F88" s="16" t="n">
        <f aca="false">(1+Returns!F80)*(1+Returns!F81)*(1+Returns!F82)*(1+Returns!F83)*(1+Returns!F84)*(1+Returns!F85)-1</f>
        <v>-0.214696123654609</v>
      </c>
      <c r="G88" s="16" t="n">
        <f aca="false">(1+Returns!G80)*(1+Returns!G81)*(1+Returns!G82)*(1+Returns!G83)*(1+Returns!G84)*(1+Returns!G85)-1</f>
        <v>-0.0544185607846833</v>
      </c>
      <c r="H88" s="16" t="n">
        <f aca="false">(1+Returns!H80)*(1+Returns!H81)*(1+Returns!H82)*(1+Returns!H83)*(1+Returns!H84)*(1+Returns!H85)-1</f>
        <v>-0.250519830573739</v>
      </c>
      <c r="I88" s="16" t="n">
        <f aca="false">(1+Returns!I80)*(1+Returns!I81)*(1+Returns!I82)*(1+Returns!I83)*(1+Returns!I84)*(1+Returns!I85)-1</f>
        <v>0.085280925401322</v>
      </c>
      <c r="J88" s="16" t="n">
        <f aca="false">(1+Returns!J80)*(1+Returns!J81)*(1+Returns!J82)*(1+Returns!J83)*(1+Returns!J84)*(1+Returns!J85)-1</f>
        <v>-0.0582808690426262</v>
      </c>
    </row>
    <row r="89" customFormat="false" ht="15" hidden="false" customHeight="true" outlineLevel="0" collapsed="false">
      <c r="A89" s="1" t="n">
        <v>85</v>
      </c>
      <c r="B89" s="13" t="n">
        <f aca="false">Returns!A86</f>
        <v>44562</v>
      </c>
      <c r="C89" s="16" t="n">
        <f aca="false">(1+Returns!C81)*(1+Returns!C82)*(1+Returns!C83)*(1+Returns!C84)*(1+Returns!C85)*(1+Returns!C86)-1</f>
        <v>0.260398745066289</v>
      </c>
      <c r="D89" s="16" t="n">
        <f aca="false">(1+Returns!D81)*(1+Returns!D82)*(1+Returns!D83)*(1+Returns!D84)*(1+Returns!D85)*(1+Returns!D86)-1</f>
        <v>0.0775295663600528</v>
      </c>
      <c r="E89" s="16" t="n">
        <f aca="false">(1+Returns!E81)*(1+Returns!E82)*(1+Returns!E83)*(1+Returns!E84)*(1+Returns!E85)*(1+Returns!E86)-1</f>
        <v>-0.00327706671613215</v>
      </c>
      <c r="F89" s="16" t="n">
        <f aca="false">(1+Returns!F81)*(1+Returns!F82)*(1+Returns!F83)*(1+Returns!F84)*(1+Returns!F85)*(1+Returns!F86)-1</f>
        <v>-0.230073487846241</v>
      </c>
      <c r="G89" s="16" t="n">
        <f aca="false">(1+Returns!G81)*(1+Returns!G82)*(1+Returns!G83)*(1+Returns!G84)*(1+Returns!G85)*(1+Returns!G86)-1</f>
        <v>0.00281690140845092</v>
      </c>
      <c r="H89" s="16" t="n">
        <f aca="false">(1+Returns!H81)*(1+Returns!H82)*(1+Returns!H83)*(1+Returns!H84)*(1+Returns!H85)*(1+Returns!H86)-1</f>
        <v>-0.249067920246393</v>
      </c>
      <c r="I89" s="16" t="n">
        <f aca="false">(1+Returns!I81)*(1+Returns!I82)*(1+Returns!I83)*(1+Returns!I84)*(1+Returns!I85)*(1+Returns!I86)-1</f>
        <v>0.12508189886235</v>
      </c>
      <c r="J89" s="16" t="n">
        <f aca="false">(1+Returns!J81)*(1+Returns!J82)*(1+Returns!J83)*(1+Returns!J84)*(1+Returns!J85)*(1+Returns!J86)-1</f>
        <v>-0.0357156442984411</v>
      </c>
    </row>
    <row r="90" customFormat="false" ht="15" hidden="false" customHeight="true" outlineLevel="0" collapsed="false">
      <c r="A90" s="1" t="n">
        <v>86</v>
      </c>
      <c r="B90" s="13" t="n">
        <f aca="false">Returns!A87</f>
        <v>44593</v>
      </c>
      <c r="C90" s="16" t="n">
        <f aca="false">(1+Returns!C82)*(1+Returns!C83)*(1+Returns!C84)*(1+Returns!C85)*(1+Returns!C86)*(1+Returns!C87)-1</f>
        <v>0.0376647834274955</v>
      </c>
      <c r="D90" s="16" t="n">
        <f aca="false">(1+Returns!D82)*(1+Returns!D83)*(1+Returns!D84)*(1+Returns!D85)*(1+Returns!D86)*(1+Returns!D87)-1</f>
        <v>0.148220064724919</v>
      </c>
      <c r="E90" s="16" t="n">
        <f aca="false">(1+Returns!E82)*(1+Returns!E83)*(1+Returns!E84)*(1+Returns!E85)*(1+Returns!E86)*(1+Returns!E87)-1</f>
        <v>-0.0423074585131602</v>
      </c>
      <c r="F90" s="16" t="n">
        <f aca="false">(1+Returns!F82)*(1+Returns!F83)*(1+Returns!F84)*(1+Returns!F85)*(1+Returns!F86)*(1+Returns!F87)-1</f>
        <v>-0.210843373493976</v>
      </c>
      <c r="G90" s="16" t="n">
        <f aca="false">(1+Returns!G82)*(1+Returns!G83)*(1+Returns!G84)*(1+Returns!G85)*(1+Returns!G86)*(1+Returns!G87)-1</f>
        <v>0.0371873525247761</v>
      </c>
      <c r="H90" s="16" t="n">
        <f aca="false">(1+Returns!H82)*(1+Returns!H83)*(1+Returns!H84)*(1+Returns!H85)*(1+Returns!H86)*(1+Returns!H87)-1</f>
        <v>-0.331074692719824</v>
      </c>
      <c r="I90" s="16" t="n">
        <f aca="false">(1+Returns!I82)*(1+Returns!I83)*(1+Returns!I84)*(1+Returns!I85)*(1+Returns!I86)*(1+Returns!I87)-1</f>
        <v>0.16235170358249</v>
      </c>
      <c r="J90" s="16" t="n">
        <f aca="false">(1+Returns!J82)*(1+Returns!J83)*(1+Returns!J84)*(1+Returns!J85)*(1+Returns!J86)*(1+Returns!J87)-1</f>
        <v>-0.0623944795985805</v>
      </c>
    </row>
    <row r="91" customFormat="false" ht="15" hidden="false" customHeight="true" outlineLevel="0" collapsed="false">
      <c r="A91" s="1" t="n">
        <v>87</v>
      </c>
      <c r="B91" s="13" t="n">
        <f aca="false">Returns!A88</f>
        <v>44621</v>
      </c>
      <c r="C91" s="16" t="n">
        <f aca="false">(1+Returns!C83)*(1+Returns!C84)*(1+Returns!C85)*(1+Returns!C86)*(1+Returns!C87)*(1+Returns!C88)-1</f>
        <v>-0.0645870982949635</v>
      </c>
      <c r="D91" s="16" t="n">
        <f aca="false">(1+Returns!D83)*(1+Returns!D84)*(1+Returns!D85)*(1+Returns!D86)*(1+Returns!D87)*(1+Returns!D88)-1</f>
        <v>0.311187312473211</v>
      </c>
      <c r="E91" s="16" t="n">
        <f aca="false">(1+Returns!E83)*(1+Returns!E84)*(1+Returns!E85)*(1+Returns!E86)*(1+Returns!E87)*(1+Returns!E88)-1</f>
        <v>-0.0473512099411383</v>
      </c>
      <c r="F91" s="16" t="n">
        <f aca="false">(1+Returns!F83)*(1+Returns!F84)*(1+Returns!F85)*(1+Returns!F86)*(1+Returns!F87)*(1+Returns!F88)-1</f>
        <v>-0.117528775481903</v>
      </c>
      <c r="G91" s="16" t="n">
        <f aca="false">(1+Returns!G83)*(1+Returns!G84)*(1+Returns!G85)*(1+Returns!G86)*(1+Returns!G87)*(1+Returns!G88)-1</f>
        <v>0.113050299048927</v>
      </c>
      <c r="H91" s="16" t="n">
        <f aca="false">(1+Returns!H83)*(1+Returns!H84)*(1+Returns!H85)*(1+Returns!H86)*(1+Returns!H87)*(1+Returns!H88)-1</f>
        <v>-0.251526492022848</v>
      </c>
      <c r="I91" s="16" t="n">
        <f aca="false">(1+Returns!I83)*(1+Returns!I84)*(1+Returns!I85)*(1+Returns!I86)*(1+Returns!I87)*(1+Returns!I88)-1</f>
        <v>0.132144094215449</v>
      </c>
      <c r="J91" s="16" t="n">
        <f aca="false">(1+Returns!J83)*(1+Returns!J84)*(1+Returns!J85)*(1+Returns!J86)*(1+Returns!J87)*(1+Returns!J88)-1</f>
        <v>0.00065100802679785</v>
      </c>
    </row>
    <row r="92" customFormat="false" ht="15" hidden="false" customHeight="true" outlineLevel="0" collapsed="false">
      <c r="A92" s="1" t="n">
        <v>88</v>
      </c>
      <c r="B92" s="13" t="n">
        <f aca="false">Returns!A89</f>
        <v>44652</v>
      </c>
      <c r="C92" s="16" t="n">
        <f aca="false">(1+Returns!C84)*(1+Returns!C85)*(1+Returns!C86)*(1+Returns!C87)*(1+Returns!C88)*(1+Returns!C89)-1</f>
        <v>0.0526011082623439</v>
      </c>
      <c r="D92" s="16" t="n">
        <f aca="false">(1+Returns!D84)*(1+Returns!D85)*(1+Returns!D86)*(1+Returns!D87)*(1+Returns!D88)*(1+Returns!D89)-1</f>
        <v>0.328671328671329</v>
      </c>
      <c r="E92" s="16" t="n">
        <f aca="false">(1+Returns!E84)*(1+Returns!E85)*(1+Returns!E86)*(1+Returns!E87)*(1+Returns!E88)*(1+Returns!E89)-1</f>
        <v>-0.0768902439024392</v>
      </c>
      <c r="F92" s="16" t="n">
        <f aca="false">(1+Returns!F84)*(1+Returns!F85)*(1+Returns!F86)*(1+Returns!F87)*(1+Returns!F88)*(1+Returns!F89)-1</f>
        <v>-0.270322580645161</v>
      </c>
      <c r="G92" s="16" t="n">
        <f aca="false">(1+Returns!G84)*(1+Returns!G85)*(1+Returns!G86)*(1+Returns!G87)*(1+Returns!G88)*(1+Returns!G89)-1</f>
        <v>0.174757281553399</v>
      </c>
      <c r="H92" s="16" t="n">
        <f aca="false">(1+Returns!H84)*(1+Returns!H85)*(1+Returns!H86)*(1+Returns!H87)*(1+Returns!H88)*(1+Returns!H89)-1</f>
        <v>-0.358655462184874</v>
      </c>
      <c r="I92" s="16" t="n">
        <f aca="false">(1+Returns!I84)*(1+Returns!I85)*(1+Returns!I86)*(1+Returns!I87)*(1+Returns!I88)*(1+Returns!I89)-1</f>
        <v>0.00587643602096488</v>
      </c>
      <c r="J92" s="16" t="n">
        <f aca="false">(1+Returns!J84)*(1+Returns!J85)*(1+Returns!J86)*(1+Returns!J87)*(1+Returns!J88)*(1+Returns!J89)-1</f>
        <v>-0.0209766863923505</v>
      </c>
    </row>
    <row r="93" customFormat="false" ht="15" hidden="false" customHeight="true" outlineLevel="0" collapsed="false">
      <c r="A93" s="1" t="n">
        <v>89</v>
      </c>
      <c r="B93" s="13" t="n">
        <f aca="false">Returns!A90</f>
        <v>44682</v>
      </c>
      <c r="C93" s="16" t="n">
        <f aca="false">(1+Returns!C85)*(1+Returns!C86)*(1+Returns!C87)*(1+Returns!C88)*(1+Returns!C89)*(1+Returns!C90)-1</f>
        <v>-0.119084533038021</v>
      </c>
      <c r="D93" s="16" t="n">
        <f aca="false">(1+Returns!D85)*(1+Returns!D86)*(1+Returns!D87)*(1+Returns!D88)*(1+Returns!D89)*(1+Returns!D90)-1</f>
        <v>0.170270270270271</v>
      </c>
      <c r="E93" s="16" t="n">
        <f aca="false">(1+Returns!E85)*(1+Returns!E86)*(1+Returns!E87)*(1+Returns!E88)*(1+Returns!E89)*(1+Returns!E90)-1</f>
        <v>-0.149745222929936</v>
      </c>
      <c r="F93" s="16" t="n">
        <f aca="false">(1+Returns!F85)*(1+Returns!F86)*(1+Returns!F87)*(1+Returns!F88)*(1+Returns!F89)*(1+Returns!F90)-1</f>
        <v>-0.342141863699583</v>
      </c>
      <c r="G93" s="16" t="n">
        <f aca="false">(1+Returns!G85)*(1+Returns!G86)*(1+Returns!G87)*(1+Returns!G88)*(1+Returns!G89)*(1+Returns!G90)-1</f>
        <v>0.134328358208956</v>
      </c>
      <c r="H93" s="16" t="n">
        <f aca="false">(1+Returns!H85)*(1+Returns!H86)*(1+Returns!H87)*(1+Returns!H88)*(1+Returns!H89)*(1+Returns!H90)-1</f>
        <v>-0.341951219512195</v>
      </c>
      <c r="I93" s="16" t="n">
        <f aca="false">(1+Returns!I85)*(1+Returns!I86)*(1+Returns!I87)*(1+Returns!I88)*(1+Returns!I89)*(1+Returns!I90)-1</f>
        <v>-0.0584210526315789</v>
      </c>
      <c r="J93" s="16" t="n">
        <f aca="false">(1+Returns!J85)*(1+Returns!J86)*(1+Returns!J87)*(1+Returns!J88)*(1+Returns!J89)*(1+Returns!J90)-1</f>
        <v>-0.0442452783722536</v>
      </c>
    </row>
    <row r="94" customFormat="false" ht="15" hidden="false" customHeight="true" outlineLevel="0" collapsed="false">
      <c r="A94" s="1" t="n">
        <v>90</v>
      </c>
      <c r="B94" s="13" t="n">
        <f aca="false">Returns!A91</f>
        <v>44713</v>
      </c>
      <c r="C94" s="16" t="n">
        <f aca="false">(1+Returns!C86)*(1+Returns!C87)*(1+Returns!C88)*(1+Returns!C89)*(1+Returns!C90)*(1+Returns!C91)-1</f>
        <v>-0.16117125984252</v>
      </c>
      <c r="D94" s="16" t="n">
        <f aca="false">(1+Returns!D86)*(1+Returns!D87)*(1+Returns!D88)*(1+Returns!D89)*(1+Returns!D90)*(1+Returns!D91)-1</f>
        <v>0.167696149296885</v>
      </c>
      <c r="E94" s="16" t="n">
        <f aca="false">(1+Returns!E86)*(1+Returns!E87)*(1+Returns!E88)*(1+Returns!E89)*(1+Returns!E90)*(1+Returns!E91)-1</f>
        <v>-0.194652755135311</v>
      </c>
      <c r="F94" s="16" t="n">
        <f aca="false">(1+Returns!F86)*(1+Returns!F87)*(1+Returns!F88)*(1+Returns!F89)*(1+Returns!F90)*(1+Returns!F91)-1</f>
        <v>-0.328700977505594</v>
      </c>
      <c r="G94" s="16" t="n">
        <f aca="false">(1+Returns!G86)*(1+Returns!G87)*(1+Returns!G88)*(1+Returns!G89)*(1+Returns!G90)*(1+Returns!G91)-1</f>
        <v>0.0991422302014764</v>
      </c>
      <c r="H94" s="16" t="n">
        <f aca="false">(1+Returns!H86)*(1+Returns!H87)*(1+Returns!H88)*(1+Returns!H89)*(1+Returns!H90)*(1+Returns!H91)-1</f>
        <v>-0.362926428277846</v>
      </c>
      <c r="I94" s="16" t="n">
        <f aca="false">(1+Returns!I86)*(1+Returns!I87)*(1+Returns!I88)*(1+Returns!I89)*(1+Returns!I90)*(1+Returns!I91)-1</f>
        <v>0.0495404861602045</v>
      </c>
      <c r="J94" s="16" t="n">
        <f aca="false">(1+Returns!J86)*(1+Returns!J87)*(1+Returns!J88)*(1+Returns!J89)*(1+Returns!J90)*(1+Returns!J91)-1</f>
        <v>-0.0685091758085408</v>
      </c>
    </row>
    <row r="95" customFormat="false" ht="15" hidden="false" customHeight="true" outlineLevel="0" collapsed="false">
      <c r="A95" s="1" t="n">
        <v>91</v>
      </c>
      <c r="B95" s="13" t="n">
        <f aca="false">Returns!A92</f>
        <v>44743</v>
      </c>
      <c r="C95" s="16" t="n">
        <f aca="false">(1+Returns!C87)*(1+Returns!C88)*(1+Returns!C89)*(1+Returns!C90)*(1+Returns!C91)*(1+Returns!C92)-1</f>
        <v>-0.135378191745624</v>
      </c>
      <c r="D95" s="16" t="n">
        <f aca="false">(1+Returns!D87)*(1+Returns!D88)*(1+Returns!D89)*(1+Returns!D90)*(1+Returns!D91)*(1+Returns!D92)-1</f>
        <v>-0.0365853658536587</v>
      </c>
      <c r="E95" s="16" t="n">
        <f aca="false">(1+Returns!E87)*(1+Returns!E88)*(1+Returns!E89)*(1+Returns!E90)*(1+Returns!E91)*(1+Returns!E92)-1</f>
        <v>-0.240074441687345</v>
      </c>
      <c r="F95" s="16" t="n">
        <f aca="false">(1+Returns!F87)*(1+Returns!F88)*(1+Returns!F89)*(1+Returns!F90)*(1+Returns!F91)*(1+Returns!F92)-1</f>
        <v>-0.39511013215859</v>
      </c>
      <c r="G95" s="16" t="n">
        <f aca="false">(1+Returns!G87)*(1+Returns!G88)*(1+Returns!G89)*(1+Returns!G90)*(1+Returns!G91)*(1+Returns!G92)-1</f>
        <v>-0.0308052434456925</v>
      </c>
      <c r="H95" s="16" t="n">
        <f aca="false">(1+Returns!H87)*(1+Returns!H88)*(1+Returns!H89)*(1+Returns!H90)*(1+Returns!H91)*(1+Returns!H92)-1</f>
        <v>-0.347004856988667</v>
      </c>
      <c r="I95" s="16" t="n">
        <f aca="false">(1+Returns!I87)*(1+Returns!I88)*(1+Returns!I89)*(1+Returns!I90)*(1+Returns!I91)*(1+Returns!I92)-1</f>
        <v>-0.00354703795860012</v>
      </c>
      <c r="J95" s="16" t="n">
        <f aca="false">(1+Returns!J87)*(1+Returns!J88)*(1+Returns!J89)*(1+Returns!J90)*(1+Returns!J91)*(1+Returns!J92)-1</f>
        <v>-0.115137340913479</v>
      </c>
    </row>
    <row r="96" customFormat="false" ht="15" hidden="false" customHeight="true" outlineLevel="0" collapsed="false">
      <c r="A96" s="1" t="n">
        <v>92</v>
      </c>
      <c r="B96" s="13" t="n">
        <f aca="false">Returns!A93</f>
        <v>44774</v>
      </c>
      <c r="C96" s="16" t="n">
        <f aca="false">(1+Returns!C88)*(1+Returns!C89)*(1+Returns!C90)*(1+Returns!C91)*(1+Returns!C92)*(1+Returns!C93)-1</f>
        <v>-0.043636076698493</v>
      </c>
      <c r="D96" s="16" t="n">
        <f aca="false">(1+Returns!D88)*(1+Returns!D89)*(1+Returns!D90)*(1+Returns!D91)*(1+Returns!D92)*(1+Returns!D93)-1</f>
        <v>-0.0501691093573843</v>
      </c>
      <c r="E96" s="16" t="n">
        <f aca="false">(1+Returns!E88)*(1+Returns!E89)*(1+Returns!E90)*(1+Returns!E91)*(1+Returns!E92)*(1+Returns!E93)-1</f>
        <v>-0.239606474135195</v>
      </c>
      <c r="F96" s="16" t="n">
        <f aca="false">(1+Returns!F88)*(1+Returns!F89)*(1+Returns!F90)*(1+Returns!F91)*(1+Returns!F92)*(1+Returns!F93)-1</f>
        <v>-0.208396946564885</v>
      </c>
      <c r="G96" s="16" t="n">
        <f aca="false">(1+Returns!G88)*(1+Returns!G89)*(1+Returns!G90)*(1+Returns!G91)*(1+Returns!G92)*(1+Returns!G93)-1</f>
        <v>-0.0525980525980526</v>
      </c>
      <c r="H96" s="16" t="n">
        <f aca="false">(1+Returns!H88)*(1+Returns!H89)*(1+Returns!H90)*(1+Returns!H91)*(1+Returns!H92)*(1+Returns!H93)-1</f>
        <v>-0.235924617196702</v>
      </c>
      <c r="I96" s="16" t="n">
        <f aca="false">(1+Returns!I88)*(1+Returns!I89)*(1+Returns!I90)*(1+Returns!I91)*(1+Returns!I92)*(1+Returns!I93)-1</f>
        <v>-0.0558600231283625</v>
      </c>
      <c r="J96" s="16" t="n">
        <f aca="false">(1+Returns!J88)*(1+Returns!J89)*(1+Returns!J90)*(1+Returns!J91)*(1+Returns!J92)*(1+Returns!J93)-1</f>
        <v>-0.0474541626472275</v>
      </c>
    </row>
    <row r="97" customFormat="false" ht="15" hidden="false" customHeight="true" outlineLevel="0" collapsed="false">
      <c r="A97" s="1" t="n">
        <v>93</v>
      </c>
      <c r="B97" s="13" t="n">
        <f aca="false">Returns!A94</f>
        <v>44805</v>
      </c>
      <c r="C97" s="16" t="n">
        <f aca="false">(1+Returns!C89)*(1+Returns!C90)*(1+Returns!C91)*(1+Returns!C92)*(1+Returns!C93)*(1+Returns!C94)-1</f>
        <v>-0.0781184376312473</v>
      </c>
      <c r="D97" s="16" t="n">
        <f aca="false">(1+Returns!D89)*(1+Returns!D90)*(1+Returns!D91)*(1+Returns!D92)*(1+Returns!D93)*(1+Returns!D94)-1</f>
        <v>-0.14983109948785</v>
      </c>
      <c r="E97" s="16" t="n">
        <f aca="false">(1+Returns!E89)*(1+Returns!E90)*(1+Returns!E91)*(1+Returns!E92)*(1+Returns!E93)*(1+Returns!E94)-1</f>
        <v>-0.183028971577646</v>
      </c>
      <c r="F97" s="16" t="n">
        <f aca="false">(1+Returns!F89)*(1+Returns!F90)*(1+Returns!F91)*(1+Returns!F92)*(1+Returns!F93)*(1+Returns!F94)-1</f>
        <v>-0.219674707315157</v>
      </c>
      <c r="G97" s="16" t="n">
        <f aca="false">(1+Returns!G89)*(1+Returns!G90)*(1+Returns!G91)*(1+Returns!G92)*(1+Returns!G93)*(1+Returns!G94)-1</f>
        <v>-0.107558139534884</v>
      </c>
      <c r="H97" s="16" t="n">
        <f aca="false">(1+Returns!H89)*(1+Returns!H90)*(1+Returns!H91)*(1+Returns!H92)*(1+Returns!H93)*(1+Returns!H94)-1</f>
        <v>-0.217105263157895</v>
      </c>
      <c r="I97" s="16" t="n">
        <f aca="false">(1+Returns!I89)*(1+Returns!I90)*(1+Returns!I91)*(1+Returns!I92)*(1+Returns!I93)*(1+Returns!I94)-1</f>
        <v>-0.11049920962725</v>
      </c>
      <c r="J97" s="16" t="n">
        <f aca="false">(1+Returns!J89)*(1+Returns!J90)*(1+Returns!J91)*(1+Returns!J92)*(1+Returns!J93)*(1+Returns!J94)-1</f>
        <v>-0.0845817707694592</v>
      </c>
    </row>
    <row r="98" customFormat="false" ht="15" hidden="false" customHeight="true" outlineLevel="0" collapsed="false">
      <c r="A98" s="1" t="n">
        <v>94</v>
      </c>
      <c r="B98" s="13" t="n">
        <f aca="false">Returns!A95</f>
        <v>44835</v>
      </c>
      <c r="C98" s="16" t="n">
        <f aca="false">(1+Returns!C90)*(1+Returns!C91)*(1+Returns!C92)*(1+Returns!C93)*(1+Returns!C94)*(1+Returns!C95)-1</f>
        <v>-0.167125009821639</v>
      </c>
      <c r="D98" s="16" t="n">
        <f aca="false">(1+Returns!D90)*(1+Returns!D91)*(1+Returns!D92)*(1+Returns!D93)*(1+Returns!D94)*(1+Returns!D95)-1</f>
        <v>-0.148421052631579</v>
      </c>
      <c r="E98" s="16" t="n">
        <f aca="false">(1+Returns!E90)*(1+Returns!E91)*(1+Returns!E92)*(1+Returns!E93)*(1+Returns!E94)*(1+Returns!E95)-1</f>
        <v>-0.194200409538278</v>
      </c>
      <c r="F98" s="16" t="n">
        <f aca="false">(1+Returns!F90)*(1+Returns!F91)*(1+Returns!F92)*(1+Returns!F93)*(1+Returns!F94)*(1+Returns!F95)-1</f>
        <v>-0.140601237842617</v>
      </c>
      <c r="G98" s="16" t="n">
        <f aca="false">(1+Returns!G90)*(1+Returns!G91)*(1+Returns!G92)*(1+Returns!G93)*(1+Returns!G94)*(1+Returns!G95)-1</f>
        <v>-0.145867768595041</v>
      </c>
      <c r="H98" s="16" t="n">
        <f aca="false">(1+Returns!H90)*(1+Returns!H91)*(1+Returns!H92)*(1+Returns!H93)*(1+Returns!H94)*(1+Returns!H95)-1</f>
        <v>-0.324554507337526</v>
      </c>
      <c r="I98" s="16" t="n">
        <f aca="false">(1+Returns!I90)*(1+Returns!I91)*(1+Returns!I92)*(1+Returns!I93)*(1+Returns!I94)*(1+Returns!I95)-1</f>
        <v>-0.0175263157894739</v>
      </c>
      <c r="J98" s="16" t="n">
        <f aca="false">(1+Returns!J90)*(1+Returns!J91)*(1+Returns!J92)*(1+Returns!J93)*(1+Returns!J94)*(1+Returns!J95)-1</f>
        <v>-0.0880619216913545</v>
      </c>
    </row>
    <row r="99" customFormat="false" ht="15" hidden="false" customHeight="true" outlineLevel="0" collapsed="false">
      <c r="A99" s="1" t="n">
        <v>95</v>
      </c>
      <c r="B99" s="13" t="n">
        <f aca="false">Returns!A96</f>
        <v>44866</v>
      </c>
      <c r="C99" s="16" t="n">
        <f aca="false">(1+Returns!C91)*(1+Returns!C92)*(1+Returns!C93)*(1+Returns!C94)*(1+Returns!C95)*(1+Returns!C96)-1</f>
        <v>-0.0802044921220246</v>
      </c>
      <c r="D99" s="16" t="n">
        <f aca="false">(1+Returns!D91)*(1+Returns!D92)*(1+Returns!D93)*(1+Returns!D94)*(1+Returns!D95)*(1+Returns!D96)-1</f>
        <v>-0.0635103926096998</v>
      </c>
      <c r="E99" s="16" t="n">
        <f aca="false">(1+Returns!E91)*(1+Returns!E92)*(1+Returns!E93)*(1+Returns!E94)*(1+Returns!E95)*(1+Returns!E96)-1</f>
        <v>-0.105176417709192</v>
      </c>
      <c r="F99" s="16" t="n">
        <f aca="false">(1+Returns!F91)*(1+Returns!F92)*(1+Returns!F93)*(1+Returns!F94)*(1+Returns!F95)*(1+Returns!F96)-1</f>
        <v>0</v>
      </c>
      <c r="G99" s="16" t="n">
        <f aca="false">(1+Returns!G91)*(1+Returns!G92)*(1+Returns!G93)*(1+Returns!G94)*(1+Returns!G95)*(1+Returns!G96)-1</f>
        <v>-0.10140350877193</v>
      </c>
      <c r="H99" s="16" t="n">
        <f aca="false">(1+Returns!H91)*(1+Returns!H92)*(1+Returns!H93)*(1+Returns!H94)*(1+Returns!H95)*(1+Returns!H96)-1</f>
        <v>-0.131949592290586</v>
      </c>
      <c r="I99" s="16" t="n">
        <f aca="false">(1+Returns!I91)*(1+Returns!I92)*(1+Returns!I93)*(1+Returns!I94)*(1+Returns!I95)*(1+Returns!I96)-1</f>
        <v>0.0365567356064838</v>
      </c>
      <c r="J99" s="16" t="n">
        <f aca="false">(1+Returns!J91)*(1+Returns!J92)*(1+Returns!J93)*(1+Returns!J94)*(1+Returns!J95)*(1+Returns!J96)-1</f>
        <v>-0.0169345751696799</v>
      </c>
    </row>
    <row r="100" customFormat="false" ht="15" hidden="false" customHeight="true" outlineLevel="0" collapsed="false">
      <c r="A100" s="1" t="n">
        <v>96</v>
      </c>
      <c r="B100" s="13" t="n">
        <f aca="false">Returns!A97</f>
        <v>44896</v>
      </c>
      <c r="C100" s="16" t="n">
        <f aca="false">(1+Returns!C92)*(1+Returns!C93)*(1+Returns!C94)*(1+Returns!C95)*(1+Returns!C96)*(1+Returns!C97)-1</f>
        <v>-0.0266940451745377</v>
      </c>
      <c r="D100" s="16" t="n">
        <f aca="false">(1+Returns!D92)*(1+Returns!D93)*(1+Returns!D94)*(1+Returns!D95)*(1+Returns!D96)*(1+Returns!D97)-1</f>
        <v>-0.134608891389983</v>
      </c>
      <c r="E100" s="16" t="n">
        <f aca="false">(1+Returns!E92)*(1+Returns!E93)*(1+Returns!E94)*(1+Returns!E95)*(1+Returns!E96)*(1+Returns!E97)-1</f>
        <v>-0.0688259109311741</v>
      </c>
      <c r="F100" s="16" t="n">
        <f aca="false">(1+Returns!F92)*(1+Returns!F93)*(1+Returns!F94)*(1+Returns!F95)*(1+Returns!F96)*(1+Returns!F97)-1</f>
        <v>-0.0219298245614034</v>
      </c>
      <c r="G100" s="16" t="n">
        <f aca="false">(1+Returns!G92)*(1+Returns!G93)*(1+Returns!G94)*(1+Returns!G95)*(1+Returns!G96)*(1+Returns!G97)-1</f>
        <v>-0.104264972776769</v>
      </c>
      <c r="H100" s="16" t="n">
        <f aca="false">(1+Returns!H92)*(1+Returns!H93)*(1+Returns!H94)*(1+Returns!H95)*(1+Returns!H96)*(1+Returns!H97)-1</f>
        <v>-0.220161290322581</v>
      </c>
      <c r="I100" s="16" t="n">
        <f aca="false">(1+Returns!I92)*(1+Returns!I93)*(1+Returns!I94)*(1+Returns!I95)*(1+Returns!I96)*(1+Returns!I97)-1</f>
        <v>-0.0932642487046633</v>
      </c>
      <c r="J100" s="16" t="n">
        <f aca="false">(1+Returns!J92)*(1+Returns!J93)*(1+Returns!J94)*(1+Returns!J95)*(1+Returns!J96)*(1+Returns!J97)-1</f>
        <v>-0.0269705732889786</v>
      </c>
    </row>
    <row r="101" customFormat="false" ht="15" hidden="false" customHeight="true" outlineLevel="0" collapsed="false">
      <c r="A101" s="1" t="n">
        <v>97</v>
      </c>
      <c r="B101" s="13" t="n">
        <f aca="false">Returns!A98</f>
        <v>44927</v>
      </c>
      <c r="C101" s="16" t="n">
        <f aca="false">(1+Returns!C93)*(1+Returns!C94)*(1+Returns!C95)*(1+Returns!C96)*(1+Returns!C97)*(1+Returns!C98)-1</f>
        <v>-0.140973254086181</v>
      </c>
      <c r="D101" s="16" t="n">
        <f aca="false">(1+Returns!D93)*(1+Returns!D94)*(1+Returns!D95)*(1+Returns!D96)*(1+Returns!D97)*(1+Returns!D98)-1</f>
        <v>0.0341772151898732</v>
      </c>
      <c r="E101" s="16" t="n">
        <f aca="false">(1+Returns!E93)*(1+Returns!E94)*(1+Returns!E95)*(1+Returns!E96)*(1+Returns!E97)*(1+Returns!E98)-1</f>
        <v>-0.0765714285714285</v>
      </c>
      <c r="F101" s="16" t="n">
        <f aca="false">(1+Returns!F93)*(1+Returns!F94)*(1+Returns!F95)*(1+Returns!F96)*(1+Returns!F97)*(1+Returns!F98)-1</f>
        <v>-0.00711285898089475</v>
      </c>
      <c r="G101" s="16" t="n">
        <f aca="false">(1+Returns!G93)*(1+Returns!G94)*(1+Returns!G95)*(1+Returns!G96)*(1+Returns!G97)*(1+Returns!G98)-1</f>
        <v>0.000869481209545109</v>
      </c>
      <c r="H101" s="16" t="n">
        <f aca="false">(1+Returns!H93)*(1+Returns!H94)*(1+Returns!H95)*(1+Returns!H96)*(1+Returns!H97)*(1+Returns!H98)-1</f>
        <v>-0.205785123966942</v>
      </c>
      <c r="I101" s="16" t="n">
        <f aca="false">(1+Returns!I93)*(1+Returns!I94)*(1+Returns!I95)*(1+Returns!I96)*(1+Returns!I97)*(1+Returns!I98)-1</f>
        <v>-0.103867814259909</v>
      </c>
      <c r="J101" s="16" t="n">
        <f aca="false">(1+Returns!J93)*(1+Returns!J94)*(1+Returns!J95)*(1+Returns!J96)*(1+Returns!J97)*(1+Returns!J98)-1</f>
        <v>0.013018563220853</v>
      </c>
    </row>
    <row r="102" customFormat="false" ht="15" hidden="false" customHeight="true" outlineLevel="0" collapsed="false">
      <c r="A102" s="1" t="n">
        <v>98</v>
      </c>
      <c r="B102" s="13" t="n">
        <f aca="false">Returns!A99</f>
        <v>44958</v>
      </c>
      <c r="C102" s="16" t="n">
        <f aca="false">(1+Returns!C94)*(1+Returns!C95)*(1+Returns!C96)*(1+Returns!C97)*(1+Returns!C98)*(1+Returns!C99)-1</f>
        <v>-0.216584158415842</v>
      </c>
      <c r="D102" s="16" t="n">
        <f aca="false">(1+Returns!D94)*(1+Returns!D95)*(1+Returns!D96)*(1+Returns!D97)*(1+Returns!D98)*(1+Returns!D99)-1</f>
        <v>0.00379821958456983</v>
      </c>
      <c r="E102" s="16" t="n">
        <f aca="false">(1+Returns!E94)*(1+Returns!E95)*(1+Returns!E96)*(1+Returns!E97)*(1+Returns!E98)*(1+Returns!E99)-1</f>
        <v>-0.0250417362270451</v>
      </c>
      <c r="F102" s="16" t="n">
        <f aca="false">(1+Returns!F94)*(1+Returns!F95)*(1+Returns!F96)*(1+Returns!F97)*(1+Returns!F98)*(1+Returns!F99)-1</f>
        <v>-0.202507232401157</v>
      </c>
      <c r="G102" s="16" t="n">
        <f aca="false">(1+Returns!G94)*(1+Returns!G95)*(1+Returns!G96)*(1+Returns!G97)*(1+Returns!G98)*(1+Returns!G99)-1</f>
        <v>-0.0226683315723752</v>
      </c>
      <c r="H102" s="16" t="n">
        <f aca="false">(1+Returns!H94)*(1+Returns!H95)*(1+Returns!H96)*(1+Returns!H97)*(1+Returns!H98)*(1+Returns!H99)-1</f>
        <v>-0.194542932017882</v>
      </c>
      <c r="I102" s="16" t="n">
        <f aca="false">(1+Returns!I94)*(1+Returns!I95)*(1+Returns!I96)*(1+Returns!I97)*(1+Returns!I98)*(1+Returns!I99)-1</f>
        <v>-0.150015976142294</v>
      </c>
      <c r="J102" s="16" t="n">
        <f aca="false">(1+Returns!J94)*(1+Returns!J95)*(1+Returns!J96)*(1+Returns!J97)*(1+Returns!J98)*(1+Returns!J99)-1</f>
        <v>-0.0434646993056859</v>
      </c>
    </row>
    <row r="103" customFormat="false" ht="15" hidden="false" customHeight="true" outlineLevel="0" collapsed="false">
      <c r="A103" s="1" t="n">
        <v>99</v>
      </c>
      <c r="B103" s="13" t="n">
        <f aca="false">Returns!A100</f>
        <v>44986</v>
      </c>
      <c r="C103" s="16" t="n">
        <f aca="false">(1+Returns!C95)*(1+Returns!C96)*(1+Returns!C97)*(1+Returns!C98)*(1+Returns!C99)*(1+Returns!C100)-1</f>
        <v>-0.135307517084283</v>
      </c>
      <c r="D103" s="16" t="n">
        <f aca="false">(1+Returns!D95)*(1+Returns!D96)*(1+Returns!D97)*(1+Returns!D98)*(1+Returns!D99)*(1+Returns!D100)-1</f>
        <v>0.0875416559856448</v>
      </c>
      <c r="E103" s="16" t="n">
        <f aca="false">(1+Returns!E95)*(1+Returns!E96)*(1+Returns!E97)*(1+Returns!E98)*(1+Returns!E99)*(1+Returns!E100)-1</f>
        <v>-0.0336974789915968</v>
      </c>
      <c r="F103" s="16" t="n">
        <f aca="false">(1+Returns!F95)*(1+Returns!F96)*(1+Returns!F97)*(1+Returns!F98)*(1+Returns!F99)*(1+Returns!F100)-1</f>
        <v>-0.184388593523441</v>
      </c>
      <c r="G103" s="16" t="n">
        <f aca="false">(1+Returns!G95)*(1+Returns!G96)*(1+Returns!G97)*(1+Returns!G98)*(1+Returns!G99)*(1+Returns!G100)-1</f>
        <v>-0.0141150922909876</v>
      </c>
      <c r="H103" s="16" t="n">
        <f aca="false">(1+Returns!H95)*(1+Returns!H96)*(1+Returns!H97)*(1+Returns!H98)*(1+Returns!H99)*(1+Returns!H100)-1</f>
        <v>-0.235294117647059</v>
      </c>
      <c r="I103" s="16" t="n">
        <f aca="false">(1+Returns!I95)*(1+Returns!I96)*(1+Returns!I97)*(1+Returns!I98)*(1+Returns!I99)*(1+Returns!I100)-1</f>
        <v>-0.0324466865397843</v>
      </c>
      <c r="J103" s="16" t="n">
        <f aca="false">(1+Returns!J95)*(1+Returns!J96)*(1+Returns!J97)*(1+Returns!J98)*(1+Returns!J99)*(1+Returns!J100)-1</f>
        <v>-0.0274222336875951</v>
      </c>
    </row>
    <row r="104" customFormat="false" ht="15" hidden="false" customHeight="true" outlineLevel="0" collapsed="false">
      <c r="A104" s="1" t="n">
        <v>100</v>
      </c>
      <c r="B104" s="13" t="n">
        <f aca="false">Returns!A101</f>
        <v>45017</v>
      </c>
      <c r="C104" s="16" t="n">
        <f aca="false">(1+Returns!C96)*(1+Returns!C97)*(1+Returns!C98)*(1+Returns!C99)*(1+Returns!C100)*(1+Returns!C101)-1</f>
        <v>-0.06311320754717</v>
      </c>
      <c r="D104" s="16" t="n">
        <f aca="false">(1+Returns!D96)*(1+Returns!D97)*(1+Returns!D98)*(1+Returns!D99)*(1+Returns!D100)*(1+Returns!D101)-1</f>
        <v>0.0395550061804697</v>
      </c>
      <c r="E104" s="16" t="n">
        <f aca="false">(1+Returns!E96)*(1+Returns!E97)*(1+Returns!E98)*(1+Returns!E99)*(1+Returns!E100)*(1+Returns!E101)-1</f>
        <v>-0.0163128125256167</v>
      </c>
      <c r="F104" s="16" t="n">
        <f aca="false">(1+Returns!F96)*(1+Returns!F97)*(1+Returns!F98)*(1+Returns!F99)*(1+Returns!F100)*(1+Returns!F101)-1</f>
        <v>-0.172843062614457</v>
      </c>
      <c r="G104" s="16" t="n">
        <f aca="false">(1+Returns!G96)*(1+Returns!G97)*(1+Returns!G98)*(1+Returns!G99)*(1+Returns!G100)*(1+Returns!G101)-1</f>
        <v>-0.00338655055636161</v>
      </c>
      <c r="H104" s="16" t="n">
        <f aca="false">(1+Returns!H96)*(1+Returns!H97)*(1+Returns!H98)*(1+Returns!H99)*(1+Returns!H100)*(1+Returns!H101)-1</f>
        <v>0.037827352085354</v>
      </c>
      <c r="I104" s="16" t="n">
        <f aca="false">(1+Returns!I96)*(1+Returns!I97)*(1+Returns!I98)*(1+Returns!I99)*(1+Returns!I100)*(1+Returns!I101)-1</f>
        <v>-0.0536776128997695</v>
      </c>
      <c r="J104" s="16" t="n">
        <f aca="false">(1+Returns!J96)*(1+Returns!J97)*(1+Returns!J98)*(1+Returns!J99)*(1+Returns!J100)*(1+Returns!J101)-1</f>
        <v>0.00766248891908949</v>
      </c>
    </row>
    <row r="105" customFormat="false" ht="15" hidden="false" customHeight="true" outlineLevel="0" collapsed="false">
      <c r="A105" s="1" t="n">
        <v>101</v>
      </c>
      <c r="B105" s="13" t="n">
        <f aca="false">Returns!A102</f>
        <v>45047</v>
      </c>
      <c r="C105" s="16" t="n">
        <f aca="false">(1+Returns!C97)*(1+Returns!C98)*(1+Returns!C99)*(1+Returns!C100)*(1+Returns!C101)*(1+Returns!C102)-1</f>
        <v>-0.190888382687927</v>
      </c>
      <c r="D105" s="16" t="n">
        <f aca="false">(1+Returns!D97)*(1+Returns!D98)*(1+Returns!D99)*(1+Returns!D100)*(1+Returns!D101)*(1+Returns!D102)-1</f>
        <v>0.0604192355117139</v>
      </c>
      <c r="E105" s="16" t="n">
        <f aca="false">(1+Returns!E97)*(1+Returns!E98)*(1+Returns!E99)*(1+Returns!E100)*(1+Returns!E101)*(1+Returns!E102)-1</f>
        <v>-0.0332356634575135</v>
      </c>
      <c r="F105" s="16" t="n">
        <f aca="false">(1+Returns!F97)*(1+Returns!F98)*(1+Returns!F99)*(1+Returns!F100)*(1+Returns!F101)*(1+Returns!F102)-1</f>
        <v>0.0909090909090908</v>
      </c>
      <c r="G105" s="16" t="n">
        <f aca="false">(1+Returns!G97)*(1+Returns!G98)*(1+Returns!G99)*(1+Returns!G100)*(1+Returns!G101)*(1+Returns!G102)-1</f>
        <v>-0.0125927372120266</v>
      </c>
      <c r="H105" s="16" t="n">
        <f aca="false">(1+Returns!H97)*(1+Returns!H98)*(1+Returns!H99)*(1+Returns!H100)*(1+Returns!H101)*(1+Returns!H102)-1</f>
        <v>-0.168915456874466</v>
      </c>
      <c r="I105" s="16" t="n">
        <f aca="false">(1+Returns!I97)*(1+Returns!I98)*(1+Returns!I99)*(1+Returns!I100)*(1+Returns!I101)*(1+Returns!I102)-1</f>
        <v>-0.0754961173425366</v>
      </c>
      <c r="J105" s="16" t="n">
        <f aca="false">(1+Returns!J97)*(1+Returns!J98)*(1+Returns!J99)*(1+Returns!J100)*(1+Returns!J101)*(1+Returns!J102)-1</f>
        <v>-0.0238687768648003</v>
      </c>
    </row>
    <row r="106" customFormat="false" ht="15" hidden="false" customHeight="true" outlineLevel="0" collapsed="false">
      <c r="A106" s="1" t="n">
        <v>102</v>
      </c>
      <c r="B106" s="13" t="n">
        <f aca="false">Returns!A103</f>
        <v>45078</v>
      </c>
      <c r="C106" s="16" t="n">
        <f aca="false">(1+Returns!C98)*(1+Returns!C99)*(1+Returns!C100)*(1+Returns!C101)*(1+Returns!C102)*(1+Returns!C103)-1</f>
        <v>-0.1360257183042</v>
      </c>
      <c r="D106" s="16" t="n">
        <f aca="false">(1+Returns!D98)*(1+Returns!D99)*(1+Returns!D100)*(1+Returns!D101)*(1+Returns!D102)*(1+Returns!D103)-1</f>
        <v>0.0658082975679544</v>
      </c>
      <c r="E106" s="16" t="n">
        <f aca="false">(1+Returns!E98)*(1+Returns!E99)*(1+Returns!E100)*(1+Returns!E101)*(1+Returns!E102)*(1+Returns!E103)-1</f>
        <v>-0.0108695652173912</v>
      </c>
      <c r="F106" s="16" t="n">
        <f aca="false">(1+Returns!F98)*(1+Returns!F99)*(1+Returns!F100)*(1+Returns!F101)*(1+Returns!F102)*(1+Returns!F103)-1</f>
        <v>0.169282511210762</v>
      </c>
      <c r="G106" s="16" t="n">
        <f aca="false">(1+Returns!G98)*(1+Returns!G99)*(1+Returns!G100)*(1+Returns!G101)*(1+Returns!G102)*(1+Returns!G103)-1</f>
        <v>-0.00314051261270365</v>
      </c>
      <c r="H106" s="16" t="n">
        <f aca="false">(1+Returns!H98)*(1+Returns!H99)*(1+Returns!H100)*(1+Returns!H101)*(1+Returns!H102)*(1+Returns!H103)-1</f>
        <v>0.0506721820062046</v>
      </c>
      <c r="I106" s="16" t="n">
        <f aca="false">(1+Returns!I98)*(1+Returns!I99)*(1+Returns!I100)*(1+Returns!I101)*(1+Returns!I102)*(1+Returns!I103)-1</f>
        <v>-0.0412571428571427</v>
      </c>
      <c r="J106" s="16" t="n">
        <f aca="false">(1+Returns!J98)*(1+Returns!J99)*(1+Returns!J100)*(1+Returns!J101)*(1+Returns!J102)*(1+Returns!J103)-1</f>
        <v>0.0255373208363592</v>
      </c>
    </row>
    <row r="107" customFormat="false" ht="15" hidden="false" customHeight="true" outlineLevel="0" collapsed="false">
      <c r="A107" s="1" t="n">
        <v>103</v>
      </c>
      <c r="B107" s="13" t="n">
        <f aca="false">Returns!A104</f>
        <v>45108</v>
      </c>
      <c r="C107" s="16" t="n">
        <f aca="false">(1+Returns!C99)*(1+Returns!C100)*(1+Returns!C101)*(1+Returns!C102)*(1+Returns!C103)*(1+Returns!C104)-1</f>
        <v>0.428108108108108</v>
      </c>
      <c r="D107" s="16" t="n">
        <f aca="false">(1+Returns!D99)*(1+Returns!D100)*(1+Returns!D101)*(1+Returns!D102)*(1+Returns!D103)*(1+Returns!D104)-1</f>
        <v>0.00489596083231358</v>
      </c>
      <c r="E107" s="16" t="n">
        <f aca="false">(1+Returns!E99)*(1+Returns!E100)*(1+Returns!E101)*(1+Returns!E102)*(1+Returns!E103)*(1+Returns!E104)-1</f>
        <v>0.303571428571429</v>
      </c>
      <c r="F107" s="16" t="n">
        <f aca="false">(1+Returns!F99)*(1+Returns!F100)*(1+Returns!F101)*(1+Returns!F102)*(1+Returns!F103)*(1+Returns!F104)-1</f>
        <v>0.441320293398533</v>
      </c>
      <c r="G107" s="16" t="n">
        <f aca="false">(1+Returns!G99)*(1+Returns!G100)*(1+Returns!G101)*(1+Returns!G102)*(1+Returns!G103)*(1+Returns!G104)-1</f>
        <v>-0.0273166023166024</v>
      </c>
      <c r="H107" s="16" t="n">
        <f aca="false">(1+Returns!H99)*(1+Returns!H100)*(1+Returns!H101)*(1+Returns!H102)*(1+Returns!H103)*(1+Returns!H104)-1</f>
        <v>0.472424557752342</v>
      </c>
      <c r="I107" s="16" t="n">
        <f aca="false">(1+Returns!I99)*(1+Returns!I100)*(1+Returns!I101)*(1+Returns!I102)*(1+Returns!I103)*(1+Returns!I104)-1</f>
        <v>0.0572715954230154</v>
      </c>
      <c r="J107" s="16" t="n">
        <f aca="false">(1+Returns!J99)*(1+Returns!J100)*(1+Returns!J101)*(1+Returns!J102)*(1+Returns!J103)*(1+Returns!J104)-1</f>
        <v>0.18099277507028</v>
      </c>
    </row>
    <row r="108" customFormat="false" ht="15" hidden="false" customHeight="true" outlineLevel="0" collapsed="false">
      <c r="A108" s="1" t="n">
        <v>104</v>
      </c>
      <c r="B108" s="13" t="n">
        <f aca="false">Returns!A105</f>
        <v>45139</v>
      </c>
      <c r="C108" s="16" t="n">
        <f aca="false">(1+Returns!C100)*(1+Returns!C101)*(1+Returns!C102)*(1+Returns!C103)*(1+Returns!C104)*(1+Returns!C105)-1</f>
        <v>0.221695629278567</v>
      </c>
      <c r="D108" s="16" t="n">
        <f aca="false">(1+Returns!D100)*(1+Returns!D101)*(1+Returns!D102)*(1+Returns!D103)*(1+Returns!D104)*(1+Returns!D105)-1</f>
        <v>-0.0883291947499113</v>
      </c>
      <c r="E108" s="16" t="n">
        <f aca="false">(1+Returns!E100)*(1+Returns!E101)*(1+Returns!E102)*(1+Returns!E103)*(1+Returns!E104)*(1+Returns!E105)-1</f>
        <v>0.106678082191781</v>
      </c>
      <c r="F108" s="16" t="n">
        <f aca="false">(1+Returns!F100)*(1+Returns!F101)*(1+Returns!F102)*(1+Returns!F103)*(1+Returns!F104)*(1+Returns!F105)-1</f>
        <v>0.344643288996372</v>
      </c>
      <c r="G108" s="16" t="n">
        <f aca="false">(1+Returns!G100)*(1+Returns!G101)*(1+Returns!G102)*(1+Returns!G103)*(1+Returns!G104)*(1+Returns!G105)-1</f>
        <v>-0.0687960687960688</v>
      </c>
      <c r="H108" s="16" t="n">
        <f aca="false">(1+Returns!H100)*(1+Returns!H101)*(1+Returns!H102)*(1+Returns!H103)*(1+Returns!H104)*(1+Returns!H105)-1</f>
        <v>0.244019138755981</v>
      </c>
      <c r="I108" s="16" t="n">
        <f aca="false">(1+Returns!I100)*(1+Returns!I101)*(1+Returns!I102)*(1+Returns!I103)*(1+Returns!I104)*(1+Returns!I105)-1</f>
        <v>0.113777332247353</v>
      </c>
      <c r="J108" s="16" t="n">
        <f aca="false">(1+Returns!J100)*(1+Returns!J101)*(1+Returns!J102)*(1+Returns!J103)*(1+Returns!J104)*(1+Returns!J105)-1</f>
        <v>0.11088617556443</v>
      </c>
    </row>
    <row r="109" customFormat="false" ht="15" hidden="false" customHeight="true" outlineLevel="0" collapsed="false">
      <c r="A109" s="1" t="n">
        <v>105</v>
      </c>
      <c r="B109" s="13" t="n">
        <f aca="false">Returns!A106</f>
        <v>45170</v>
      </c>
      <c r="C109" s="16" t="n">
        <f aca="false">(1+Returns!C101)*(1+Returns!C102)*(1+Returns!C103)*(1+Returns!C104)*(1+Returns!C105)*(1+Returns!C106)-1</f>
        <v>0.206533192834563</v>
      </c>
      <c r="D109" s="16" t="n">
        <f aca="false">(1+Returns!D101)*(1+Returns!D102)*(1+Returns!D103)*(1+Returns!D104)*(1+Returns!D105)*(1+Returns!D106)-1</f>
        <v>-0.104301708898055</v>
      </c>
      <c r="E109" s="16" t="n">
        <f aca="false">(1+Returns!E101)*(1+Returns!E102)*(1+Returns!E103)*(1+Returns!E104)*(1+Returns!E105)*(1+Returns!E106)-1</f>
        <v>0.12618488564223</v>
      </c>
      <c r="F109" s="16" t="n">
        <f aca="false">(1+Returns!F101)*(1+Returns!F102)*(1+Returns!F103)*(1+Returns!F104)*(1+Returns!F105)*(1+Returns!F106)-1</f>
        <v>0.39037037037037</v>
      </c>
      <c r="G109" s="16" t="n">
        <f aca="false">(1+Returns!G101)*(1+Returns!G102)*(1+Returns!G103)*(1+Returns!G104)*(1+Returns!G105)*(1+Returns!G106)-1</f>
        <v>-0.0713856627953545</v>
      </c>
      <c r="H109" s="16" t="n">
        <f aca="false">(1+Returns!H101)*(1+Returns!H102)*(1+Returns!H103)*(1+Returns!H104)*(1+Returns!H105)*(1+Returns!H106)-1</f>
        <v>1.04351648351648</v>
      </c>
      <c r="I109" s="16" t="n">
        <f aca="false">(1+Returns!I101)*(1+Returns!I102)*(1+Returns!I103)*(1+Returns!I104)*(1+Returns!I105)*(1+Returns!I106)-1</f>
        <v>0.0282023936485363</v>
      </c>
      <c r="J109" s="16" t="n">
        <f aca="false">(1+Returns!J101)*(1+Returns!J102)*(1+Returns!J103)*(1+Returns!J104)*(1+Returns!J105)*(1+Returns!J106)-1</f>
        <v>0.155790767341578</v>
      </c>
    </row>
    <row r="110" customFormat="false" ht="15" hidden="false" customHeight="true" outlineLevel="0" collapsed="false">
      <c r="A110" s="1" t="n">
        <v>106</v>
      </c>
      <c r="B110" s="13" t="n">
        <f aca="false">Returns!A107</f>
        <v>45200</v>
      </c>
      <c r="C110" s="16" t="n">
        <f aca="false">(1+Returns!C102)*(1+Returns!C103)*(1+Returns!C104)*(1+Returns!C105)*(1+Returns!C106)*(1+Returns!C107)-1</f>
        <v>0.38445272379418</v>
      </c>
      <c r="D110" s="16" t="n">
        <f aca="false">(1+Returns!D102)*(1+Returns!D103)*(1+Returns!D104)*(1+Returns!D105)*(1+Returns!D106)*(1+Returns!D107)-1</f>
        <v>0.0321046373365044</v>
      </c>
      <c r="E110" s="16" t="n">
        <f aca="false">(1+Returns!E102)*(1+Returns!E103)*(1+Returns!E104)*(1+Returns!E105)*(1+Returns!E106)*(1+Returns!E107)-1</f>
        <v>0.27075</v>
      </c>
      <c r="F110" s="16" t="n">
        <f aca="false">(1+Returns!F102)*(1+Returns!F103)*(1+Returns!F104)*(1+Returns!F105)*(1+Returns!F106)*(1+Returns!F107)-1</f>
        <v>0.57964128460907</v>
      </c>
      <c r="G110" s="16" t="n">
        <f aca="false">(1+Returns!G102)*(1+Returns!G103)*(1+Returns!G104)*(1+Returns!G105)*(1+Returns!G106)*(1+Returns!G107)-1</f>
        <v>0.00242718446601931</v>
      </c>
      <c r="H110" s="16" t="n">
        <f aca="false">(1+Returns!H102)*(1+Returns!H103)*(1+Returns!H104)*(1+Returns!H105)*(1+Returns!H106)*(1+Returns!H107)-1</f>
        <v>2.04859813084112</v>
      </c>
      <c r="I110" s="16" t="n">
        <f aca="false">(1+Returns!I102)*(1+Returns!I103)*(1+Returns!I104)*(1+Returns!I105)*(1+Returns!I106)*(1+Returns!I107)-1</f>
        <v>-0.010076422303991</v>
      </c>
      <c r="J110" s="16" t="n">
        <f aca="false">(1+Returns!J102)*(1+Returns!J103)*(1+Returns!J104)*(1+Returns!J105)*(1+Returns!J106)*(1+Returns!J107)-1</f>
        <v>0.250005952259273</v>
      </c>
    </row>
    <row r="111" customFormat="false" ht="15" hidden="false" customHeight="true" outlineLevel="0" collapsed="false">
      <c r="A111" s="1" t="n">
        <v>107</v>
      </c>
      <c r="B111" s="13" t="n">
        <f aca="false">Returns!A108</f>
        <v>45231</v>
      </c>
      <c r="C111" s="16" t="n">
        <f aca="false">(1+Returns!C103)*(1+Returns!C104)*(1+Returns!C105)*(1+Returns!C106)*(1+Returns!C107)*(1+Returns!C108)-1</f>
        <v>0.739864864864865</v>
      </c>
      <c r="D111" s="16" t="n">
        <f aca="false">(1+Returns!D103)*(1+Returns!D104)*(1+Returns!D105)*(1+Returns!D106)*(1+Returns!D107)*(1+Returns!D108)-1</f>
        <v>0.174069767441861</v>
      </c>
      <c r="E111" s="16" t="n">
        <f aca="false">(1+Returns!E103)*(1+Returns!E104)*(1+Returns!E105)*(1+Returns!E106)*(1+Returns!E107)*(1+Returns!E108)-1</f>
        <v>0.450467613439556</v>
      </c>
      <c r="F111" s="16" t="n">
        <f aca="false">(1+Returns!F103)*(1+Returns!F104)*(1+Returns!F105)*(1+Returns!F106)*(1+Returns!F107)*(1+Returns!F108)-1</f>
        <v>0.52906976744186</v>
      </c>
      <c r="G111" s="16" t="n">
        <f aca="false">(1+Returns!G103)*(1+Returns!G104)*(1+Returns!G105)*(1+Returns!G106)*(1+Returns!G107)*(1+Returns!G108)-1</f>
        <v>0.107760751359367</v>
      </c>
      <c r="H111" s="16" t="n">
        <f aca="false">(1+Returns!H103)*(1+Returns!H104)*(1+Returns!H105)*(1+Returns!H106)*(1+Returns!H107)*(1+Returns!H108)-1</f>
        <v>2.82244143033292</v>
      </c>
      <c r="I111" s="16" t="n">
        <f aca="false">(1+Returns!I103)*(1+Returns!I104)*(1+Returns!I105)*(1+Returns!I106)*(1+Returns!I107)*(1+Returns!I108)-1</f>
        <v>0.10569295380308</v>
      </c>
      <c r="J111" s="16" t="n">
        <f aca="false">(1+Returns!J103)*(1+Returns!J104)*(1+Returns!J105)*(1+Returns!J106)*(1+Returns!J107)*(1+Returns!J108)-1</f>
        <v>0.464198402334714</v>
      </c>
    </row>
    <row r="112" customFormat="false" ht="15" hidden="false" customHeight="true" outlineLevel="0" collapsed="false">
      <c r="A112" s="1" t="n">
        <v>108</v>
      </c>
      <c r="B112" s="13" t="n">
        <f aca="false">Returns!A109</f>
        <v>45261</v>
      </c>
      <c r="C112" s="16" t="n">
        <f aca="false">(1+Returns!C104)*(1+Returns!C105)*(1+Returns!C106)*(1+Returns!C107)*(1+Returns!C108)*(1+Returns!C109)-1</f>
        <v>0.871976744186047</v>
      </c>
      <c r="D112" s="16" t="n">
        <f aca="false">(1+Returns!D104)*(1+Returns!D105)*(1+Returns!D106)*(1+Returns!D107)*(1+Returns!D108)*(1+Returns!D109)-1</f>
        <v>0.370347773032337</v>
      </c>
      <c r="E112" s="16" t="n">
        <f aca="false">(1+Returns!E104)*(1+Returns!E105)*(1+Returns!E106)*(1+Returns!E107)*(1+Returns!E108)*(1+Returns!E109)-1</f>
        <v>0.512087912087912</v>
      </c>
      <c r="F112" s="16" t="n">
        <f aca="false">(1+Returns!F104)*(1+Returns!F105)*(1+Returns!F106)*(1+Returns!F107)*(1+Returns!F108)*(1+Returns!F109)-1</f>
        <v>0.514860977948226</v>
      </c>
      <c r="G112" s="16" t="n">
        <f aca="false">(1+Returns!G104)*(1+Returns!G105)*(1+Returns!G106)*(1+Returns!G107)*(1+Returns!G108)*(1+Returns!G109)-1</f>
        <v>0.151422764227642</v>
      </c>
      <c r="H112" s="16" t="n">
        <f aca="false">(1+Returns!H104)*(1+Returns!H105)*(1+Returns!H106)*(1+Returns!H107)*(1+Returns!H108)*(1+Returns!H109)-1</f>
        <v>2.49409448818898</v>
      </c>
      <c r="I112" s="16" t="n">
        <f aca="false">(1+Returns!I104)*(1+Returns!I105)*(1+Returns!I106)*(1+Returns!I107)*(1+Returns!I108)*(1+Returns!I109)-1</f>
        <v>0.384074383120753</v>
      </c>
      <c r="J112" s="16" t="n">
        <f aca="false">(1+Returns!J104)*(1+Returns!J105)*(1+Returns!J106)*(1+Returns!J107)*(1+Returns!J108)*(1+Returns!J109)-1</f>
        <v>0.506562181263069</v>
      </c>
    </row>
    <row r="113" customFormat="false" ht="15" hidden="false" customHeight="true" outlineLevel="0" collapsed="false">
      <c r="A113" s="1" t="n">
        <v>109</v>
      </c>
      <c r="B113" s="13" t="n">
        <f aca="false">Returns!A110</f>
        <v>45292</v>
      </c>
      <c r="C113" s="16" t="n">
        <f aca="false">(1+Returns!C105)*(1+Returns!C106)*(1+Returns!C107)*(1+Returns!C108)*(1+Returns!C109)*(1+Returns!C110)-1</f>
        <v>0.226343679031037</v>
      </c>
      <c r="D113" s="16" t="n">
        <f aca="false">(1+Returns!D105)*(1+Returns!D106)*(1+Returns!D107)*(1+Returns!D108)*(1+Returns!D109)*(1+Returns!D110)-1</f>
        <v>0.485992691839221</v>
      </c>
      <c r="E113" s="16" t="n">
        <f aca="false">(1+Returns!E105)*(1+Returns!E106)*(1+Returns!E107)*(1+Returns!E108)*(1+Returns!E109)*(1+Returns!E110)-1</f>
        <v>0.217957412179574</v>
      </c>
      <c r="F113" s="16" t="n">
        <f aca="false">(1+Returns!F105)*(1+Returns!F106)*(1+Returns!F107)*(1+Returns!F108)*(1+Returns!F109)*(1+Returns!F110)-1</f>
        <v>0.250127226463105</v>
      </c>
      <c r="G113" s="16" t="n">
        <f aca="false">(1+Returns!G105)*(1+Returns!G106)*(1+Returns!G107)*(1+Returns!G108)*(1+Returns!G109)*(1+Returns!G110)-1</f>
        <v>0.121365485759651</v>
      </c>
      <c r="H113" s="16" t="n">
        <f aca="false">(1+Returns!H105)*(1+Returns!H106)*(1+Returns!H107)*(1+Returns!H108)*(1+Returns!H109)*(1+Returns!H110)-1</f>
        <v>1.98515901060071</v>
      </c>
      <c r="I113" s="16" t="n">
        <f aca="false">(1+Returns!I105)*(1+Returns!I106)*(1+Returns!I107)*(1+Returns!I108)*(1+Returns!I109)*(1+Returns!I110)-1</f>
        <v>0.402007514159143</v>
      </c>
      <c r="J113" s="16" t="n">
        <f aca="false">(1+Returns!J105)*(1+Returns!J106)*(1+Returns!J107)*(1+Returns!J108)*(1+Returns!J109)*(1+Returns!J110)-1</f>
        <v>0.290303092000993</v>
      </c>
    </row>
    <row r="114" customFormat="false" ht="15" hidden="false" customHeight="true" outlineLevel="0" collapsed="false">
      <c r="A114" s="1" t="n">
        <v>110</v>
      </c>
      <c r="B114" s="13" t="n">
        <f aca="false">Returns!A111</f>
        <v>45323</v>
      </c>
      <c r="C114" s="16" t="n">
        <f aca="false">(1+Returns!C106)*(1+Returns!C107)*(1+Returns!C108)*(1+Returns!C109)*(1+Returns!C110)*(1+Returns!C111)-1</f>
        <v>0.616379310344827</v>
      </c>
      <c r="D114" s="16" t="n">
        <f aca="false">(1+Returns!D106)*(1+Returns!D107)*(1+Returns!D108)*(1+Returns!D109)*(1+Returns!D110)*(1+Returns!D111)-1</f>
        <v>0.906355382619974</v>
      </c>
      <c r="E114" s="16" t="n">
        <f aca="false">(1+Returns!E106)*(1+Returns!E107)*(1+Returns!E108)*(1+Returns!E109)*(1+Returns!E110)*(1+Returns!E111)-1</f>
        <v>0.539532724740833</v>
      </c>
      <c r="F114" s="16" t="n">
        <f aca="false">(1+Returns!F106)*(1+Returns!F107)*(1+Returns!F108)*(1+Returns!F109)*(1+Returns!F110)*(1+Returns!F111)-1</f>
        <v>0.347367853096167</v>
      </c>
      <c r="G114" s="16" t="n">
        <f aca="false">(1+Returns!G106)*(1+Returns!G107)*(1+Returns!G108)*(1+Returns!G109)*(1+Returns!G110)*(1+Returns!G111)-1</f>
        <v>0.260158311345646</v>
      </c>
      <c r="H114" s="16" t="n">
        <f aca="false">(1+Returns!H106)*(1+Returns!H107)*(1+Returns!H108)*(1+Returns!H109)*(1+Returns!H110)*(1+Returns!H111)-1</f>
        <v>4.55384615384615</v>
      </c>
      <c r="I114" s="16" t="n">
        <f aca="false">(1+Returns!I106)*(1+Returns!I107)*(1+Returns!I108)*(1+Returns!I109)*(1+Returns!I110)*(1+Returns!I111)-1</f>
        <v>0.467570456207459</v>
      </c>
      <c r="J114" s="16" t="n">
        <f aca="false">(1+Returns!J106)*(1+Returns!J107)*(1+Returns!J108)*(1+Returns!J109)*(1+Returns!J110)*(1+Returns!J111)-1</f>
        <v>0.435001369926632</v>
      </c>
    </row>
    <row r="115" customFormat="false" ht="15" hidden="false" customHeight="true" outlineLevel="0" collapsed="false">
      <c r="A115" s="1" t="n">
        <v>111</v>
      </c>
      <c r="B115" s="13" t="n">
        <f aca="false">Returns!A112</f>
        <v>45352</v>
      </c>
      <c r="C115" s="16" t="n">
        <f aca="false">(1+Returns!C107)*(1+Returns!C108)*(1+Returns!C109)*(1+Returns!C110)*(1+Returns!C111)*(1+Returns!C112)-1</f>
        <v>0.873187772925764</v>
      </c>
      <c r="D115" s="16" t="n">
        <f aca="false">(1+Returns!D107)*(1+Returns!D108)*(1+Returns!D109)*(1+Returns!D110)*(1+Returns!D111)*(1+Returns!D112)-1</f>
        <v>0.944605263157895</v>
      </c>
      <c r="E115" s="16" t="n">
        <f aca="false">(1+Returns!E107)*(1+Returns!E108)*(1+Returns!E109)*(1+Returns!E110)*(1+Returns!E111)*(1+Returns!E112)-1</f>
        <v>0.567567567567568</v>
      </c>
      <c r="F115" s="16" t="n">
        <f aca="false">(1+Returns!F107)*(1+Returns!F108)*(1+Returns!F109)*(1+Returns!F110)*(1+Returns!F111)*(1+Returns!F112)-1</f>
        <v>0.358550879062334</v>
      </c>
      <c r="G115" s="16" t="n">
        <f aca="false">(1+Returns!G107)*(1+Returns!G108)*(1+Returns!G109)*(1+Returns!G110)*(1+Returns!G111)*(1+Returns!G112)-1</f>
        <v>0.36388140161725</v>
      </c>
      <c r="H115" s="16" t="n">
        <f aca="false">(1+Returns!H107)*(1+Returns!H108)*(1+Returns!H109)*(1+Returns!H110)*(1+Returns!H111)*(1+Returns!H112)-1</f>
        <v>3.17294041729404</v>
      </c>
      <c r="I115" s="16" t="n">
        <f aca="false">(1+Returns!I107)*(1+Returns!I108)*(1+Returns!I109)*(1+Returns!I110)*(1+Returns!I111)*(1+Returns!I112)-1</f>
        <v>0.619857093465483</v>
      </c>
      <c r="J115" s="16" t="n">
        <f aca="false">(1+Returns!J107)*(1+Returns!J108)*(1+Returns!J109)*(1+Returns!J110)*(1+Returns!J111)*(1+Returns!J112)-1</f>
        <v>0.449304700428853</v>
      </c>
    </row>
    <row r="116" customFormat="false" ht="15" hidden="false" customHeight="true" outlineLevel="0" collapsed="false">
      <c r="A116" s="1" t="n">
        <v>112</v>
      </c>
      <c r="B116" s="13" t="n">
        <f aca="false">Returns!A113</f>
        <v>45383</v>
      </c>
      <c r="C116" s="16" t="n">
        <f aca="false">(1+Returns!C108)*(1+Returns!C109)*(1+Returns!C110)*(1+Returns!C111)*(1+Returns!C112)*(1+Returns!C113)-1</f>
        <v>0.552767473998109</v>
      </c>
      <c r="D116" s="16" t="n">
        <f aca="false">(1+Returns!D108)*(1+Returns!D109)*(1+Returns!D110)*(1+Returns!D111)*(1+Returns!D112)*(1+Returns!D113)-1</f>
        <v>0.812327188940093</v>
      </c>
      <c r="E116" s="16" t="n">
        <f aca="false">(1+Returns!E108)*(1+Returns!E109)*(1+Returns!E110)*(1+Returns!E111)*(1+Returns!E112)*(1+Returns!E113)-1</f>
        <v>0.374122893304479</v>
      </c>
      <c r="F116" s="16" t="n">
        <f aca="false">(1+Returns!F108)*(1+Returns!F109)*(1+Returns!F110)*(1+Returns!F111)*(1+Returns!F112)*(1+Returns!F113)-1</f>
        <v>0.316535433070866</v>
      </c>
      <c r="G116" s="16" t="n">
        <f aca="false">(1+Returns!G108)*(1+Returns!G109)*(1+Returns!G110)*(1+Returns!G111)*(1+Returns!G112)*(1+Returns!G113)-1</f>
        <v>0.409200968523002</v>
      </c>
      <c r="H116" s="16" t="n">
        <f aca="false">(1+Returns!H108)*(1+Returns!H109)*(1+Returns!H110)*(1+Returns!H111)*(1+Returns!H112)*(1+Returns!H113)-1</f>
        <v>3.30410790925813</v>
      </c>
      <c r="I116" s="16" t="n">
        <f aca="false">(1+Returns!I108)*(1+Returns!I109)*(1+Returns!I110)*(1+Returns!I111)*(1+Returns!I112)*(1+Returns!I113)-1</f>
        <v>0.733344770400869</v>
      </c>
      <c r="J116" s="16" t="n">
        <f aca="false">(1+Returns!J108)*(1+Returns!J109)*(1+Returns!J110)*(1+Returns!J111)*(1+Returns!J112)*(1+Returns!J113)-1</f>
        <v>0.367979950866077</v>
      </c>
    </row>
    <row r="117" customFormat="false" ht="15" hidden="false" customHeight="true" outlineLevel="0" collapsed="false">
      <c r="A117" s="1" t="n">
        <v>113</v>
      </c>
      <c r="B117" s="13" t="n">
        <f aca="false">Returns!A114</f>
        <v>45413</v>
      </c>
      <c r="C117" s="16" t="n">
        <f aca="false">(1+Returns!C109)*(1+Returns!C110)*(1+Returns!C111)*(1+Returns!C112)*(1+Returns!C113)*(1+Returns!C114)-1</f>
        <v>0.596699029126213</v>
      </c>
      <c r="D117" s="16" t="n">
        <f aca="false">(1+Returns!D109)*(1+Returns!D110)*(1+Returns!D111)*(1+Returns!D112)*(1+Returns!D113)*(1+Returns!D114)-1</f>
        <v>0.585619490937903</v>
      </c>
      <c r="E117" s="16" t="n">
        <f aca="false">(1+Returns!E109)*(1+Returns!E110)*(1+Returns!E111)*(1+Returns!E112)*(1+Returns!E113)*(1+Returns!E114)-1</f>
        <v>0.235820895522388</v>
      </c>
      <c r="F117" s="16" t="n">
        <f aca="false">(1+Returns!F109)*(1+Returns!F110)*(1+Returns!F111)*(1+Returns!F112)*(1+Returns!F113)*(1+Returns!F114)-1</f>
        <v>0.137515842839037</v>
      </c>
      <c r="G117" s="16" t="n">
        <f aca="false">(1+Returns!G109)*(1+Returns!G110)*(1+Returns!G111)*(1+Returns!G112)*(1+Returns!G113)*(1+Returns!G114)-1</f>
        <v>0.267291387773315</v>
      </c>
      <c r="H117" s="16" t="n">
        <f aca="false">(1+Returns!H109)*(1+Returns!H110)*(1+Returns!H111)*(1+Returns!H112)*(1+Returns!H113)*(1+Returns!H114)-1</f>
        <v>3.22655913978495</v>
      </c>
      <c r="I117" s="16" t="n">
        <f aca="false">(1+Returns!I109)*(1+Returns!I110)*(1+Returns!I111)*(1+Returns!I112)*(1+Returns!I113)*(1+Returns!I114)-1</f>
        <v>0.634785819793206</v>
      </c>
      <c r="J117" s="16" t="n">
        <f aca="false">(1+Returns!J109)*(1+Returns!J110)*(1+Returns!J111)*(1+Returns!J112)*(1+Returns!J113)*(1+Returns!J114)-1</f>
        <v>0.253635044460492</v>
      </c>
    </row>
    <row r="118" customFormat="false" ht="15" hidden="false" customHeight="true" outlineLevel="0" collapsed="false">
      <c r="A118" s="1" t="n">
        <v>114</v>
      </c>
      <c r="B118" s="13" t="n">
        <f aca="false">Returns!A115</f>
        <v>45444</v>
      </c>
      <c r="C118" s="16" t="n">
        <f aca="false">(1+Returns!C110)*(1+Returns!C111)*(1+Returns!C112)*(1+Returns!C113)*(1+Returns!C114)*(1+Returns!C115)-1</f>
        <v>0.484564258649606</v>
      </c>
      <c r="D118" s="16" t="n">
        <f aca="false">(1+Returns!D110)*(1+Returns!D111)*(1+Returns!D112)*(1+Returns!D113)*(1+Returns!D114)*(1+Returns!D115)-1</f>
        <v>0.478361531611755</v>
      </c>
      <c r="E118" s="16" t="n">
        <f aca="false">(1+Returns!E110)*(1+Returns!E111)*(1+Returns!E112)*(1+Returns!E113)*(1+Returns!E114)*(1+Returns!E115)-1</f>
        <v>0.319767441860465</v>
      </c>
      <c r="F118" s="16" t="n">
        <f aca="false">(1+Returns!F110)*(1+Returns!F111)*(1+Returns!F112)*(1+Returns!F113)*(1+Returns!F114)*(1+Returns!F115)-1</f>
        <v>0.14320253164557</v>
      </c>
      <c r="G118" s="16" t="n">
        <f aca="false">(1+Returns!G110)*(1+Returns!G111)*(1+Returns!G112)*(1+Returns!G113)*(1+Returns!G114)*(1+Returns!G115)-1</f>
        <v>0.440423654015887</v>
      </c>
      <c r="H118" s="16" t="n">
        <f aca="false">(1+Returns!H110)*(1+Returns!H111)*(1+Returns!H112)*(1+Returns!H113)*(1+Returns!H114)*(1+Returns!H115)-1</f>
        <v>3.70129577464789</v>
      </c>
      <c r="I118" s="16" t="n">
        <f aca="false">(1+Returns!I110)*(1+Returns!I111)*(1+Returns!I112)*(1+Returns!I113)*(1+Returns!I114)*(1+Returns!I115)-1</f>
        <v>0.293299457411076</v>
      </c>
      <c r="J118" s="16" t="n">
        <f aca="false">(1+Returns!J110)*(1+Returns!J111)*(1+Returns!J112)*(1+Returns!J113)*(1+Returns!J114)*(1+Returns!J115)-1</f>
        <v>0.256103341113295</v>
      </c>
    </row>
    <row r="119" customFormat="false" ht="15" hidden="false" customHeight="true" outlineLevel="0" collapsed="false">
      <c r="A119" s="1" t="n">
        <v>115</v>
      </c>
      <c r="B119" s="13" t="n">
        <f aca="false">Returns!A116</f>
        <v>45474</v>
      </c>
      <c r="C119" s="16" t="n">
        <f aca="false">(1+Returns!C111)*(1+Returns!C112)*(1+Returns!C113)*(1+Returns!C114)*(1+Returns!C115)*(1+Returns!C116)-1</f>
        <v>0.469753086419753</v>
      </c>
      <c r="D119" s="16" t="n">
        <f aca="false">(1+Returns!D111)*(1+Returns!D112)*(1+Returns!D113)*(1+Returns!D114)*(1+Returns!D115)*(1+Returns!D116)-1</f>
        <v>0.372950819672131</v>
      </c>
      <c r="E119" s="16" t="n">
        <f aca="false">(1+Returns!E111)*(1+Returns!E112)*(1+Returns!E113)*(1+Returns!E114)*(1+Returns!E115)*(1+Returns!E116)-1</f>
        <v>0.265311804008909</v>
      </c>
      <c r="F119" s="16" t="n">
        <f aca="false">(1+Returns!F111)*(1+Returns!F112)*(1+Returns!F113)*(1+Returns!F114)*(1+Returns!F115)*(1+Returns!F116)-1</f>
        <v>0.183255309044033</v>
      </c>
      <c r="G119" s="16" t="n">
        <f aca="false">(1+Returns!G111)*(1+Returns!G112)*(1+Returns!G113)*(1+Returns!G114)*(1+Returns!G115)*(1+Returns!G116)-1</f>
        <v>0.603982300884956</v>
      </c>
      <c r="H119" s="16" t="n">
        <f aca="false">(1+Returns!H111)*(1+Returns!H112)*(1+Returns!H113)*(1+Returns!H114)*(1+Returns!H115)*(1+Returns!H116)-1</f>
        <v>4.03314393939394</v>
      </c>
      <c r="I119" s="16" t="n">
        <f aca="false">(1+Returns!I111)*(1+Returns!I112)*(1+Returns!I113)*(1+Returns!I114)*(1+Returns!I115)*(1+Returns!I116)-1</f>
        <v>0.178145748340133</v>
      </c>
      <c r="J119" s="16" t="n">
        <f aca="false">(1+Returns!J111)*(1+Returns!J112)*(1+Returns!J113)*(1+Returns!J114)*(1+Returns!J115)*(1+Returns!J116)-1</f>
        <v>0.256663769995021</v>
      </c>
    </row>
    <row r="120" customFormat="false" ht="15" hidden="false" customHeight="true" outlineLevel="0" collapsed="false">
      <c r="A120" s="1" t="n">
        <v>116</v>
      </c>
      <c r="B120" s="13" t="n">
        <f aca="false">Returns!A117</f>
        <v>45505</v>
      </c>
      <c r="C120" s="16" t="n">
        <f aca="false">(1+Returns!C112)*(1+Returns!C113)*(1+Returns!C114)*(1+Returns!C115)*(1+Returns!C116)*(1+Returns!C117)-1</f>
        <v>0.253333333333333</v>
      </c>
      <c r="D120" s="16" t="n">
        <f aca="false">(1+Returns!D112)*(1+Returns!D113)*(1+Returns!D114)*(1+Returns!D115)*(1+Returns!D116)*(1+Returns!D117)-1</f>
        <v>0.0953871275003404</v>
      </c>
      <c r="E120" s="16" t="n">
        <f aca="false">(1+Returns!E112)*(1+Returns!E113)*(1+Returns!E114)*(1+Returns!E115)*(1+Returns!E116)*(1+Returns!E117)-1</f>
        <v>0.0773869346733669</v>
      </c>
      <c r="F120" s="16" t="n">
        <f aca="false">(1+Returns!F112)*(1+Returns!F113)*(1+Returns!F114)*(1+Returns!F115)*(1+Returns!F116)*(1+Returns!F117)-1</f>
        <v>0.109257158112527</v>
      </c>
      <c r="G120" s="16" t="n">
        <f aca="false">(1+Returns!G112)*(1+Returns!G113)*(1+Returns!G114)*(1+Returns!G115)*(1+Returns!G116)*(1+Returns!G117)-1</f>
        <v>0.515829145728643</v>
      </c>
      <c r="H120" s="16" t="n">
        <f aca="false">(1+Returns!H112)*(1+Returns!H113)*(1+Returns!H114)*(1+Returns!H115)*(1+Returns!H116)*(1+Returns!H117)-1</f>
        <v>1.79808864265928</v>
      </c>
      <c r="I120" s="16" t="n">
        <f aca="false">(1+Returns!I112)*(1+Returns!I113)*(1+Returns!I114)*(1+Returns!I115)*(1+Returns!I116)*(1+Returns!I117)-1</f>
        <v>0.445053470811453</v>
      </c>
      <c r="J120" s="16" t="n">
        <f aca="false">(1+Returns!J112)*(1+Returns!J113)*(1+Returns!J114)*(1+Returns!J115)*(1+Returns!J116)*(1+Returns!J117)-1</f>
        <v>0.215392052961263</v>
      </c>
    </row>
    <row r="121" customFormat="false" ht="15" hidden="false" customHeight="true" outlineLevel="0" collapsed="false">
      <c r="A121" s="1" t="n">
        <v>117</v>
      </c>
      <c r="B121" s="13" t="n">
        <f aca="false">Returns!A118</f>
        <v>45536</v>
      </c>
      <c r="C121" s="16" t="n">
        <f aca="false">(1+Returns!C113)*(1+Returns!C114)*(1+Returns!C115)*(1+Returns!C116)*(1+Returns!C117)*(1+Returns!C118)-1</f>
        <v>0.0637355464378964</v>
      </c>
      <c r="D121" s="16" t="n">
        <f aca="false">(1+Returns!D113)*(1+Returns!D114)*(1+Returns!D115)*(1+Returns!D116)*(1+Returns!D117)*(1+Returns!D118)-1</f>
        <v>0.287367210230733</v>
      </c>
      <c r="E121" s="16" t="n">
        <f aca="false">(1+Returns!E113)*(1+Returns!E114)*(1+Returns!E115)*(1+Returns!E116)*(1+Returns!E117)*(1+Returns!E118)-1</f>
        <v>0.18423645320197</v>
      </c>
      <c r="F121" s="16" t="n">
        <f aca="false">(1+Returns!F113)*(1+Returns!F114)*(1+Returns!F115)*(1+Returns!F116)*(1+Returns!F117)*(1+Returns!F118)-1</f>
        <v>0.155607843137255</v>
      </c>
      <c r="G121" s="16" t="n">
        <f aca="false">(1+Returns!G113)*(1+Returns!G114)*(1+Returns!G115)*(1+Returns!G116)*(1+Returns!G117)*(1+Returns!G118)-1</f>
        <v>0.758498023715415</v>
      </c>
      <c r="H121" s="16" t="n">
        <f aca="false">(1+Returns!H113)*(1+Returns!H114)*(1+Returns!H115)*(1+Returns!H116)*(1+Returns!H117)*(1+Returns!H118)-1</f>
        <v>1.48090206185567</v>
      </c>
      <c r="I121" s="16" t="n">
        <f aca="false">(1+Returns!I113)*(1+Returns!I114)*(1+Returns!I115)*(1+Returns!I116)*(1+Returns!I117)*(1+Returns!I118)-1</f>
        <v>0.513784639464978</v>
      </c>
      <c r="J121" s="16" t="n">
        <f aca="false">(1+Returns!J113)*(1+Returns!J114)*(1+Returns!J115)*(1+Returns!J116)*(1+Returns!J117)*(1+Returns!J118)-1</f>
        <v>0.210567373145123</v>
      </c>
    </row>
    <row r="122" customFormat="false" ht="15" hidden="false" customHeight="true" outlineLevel="0" collapsed="false">
      <c r="A122" s="1" t="n">
        <v>118</v>
      </c>
      <c r="B122" s="13" t="n">
        <f aca="false">Returns!A119</f>
        <v>45566</v>
      </c>
      <c r="C122" s="16" t="n">
        <f aca="false">(1+Returns!C114)*(1+Returns!C115)*(1+Returns!C116)*(1+Returns!C117)*(1+Returns!C118)*(1+Returns!C119)-1</f>
        <v>0.0861398660358796</v>
      </c>
      <c r="D122" s="16" t="n">
        <f aca="false">(1+Returns!D114)*(1+Returns!D115)*(1+Returns!D116)*(1+Returns!D117)*(1+Returns!D118)*(1+Returns!D119)-1</f>
        <v>0.23253448604666</v>
      </c>
      <c r="E122" s="16" t="n">
        <f aca="false">(1+Returns!E114)*(1+Returns!E115)*(1+Returns!E116)*(1+Returns!E117)*(1+Returns!E118)*(1+Returns!E119)-1</f>
        <v>0.165075880500143</v>
      </c>
      <c r="F122" s="16" t="n">
        <f aca="false">(1+Returns!F114)*(1+Returns!F115)*(1+Returns!F116)*(1+Returns!F117)*(1+Returns!F118)*(1+Returns!F119)-1</f>
        <v>0.0564593301435408</v>
      </c>
      <c r="G122" s="16" t="n">
        <f aca="false">(1+Returns!G114)*(1+Returns!G115)*(1+Returns!G116)*(1+Returns!G117)*(1+Returns!G118)*(1+Returns!G119)-1</f>
        <v>0.934089347079038</v>
      </c>
      <c r="H122" s="16" t="n">
        <f aca="false">(1+Returns!H114)*(1+Returns!H115)*(1+Returns!H116)*(1+Returns!H117)*(1+Returns!H118)*(1+Returns!H119)-1</f>
        <v>0.488803418803419</v>
      </c>
      <c r="I122" s="16" t="n">
        <f aca="false">(1+Returns!I114)*(1+Returns!I115)*(1+Returns!I116)*(1+Returns!I117)*(1+Returns!I118)*(1+Returns!I119)-1</f>
        <v>0.340998317442513</v>
      </c>
      <c r="J122" s="16" t="n">
        <f aca="false">(1+Returns!J114)*(1+Returns!J115)*(1+Returns!J116)*(1+Returns!J117)*(1+Returns!J118)*(1+Returns!J119)-1</f>
        <v>0.251245841393874</v>
      </c>
    </row>
    <row r="123" customFormat="false" ht="15" hidden="false" customHeight="true" outlineLevel="0" collapsed="false">
      <c r="A123" s="1" t="n">
        <v>119</v>
      </c>
      <c r="B123" s="13" t="n">
        <f aca="false">Returns!A120</f>
        <v>45597</v>
      </c>
      <c r="C123" s="16" t="n">
        <f aca="false">(1+Returns!C115)*(1+Returns!C116)*(1+Returns!C117)*(1+Returns!C118)*(1+Returns!C119)*(1+Returns!C120)-1</f>
        <v>-0.0782763792614213</v>
      </c>
      <c r="D123" s="16" t="n">
        <f aca="false">(1+Returns!D115)*(1+Returns!D116)*(1+Returns!D117)*(1+Returns!D118)*(1+Returns!D119)*(1+Returns!D120)-1</f>
        <v>0.25053091817614</v>
      </c>
      <c r="E123" s="16" t="n">
        <f aca="false">(1+Returns!E115)*(1+Returns!E116)*(1+Returns!E117)*(1+Returns!E118)*(1+Returns!E119)*(1+Returns!E120)-1</f>
        <v>0.310434782608696</v>
      </c>
      <c r="F123" s="16" t="n">
        <f aca="false">(1+Returns!F115)*(1+Returns!F116)*(1+Returns!F117)*(1+Returns!F118)*(1+Returns!F119)*(1+Returns!F120)-1</f>
        <v>0.135988857938719</v>
      </c>
      <c r="G123" s="16" t="n">
        <f aca="false">(1+Returns!G115)*(1+Returns!G116)*(1+Returns!G117)*(1+Returns!G118)*(1+Returns!G119)*(1+Returns!G120)-1</f>
        <v>1.28795774647887</v>
      </c>
      <c r="H123" s="16" t="n">
        <f aca="false">(1+Returns!H115)*(1+Returns!H116)*(1+Returns!H117)*(1+Returns!H118)*(1+Returns!H119)*(1+Returns!H120)-1</f>
        <v>0.277749510265347</v>
      </c>
      <c r="I123" s="16" t="n">
        <f aca="false">(1+Returns!I115)*(1+Returns!I116)*(1+Returns!I117)*(1+Returns!I118)*(1+Returns!I119)*(1+Returns!I120)-1</f>
        <v>0.491561521830327</v>
      </c>
      <c r="J123" s="16" t="n">
        <f aca="false">(1+Returns!J115)*(1+Returns!J116)*(1+Returns!J117)*(1+Returns!J118)*(1+Returns!J119)*(1+Returns!J120)-1</f>
        <v>0.335784796954288</v>
      </c>
    </row>
    <row r="124" customFormat="false" ht="15" hidden="false" customHeight="true" outlineLevel="0" collapsed="false">
      <c r="A124" s="1" t="n">
        <v>120</v>
      </c>
      <c r="B124" s="13" t="n">
        <f aca="false">Returns!A121</f>
        <v>45627</v>
      </c>
      <c r="C124" s="16" t="n">
        <f aca="false">(1+Returns!C116)*(1+Returns!C117)*(1+Returns!C118)*(1+Returns!C119)*(1+Returns!C120)*(1+Returns!C121)-1</f>
        <v>0.0124267782426779</v>
      </c>
      <c r="D124" s="16" t="n">
        <f aca="false">(1+Returns!D116)*(1+Returns!D117)*(1+Returns!D118)*(1+Returns!D119)*(1+Returns!D120)*(1+Returns!D121)-1</f>
        <v>0.229912058788098</v>
      </c>
      <c r="E124" s="16" t="n">
        <f aca="false">(1+Returns!E116)*(1+Returns!E117)*(1+Returns!E118)*(1+Returns!E119)*(1+Returns!E120)*(1+Returns!E121)-1</f>
        <v>0.23920704845815</v>
      </c>
      <c r="F124" s="16" t="n">
        <f aca="false">(1+Returns!F116)*(1+Returns!F117)*(1+Returns!F118)*(1+Returns!F119)*(1+Returns!F120)*(1+Returns!F121)-1</f>
        <v>0.21852889395768</v>
      </c>
      <c r="G124" s="16" t="n">
        <f aca="false">(1+Returns!G116)*(1+Returns!G117)*(1+Returns!G118)*(1+Returns!G119)*(1+Returns!G120)*(1+Returns!G121)-1</f>
        <v>1.24460784313726</v>
      </c>
      <c r="H124" s="16" t="n">
        <f aca="false">(1+Returns!H116)*(1+Returns!H117)*(1+Returns!H118)*(1+Returns!H119)*(1+Returns!H120)*(1+Returns!H121)-1</f>
        <v>0.340211868468987</v>
      </c>
      <c r="I124" s="16" t="n">
        <f aca="false">(1+Returns!I116)*(1+Returns!I117)*(1+Returns!I118)*(1+Returns!I119)*(1+Returns!I120)*(1+Returns!I121)-1</f>
        <v>1.39606432923784</v>
      </c>
      <c r="J124" s="16" t="n">
        <f aca="false">(1+Returns!J116)*(1+Returns!J117)*(1+Returns!J118)*(1+Returns!J119)*(1+Returns!J120)*(1+Returns!J121)-1</f>
        <v>0.467613725598177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10" min="3" style="1" width="10"/>
  </cols>
  <sheetData>
    <row r="1" customFormat="false" ht="17.25" hidden="false" customHeight="true" outlineLevel="0" collapsed="false">
      <c r="A1" s="2" t="s">
        <v>67</v>
      </c>
    </row>
    <row r="4" customFormat="false" ht="15" hidden="false" customHeight="true" outlineLevel="0" collapsed="false">
      <c r="A4" s="12" t="s">
        <v>66</v>
      </c>
      <c r="B4" s="12" t="s">
        <v>51</v>
      </c>
      <c r="C4" s="12" t="s">
        <v>52</v>
      </c>
      <c r="D4" s="12" t="s">
        <v>53</v>
      </c>
      <c r="E4" s="12" t="s">
        <v>54</v>
      </c>
      <c r="F4" s="12" t="s">
        <v>55</v>
      </c>
      <c r="G4" s="12" t="s">
        <v>56</v>
      </c>
      <c r="H4" s="12" t="s">
        <v>57</v>
      </c>
      <c r="I4" s="12" t="s">
        <v>58</v>
      </c>
      <c r="J4" s="12" t="s">
        <v>59</v>
      </c>
    </row>
    <row r="5" customFormat="false" ht="15" hidden="false" customHeight="true" outlineLevel="0" collapsed="false">
      <c r="A5" s="1" t="n">
        <v>1</v>
      </c>
      <c r="B5" s="13" t="n">
        <f aca="false">Momentum_Signal!B5</f>
        <v>42005</v>
      </c>
      <c r="C5" s="17"/>
      <c r="D5" s="17"/>
      <c r="E5" s="17"/>
      <c r="F5" s="17"/>
      <c r="G5" s="17"/>
      <c r="H5" s="17"/>
      <c r="I5" s="17"/>
      <c r="J5" s="17"/>
    </row>
    <row r="6" customFormat="false" ht="15" hidden="false" customHeight="true" outlineLevel="0" collapsed="false">
      <c r="A6" s="1" t="n">
        <v>2</v>
      </c>
      <c r="B6" s="13" t="n">
        <f aca="false">Momentum_Signal!B6</f>
        <v>42036</v>
      </c>
      <c r="C6" s="17"/>
      <c r="D6" s="17"/>
      <c r="E6" s="17"/>
      <c r="F6" s="17"/>
      <c r="G6" s="17"/>
      <c r="H6" s="17"/>
      <c r="I6" s="17"/>
      <c r="J6" s="17"/>
    </row>
    <row r="7" customFormat="false" ht="15" hidden="false" customHeight="true" outlineLevel="0" collapsed="false">
      <c r="A7" s="1" t="n">
        <v>3</v>
      </c>
      <c r="B7" s="13" t="n">
        <f aca="false">Momentum_Signal!B7</f>
        <v>42064</v>
      </c>
      <c r="C7" s="17"/>
      <c r="D7" s="17"/>
      <c r="E7" s="17"/>
      <c r="F7" s="17"/>
      <c r="G7" s="17"/>
      <c r="H7" s="17"/>
      <c r="I7" s="17"/>
      <c r="J7" s="17"/>
    </row>
    <row r="8" customFormat="false" ht="15" hidden="false" customHeight="true" outlineLevel="0" collapsed="false">
      <c r="A8" s="1" t="n">
        <v>4</v>
      </c>
      <c r="B8" s="13" t="n">
        <f aca="false">Momentum_Signal!B8</f>
        <v>42095</v>
      </c>
      <c r="C8" s="17"/>
      <c r="D8" s="17"/>
      <c r="E8" s="17"/>
      <c r="F8" s="17"/>
      <c r="G8" s="17"/>
      <c r="H8" s="17"/>
      <c r="I8" s="17"/>
      <c r="J8" s="17"/>
    </row>
    <row r="9" customFormat="false" ht="15" hidden="false" customHeight="true" outlineLevel="0" collapsed="false">
      <c r="A9" s="1" t="n">
        <v>5</v>
      </c>
      <c r="B9" s="13" t="n">
        <f aca="false">Momentum_Signal!B9</f>
        <v>42125</v>
      </c>
      <c r="C9" s="17"/>
      <c r="D9" s="17"/>
      <c r="E9" s="17"/>
      <c r="F9" s="17"/>
      <c r="G9" s="17"/>
      <c r="H9" s="17"/>
      <c r="I9" s="17"/>
      <c r="J9" s="17"/>
    </row>
    <row r="10" customFormat="false" ht="15" hidden="false" customHeight="true" outlineLevel="0" collapsed="false">
      <c r="A10" s="1" t="n">
        <v>6</v>
      </c>
      <c r="B10" s="13" t="n">
        <f aca="false">Momentum_Signal!B10</f>
        <v>42156</v>
      </c>
      <c r="C10" s="17"/>
      <c r="D10" s="17"/>
      <c r="E10" s="17"/>
      <c r="F10" s="17"/>
      <c r="G10" s="17"/>
      <c r="H10" s="17"/>
      <c r="I10" s="17"/>
      <c r="J10" s="17"/>
    </row>
    <row r="11" customFormat="false" ht="15" hidden="false" customHeight="true" outlineLevel="0" collapsed="false">
      <c r="A11" s="1" t="n">
        <v>7</v>
      </c>
      <c r="B11" s="13" t="n">
        <f aca="false">Momentum_Signal!B11</f>
        <v>42186</v>
      </c>
      <c r="C11" s="17" t="n">
        <f aca="false">RANK(Momentum_Signal!C11,Momentum_Signal!$C11:$J11,0)</f>
        <v>6</v>
      </c>
      <c r="D11" s="17" t="n">
        <f aca="false">RANK(Momentum_Signal!D11,Momentum_Signal!$C11:$J11,0)</f>
        <v>3</v>
      </c>
      <c r="E11" s="17" t="n">
        <f aca="false">RANK(Momentum_Signal!E11,Momentum_Signal!$C11:$J11,0)</f>
        <v>7</v>
      </c>
      <c r="F11" s="17" t="n">
        <f aca="false">RANK(Momentum_Signal!F11,Momentum_Signal!$C11:$J11,0)</f>
        <v>4</v>
      </c>
      <c r="G11" s="17" t="n">
        <f aca="false">RANK(Momentum_Signal!G11,Momentum_Signal!$C11:$J11,0)</f>
        <v>2</v>
      </c>
      <c r="H11" s="17" t="n">
        <f aca="false">RANK(Momentum_Signal!H11,Momentum_Signal!$C11:$J11,0)</f>
        <v>1</v>
      </c>
      <c r="I11" s="17" t="n">
        <f aca="false">RANK(Momentum_Signal!I11,Momentum_Signal!$C11:$J11,0)</f>
        <v>8</v>
      </c>
      <c r="J11" s="17" t="n">
        <f aca="false">RANK(Momentum_Signal!J11,Momentum_Signal!$C11:$J11,0)</f>
        <v>5</v>
      </c>
    </row>
    <row r="12" customFormat="false" ht="15" hidden="false" customHeight="true" outlineLevel="0" collapsed="false">
      <c r="A12" s="1" t="n">
        <v>8</v>
      </c>
      <c r="B12" s="13" t="n">
        <f aca="false">Momentum_Signal!B12</f>
        <v>42217</v>
      </c>
      <c r="C12" s="17" t="n">
        <f aca="false">RANK(Momentum_Signal!C12,Momentum_Signal!$C12:$J12,0)</f>
        <v>4</v>
      </c>
      <c r="D12" s="17" t="n">
        <f aca="false">RANK(Momentum_Signal!D12,Momentum_Signal!$C12:$J12,0)</f>
        <v>1</v>
      </c>
      <c r="E12" s="17" t="n">
        <f aca="false">RANK(Momentum_Signal!E12,Momentum_Signal!$C12:$J12,0)</f>
        <v>7</v>
      </c>
      <c r="F12" s="17" t="n">
        <f aca="false">RANK(Momentum_Signal!F12,Momentum_Signal!$C12:$J12,0)</f>
        <v>2</v>
      </c>
      <c r="G12" s="17" t="n">
        <f aca="false">RANK(Momentum_Signal!G12,Momentum_Signal!$C12:$J12,0)</f>
        <v>5</v>
      </c>
      <c r="H12" s="17" t="n">
        <f aca="false">RANK(Momentum_Signal!H12,Momentum_Signal!$C12:$J12,0)</f>
        <v>6</v>
      </c>
      <c r="I12" s="17" t="n">
        <f aca="false">RANK(Momentum_Signal!I12,Momentum_Signal!$C12:$J12,0)</f>
        <v>8</v>
      </c>
      <c r="J12" s="17" t="n">
        <f aca="false">RANK(Momentum_Signal!J12,Momentum_Signal!$C12:$J12,0)</f>
        <v>3</v>
      </c>
    </row>
    <row r="13" customFormat="false" ht="15" hidden="false" customHeight="true" outlineLevel="0" collapsed="false">
      <c r="A13" s="1" t="n">
        <v>9</v>
      </c>
      <c r="B13" s="13" t="n">
        <f aca="false">Momentum_Signal!B13</f>
        <v>42248</v>
      </c>
      <c r="C13" s="17" t="n">
        <f aca="false">RANK(Momentum_Signal!C13,Momentum_Signal!$C13:$J13,0)</f>
        <v>3</v>
      </c>
      <c r="D13" s="17" t="n">
        <f aca="false">RANK(Momentum_Signal!D13,Momentum_Signal!$C13:$J13,0)</f>
        <v>2</v>
      </c>
      <c r="E13" s="17" t="n">
        <f aca="false">RANK(Momentum_Signal!E13,Momentum_Signal!$C13:$J13,0)</f>
        <v>6</v>
      </c>
      <c r="F13" s="17" t="n">
        <f aca="false">RANK(Momentum_Signal!F13,Momentum_Signal!$C13:$J13,0)</f>
        <v>1</v>
      </c>
      <c r="G13" s="17" t="n">
        <f aca="false">RANK(Momentum_Signal!G13,Momentum_Signal!$C13:$J13,0)</f>
        <v>5</v>
      </c>
      <c r="H13" s="17" t="n">
        <f aca="false">RANK(Momentum_Signal!H13,Momentum_Signal!$C13:$J13,0)</f>
        <v>7</v>
      </c>
      <c r="I13" s="17" t="n">
        <f aca="false">RANK(Momentum_Signal!I13,Momentum_Signal!$C13:$J13,0)</f>
        <v>8</v>
      </c>
      <c r="J13" s="17" t="n">
        <f aca="false">RANK(Momentum_Signal!J13,Momentum_Signal!$C13:$J13,0)</f>
        <v>4</v>
      </c>
    </row>
    <row r="14" customFormat="false" ht="15" hidden="false" customHeight="true" outlineLevel="0" collapsed="false">
      <c r="A14" s="1" t="n">
        <v>10</v>
      </c>
      <c r="B14" s="13" t="n">
        <f aca="false">Momentum_Signal!B14</f>
        <v>42278</v>
      </c>
      <c r="C14" s="17" t="n">
        <f aca="false">RANK(Momentum_Signal!C14,Momentum_Signal!$C14:$J14,0)</f>
        <v>2</v>
      </c>
      <c r="D14" s="17" t="n">
        <f aca="false">RANK(Momentum_Signal!D14,Momentum_Signal!$C14:$J14,0)</f>
        <v>3</v>
      </c>
      <c r="E14" s="17" t="n">
        <f aca="false">RANK(Momentum_Signal!E14,Momentum_Signal!$C14:$J14,0)</f>
        <v>5</v>
      </c>
      <c r="F14" s="17" t="n">
        <f aca="false">RANK(Momentum_Signal!F14,Momentum_Signal!$C14:$J14,0)</f>
        <v>1</v>
      </c>
      <c r="G14" s="17" t="n">
        <f aca="false">RANK(Momentum_Signal!G14,Momentum_Signal!$C14:$J14,0)</f>
        <v>6</v>
      </c>
      <c r="H14" s="17" t="n">
        <f aca="false">RANK(Momentum_Signal!H14,Momentum_Signal!$C14:$J14,0)</f>
        <v>7</v>
      </c>
      <c r="I14" s="17" t="n">
        <f aca="false">RANK(Momentum_Signal!I14,Momentum_Signal!$C14:$J14,0)</f>
        <v>8</v>
      </c>
      <c r="J14" s="17" t="n">
        <f aca="false">RANK(Momentum_Signal!J14,Momentum_Signal!$C14:$J14,0)</f>
        <v>4</v>
      </c>
    </row>
    <row r="15" customFormat="false" ht="15" hidden="false" customHeight="true" outlineLevel="0" collapsed="false">
      <c r="A15" s="1" t="n">
        <v>11</v>
      </c>
      <c r="B15" s="13" t="n">
        <f aca="false">Momentum_Signal!B15</f>
        <v>42309</v>
      </c>
      <c r="C15" s="17" t="n">
        <f aca="false">RANK(Momentum_Signal!C15,Momentum_Signal!$C15:$J15,0)</f>
        <v>1</v>
      </c>
      <c r="D15" s="17" t="n">
        <f aca="false">RANK(Momentum_Signal!D15,Momentum_Signal!$C15:$J15,0)</f>
        <v>5</v>
      </c>
      <c r="E15" s="17" t="n">
        <f aca="false">RANK(Momentum_Signal!E15,Momentum_Signal!$C15:$J15,0)</f>
        <v>8</v>
      </c>
      <c r="F15" s="17" t="n">
        <f aca="false">RANK(Momentum_Signal!F15,Momentum_Signal!$C15:$J15,0)</f>
        <v>3</v>
      </c>
      <c r="G15" s="17" t="n">
        <f aca="false">RANK(Momentum_Signal!G15,Momentum_Signal!$C15:$J15,0)</f>
        <v>6</v>
      </c>
      <c r="H15" s="17" t="n">
        <f aca="false">RANK(Momentum_Signal!H15,Momentum_Signal!$C15:$J15,0)</f>
        <v>7</v>
      </c>
      <c r="I15" s="17" t="n">
        <f aca="false">RANK(Momentum_Signal!I15,Momentum_Signal!$C15:$J15,0)</f>
        <v>2</v>
      </c>
      <c r="J15" s="17" t="n">
        <f aca="false">RANK(Momentum_Signal!J15,Momentum_Signal!$C15:$J15,0)</f>
        <v>4</v>
      </c>
    </row>
    <row r="16" customFormat="false" ht="15" hidden="false" customHeight="true" outlineLevel="0" collapsed="false">
      <c r="A16" s="1" t="n">
        <v>12</v>
      </c>
      <c r="B16" s="13" t="n">
        <f aca="false">Momentum_Signal!B16</f>
        <v>42339</v>
      </c>
      <c r="C16" s="17" t="n">
        <f aca="false">RANK(Momentum_Signal!C16,Momentum_Signal!$C16:$J16,0)</f>
        <v>2</v>
      </c>
      <c r="D16" s="17" t="n">
        <f aca="false">RANK(Momentum_Signal!D16,Momentum_Signal!$C16:$J16,0)</f>
        <v>5</v>
      </c>
      <c r="E16" s="17" t="n">
        <f aca="false">RANK(Momentum_Signal!E16,Momentum_Signal!$C16:$J16,0)</f>
        <v>6</v>
      </c>
      <c r="F16" s="17" t="n">
        <f aca="false">RANK(Momentum_Signal!F16,Momentum_Signal!$C16:$J16,0)</f>
        <v>4</v>
      </c>
      <c r="G16" s="17" t="n">
        <f aca="false">RANK(Momentum_Signal!G16,Momentum_Signal!$C16:$J16,0)</f>
        <v>8</v>
      </c>
      <c r="H16" s="17" t="n">
        <f aca="false">RANK(Momentum_Signal!H16,Momentum_Signal!$C16:$J16,0)</f>
        <v>7</v>
      </c>
      <c r="I16" s="17" t="n">
        <f aca="false">RANK(Momentum_Signal!I16,Momentum_Signal!$C16:$J16,0)</f>
        <v>1</v>
      </c>
      <c r="J16" s="17" t="n">
        <f aca="false">RANK(Momentum_Signal!J16,Momentum_Signal!$C16:$J16,0)</f>
        <v>3</v>
      </c>
    </row>
    <row r="17" customFormat="false" ht="15" hidden="false" customHeight="true" outlineLevel="0" collapsed="false">
      <c r="A17" s="1" t="n">
        <v>13</v>
      </c>
      <c r="B17" s="13" t="n">
        <f aca="false">Momentum_Signal!B17</f>
        <v>42370</v>
      </c>
      <c r="C17" s="17" t="n">
        <f aca="false">RANK(Momentum_Signal!C17,Momentum_Signal!$C17:$J17,0)</f>
        <v>2</v>
      </c>
      <c r="D17" s="17" t="n">
        <f aca="false">RANK(Momentum_Signal!D17,Momentum_Signal!$C17:$J17,0)</f>
        <v>5</v>
      </c>
      <c r="E17" s="17" t="n">
        <f aca="false">RANK(Momentum_Signal!E17,Momentum_Signal!$C17:$J17,0)</f>
        <v>8</v>
      </c>
      <c r="F17" s="17" t="n">
        <f aca="false">RANK(Momentum_Signal!F17,Momentum_Signal!$C17:$J17,0)</f>
        <v>4</v>
      </c>
      <c r="G17" s="17" t="n">
        <f aca="false">RANK(Momentum_Signal!G17,Momentum_Signal!$C17:$J17,0)</f>
        <v>6</v>
      </c>
      <c r="H17" s="17" t="n">
        <f aca="false">RANK(Momentum_Signal!H17,Momentum_Signal!$C17:$J17,0)</f>
        <v>7</v>
      </c>
      <c r="I17" s="17" t="n">
        <f aca="false">RANK(Momentum_Signal!I17,Momentum_Signal!$C17:$J17,0)</f>
        <v>1</v>
      </c>
      <c r="J17" s="17" t="n">
        <f aca="false">RANK(Momentum_Signal!J17,Momentum_Signal!$C17:$J17,0)</f>
        <v>3</v>
      </c>
    </row>
    <row r="18" customFormat="false" ht="15" hidden="false" customHeight="true" outlineLevel="0" collapsed="false">
      <c r="A18" s="1" t="n">
        <v>14</v>
      </c>
      <c r="B18" s="13" t="n">
        <f aca="false">Momentum_Signal!B18</f>
        <v>42401</v>
      </c>
      <c r="C18" s="17" t="n">
        <f aca="false">RANK(Momentum_Signal!C18,Momentum_Signal!$C18:$J18,0)</f>
        <v>4</v>
      </c>
      <c r="D18" s="17" t="n">
        <f aca="false">RANK(Momentum_Signal!D18,Momentum_Signal!$C18:$J18,0)</f>
        <v>5</v>
      </c>
      <c r="E18" s="17" t="n">
        <f aca="false">RANK(Momentum_Signal!E18,Momentum_Signal!$C18:$J18,0)</f>
        <v>7</v>
      </c>
      <c r="F18" s="17" t="n">
        <f aca="false">RANK(Momentum_Signal!F18,Momentum_Signal!$C18:$J18,0)</f>
        <v>2</v>
      </c>
      <c r="G18" s="17" t="n">
        <f aca="false">RANK(Momentum_Signal!G18,Momentum_Signal!$C18:$J18,0)</f>
        <v>6</v>
      </c>
      <c r="H18" s="17" t="n">
        <f aca="false">RANK(Momentum_Signal!H18,Momentum_Signal!$C18:$J18,0)</f>
        <v>8</v>
      </c>
      <c r="I18" s="17" t="n">
        <f aca="false">RANK(Momentum_Signal!I18,Momentum_Signal!$C18:$J18,0)</f>
        <v>1</v>
      </c>
      <c r="J18" s="17" t="n">
        <f aca="false">RANK(Momentum_Signal!J18,Momentum_Signal!$C18:$J18,0)</f>
        <v>3</v>
      </c>
    </row>
    <row r="19" customFormat="false" ht="15" hidden="false" customHeight="true" outlineLevel="0" collapsed="false">
      <c r="A19" s="1" t="n">
        <v>15</v>
      </c>
      <c r="B19" s="13" t="n">
        <f aca="false">Momentum_Signal!B19</f>
        <v>42430</v>
      </c>
      <c r="C19" s="17" t="n">
        <f aca="false">RANK(Momentum_Signal!C19,Momentum_Signal!$C19:$J19,0)</f>
        <v>7</v>
      </c>
      <c r="D19" s="17" t="n">
        <f aca="false">RANK(Momentum_Signal!D19,Momentum_Signal!$C19:$J19,0)</f>
        <v>8</v>
      </c>
      <c r="E19" s="17" t="n">
        <f aca="false">RANK(Momentum_Signal!E19,Momentum_Signal!$C19:$J19,0)</f>
        <v>5</v>
      </c>
      <c r="F19" s="17" t="n">
        <f aca="false">RANK(Momentum_Signal!F19,Momentum_Signal!$C19:$J19,0)</f>
        <v>3</v>
      </c>
      <c r="G19" s="17" t="n">
        <f aca="false">RANK(Momentum_Signal!G19,Momentum_Signal!$C19:$J19,0)</f>
        <v>6</v>
      </c>
      <c r="H19" s="17" t="n">
        <f aca="false">RANK(Momentum_Signal!H19,Momentum_Signal!$C19:$J19,0)</f>
        <v>4</v>
      </c>
      <c r="I19" s="17" t="n">
        <f aca="false">RANK(Momentum_Signal!I19,Momentum_Signal!$C19:$J19,0)</f>
        <v>1</v>
      </c>
      <c r="J19" s="17" t="n">
        <f aca="false">RANK(Momentum_Signal!J19,Momentum_Signal!$C19:$J19,0)</f>
        <v>2</v>
      </c>
    </row>
    <row r="20" customFormat="false" ht="15" hidden="false" customHeight="true" outlineLevel="0" collapsed="false">
      <c r="A20" s="1" t="n">
        <v>16</v>
      </c>
      <c r="B20" s="13" t="n">
        <f aca="false">Momentum_Signal!B20</f>
        <v>42461</v>
      </c>
      <c r="C20" s="17" t="n">
        <f aca="false">RANK(Momentum_Signal!C20,Momentum_Signal!$C20:$J20,0)</f>
        <v>5</v>
      </c>
      <c r="D20" s="17" t="n">
        <f aca="false">RANK(Momentum_Signal!D20,Momentum_Signal!$C20:$J20,0)</f>
        <v>8</v>
      </c>
      <c r="E20" s="17" t="n">
        <f aca="false">RANK(Momentum_Signal!E20,Momentum_Signal!$C20:$J20,0)</f>
        <v>6</v>
      </c>
      <c r="F20" s="17" t="n">
        <f aca="false">RANK(Momentum_Signal!F20,Momentum_Signal!$C20:$J20,0)</f>
        <v>2</v>
      </c>
      <c r="G20" s="17" t="n">
        <f aca="false">RANK(Momentum_Signal!G20,Momentum_Signal!$C20:$J20,0)</f>
        <v>7</v>
      </c>
      <c r="H20" s="17" t="n">
        <f aca="false">RANK(Momentum_Signal!H20,Momentum_Signal!$C20:$J20,0)</f>
        <v>3</v>
      </c>
      <c r="I20" s="17" t="n">
        <f aca="false">RANK(Momentum_Signal!I20,Momentum_Signal!$C20:$J20,0)</f>
        <v>1</v>
      </c>
      <c r="J20" s="17" t="n">
        <f aca="false">RANK(Momentum_Signal!J20,Momentum_Signal!$C20:$J20,0)</f>
        <v>4</v>
      </c>
    </row>
    <row r="21" customFormat="false" ht="15" hidden="false" customHeight="true" outlineLevel="0" collapsed="false">
      <c r="A21" s="1" t="n">
        <v>17</v>
      </c>
      <c r="B21" s="13" t="n">
        <f aca="false">Momentum_Signal!B21</f>
        <v>42491</v>
      </c>
      <c r="C21" s="17" t="n">
        <f aca="false">RANK(Momentum_Signal!C21,Momentum_Signal!$C21:$J21,0)</f>
        <v>7</v>
      </c>
      <c r="D21" s="17" t="n">
        <f aca="false">RANK(Momentum_Signal!D21,Momentum_Signal!$C21:$J21,0)</f>
        <v>8</v>
      </c>
      <c r="E21" s="17" t="n">
        <f aca="false">RANK(Momentum_Signal!E21,Momentum_Signal!$C21:$J21,0)</f>
        <v>5</v>
      </c>
      <c r="F21" s="17" t="n">
        <f aca="false">RANK(Momentum_Signal!F21,Momentum_Signal!$C21:$J21,0)</f>
        <v>2</v>
      </c>
      <c r="G21" s="17" t="n">
        <f aca="false">RANK(Momentum_Signal!G21,Momentum_Signal!$C21:$J21,0)</f>
        <v>6</v>
      </c>
      <c r="H21" s="17" t="n">
        <f aca="false">RANK(Momentum_Signal!H21,Momentum_Signal!$C21:$J21,0)</f>
        <v>4</v>
      </c>
      <c r="I21" s="17" t="n">
        <f aca="false">RANK(Momentum_Signal!I21,Momentum_Signal!$C21:$J21,0)</f>
        <v>1</v>
      </c>
      <c r="J21" s="17" t="n">
        <f aca="false">RANK(Momentum_Signal!J21,Momentum_Signal!$C21:$J21,0)</f>
        <v>3</v>
      </c>
    </row>
    <row r="22" customFormat="false" ht="15" hidden="false" customHeight="true" outlineLevel="0" collapsed="false">
      <c r="A22" s="1" t="n">
        <v>18</v>
      </c>
      <c r="B22" s="13" t="n">
        <f aca="false">Momentum_Signal!B22</f>
        <v>42522</v>
      </c>
      <c r="C22" s="17" t="n">
        <f aca="false">RANK(Momentum_Signal!C22,Momentum_Signal!$C22:$J22,0)</f>
        <v>7</v>
      </c>
      <c r="D22" s="17" t="n">
        <f aca="false">RANK(Momentum_Signal!D22,Momentum_Signal!$C22:$J22,0)</f>
        <v>8</v>
      </c>
      <c r="E22" s="17" t="n">
        <f aca="false">RANK(Momentum_Signal!E22,Momentum_Signal!$C22:$J22,0)</f>
        <v>4</v>
      </c>
      <c r="F22" s="17" t="n">
        <f aca="false">RANK(Momentum_Signal!F22,Momentum_Signal!$C22:$J22,0)</f>
        <v>1</v>
      </c>
      <c r="G22" s="17" t="n">
        <f aca="false">RANK(Momentum_Signal!G22,Momentum_Signal!$C22:$J22,0)</f>
        <v>6</v>
      </c>
      <c r="H22" s="17" t="n">
        <f aca="false">RANK(Momentum_Signal!H22,Momentum_Signal!$C22:$J22,0)</f>
        <v>5</v>
      </c>
      <c r="I22" s="17" t="n">
        <f aca="false">RANK(Momentum_Signal!I22,Momentum_Signal!$C22:$J22,0)</f>
        <v>2</v>
      </c>
      <c r="J22" s="17" t="n">
        <f aca="false">RANK(Momentum_Signal!J22,Momentum_Signal!$C22:$J22,0)</f>
        <v>3</v>
      </c>
    </row>
    <row r="23" customFormat="false" ht="15" hidden="false" customHeight="true" outlineLevel="0" collapsed="false">
      <c r="A23" s="1" t="n">
        <v>19</v>
      </c>
      <c r="B23" s="13" t="n">
        <f aca="false">Momentum_Signal!B23</f>
        <v>42552</v>
      </c>
      <c r="C23" s="17" t="n">
        <f aca="false">RANK(Momentum_Signal!C23,Momentum_Signal!$C23:$J23,0)</f>
        <v>6</v>
      </c>
      <c r="D23" s="17" t="n">
        <f aca="false">RANK(Momentum_Signal!D23,Momentum_Signal!$C23:$J23,0)</f>
        <v>8</v>
      </c>
      <c r="E23" s="17" t="n">
        <f aca="false">RANK(Momentum_Signal!E23,Momentum_Signal!$C23:$J23,0)</f>
        <v>4</v>
      </c>
      <c r="F23" s="17" t="n">
        <f aca="false">RANK(Momentum_Signal!F23,Momentum_Signal!$C23:$J23,0)</f>
        <v>2</v>
      </c>
      <c r="G23" s="17" t="n">
        <f aca="false">RANK(Momentum_Signal!G23,Momentum_Signal!$C23:$J23,0)</f>
        <v>7</v>
      </c>
      <c r="H23" s="17" t="n">
        <f aca="false">RANK(Momentum_Signal!H23,Momentum_Signal!$C23:$J23,0)</f>
        <v>5</v>
      </c>
      <c r="I23" s="17" t="n">
        <f aca="false">RANK(Momentum_Signal!I23,Momentum_Signal!$C23:$J23,0)</f>
        <v>1</v>
      </c>
      <c r="J23" s="17" t="n">
        <f aca="false">RANK(Momentum_Signal!J23,Momentum_Signal!$C23:$J23,0)</f>
        <v>3</v>
      </c>
    </row>
    <row r="24" customFormat="false" ht="15" hidden="false" customHeight="true" outlineLevel="0" collapsed="false">
      <c r="A24" s="1" t="n">
        <v>20</v>
      </c>
      <c r="B24" s="13" t="n">
        <f aca="false">Momentum_Signal!B24</f>
        <v>42583</v>
      </c>
      <c r="C24" s="17" t="n">
        <f aca="false">RANK(Momentum_Signal!C24,Momentum_Signal!$C24:$J24,0)</f>
        <v>5</v>
      </c>
      <c r="D24" s="17" t="n">
        <f aca="false">RANK(Momentum_Signal!D24,Momentum_Signal!$C24:$J24,0)</f>
        <v>8</v>
      </c>
      <c r="E24" s="17" t="n">
        <f aca="false">RANK(Momentum_Signal!E24,Momentum_Signal!$C24:$J24,0)</f>
        <v>6</v>
      </c>
      <c r="F24" s="17" t="n">
        <f aca="false">RANK(Momentum_Signal!F24,Momentum_Signal!$C24:$J24,0)</f>
        <v>2</v>
      </c>
      <c r="G24" s="17" t="n">
        <f aca="false">RANK(Momentum_Signal!G24,Momentum_Signal!$C24:$J24,0)</f>
        <v>7</v>
      </c>
      <c r="H24" s="17" t="n">
        <f aca="false">RANK(Momentum_Signal!H24,Momentum_Signal!$C24:$J24,0)</f>
        <v>3</v>
      </c>
      <c r="I24" s="17" t="n">
        <f aca="false">RANK(Momentum_Signal!I24,Momentum_Signal!$C24:$J24,0)</f>
        <v>1</v>
      </c>
      <c r="J24" s="17" t="n">
        <f aca="false">RANK(Momentum_Signal!J24,Momentum_Signal!$C24:$J24,0)</f>
        <v>4</v>
      </c>
    </row>
    <row r="25" customFormat="false" ht="15" hidden="false" customHeight="true" outlineLevel="0" collapsed="false">
      <c r="A25" s="1" t="n">
        <v>21</v>
      </c>
      <c r="B25" s="13" t="n">
        <f aca="false">Momentum_Signal!B25</f>
        <v>42614</v>
      </c>
      <c r="C25" s="17" t="n">
        <f aca="false">RANK(Momentum_Signal!C25,Momentum_Signal!$C25:$J25,0)</f>
        <v>3</v>
      </c>
      <c r="D25" s="17" t="n">
        <f aca="false">RANK(Momentum_Signal!D25,Momentum_Signal!$C25:$J25,0)</f>
        <v>8</v>
      </c>
      <c r="E25" s="17" t="n">
        <f aca="false">RANK(Momentum_Signal!E25,Momentum_Signal!$C25:$J25,0)</f>
        <v>6</v>
      </c>
      <c r="F25" s="17" t="n">
        <f aca="false">RANK(Momentum_Signal!F25,Momentum_Signal!$C25:$J25,0)</f>
        <v>4</v>
      </c>
      <c r="G25" s="17" t="n">
        <f aca="false">RANK(Momentum_Signal!G25,Momentum_Signal!$C25:$J25,0)</f>
        <v>7</v>
      </c>
      <c r="H25" s="17" t="n">
        <f aca="false">RANK(Momentum_Signal!H25,Momentum_Signal!$C25:$J25,0)</f>
        <v>1</v>
      </c>
      <c r="I25" s="17" t="n">
        <f aca="false">RANK(Momentum_Signal!I25,Momentum_Signal!$C25:$J25,0)</f>
        <v>2</v>
      </c>
      <c r="J25" s="17" t="n">
        <f aca="false">RANK(Momentum_Signal!J25,Momentum_Signal!$C25:$J25,0)</f>
        <v>5</v>
      </c>
    </row>
    <row r="26" customFormat="false" ht="15" hidden="false" customHeight="true" outlineLevel="0" collapsed="false">
      <c r="A26" s="1" t="n">
        <v>22</v>
      </c>
      <c r="B26" s="13" t="n">
        <f aca="false">Momentum_Signal!B26</f>
        <v>42644</v>
      </c>
      <c r="C26" s="17" t="n">
        <f aca="false">RANK(Momentum_Signal!C26,Momentum_Signal!$C26:$J26,0)</f>
        <v>3</v>
      </c>
      <c r="D26" s="17" t="n">
        <f aca="false">RANK(Momentum_Signal!D26,Momentum_Signal!$C26:$J26,0)</f>
        <v>8</v>
      </c>
      <c r="E26" s="17" t="n">
        <f aca="false">RANK(Momentum_Signal!E26,Momentum_Signal!$C26:$J26,0)</f>
        <v>6</v>
      </c>
      <c r="F26" s="17" t="n">
        <f aca="false">RANK(Momentum_Signal!F26,Momentum_Signal!$C26:$J26,0)</f>
        <v>4</v>
      </c>
      <c r="G26" s="17" t="n">
        <f aca="false">RANK(Momentum_Signal!G26,Momentum_Signal!$C26:$J26,0)</f>
        <v>7</v>
      </c>
      <c r="H26" s="17" t="n">
        <f aca="false">RANK(Momentum_Signal!H26,Momentum_Signal!$C26:$J26,0)</f>
        <v>1</v>
      </c>
      <c r="I26" s="17" t="n">
        <f aca="false">RANK(Momentum_Signal!I26,Momentum_Signal!$C26:$J26,0)</f>
        <v>2</v>
      </c>
      <c r="J26" s="17" t="n">
        <f aca="false">RANK(Momentum_Signal!J26,Momentum_Signal!$C26:$J26,0)</f>
        <v>5</v>
      </c>
    </row>
    <row r="27" customFormat="false" ht="15" hidden="false" customHeight="true" outlineLevel="0" collapsed="false">
      <c r="A27" s="1" t="n">
        <v>23</v>
      </c>
      <c r="B27" s="13" t="n">
        <f aca="false">Momentum_Signal!B27</f>
        <v>42675</v>
      </c>
      <c r="C27" s="17" t="n">
        <f aca="false">RANK(Momentum_Signal!C27,Momentum_Signal!$C27:$J27,0)</f>
        <v>2</v>
      </c>
      <c r="D27" s="17" t="n">
        <f aca="false">RANK(Momentum_Signal!D27,Momentum_Signal!$C27:$J27,0)</f>
        <v>8</v>
      </c>
      <c r="E27" s="17" t="n">
        <f aca="false">RANK(Momentum_Signal!E27,Momentum_Signal!$C27:$J27,0)</f>
        <v>6</v>
      </c>
      <c r="F27" s="17" t="n">
        <f aca="false">RANK(Momentum_Signal!F27,Momentum_Signal!$C27:$J27,0)</f>
        <v>3</v>
      </c>
      <c r="G27" s="17" t="n">
        <f aca="false">RANK(Momentum_Signal!G27,Momentum_Signal!$C27:$J27,0)</f>
        <v>7</v>
      </c>
      <c r="H27" s="17" t="n">
        <f aca="false">RANK(Momentum_Signal!H27,Momentum_Signal!$C27:$J27,0)</f>
        <v>1</v>
      </c>
      <c r="I27" s="17" t="n">
        <f aca="false">RANK(Momentum_Signal!I27,Momentum_Signal!$C27:$J27,0)</f>
        <v>4</v>
      </c>
      <c r="J27" s="17" t="n">
        <f aca="false">RANK(Momentum_Signal!J27,Momentum_Signal!$C27:$J27,0)</f>
        <v>5</v>
      </c>
    </row>
    <row r="28" customFormat="false" ht="15" hidden="false" customHeight="true" outlineLevel="0" collapsed="false">
      <c r="A28" s="1" t="n">
        <v>24</v>
      </c>
      <c r="B28" s="13" t="n">
        <f aca="false">Momentum_Signal!B28</f>
        <v>42705</v>
      </c>
      <c r="C28" s="17" t="n">
        <f aca="false">RANK(Momentum_Signal!C28,Momentum_Signal!$C28:$J28,0)</f>
        <v>2</v>
      </c>
      <c r="D28" s="17" t="n">
        <f aca="false">RANK(Momentum_Signal!D28,Momentum_Signal!$C28:$J28,0)</f>
        <v>7</v>
      </c>
      <c r="E28" s="17" t="n">
        <f aca="false">RANK(Momentum_Signal!E28,Momentum_Signal!$C28:$J28,0)</f>
        <v>6</v>
      </c>
      <c r="F28" s="17" t="n">
        <f aca="false">RANK(Momentum_Signal!F28,Momentum_Signal!$C28:$J28,0)</f>
        <v>4</v>
      </c>
      <c r="G28" s="17" t="n">
        <f aca="false">RANK(Momentum_Signal!G28,Momentum_Signal!$C28:$J28,0)</f>
        <v>8</v>
      </c>
      <c r="H28" s="17" t="n">
        <f aca="false">RANK(Momentum_Signal!H28,Momentum_Signal!$C28:$J28,0)</f>
        <v>1</v>
      </c>
      <c r="I28" s="17" t="n">
        <f aca="false">RANK(Momentum_Signal!I28,Momentum_Signal!$C28:$J28,0)</f>
        <v>3</v>
      </c>
      <c r="J28" s="17" t="n">
        <f aca="false">RANK(Momentum_Signal!J28,Momentum_Signal!$C28:$J28,0)</f>
        <v>5</v>
      </c>
    </row>
    <row r="29" customFormat="false" ht="15" hidden="false" customHeight="true" outlineLevel="0" collapsed="false">
      <c r="A29" s="1" t="n">
        <v>25</v>
      </c>
      <c r="B29" s="13" t="n">
        <f aca="false">Momentum_Signal!B29</f>
        <v>42736</v>
      </c>
      <c r="C29" s="17" t="n">
        <f aca="false">RANK(Momentum_Signal!C29,Momentum_Signal!$C29:$J29,0)</f>
        <v>2</v>
      </c>
      <c r="D29" s="17" t="n">
        <f aca="false">RANK(Momentum_Signal!D29,Momentum_Signal!$C29:$J29,0)</f>
        <v>7</v>
      </c>
      <c r="E29" s="17" t="n">
        <f aca="false">RANK(Momentum_Signal!E29,Momentum_Signal!$C29:$J29,0)</f>
        <v>6</v>
      </c>
      <c r="F29" s="17" t="n">
        <f aca="false">RANK(Momentum_Signal!F29,Momentum_Signal!$C29:$J29,0)</f>
        <v>5</v>
      </c>
      <c r="G29" s="17" t="n">
        <f aca="false">RANK(Momentum_Signal!G29,Momentum_Signal!$C29:$J29,0)</f>
        <v>8</v>
      </c>
      <c r="H29" s="17" t="n">
        <f aca="false">RANK(Momentum_Signal!H29,Momentum_Signal!$C29:$J29,0)</f>
        <v>1</v>
      </c>
      <c r="I29" s="17" t="n">
        <f aca="false">RANK(Momentum_Signal!I29,Momentum_Signal!$C29:$J29,0)</f>
        <v>3</v>
      </c>
      <c r="J29" s="17" t="n">
        <f aca="false">RANK(Momentum_Signal!J29,Momentum_Signal!$C29:$J29,0)</f>
        <v>4</v>
      </c>
    </row>
    <row r="30" customFormat="false" ht="15" hidden="false" customHeight="true" outlineLevel="0" collapsed="false">
      <c r="A30" s="1" t="n">
        <v>26</v>
      </c>
      <c r="B30" s="13" t="n">
        <f aca="false">Momentum_Signal!B30</f>
        <v>42767</v>
      </c>
      <c r="C30" s="17" t="n">
        <f aca="false">RANK(Momentum_Signal!C30,Momentum_Signal!$C30:$J30,0)</f>
        <v>5</v>
      </c>
      <c r="D30" s="17" t="n">
        <f aca="false">RANK(Momentum_Signal!D30,Momentum_Signal!$C30:$J30,0)</f>
        <v>7</v>
      </c>
      <c r="E30" s="17" t="n">
        <f aca="false">RANK(Momentum_Signal!E30,Momentum_Signal!$C30:$J30,0)</f>
        <v>6</v>
      </c>
      <c r="F30" s="17" t="n">
        <f aca="false">RANK(Momentum_Signal!F30,Momentum_Signal!$C30:$J30,0)</f>
        <v>3</v>
      </c>
      <c r="G30" s="17" t="n">
        <f aca="false">RANK(Momentum_Signal!G30,Momentum_Signal!$C30:$J30,0)</f>
        <v>8</v>
      </c>
      <c r="H30" s="17" t="n">
        <f aca="false">RANK(Momentum_Signal!H30,Momentum_Signal!$C30:$J30,0)</f>
        <v>1</v>
      </c>
      <c r="I30" s="17" t="n">
        <f aca="false">RANK(Momentum_Signal!I30,Momentum_Signal!$C30:$J30,0)</f>
        <v>2</v>
      </c>
      <c r="J30" s="17" t="n">
        <f aca="false">RANK(Momentum_Signal!J30,Momentum_Signal!$C30:$J30,0)</f>
        <v>4</v>
      </c>
    </row>
    <row r="31" customFormat="false" ht="15" hidden="false" customHeight="true" outlineLevel="0" collapsed="false">
      <c r="A31" s="1" t="n">
        <v>27</v>
      </c>
      <c r="B31" s="13" t="n">
        <f aca="false">Momentum_Signal!B31</f>
        <v>42795</v>
      </c>
      <c r="C31" s="17" t="n">
        <f aca="false">RANK(Momentum_Signal!C31,Momentum_Signal!$C31:$J31,0)</f>
        <v>3</v>
      </c>
      <c r="D31" s="17" t="n">
        <f aca="false">RANK(Momentum_Signal!D31,Momentum_Signal!$C31:$J31,0)</f>
        <v>7</v>
      </c>
      <c r="E31" s="17" t="n">
        <f aca="false">RANK(Momentum_Signal!E31,Momentum_Signal!$C31:$J31,0)</f>
        <v>6</v>
      </c>
      <c r="F31" s="17" t="n">
        <f aca="false">RANK(Momentum_Signal!F31,Momentum_Signal!$C31:$J31,0)</f>
        <v>4</v>
      </c>
      <c r="G31" s="17" t="n">
        <f aca="false">RANK(Momentum_Signal!G31,Momentum_Signal!$C31:$J31,0)</f>
        <v>8</v>
      </c>
      <c r="H31" s="17" t="n">
        <f aca="false">RANK(Momentum_Signal!H31,Momentum_Signal!$C31:$J31,0)</f>
        <v>2</v>
      </c>
      <c r="I31" s="17" t="n">
        <f aca="false">RANK(Momentum_Signal!I31,Momentum_Signal!$C31:$J31,0)</f>
        <v>1</v>
      </c>
      <c r="J31" s="17" t="n">
        <f aca="false">RANK(Momentum_Signal!J31,Momentum_Signal!$C31:$J31,0)</f>
        <v>5</v>
      </c>
    </row>
    <row r="32" customFormat="false" ht="15" hidden="false" customHeight="true" outlineLevel="0" collapsed="false">
      <c r="A32" s="1" t="n">
        <v>28</v>
      </c>
      <c r="B32" s="13" t="n">
        <f aca="false">Momentum_Signal!B32</f>
        <v>42826</v>
      </c>
      <c r="C32" s="17" t="n">
        <f aca="false">RANK(Momentum_Signal!C32,Momentum_Signal!$C32:$J32,0)</f>
        <v>3</v>
      </c>
      <c r="D32" s="17" t="n">
        <f aca="false">RANK(Momentum_Signal!D32,Momentum_Signal!$C32:$J32,0)</f>
        <v>7</v>
      </c>
      <c r="E32" s="17" t="n">
        <f aca="false">RANK(Momentum_Signal!E32,Momentum_Signal!$C32:$J32,0)</f>
        <v>6</v>
      </c>
      <c r="F32" s="17" t="n">
        <f aca="false">RANK(Momentum_Signal!F32,Momentum_Signal!$C32:$J32,0)</f>
        <v>4</v>
      </c>
      <c r="G32" s="17" t="n">
        <f aca="false">RANK(Momentum_Signal!G32,Momentum_Signal!$C32:$J32,0)</f>
        <v>8</v>
      </c>
      <c r="H32" s="17" t="n">
        <f aca="false">RANK(Momentum_Signal!H32,Momentum_Signal!$C32:$J32,0)</f>
        <v>1</v>
      </c>
      <c r="I32" s="17" t="n">
        <f aca="false">RANK(Momentum_Signal!I32,Momentum_Signal!$C32:$J32,0)</f>
        <v>2</v>
      </c>
      <c r="J32" s="17" t="n">
        <f aca="false">RANK(Momentum_Signal!J32,Momentum_Signal!$C32:$J32,0)</f>
        <v>5</v>
      </c>
    </row>
    <row r="33" customFormat="false" ht="15" hidden="false" customHeight="true" outlineLevel="0" collapsed="false">
      <c r="A33" s="1" t="n">
        <v>29</v>
      </c>
      <c r="B33" s="13" t="n">
        <f aca="false">Momentum_Signal!B33</f>
        <v>42856</v>
      </c>
      <c r="C33" s="17" t="n">
        <f aca="false">RANK(Momentum_Signal!C33,Momentum_Signal!$C33:$J33,0)</f>
        <v>3</v>
      </c>
      <c r="D33" s="17" t="n">
        <f aca="false">RANK(Momentum_Signal!D33,Momentum_Signal!$C33:$J33,0)</f>
        <v>7</v>
      </c>
      <c r="E33" s="17" t="n">
        <f aca="false">RANK(Momentum_Signal!E33,Momentum_Signal!$C33:$J33,0)</f>
        <v>6</v>
      </c>
      <c r="F33" s="17" t="n">
        <f aca="false">RANK(Momentum_Signal!F33,Momentum_Signal!$C33:$J33,0)</f>
        <v>5</v>
      </c>
      <c r="G33" s="17" t="n">
        <f aca="false">RANK(Momentum_Signal!G33,Momentum_Signal!$C33:$J33,0)</f>
        <v>8</v>
      </c>
      <c r="H33" s="17" t="n">
        <f aca="false">RANK(Momentum_Signal!H33,Momentum_Signal!$C33:$J33,0)</f>
        <v>1</v>
      </c>
      <c r="I33" s="17" t="n">
        <f aca="false">RANK(Momentum_Signal!I33,Momentum_Signal!$C33:$J33,0)</f>
        <v>2</v>
      </c>
      <c r="J33" s="17" t="n">
        <f aca="false">RANK(Momentum_Signal!J33,Momentum_Signal!$C33:$J33,0)</f>
        <v>4</v>
      </c>
    </row>
    <row r="34" customFormat="false" ht="15" hidden="false" customHeight="true" outlineLevel="0" collapsed="false">
      <c r="A34" s="1" t="n">
        <v>30</v>
      </c>
      <c r="B34" s="13" t="n">
        <f aca="false">Momentum_Signal!B34</f>
        <v>42887</v>
      </c>
      <c r="C34" s="17" t="n">
        <f aca="false">RANK(Momentum_Signal!C34,Momentum_Signal!$C34:$J34,0)</f>
        <v>2</v>
      </c>
      <c r="D34" s="17" t="n">
        <f aca="false">RANK(Momentum_Signal!D34,Momentum_Signal!$C34:$J34,0)</f>
        <v>7</v>
      </c>
      <c r="E34" s="17" t="n">
        <f aca="false">RANK(Momentum_Signal!E34,Momentum_Signal!$C34:$J34,0)</f>
        <v>6</v>
      </c>
      <c r="F34" s="17" t="n">
        <f aca="false">RANK(Momentum_Signal!F34,Momentum_Signal!$C34:$J34,0)</f>
        <v>5</v>
      </c>
      <c r="G34" s="17" t="n">
        <f aca="false">RANK(Momentum_Signal!G34,Momentum_Signal!$C34:$J34,0)</f>
        <v>8</v>
      </c>
      <c r="H34" s="17" t="n">
        <f aca="false">RANK(Momentum_Signal!H34,Momentum_Signal!$C34:$J34,0)</f>
        <v>1</v>
      </c>
      <c r="I34" s="17" t="n">
        <f aca="false">RANK(Momentum_Signal!I34,Momentum_Signal!$C34:$J34,0)</f>
        <v>3</v>
      </c>
      <c r="J34" s="17" t="n">
        <f aca="false">RANK(Momentum_Signal!J34,Momentum_Signal!$C34:$J34,0)</f>
        <v>4</v>
      </c>
    </row>
    <row r="35" customFormat="false" ht="15" hidden="false" customHeight="true" outlineLevel="0" collapsed="false">
      <c r="A35" s="1" t="n">
        <v>31</v>
      </c>
      <c r="B35" s="13" t="n">
        <f aca="false">Momentum_Signal!B35</f>
        <v>42917</v>
      </c>
      <c r="C35" s="17" t="n">
        <f aca="false">RANK(Momentum_Signal!C35,Momentum_Signal!$C35:$J35,0)</f>
        <v>3</v>
      </c>
      <c r="D35" s="17" t="n">
        <f aca="false">RANK(Momentum_Signal!D35,Momentum_Signal!$C35:$J35,0)</f>
        <v>7</v>
      </c>
      <c r="E35" s="17" t="n">
        <f aca="false">RANK(Momentum_Signal!E35,Momentum_Signal!$C35:$J35,0)</f>
        <v>5</v>
      </c>
      <c r="F35" s="17" t="n">
        <f aca="false">RANK(Momentum_Signal!F35,Momentum_Signal!$C35:$J35,0)</f>
        <v>6</v>
      </c>
      <c r="G35" s="17" t="n">
        <f aca="false">RANK(Momentum_Signal!G35,Momentum_Signal!$C35:$J35,0)</f>
        <v>8</v>
      </c>
      <c r="H35" s="17" t="n">
        <f aca="false">RANK(Momentum_Signal!H35,Momentum_Signal!$C35:$J35,0)</f>
        <v>1</v>
      </c>
      <c r="I35" s="17" t="n">
        <f aca="false">RANK(Momentum_Signal!I35,Momentum_Signal!$C35:$J35,0)</f>
        <v>2</v>
      </c>
      <c r="J35" s="17" t="n">
        <f aca="false">RANK(Momentum_Signal!J35,Momentum_Signal!$C35:$J35,0)</f>
        <v>4</v>
      </c>
    </row>
    <row r="36" customFormat="false" ht="15" hidden="false" customHeight="true" outlineLevel="0" collapsed="false">
      <c r="A36" s="1" t="n">
        <v>32</v>
      </c>
      <c r="B36" s="13" t="n">
        <f aca="false">Momentum_Signal!B36</f>
        <v>42948</v>
      </c>
      <c r="C36" s="17" t="n">
        <f aca="false">RANK(Momentum_Signal!C36,Momentum_Signal!$C36:$J36,0)</f>
        <v>2</v>
      </c>
      <c r="D36" s="17" t="n">
        <f aca="false">RANK(Momentum_Signal!D36,Momentum_Signal!$C36:$J36,0)</f>
        <v>5</v>
      </c>
      <c r="E36" s="17" t="n">
        <f aca="false">RANK(Momentum_Signal!E36,Momentum_Signal!$C36:$J36,0)</f>
        <v>4</v>
      </c>
      <c r="F36" s="17" t="n">
        <f aca="false">RANK(Momentum_Signal!F36,Momentum_Signal!$C36:$J36,0)</f>
        <v>7</v>
      </c>
      <c r="G36" s="17" t="n">
        <f aca="false">RANK(Momentum_Signal!G36,Momentum_Signal!$C36:$J36,0)</f>
        <v>8</v>
      </c>
      <c r="H36" s="17" t="n">
        <f aca="false">RANK(Momentum_Signal!H36,Momentum_Signal!$C36:$J36,0)</f>
        <v>1</v>
      </c>
      <c r="I36" s="17" t="n">
        <f aca="false">RANK(Momentum_Signal!I36,Momentum_Signal!$C36:$J36,0)</f>
        <v>3</v>
      </c>
      <c r="J36" s="17" t="n">
        <f aca="false">RANK(Momentum_Signal!J36,Momentum_Signal!$C36:$J36,0)</f>
        <v>6</v>
      </c>
    </row>
    <row r="37" customFormat="false" ht="15" hidden="false" customHeight="true" outlineLevel="0" collapsed="false">
      <c r="A37" s="1" t="n">
        <v>33</v>
      </c>
      <c r="B37" s="13" t="n">
        <f aca="false">Momentum_Signal!B37</f>
        <v>42979</v>
      </c>
      <c r="C37" s="17" t="n">
        <f aca="false">RANK(Momentum_Signal!C37,Momentum_Signal!$C37:$J37,0)</f>
        <v>2</v>
      </c>
      <c r="D37" s="17" t="n">
        <f aca="false">RANK(Momentum_Signal!D37,Momentum_Signal!$C37:$J37,0)</f>
        <v>3</v>
      </c>
      <c r="E37" s="17" t="n">
        <f aca="false">RANK(Momentum_Signal!E37,Momentum_Signal!$C37:$J37,0)</f>
        <v>5</v>
      </c>
      <c r="F37" s="17" t="n">
        <f aca="false">RANK(Momentum_Signal!F37,Momentum_Signal!$C37:$J37,0)</f>
        <v>8</v>
      </c>
      <c r="G37" s="17" t="n">
        <f aca="false">RANK(Momentum_Signal!G37,Momentum_Signal!$C37:$J37,0)</f>
        <v>7</v>
      </c>
      <c r="H37" s="17" t="n">
        <f aca="false">RANK(Momentum_Signal!H37,Momentum_Signal!$C37:$J37,0)</f>
        <v>1</v>
      </c>
      <c r="I37" s="17" t="n">
        <f aca="false">RANK(Momentum_Signal!I37,Momentum_Signal!$C37:$J37,0)</f>
        <v>4</v>
      </c>
      <c r="J37" s="17" t="n">
        <f aca="false">RANK(Momentum_Signal!J37,Momentum_Signal!$C37:$J37,0)</f>
        <v>6</v>
      </c>
    </row>
    <row r="38" customFormat="false" ht="15" hidden="false" customHeight="true" outlineLevel="0" collapsed="false">
      <c r="A38" s="1" t="n">
        <v>34</v>
      </c>
      <c r="B38" s="13" t="n">
        <f aca="false">Momentum_Signal!B38</f>
        <v>43009</v>
      </c>
      <c r="C38" s="17" t="n">
        <f aca="false">RANK(Momentum_Signal!C38,Momentum_Signal!$C38:$J38,0)</f>
        <v>5</v>
      </c>
      <c r="D38" s="17" t="n">
        <f aca="false">RANK(Momentum_Signal!D38,Momentum_Signal!$C38:$J38,0)</f>
        <v>2</v>
      </c>
      <c r="E38" s="17" t="n">
        <f aca="false">RANK(Momentum_Signal!E38,Momentum_Signal!$C38:$J38,0)</f>
        <v>3</v>
      </c>
      <c r="F38" s="17" t="n">
        <f aca="false">RANK(Momentum_Signal!F38,Momentum_Signal!$C38:$J38,0)</f>
        <v>8</v>
      </c>
      <c r="G38" s="17" t="n">
        <f aca="false">RANK(Momentum_Signal!G38,Momentum_Signal!$C38:$J38,0)</f>
        <v>6</v>
      </c>
      <c r="H38" s="17" t="n">
        <f aca="false">RANK(Momentum_Signal!H38,Momentum_Signal!$C38:$J38,0)</f>
        <v>1</v>
      </c>
      <c r="I38" s="17" t="n">
        <f aca="false">RANK(Momentum_Signal!I38,Momentum_Signal!$C38:$J38,0)</f>
        <v>4</v>
      </c>
      <c r="J38" s="17" t="n">
        <f aca="false">RANK(Momentum_Signal!J38,Momentum_Signal!$C38:$J38,0)</f>
        <v>7</v>
      </c>
    </row>
    <row r="39" customFormat="false" ht="15" hidden="false" customHeight="true" outlineLevel="0" collapsed="false">
      <c r="A39" s="1" t="n">
        <v>35</v>
      </c>
      <c r="B39" s="13" t="n">
        <f aca="false">Momentum_Signal!B39</f>
        <v>43040</v>
      </c>
      <c r="C39" s="17" t="n">
        <f aca="false">RANK(Momentum_Signal!C39,Momentum_Signal!$C39:$J39,0)</f>
        <v>6</v>
      </c>
      <c r="D39" s="17" t="n">
        <f aca="false">RANK(Momentum_Signal!D39,Momentum_Signal!$C39:$J39,0)</f>
        <v>2</v>
      </c>
      <c r="E39" s="17" t="n">
        <f aca="false">RANK(Momentum_Signal!E39,Momentum_Signal!$C39:$J39,0)</f>
        <v>3</v>
      </c>
      <c r="F39" s="17" t="n">
        <f aca="false">RANK(Momentum_Signal!F39,Momentum_Signal!$C39:$J39,0)</f>
        <v>8</v>
      </c>
      <c r="G39" s="17" t="n">
        <f aca="false">RANK(Momentum_Signal!G39,Momentum_Signal!$C39:$J39,0)</f>
        <v>5</v>
      </c>
      <c r="H39" s="17" t="n">
        <f aca="false">RANK(Momentum_Signal!H39,Momentum_Signal!$C39:$J39,0)</f>
        <v>1</v>
      </c>
      <c r="I39" s="17" t="n">
        <f aca="false">RANK(Momentum_Signal!I39,Momentum_Signal!$C39:$J39,0)</f>
        <v>4</v>
      </c>
      <c r="J39" s="17" t="n">
        <f aca="false">RANK(Momentum_Signal!J39,Momentum_Signal!$C39:$J39,0)</f>
        <v>7</v>
      </c>
    </row>
    <row r="40" customFormat="false" ht="15" hidden="false" customHeight="true" outlineLevel="0" collapsed="false">
      <c r="A40" s="1" t="n">
        <v>36</v>
      </c>
      <c r="B40" s="13" t="n">
        <f aca="false">Momentum_Signal!B40</f>
        <v>43070</v>
      </c>
      <c r="C40" s="17" t="n">
        <f aca="false">RANK(Momentum_Signal!C40,Momentum_Signal!$C40:$J40,0)</f>
        <v>5</v>
      </c>
      <c r="D40" s="17" t="n">
        <f aca="false">RANK(Momentum_Signal!D40,Momentum_Signal!$C40:$J40,0)</f>
        <v>1</v>
      </c>
      <c r="E40" s="17" t="n">
        <f aca="false">RANK(Momentum_Signal!E40,Momentum_Signal!$C40:$J40,0)</f>
        <v>2</v>
      </c>
      <c r="F40" s="17" t="n">
        <f aca="false">RANK(Momentum_Signal!F40,Momentum_Signal!$C40:$J40,0)</f>
        <v>8</v>
      </c>
      <c r="G40" s="17" t="n">
        <f aca="false">RANK(Momentum_Signal!G40,Momentum_Signal!$C40:$J40,0)</f>
        <v>3</v>
      </c>
      <c r="H40" s="17" t="n">
        <f aca="false">RANK(Momentum_Signal!H40,Momentum_Signal!$C40:$J40,0)</f>
        <v>7</v>
      </c>
      <c r="I40" s="17" t="n">
        <f aca="false">RANK(Momentum_Signal!I40,Momentum_Signal!$C40:$J40,0)</f>
        <v>4</v>
      </c>
      <c r="J40" s="17" t="n">
        <f aca="false">RANK(Momentum_Signal!J40,Momentum_Signal!$C40:$J40,0)</f>
        <v>6</v>
      </c>
    </row>
    <row r="41" customFormat="false" ht="15" hidden="false" customHeight="true" outlineLevel="0" collapsed="false">
      <c r="A41" s="1" t="n">
        <v>37</v>
      </c>
      <c r="B41" s="13" t="n">
        <f aca="false">Momentum_Signal!B41</f>
        <v>43101</v>
      </c>
      <c r="C41" s="17" t="n">
        <f aca="false">RANK(Momentum_Signal!C41,Momentum_Signal!$C41:$J41,0)</f>
        <v>4</v>
      </c>
      <c r="D41" s="17" t="n">
        <f aca="false">RANK(Momentum_Signal!D41,Momentum_Signal!$C41:$J41,0)</f>
        <v>1</v>
      </c>
      <c r="E41" s="17" t="n">
        <f aca="false">RANK(Momentum_Signal!E41,Momentum_Signal!$C41:$J41,0)</f>
        <v>3</v>
      </c>
      <c r="F41" s="17" t="n">
        <f aca="false">RANK(Momentum_Signal!F41,Momentum_Signal!$C41:$J41,0)</f>
        <v>8</v>
      </c>
      <c r="G41" s="17" t="n">
        <f aca="false">RANK(Momentum_Signal!G41,Momentum_Signal!$C41:$J41,0)</f>
        <v>2</v>
      </c>
      <c r="H41" s="17" t="n">
        <f aca="false">RANK(Momentum_Signal!H41,Momentum_Signal!$C41:$J41,0)</f>
        <v>6</v>
      </c>
      <c r="I41" s="17" t="n">
        <f aca="false">RANK(Momentum_Signal!I41,Momentum_Signal!$C41:$J41,0)</f>
        <v>7</v>
      </c>
      <c r="J41" s="17" t="n">
        <f aca="false">RANK(Momentum_Signal!J41,Momentum_Signal!$C41:$J41,0)</f>
        <v>5</v>
      </c>
    </row>
    <row r="42" customFormat="false" ht="15" hidden="false" customHeight="true" outlineLevel="0" collapsed="false">
      <c r="A42" s="1" t="n">
        <v>38</v>
      </c>
      <c r="B42" s="13" t="n">
        <f aca="false">Momentum_Signal!B42</f>
        <v>43132</v>
      </c>
      <c r="C42" s="17" t="n">
        <f aca="false">RANK(Momentum_Signal!C42,Momentum_Signal!$C42:$J42,0)</f>
        <v>6</v>
      </c>
      <c r="D42" s="17" t="n">
        <f aca="false">RANK(Momentum_Signal!D42,Momentum_Signal!$C42:$J42,0)</f>
        <v>3</v>
      </c>
      <c r="E42" s="17" t="n">
        <f aca="false">RANK(Momentum_Signal!E42,Momentum_Signal!$C42:$J42,0)</f>
        <v>4</v>
      </c>
      <c r="F42" s="17" t="n">
        <f aca="false">RANK(Momentum_Signal!F42,Momentum_Signal!$C42:$J42,0)</f>
        <v>7</v>
      </c>
      <c r="G42" s="17" t="n">
        <f aca="false">RANK(Momentum_Signal!G42,Momentum_Signal!$C42:$J42,0)</f>
        <v>2</v>
      </c>
      <c r="H42" s="17" t="n">
        <f aca="false">RANK(Momentum_Signal!H42,Momentum_Signal!$C42:$J42,0)</f>
        <v>1</v>
      </c>
      <c r="I42" s="17" t="n">
        <f aca="false">RANK(Momentum_Signal!I42,Momentum_Signal!$C42:$J42,0)</f>
        <v>8</v>
      </c>
      <c r="J42" s="17" t="n">
        <f aca="false">RANK(Momentum_Signal!J42,Momentum_Signal!$C42:$J42,0)</f>
        <v>5</v>
      </c>
    </row>
    <row r="43" customFormat="false" ht="15" hidden="false" customHeight="true" outlineLevel="0" collapsed="false">
      <c r="A43" s="1" t="n">
        <v>39</v>
      </c>
      <c r="B43" s="13" t="n">
        <f aca="false">Momentum_Signal!B43</f>
        <v>43160</v>
      </c>
      <c r="C43" s="17" t="n">
        <f aca="false">RANK(Momentum_Signal!C43,Momentum_Signal!$C43:$J43,0)</f>
        <v>6</v>
      </c>
      <c r="D43" s="17" t="n">
        <f aca="false">RANK(Momentum_Signal!D43,Momentum_Signal!$C43:$J43,0)</f>
        <v>4</v>
      </c>
      <c r="E43" s="17" t="n">
        <f aca="false">RANK(Momentum_Signal!E43,Momentum_Signal!$C43:$J43,0)</f>
        <v>7</v>
      </c>
      <c r="F43" s="17" t="n">
        <f aca="false">RANK(Momentum_Signal!F43,Momentum_Signal!$C43:$J43,0)</f>
        <v>2</v>
      </c>
      <c r="G43" s="17" t="n">
        <f aca="false">RANK(Momentum_Signal!G43,Momentum_Signal!$C43:$J43,0)</f>
        <v>3</v>
      </c>
      <c r="H43" s="17" t="n">
        <f aca="false">RANK(Momentum_Signal!H43,Momentum_Signal!$C43:$J43,0)</f>
        <v>1</v>
      </c>
      <c r="I43" s="17" t="n">
        <f aca="false">RANK(Momentum_Signal!I43,Momentum_Signal!$C43:$J43,0)</f>
        <v>8</v>
      </c>
      <c r="J43" s="17" t="n">
        <f aca="false">RANK(Momentum_Signal!J43,Momentum_Signal!$C43:$J43,0)</f>
        <v>5</v>
      </c>
    </row>
    <row r="44" customFormat="false" ht="15" hidden="false" customHeight="true" outlineLevel="0" collapsed="false">
      <c r="A44" s="1" t="n">
        <v>40</v>
      </c>
      <c r="B44" s="13" t="n">
        <f aca="false">Momentum_Signal!B44</f>
        <v>43191</v>
      </c>
      <c r="C44" s="17" t="n">
        <f aca="false">RANK(Momentum_Signal!C44,Momentum_Signal!$C44:$J44,0)</f>
        <v>4</v>
      </c>
      <c r="D44" s="17" t="n">
        <f aca="false">RANK(Momentum_Signal!D44,Momentum_Signal!$C44:$J44,0)</f>
        <v>6</v>
      </c>
      <c r="E44" s="17" t="n">
        <f aca="false">RANK(Momentum_Signal!E44,Momentum_Signal!$C44:$J44,0)</f>
        <v>8</v>
      </c>
      <c r="F44" s="17" t="n">
        <f aca="false">RANK(Momentum_Signal!F44,Momentum_Signal!$C44:$J44,0)</f>
        <v>2</v>
      </c>
      <c r="G44" s="17" t="n">
        <f aca="false">RANK(Momentum_Signal!G44,Momentum_Signal!$C44:$J44,0)</f>
        <v>3</v>
      </c>
      <c r="H44" s="17" t="n">
        <f aca="false">RANK(Momentum_Signal!H44,Momentum_Signal!$C44:$J44,0)</f>
        <v>1</v>
      </c>
      <c r="I44" s="17" t="n">
        <f aca="false">RANK(Momentum_Signal!I44,Momentum_Signal!$C44:$J44,0)</f>
        <v>7</v>
      </c>
      <c r="J44" s="17" t="n">
        <f aca="false">RANK(Momentum_Signal!J44,Momentum_Signal!$C44:$J44,0)</f>
        <v>5</v>
      </c>
    </row>
    <row r="45" customFormat="false" ht="15" hidden="false" customHeight="true" outlineLevel="0" collapsed="false">
      <c r="A45" s="1" t="n">
        <v>41</v>
      </c>
      <c r="B45" s="13" t="n">
        <f aca="false">Momentum_Signal!B45</f>
        <v>43221</v>
      </c>
      <c r="C45" s="17" t="n">
        <f aca="false">RANK(Momentum_Signal!C45,Momentum_Signal!$C45:$J45,0)</f>
        <v>4</v>
      </c>
      <c r="D45" s="17" t="n">
        <f aca="false">RANK(Momentum_Signal!D45,Momentum_Signal!$C45:$J45,0)</f>
        <v>3</v>
      </c>
      <c r="E45" s="17" t="n">
        <f aca="false">RANK(Momentum_Signal!E45,Momentum_Signal!$C45:$J45,0)</f>
        <v>8</v>
      </c>
      <c r="F45" s="17" t="n">
        <f aca="false">RANK(Momentum_Signal!F45,Momentum_Signal!$C45:$J45,0)</f>
        <v>5</v>
      </c>
      <c r="G45" s="17" t="n">
        <f aca="false">RANK(Momentum_Signal!G45,Momentum_Signal!$C45:$J45,0)</f>
        <v>2</v>
      </c>
      <c r="H45" s="17" t="n">
        <f aca="false">RANK(Momentum_Signal!H45,Momentum_Signal!$C45:$J45,0)</f>
        <v>1</v>
      </c>
      <c r="I45" s="17" t="n">
        <f aca="false">RANK(Momentum_Signal!I45,Momentum_Signal!$C45:$J45,0)</f>
        <v>7</v>
      </c>
      <c r="J45" s="17" t="n">
        <f aca="false">RANK(Momentum_Signal!J45,Momentum_Signal!$C45:$J45,0)</f>
        <v>6</v>
      </c>
    </row>
    <row r="46" customFormat="false" ht="15" hidden="false" customHeight="true" outlineLevel="0" collapsed="false">
      <c r="A46" s="1" t="n">
        <v>42</v>
      </c>
      <c r="B46" s="13" t="n">
        <f aca="false">Momentum_Signal!B46</f>
        <v>43252</v>
      </c>
      <c r="C46" s="17" t="n">
        <f aca="false">RANK(Momentum_Signal!C46,Momentum_Signal!$C46:$J46,0)</f>
        <v>3</v>
      </c>
      <c r="D46" s="17" t="n">
        <f aca="false">RANK(Momentum_Signal!D46,Momentum_Signal!$C46:$J46,0)</f>
        <v>4</v>
      </c>
      <c r="E46" s="17" t="n">
        <f aca="false">RANK(Momentum_Signal!E46,Momentum_Signal!$C46:$J46,0)</f>
        <v>8</v>
      </c>
      <c r="F46" s="17" t="n">
        <f aca="false">RANK(Momentum_Signal!F46,Momentum_Signal!$C46:$J46,0)</f>
        <v>7</v>
      </c>
      <c r="G46" s="17" t="n">
        <f aca="false">RANK(Momentum_Signal!G46,Momentum_Signal!$C46:$J46,0)</f>
        <v>2</v>
      </c>
      <c r="H46" s="17" t="n">
        <f aca="false">RANK(Momentum_Signal!H46,Momentum_Signal!$C46:$J46,0)</f>
        <v>1</v>
      </c>
      <c r="I46" s="17" t="n">
        <f aca="false">RANK(Momentum_Signal!I46,Momentum_Signal!$C46:$J46,0)</f>
        <v>6</v>
      </c>
      <c r="J46" s="17" t="n">
        <f aca="false">RANK(Momentum_Signal!J46,Momentum_Signal!$C46:$J46,0)</f>
        <v>5</v>
      </c>
    </row>
    <row r="47" customFormat="false" ht="15" hidden="false" customHeight="true" outlineLevel="0" collapsed="false">
      <c r="A47" s="1" t="n">
        <v>43</v>
      </c>
      <c r="B47" s="13" t="n">
        <f aca="false">Momentum_Signal!B47</f>
        <v>43282</v>
      </c>
      <c r="C47" s="17" t="n">
        <f aca="false">RANK(Momentum_Signal!C47,Momentum_Signal!$C47:$J47,0)</f>
        <v>2</v>
      </c>
      <c r="D47" s="17" t="n">
        <f aca="false">RANK(Momentum_Signal!D47,Momentum_Signal!$C47:$J47,0)</f>
        <v>3</v>
      </c>
      <c r="E47" s="17" t="n">
        <f aca="false">RANK(Momentum_Signal!E47,Momentum_Signal!$C47:$J47,0)</f>
        <v>7</v>
      </c>
      <c r="F47" s="17" t="n">
        <f aca="false">RANK(Momentum_Signal!F47,Momentum_Signal!$C47:$J47,0)</f>
        <v>8</v>
      </c>
      <c r="G47" s="17" t="n">
        <f aca="false">RANK(Momentum_Signal!G47,Momentum_Signal!$C47:$J47,0)</f>
        <v>4</v>
      </c>
      <c r="H47" s="17" t="n">
        <f aca="false">RANK(Momentum_Signal!H47,Momentum_Signal!$C47:$J47,0)</f>
        <v>1</v>
      </c>
      <c r="I47" s="17" t="n">
        <f aca="false">RANK(Momentum_Signal!I47,Momentum_Signal!$C47:$J47,0)</f>
        <v>6</v>
      </c>
      <c r="J47" s="17" t="n">
        <f aca="false">RANK(Momentum_Signal!J47,Momentum_Signal!$C47:$J47,0)</f>
        <v>5</v>
      </c>
    </row>
    <row r="48" customFormat="false" ht="15" hidden="false" customHeight="true" outlineLevel="0" collapsed="false">
      <c r="A48" s="1" t="n">
        <v>44</v>
      </c>
      <c r="B48" s="13" t="n">
        <f aca="false">Momentum_Signal!B48</f>
        <v>43313</v>
      </c>
      <c r="C48" s="17" t="n">
        <f aca="false">RANK(Momentum_Signal!C48,Momentum_Signal!$C48:$J48,0)</f>
        <v>2</v>
      </c>
      <c r="D48" s="17" t="n">
        <f aca="false">RANK(Momentum_Signal!D48,Momentum_Signal!$C48:$J48,0)</f>
        <v>3</v>
      </c>
      <c r="E48" s="17" t="n">
        <f aca="false">RANK(Momentum_Signal!E48,Momentum_Signal!$C48:$J48,0)</f>
        <v>7</v>
      </c>
      <c r="F48" s="17" t="n">
        <f aca="false">RANK(Momentum_Signal!F48,Momentum_Signal!$C48:$J48,0)</f>
        <v>8</v>
      </c>
      <c r="G48" s="17" t="n">
        <f aca="false">RANK(Momentum_Signal!G48,Momentum_Signal!$C48:$J48,0)</f>
        <v>4</v>
      </c>
      <c r="H48" s="17" t="n">
        <f aca="false">RANK(Momentum_Signal!H48,Momentum_Signal!$C48:$J48,0)</f>
        <v>1</v>
      </c>
      <c r="I48" s="17" t="n">
        <f aca="false">RANK(Momentum_Signal!I48,Momentum_Signal!$C48:$J48,0)</f>
        <v>5</v>
      </c>
      <c r="J48" s="17" t="n">
        <f aca="false">RANK(Momentum_Signal!J48,Momentum_Signal!$C48:$J48,0)</f>
        <v>6</v>
      </c>
    </row>
    <row r="49" customFormat="false" ht="15" hidden="false" customHeight="true" outlineLevel="0" collapsed="false">
      <c r="A49" s="1" t="n">
        <v>45</v>
      </c>
      <c r="B49" s="13" t="n">
        <f aca="false">Momentum_Signal!B49</f>
        <v>43344</v>
      </c>
      <c r="C49" s="17" t="n">
        <f aca="false">RANK(Momentum_Signal!C49,Momentum_Signal!$C49:$J49,0)</f>
        <v>1</v>
      </c>
      <c r="D49" s="17" t="n">
        <f aca="false">RANK(Momentum_Signal!D49,Momentum_Signal!$C49:$J49,0)</f>
        <v>3</v>
      </c>
      <c r="E49" s="17" t="n">
        <f aca="false">RANK(Momentum_Signal!E49,Momentum_Signal!$C49:$J49,0)</f>
        <v>6</v>
      </c>
      <c r="F49" s="17" t="n">
        <f aca="false">RANK(Momentum_Signal!F49,Momentum_Signal!$C49:$J49,0)</f>
        <v>8</v>
      </c>
      <c r="G49" s="17" t="n">
        <f aca="false">RANK(Momentum_Signal!G49,Momentum_Signal!$C49:$J49,0)</f>
        <v>5</v>
      </c>
      <c r="H49" s="17" t="n">
        <f aca="false">RANK(Momentum_Signal!H49,Momentum_Signal!$C49:$J49,0)</f>
        <v>2</v>
      </c>
      <c r="I49" s="17" t="n">
        <f aca="false">RANK(Momentum_Signal!I49,Momentum_Signal!$C49:$J49,0)</f>
        <v>4</v>
      </c>
      <c r="J49" s="17" t="n">
        <f aca="false">RANK(Momentum_Signal!J49,Momentum_Signal!$C49:$J49,0)</f>
        <v>7</v>
      </c>
    </row>
    <row r="50" customFormat="false" ht="15" hidden="false" customHeight="true" outlineLevel="0" collapsed="false">
      <c r="A50" s="1" t="n">
        <v>46</v>
      </c>
      <c r="B50" s="13" t="n">
        <f aca="false">Momentum_Signal!B50</f>
        <v>43374</v>
      </c>
      <c r="C50" s="17" t="n">
        <f aca="false">RANK(Momentum_Signal!C50,Momentum_Signal!$C50:$J50,0)</f>
        <v>1</v>
      </c>
      <c r="D50" s="17" t="n">
        <f aca="false">RANK(Momentum_Signal!D50,Momentum_Signal!$C50:$J50,0)</f>
        <v>2</v>
      </c>
      <c r="E50" s="17" t="n">
        <f aca="false">RANK(Momentum_Signal!E50,Momentum_Signal!$C50:$J50,0)</f>
        <v>6</v>
      </c>
      <c r="F50" s="17" t="n">
        <f aca="false">RANK(Momentum_Signal!F50,Momentum_Signal!$C50:$J50,0)</f>
        <v>8</v>
      </c>
      <c r="G50" s="17" t="n">
        <f aca="false">RANK(Momentum_Signal!G50,Momentum_Signal!$C50:$J50,0)</f>
        <v>5</v>
      </c>
      <c r="H50" s="17" t="n">
        <f aca="false">RANK(Momentum_Signal!H50,Momentum_Signal!$C50:$J50,0)</f>
        <v>3</v>
      </c>
      <c r="I50" s="17" t="n">
        <f aca="false">RANK(Momentum_Signal!I50,Momentum_Signal!$C50:$J50,0)</f>
        <v>4</v>
      </c>
      <c r="J50" s="17" t="n">
        <f aca="false">RANK(Momentum_Signal!J50,Momentum_Signal!$C50:$J50,0)</f>
        <v>7</v>
      </c>
    </row>
    <row r="51" customFormat="false" ht="15" hidden="false" customHeight="true" outlineLevel="0" collapsed="false">
      <c r="A51" s="1" t="n">
        <v>47</v>
      </c>
      <c r="B51" s="13" t="n">
        <f aca="false">Momentum_Signal!B51</f>
        <v>43405</v>
      </c>
      <c r="C51" s="17" t="n">
        <f aca="false">RANK(Momentum_Signal!C51,Momentum_Signal!$C51:$J51,0)</f>
        <v>1</v>
      </c>
      <c r="D51" s="17" t="n">
        <f aca="false">RANK(Momentum_Signal!D51,Momentum_Signal!$C51:$J51,0)</f>
        <v>2</v>
      </c>
      <c r="E51" s="17" t="n">
        <f aca="false">RANK(Momentum_Signal!E51,Momentum_Signal!$C51:$J51,0)</f>
        <v>4</v>
      </c>
      <c r="F51" s="17" t="n">
        <f aca="false">RANK(Momentum_Signal!F51,Momentum_Signal!$C51:$J51,0)</f>
        <v>8</v>
      </c>
      <c r="G51" s="17" t="n">
        <f aca="false">RANK(Momentum_Signal!G51,Momentum_Signal!$C51:$J51,0)</f>
        <v>5</v>
      </c>
      <c r="H51" s="17" t="n">
        <f aca="false">RANK(Momentum_Signal!H51,Momentum_Signal!$C51:$J51,0)</f>
        <v>7</v>
      </c>
      <c r="I51" s="17" t="n">
        <f aca="false">RANK(Momentum_Signal!I51,Momentum_Signal!$C51:$J51,0)</f>
        <v>3</v>
      </c>
      <c r="J51" s="17" t="n">
        <f aca="false">RANK(Momentum_Signal!J51,Momentum_Signal!$C51:$J51,0)</f>
        <v>6</v>
      </c>
    </row>
    <row r="52" customFormat="false" ht="15" hidden="false" customHeight="true" outlineLevel="0" collapsed="false">
      <c r="A52" s="1" t="n">
        <v>48</v>
      </c>
      <c r="B52" s="13" t="n">
        <f aca="false">Momentum_Signal!B52</f>
        <v>43435</v>
      </c>
      <c r="C52" s="17" t="n">
        <f aca="false">RANK(Momentum_Signal!C52,Momentum_Signal!$C52:$J52,0)</f>
        <v>1</v>
      </c>
      <c r="D52" s="17" t="n">
        <f aca="false">RANK(Momentum_Signal!D52,Momentum_Signal!$C52:$J52,0)</f>
        <v>4</v>
      </c>
      <c r="E52" s="17" t="n">
        <f aca="false">RANK(Momentum_Signal!E52,Momentum_Signal!$C52:$J52,0)</f>
        <v>2</v>
      </c>
      <c r="F52" s="17" t="n">
        <f aca="false">RANK(Momentum_Signal!F52,Momentum_Signal!$C52:$J52,0)</f>
        <v>7</v>
      </c>
      <c r="G52" s="17" t="n">
        <f aca="false">RANK(Momentum_Signal!G52,Momentum_Signal!$C52:$J52,0)</f>
        <v>3</v>
      </c>
      <c r="H52" s="17" t="n">
        <f aca="false">RANK(Momentum_Signal!H52,Momentum_Signal!$C52:$J52,0)</f>
        <v>8</v>
      </c>
      <c r="I52" s="17" t="n">
        <f aca="false">RANK(Momentum_Signal!I52,Momentum_Signal!$C52:$J52,0)</f>
        <v>6</v>
      </c>
      <c r="J52" s="17" t="n">
        <f aca="false">RANK(Momentum_Signal!J52,Momentum_Signal!$C52:$J52,0)</f>
        <v>5</v>
      </c>
    </row>
    <row r="53" customFormat="false" ht="15" hidden="false" customHeight="true" outlineLevel="0" collapsed="false">
      <c r="A53" s="1" t="n">
        <v>49</v>
      </c>
      <c r="B53" s="13" t="n">
        <f aca="false">Momentum_Signal!B53</f>
        <v>43466</v>
      </c>
      <c r="C53" s="17" t="n">
        <f aca="false">RANK(Momentum_Signal!C53,Momentum_Signal!$C53:$J53,0)</f>
        <v>1</v>
      </c>
      <c r="D53" s="17" t="n">
        <f aca="false">RANK(Momentum_Signal!D53,Momentum_Signal!$C53:$J53,0)</f>
        <v>5</v>
      </c>
      <c r="E53" s="17" t="n">
        <f aca="false">RANK(Momentum_Signal!E53,Momentum_Signal!$C53:$J53,0)</f>
        <v>3</v>
      </c>
      <c r="F53" s="17" t="n">
        <f aca="false">RANK(Momentum_Signal!F53,Momentum_Signal!$C53:$J53,0)</f>
        <v>7</v>
      </c>
      <c r="G53" s="17" t="n">
        <f aca="false">RANK(Momentum_Signal!G53,Momentum_Signal!$C53:$J53,0)</f>
        <v>2</v>
      </c>
      <c r="H53" s="17" t="n">
        <f aca="false">RANK(Momentum_Signal!H53,Momentum_Signal!$C53:$J53,0)</f>
        <v>8</v>
      </c>
      <c r="I53" s="17" t="n">
        <f aca="false">RANK(Momentum_Signal!I53,Momentum_Signal!$C53:$J53,0)</f>
        <v>4</v>
      </c>
      <c r="J53" s="17" t="n">
        <f aca="false">RANK(Momentum_Signal!J53,Momentum_Signal!$C53:$J53,0)</f>
        <v>6</v>
      </c>
    </row>
    <row r="54" customFormat="false" ht="15" hidden="false" customHeight="true" outlineLevel="0" collapsed="false">
      <c r="A54" s="1" t="n">
        <v>50</v>
      </c>
      <c r="B54" s="13" t="n">
        <f aca="false">Momentum_Signal!B54</f>
        <v>43497</v>
      </c>
      <c r="C54" s="17" t="n">
        <f aca="false">RANK(Momentum_Signal!C54,Momentum_Signal!$C54:$J54,0)</f>
        <v>1</v>
      </c>
      <c r="D54" s="17" t="n">
        <f aca="false">RANK(Momentum_Signal!D54,Momentum_Signal!$C54:$J54,0)</f>
        <v>6</v>
      </c>
      <c r="E54" s="17" t="n">
        <f aca="false">RANK(Momentum_Signal!E54,Momentum_Signal!$C54:$J54,0)</f>
        <v>3</v>
      </c>
      <c r="F54" s="17" t="n">
        <f aca="false">RANK(Momentum_Signal!F54,Momentum_Signal!$C54:$J54,0)</f>
        <v>7</v>
      </c>
      <c r="G54" s="17" t="n">
        <f aca="false">RANK(Momentum_Signal!G54,Momentum_Signal!$C54:$J54,0)</f>
        <v>2</v>
      </c>
      <c r="H54" s="17" t="n">
        <f aca="false">RANK(Momentum_Signal!H54,Momentum_Signal!$C54:$J54,0)</f>
        <v>8</v>
      </c>
      <c r="I54" s="17" t="n">
        <f aca="false">RANK(Momentum_Signal!I54,Momentum_Signal!$C54:$J54,0)</f>
        <v>5</v>
      </c>
      <c r="J54" s="17" t="n">
        <f aca="false">RANK(Momentum_Signal!J54,Momentum_Signal!$C54:$J54,0)</f>
        <v>4</v>
      </c>
    </row>
    <row r="55" customFormat="false" ht="15" hidden="false" customHeight="true" outlineLevel="0" collapsed="false">
      <c r="A55" s="1" t="n">
        <v>51</v>
      </c>
      <c r="B55" s="13" t="n">
        <f aca="false">Momentum_Signal!B55</f>
        <v>43525</v>
      </c>
      <c r="C55" s="17" t="n">
        <f aca="false">RANK(Momentum_Signal!C55,Momentum_Signal!$C55:$J55,0)</f>
        <v>1</v>
      </c>
      <c r="D55" s="17" t="n">
        <f aca="false">RANK(Momentum_Signal!D55,Momentum_Signal!$C55:$J55,0)</f>
        <v>4</v>
      </c>
      <c r="E55" s="17" t="n">
        <f aca="false">RANK(Momentum_Signal!E55,Momentum_Signal!$C55:$J55,0)</f>
        <v>3</v>
      </c>
      <c r="F55" s="17" t="n">
        <f aca="false">RANK(Momentum_Signal!F55,Momentum_Signal!$C55:$J55,0)</f>
        <v>7</v>
      </c>
      <c r="G55" s="17" t="n">
        <f aca="false">RANK(Momentum_Signal!G55,Momentum_Signal!$C55:$J55,0)</f>
        <v>2</v>
      </c>
      <c r="H55" s="17" t="n">
        <f aca="false">RANK(Momentum_Signal!H55,Momentum_Signal!$C55:$J55,0)</f>
        <v>8</v>
      </c>
      <c r="I55" s="17" t="n">
        <f aca="false">RANK(Momentum_Signal!I55,Momentum_Signal!$C55:$J55,0)</f>
        <v>6</v>
      </c>
      <c r="J55" s="17" t="n">
        <f aca="false">RANK(Momentum_Signal!J55,Momentum_Signal!$C55:$J55,0)</f>
        <v>5</v>
      </c>
    </row>
    <row r="56" customFormat="false" ht="15" hidden="false" customHeight="true" outlineLevel="0" collapsed="false">
      <c r="A56" s="1" t="n">
        <v>52</v>
      </c>
      <c r="B56" s="13" t="n">
        <f aca="false">Momentum_Signal!B56</f>
        <v>43556</v>
      </c>
      <c r="C56" s="17" t="n">
        <f aca="false">RANK(Momentum_Signal!C56,Momentum_Signal!$C56:$J56,0)</f>
        <v>3</v>
      </c>
      <c r="D56" s="17" t="n">
        <f aca="false">RANK(Momentum_Signal!D56,Momentum_Signal!$C56:$J56,0)</f>
        <v>5</v>
      </c>
      <c r="E56" s="17" t="n">
        <f aca="false">RANK(Momentum_Signal!E56,Momentum_Signal!$C56:$J56,0)</f>
        <v>2</v>
      </c>
      <c r="F56" s="17" t="n">
        <f aca="false">RANK(Momentum_Signal!F56,Momentum_Signal!$C56:$J56,0)</f>
        <v>8</v>
      </c>
      <c r="G56" s="17" t="n">
        <f aca="false">RANK(Momentum_Signal!G56,Momentum_Signal!$C56:$J56,0)</f>
        <v>1</v>
      </c>
      <c r="H56" s="17" t="n">
        <f aca="false">RANK(Momentum_Signal!H56,Momentum_Signal!$C56:$J56,0)</f>
        <v>6</v>
      </c>
      <c r="I56" s="17" t="n">
        <f aca="false">RANK(Momentum_Signal!I56,Momentum_Signal!$C56:$J56,0)</f>
        <v>7</v>
      </c>
      <c r="J56" s="17" t="n">
        <f aca="false">RANK(Momentum_Signal!J56,Momentum_Signal!$C56:$J56,0)</f>
        <v>4</v>
      </c>
    </row>
    <row r="57" customFormat="false" ht="15" hidden="false" customHeight="true" outlineLevel="0" collapsed="false">
      <c r="A57" s="1" t="n">
        <v>53</v>
      </c>
      <c r="B57" s="13" t="n">
        <f aca="false">Momentum_Signal!B57</f>
        <v>43586</v>
      </c>
      <c r="C57" s="17" t="n">
        <f aca="false">RANK(Momentum_Signal!C57,Momentum_Signal!$C57:$J57,0)</f>
        <v>1</v>
      </c>
      <c r="D57" s="17" t="n">
        <f aca="false">RANK(Momentum_Signal!D57,Momentum_Signal!$C57:$J57,0)</f>
        <v>4</v>
      </c>
      <c r="E57" s="17" t="n">
        <f aca="false">RANK(Momentum_Signal!E57,Momentum_Signal!$C57:$J57,0)</f>
        <v>7</v>
      </c>
      <c r="F57" s="17" t="n">
        <f aca="false">RANK(Momentum_Signal!F57,Momentum_Signal!$C57:$J57,0)</f>
        <v>6</v>
      </c>
      <c r="G57" s="17" t="n">
        <f aca="false">RANK(Momentum_Signal!G57,Momentum_Signal!$C57:$J57,0)</f>
        <v>3</v>
      </c>
      <c r="H57" s="17" t="n">
        <f aca="false">RANK(Momentum_Signal!H57,Momentum_Signal!$C57:$J57,0)</f>
        <v>2</v>
      </c>
      <c r="I57" s="17" t="n">
        <f aca="false">RANK(Momentum_Signal!I57,Momentum_Signal!$C57:$J57,0)</f>
        <v>8</v>
      </c>
      <c r="J57" s="17" t="n">
        <f aca="false">RANK(Momentum_Signal!J57,Momentum_Signal!$C57:$J57,0)</f>
        <v>5</v>
      </c>
    </row>
    <row r="58" customFormat="false" ht="15" hidden="false" customHeight="true" outlineLevel="0" collapsed="false">
      <c r="A58" s="1" t="n">
        <v>54</v>
      </c>
      <c r="B58" s="13" t="n">
        <f aca="false">Momentum_Signal!B58</f>
        <v>43617</v>
      </c>
      <c r="C58" s="17" t="n">
        <f aca="false">RANK(Momentum_Signal!C58,Momentum_Signal!$C58:$J58,0)</f>
        <v>1</v>
      </c>
      <c r="D58" s="17" t="n">
        <f aca="false">RANK(Momentum_Signal!D58,Momentum_Signal!$C58:$J58,0)</f>
        <v>5</v>
      </c>
      <c r="E58" s="17" t="n">
        <f aca="false">RANK(Momentum_Signal!E58,Momentum_Signal!$C58:$J58,0)</f>
        <v>6</v>
      </c>
      <c r="F58" s="17" t="n">
        <f aca="false">RANK(Momentum_Signal!F58,Momentum_Signal!$C58:$J58,0)</f>
        <v>7</v>
      </c>
      <c r="G58" s="17" t="n">
        <f aca="false">RANK(Momentum_Signal!G58,Momentum_Signal!$C58:$J58,0)</f>
        <v>3</v>
      </c>
      <c r="H58" s="17" t="n">
        <f aca="false">RANK(Momentum_Signal!H58,Momentum_Signal!$C58:$J58,0)</f>
        <v>2</v>
      </c>
      <c r="I58" s="17" t="n">
        <f aca="false">RANK(Momentum_Signal!I58,Momentum_Signal!$C58:$J58,0)</f>
        <v>8</v>
      </c>
      <c r="J58" s="17" t="n">
        <f aca="false">RANK(Momentum_Signal!J58,Momentum_Signal!$C58:$J58,0)</f>
        <v>4</v>
      </c>
    </row>
    <row r="59" customFormat="false" ht="15" hidden="false" customHeight="true" outlineLevel="0" collapsed="false">
      <c r="A59" s="1" t="n">
        <v>55</v>
      </c>
      <c r="B59" s="13" t="n">
        <f aca="false">Momentum_Signal!B59</f>
        <v>43647</v>
      </c>
      <c r="C59" s="17" t="n">
        <f aca="false">RANK(Momentum_Signal!C59,Momentum_Signal!$C59:$J59,0)</f>
        <v>1</v>
      </c>
      <c r="D59" s="17" t="n">
        <f aca="false">RANK(Momentum_Signal!D59,Momentum_Signal!$C59:$J59,0)</f>
        <v>3</v>
      </c>
      <c r="E59" s="17" t="n">
        <f aca="false">RANK(Momentum_Signal!E59,Momentum_Signal!$C59:$J59,0)</f>
        <v>5</v>
      </c>
      <c r="F59" s="17" t="n">
        <f aca="false">RANK(Momentum_Signal!F59,Momentum_Signal!$C59:$J59,0)</f>
        <v>6</v>
      </c>
      <c r="G59" s="17" t="n">
        <f aca="false">RANK(Momentum_Signal!G59,Momentum_Signal!$C59:$J59,0)</f>
        <v>2</v>
      </c>
      <c r="H59" s="17" t="n">
        <f aca="false">RANK(Momentum_Signal!H59,Momentum_Signal!$C59:$J59,0)</f>
        <v>4</v>
      </c>
      <c r="I59" s="17" t="n">
        <f aca="false">RANK(Momentum_Signal!I59,Momentum_Signal!$C59:$J59,0)</f>
        <v>8</v>
      </c>
      <c r="J59" s="17" t="n">
        <f aca="false">RANK(Momentum_Signal!J59,Momentum_Signal!$C59:$J59,0)</f>
        <v>7</v>
      </c>
    </row>
    <row r="60" customFormat="false" ht="15" hidden="false" customHeight="true" outlineLevel="0" collapsed="false">
      <c r="A60" s="1" t="n">
        <v>56</v>
      </c>
      <c r="B60" s="13" t="n">
        <f aca="false">Momentum_Signal!B60</f>
        <v>43678</v>
      </c>
      <c r="C60" s="17" t="n">
        <f aca="false">RANK(Momentum_Signal!C60,Momentum_Signal!$C60:$J60,0)</f>
        <v>3</v>
      </c>
      <c r="D60" s="17" t="n">
        <f aca="false">RANK(Momentum_Signal!D60,Momentum_Signal!$C60:$J60,0)</f>
        <v>2</v>
      </c>
      <c r="E60" s="17" t="n">
        <f aca="false">RANK(Momentum_Signal!E60,Momentum_Signal!$C60:$J60,0)</f>
        <v>5</v>
      </c>
      <c r="F60" s="17" t="n">
        <f aca="false">RANK(Momentum_Signal!F60,Momentum_Signal!$C60:$J60,0)</f>
        <v>7</v>
      </c>
      <c r="G60" s="17" t="n">
        <f aca="false">RANK(Momentum_Signal!G60,Momentum_Signal!$C60:$J60,0)</f>
        <v>4</v>
      </c>
      <c r="H60" s="17" t="n">
        <f aca="false">RANK(Momentum_Signal!H60,Momentum_Signal!$C60:$J60,0)</f>
        <v>1</v>
      </c>
      <c r="I60" s="17" t="n">
        <f aca="false">RANK(Momentum_Signal!I60,Momentum_Signal!$C60:$J60,0)</f>
        <v>8</v>
      </c>
      <c r="J60" s="17" t="n">
        <f aca="false">RANK(Momentum_Signal!J60,Momentum_Signal!$C60:$J60,0)</f>
        <v>6</v>
      </c>
    </row>
    <row r="61" customFormat="false" ht="15" hidden="false" customHeight="true" outlineLevel="0" collapsed="false">
      <c r="A61" s="1" t="n">
        <v>57</v>
      </c>
      <c r="B61" s="13" t="n">
        <f aca="false">Momentum_Signal!B61</f>
        <v>43709</v>
      </c>
      <c r="C61" s="17" t="n">
        <f aca="false">RANK(Momentum_Signal!C61,Momentum_Signal!$C61:$J61,0)</f>
        <v>6</v>
      </c>
      <c r="D61" s="17" t="n">
        <f aca="false">RANK(Momentum_Signal!D61,Momentum_Signal!$C61:$J61,0)</f>
        <v>1</v>
      </c>
      <c r="E61" s="17" t="n">
        <f aca="false">RANK(Momentum_Signal!E61,Momentum_Signal!$C61:$J61,0)</f>
        <v>3</v>
      </c>
      <c r="F61" s="17" t="n">
        <f aca="false">RANK(Momentum_Signal!F61,Momentum_Signal!$C61:$J61,0)</f>
        <v>7</v>
      </c>
      <c r="G61" s="17" t="n">
        <f aca="false">RANK(Momentum_Signal!G61,Momentum_Signal!$C61:$J61,0)</f>
        <v>2</v>
      </c>
      <c r="H61" s="17" t="n">
        <f aca="false">RANK(Momentum_Signal!H61,Momentum_Signal!$C61:$J61,0)</f>
        <v>5</v>
      </c>
      <c r="I61" s="17" t="n">
        <f aca="false">RANK(Momentum_Signal!I61,Momentum_Signal!$C61:$J61,0)</f>
        <v>8</v>
      </c>
      <c r="J61" s="17" t="n">
        <f aca="false">RANK(Momentum_Signal!J61,Momentum_Signal!$C61:$J61,0)</f>
        <v>4</v>
      </c>
    </row>
    <row r="62" customFormat="false" ht="15" hidden="false" customHeight="true" outlineLevel="0" collapsed="false">
      <c r="A62" s="1" t="n">
        <v>58</v>
      </c>
      <c r="B62" s="13" t="n">
        <f aca="false">Momentum_Signal!B62</f>
        <v>43739</v>
      </c>
      <c r="C62" s="17" t="n">
        <f aca="false">RANK(Momentum_Signal!C62,Momentum_Signal!$C62:$J62,0)</f>
        <v>7</v>
      </c>
      <c r="D62" s="17" t="n">
        <f aca="false">RANK(Momentum_Signal!D62,Momentum_Signal!$C62:$J62,0)</f>
        <v>2</v>
      </c>
      <c r="E62" s="17" t="n">
        <f aca="false">RANK(Momentum_Signal!E62,Momentum_Signal!$C62:$J62,0)</f>
        <v>4</v>
      </c>
      <c r="F62" s="17" t="n">
        <f aca="false">RANK(Momentum_Signal!F62,Momentum_Signal!$C62:$J62,0)</f>
        <v>5</v>
      </c>
      <c r="G62" s="17" t="n">
        <f aca="false">RANK(Momentum_Signal!G62,Momentum_Signal!$C62:$J62,0)</f>
        <v>6</v>
      </c>
      <c r="H62" s="17" t="n">
        <f aca="false">RANK(Momentum_Signal!H62,Momentum_Signal!$C62:$J62,0)</f>
        <v>8</v>
      </c>
      <c r="I62" s="17" t="n">
        <f aca="false">RANK(Momentum_Signal!I62,Momentum_Signal!$C62:$J62,0)</f>
        <v>1</v>
      </c>
      <c r="J62" s="17" t="n">
        <f aca="false">RANK(Momentum_Signal!J62,Momentum_Signal!$C62:$J62,0)</f>
        <v>3</v>
      </c>
    </row>
    <row r="63" customFormat="false" ht="15" hidden="false" customHeight="true" outlineLevel="0" collapsed="false">
      <c r="A63" s="1" t="n">
        <v>59</v>
      </c>
      <c r="B63" s="13" t="n">
        <f aca="false">Momentum_Signal!B63</f>
        <v>43770</v>
      </c>
      <c r="C63" s="17" t="n">
        <f aca="false">RANK(Momentum_Signal!C63,Momentum_Signal!$C63:$J63,0)</f>
        <v>7</v>
      </c>
      <c r="D63" s="17" t="n">
        <f aca="false">RANK(Momentum_Signal!D63,Momentum_Signal!$C63:$J63,0)</f>
        <v>5</v>
      </c>
      <c r="E63" s="17" t="n">
        <f aca="false">RANK(Momentum_Signal!E63,Momentum_Signal!$C63:$J63,0)</f>
        <v>3</v>
      </c>
      <c r="F63" s="17" t="n">
        <f aca="false">RANK(Momentum_Signal!F63,Momentum_Signal!$C63:$J63,0)</f>
        <v>6</v>
      </c>
      <c r="G63" s="17" t="n">
        <f aca="false">RANK(Momentum_Signal!G63,Momentum_Signal!$C63:$J63,0)</f>
        <v>2</v>
      </c>
      <c r="H63" s="17" t="n">
        <f aca="false">RANK(Momentum_Signal!H63,Momentum_Signal!$C63:$J63,0)</f>
        <v>8</v>
      </c>
      <c r="I63" s="17" t="n">
        <f aca="false">RANK(Momentum_Signal!I63,Momentum_Signal!$C63:$J63,0)</f>
        <v>1</v>
      </c>
      <c r="J63" s="17" t="n">
        <f aca="false">RANK(Momentum_Signal!J63,Momentum_Signal!$C63:$J63,0)</f>
        <v>4</v>
      </c>
    </row>
    <row r="64" customFormat="false" ht="15" hidden="false" customHeight="true" outlineLevel="0" collapsed="false">
      <c r="A64" s="1" t="n">
        <v>60</v>
      </c>
      <c r="B64" s="13" t="n">
        <f aca="false">Momentum_Signal!B64</f>
        <v>43800</v>
      </c>
      <c r="C64" s="17" t="n">
        <f aca="false">RANK(Momentum_Signal!C64,Momentum_Signal!$C64:$J64,0)</f>
        <v>8</v>
      </c>
      <c r="D64" s="17" t="n">
        <f aca="false">RANK(Momentum_Signal!D64,Momentum_Signal!$C64:$J64,0)</f>
        <v>5</v>
      </c>
      <c r="E64" s="17" t="n">
        <f aca="false">RANK(Momentum_Signal!E64,Momentum_Signal!$C64:$J64,0)</f>
        <v>2</v>
      </c>
      <c r="F64" s="17" t="n">
        <f aca="false">RANK(Momentum_Signal!F64,Momentum_Signal!$C64:$J64,0)</f>
        <v>6</v>
      </c>
      <c r="G64" s="17" t="n">
        <f aca="false">RANK(Momentum_Signal!G64,Momentum_Signal!$C64:$J64,0)</f>
        <v>4</v>
      </c>
      <c r="H64" s="17" t="n">
        <f aca="false">RANK(Momentum_Signal!H64,Momentum_Signal!$C64:$J64,0)</f>
        <v>7</v>
      </c>
      <c r="I64" s="17" t="n">
        <f aca="false">RANK(Momentum_Signal!I64,Momentum_Signal!$C64:$J64,0)</f>
        <v>1</v>
      </c>
      <c r="J64" s="17" t="n">
        <f aca="false">RANK(Momentum_Signal!J64,Momentum_Signal!$C64:$J64,0)</f>
        <v>3</v>
      </c>
    </row>
    <row r="65" customFormat="false" ht="15" hidden="false" customHeight="true" outlineLevel="0" collapsed="false">
      <c r="A65" s="1" t="n">
        <v>61</v>
      </c>
      <c r="B65" s="13" t="n">
        <f aca="false">Momentum_Signal!B65</f>
        <v>43831</v>
      </c>
      <c r="C65" s="17" t="n">
        <f aca="false">RANK(Momentum_Signal!C65,Momentum_Signal!$C65:$J65,0)</f>
        <v>3</v>
      </c>
      <c r="D65" s="17" t="n">
        <f aca="false">RANK(Momentum_Signal!D65,Momentum_Signal!$C65:$J65,0)</f>
        <v>8</v>
      </c>
      <c r="E65" s="17" t="n">
        <f aca="false">RANK(Momentum_Signal!E65,Momentum_Signal!$C65:$J65,0)</f>
        <v>6</v>
      </c>
      <c r="F65" s="17" t="n">
        <f aca="false">RANK(Momentum_Signal!F65,Momentum_Signal!$C65:$J65,0)</f>
        <v>4</v>
      </c>
      <c r="G65" s="17" t="n">
        <f aca="false">RANK(Momentum_Signal!G65,Momentum_Signal!$C65:$J65,0)</f>
        <v>7</v>
      </c>
      <c r="H65" s="17" t="n">
        <f aca="false">RANK(Momentum_Signal!H65,Momentum_Signal!$C65:$J65,0)</f>
        <v>5</v>
      </c>
      <c r="I65" s="17" t="n">
        <f aca="false">RANK(Momentum_Signal!I65,Momentum_Signal!$C65:$J65,0)</f>
        <v>1</v>
      </c>
      <c r="J65" s="17" t="n">
        <f aca="false">RANK(Momentum_Signal!J65,Momentum_Signal!$C65:$J65,0)</f>
        <v>2</v>
      </c>
    </row>
    <row r="66" customFormat="false" ht="15" hidden="false" customHeight="true" outlineLevel="0" collapsed="false">
      <c r="A66" s="1" t="n">
        <v>62</v>
      </c>
      <c r="B66" s="13" t="n">
        <f aca="false">Momentum_Signal!B66</f>
        <v>43862</v>
      </c>
      <c r="C66" s="17" t="n">
        <f aca="false">RANK(Momentum_Signal!C66,Momentum_Signal!$C66:$J66,0)</f>
        <v>3</v>
      </c>
      <c r="D66" s="17" t="n">
        <f aca="false">RANK(Momentum_Signal!D66,Momentum_Signal!$C66:$J66,0)</f>
        <v>8</v>
      </c>
      <c r="E66" s="17" t="n">
        <f aca="false">RANK(Momentum_Signal!E66,Momentum_Signal!$C66:$J66,0)</f>
        <v>6</v>
      </c>
      <c r="F66" s="17" t="n">
        <f aca="false">RANK(Momentum_Signal!F66,Momentum_Signal!$C66:$J66,0)</f>
        <v>2</v>
      </c>
      <c r="G66" s="17" t="n">
        <f aca="false">RANK(Momentum_Signal!G66,Momentum_Signal!$C66:$J66,0)</f>
        <v>7</v>
      </c>
      <c r="H66" s="17" t="n">
        <f aca="false">RANK(Momentum_Signal!H66,Momentum_Signal!$C66:$J66,0)</f>
        <v>5</v>
      </c>
      <c r="I66" s="17" t="n">
        <f aca="false">RANK(Momentum_Signal!I66,Momentum_Signal!$C66:$J66,0)</f>
        <v>1</v>
      </c>
      <c r="J66" s="17" t="n">
        <f aca="false">RANK(Momentum_Signal!J66,Momentum_Signal!$C66:$J66,0)</f>
        <v>4</v>
      </c>
    </row>
    <row r="67" customFormat="false" ht="15" hidden="false" customHeight="true" outlineLevel="0" collapsed="false">
      <c r="A67" s="1" t="n">
        <v>63</v>
      </c>
      <c r="B67" s="13" t="n">
        <f aca="false">Momentum_Signal!B67</f>
        <v>43891</v>
      </c>
      <c r="C67" s="17" t="n">
        <f aca="false">RANK(Momentum_Signal!C67,Momentum_Signal!$C67:$J67,0)</f>
        <v>5</v>
      </c>
      <c r="D67" s="17" t="n">
        <f aca="false">RANK(Momentum_Signal!D67,Momentum_Signal!$C67:$J67,0)</f>
        <v>7</v>
      </c>
      <c r="E67" s="17" t="n">
        <f aca="false">RANK(Momentum_Signal!E67,Momentum_Signal!$C67:$J67,0)</f>
        <v>6</v>
      </c>
      <c r="F67" s="17" t="n">
        <f aca="false">RANK(Momentum_Signal!F67,Momentum_Signal!$C67:$J67,0)</f>
        <v>2</v>
      </c>
      <c r="G67" s="17" t="n">
        <f aca="false">RANK(Momentum_Signal!G67,Momentum_Signal!$C67:$J67,0)</f>
        <v>3</v>
      </c>
      <c r="H67" s="17" t="n">
        <f aca="false">RANK(Momentum_Signal!H67,Momentum_Signal!$C67:$J67,0)</f>
        <v>8</v>
      </c>
      <c r="I67" s="17" t="n">
        <f aca="false">RANK(Momentum_Signal!I67,Momentum_Signal!$C67:$J67,0)</f>
        <v>1</v>
      </c>
      <c r="J67" s="17" t="n">
        <f aca="false">RANK(Momentum_Signal!J67,Momentum_Signal!$C67:$J67,0)</f>
        <v>4</v>
      </c>
    </row>
    <row r="68" customFormat="false" ht="15" hidden="false" customHeight="true" outlineLevel="0" collapsed="false">
      <c r="A68" s="1" t="n">
        <v>64</v>
      </c>
      <c r="B68" s="13" t="n">
        <f aca="false">Momentum_Signal!B68</f>
        <v>43922</v>
      </c>
      <c r="C68" s="17" t="n">
        <f aca="false">RANK(Momentum_Signal!C68,Momentum_Signal!$C68:$J68,0)</f>
        <v>7</v>
      </c>
      <c r="D68" s="17" t="n">
        <f aca="false">RANK(Momentum_Signal!D68,Momentum_Signal!$C68:$J68,0)</f>
        <v>6</v>
      </c>
      <c r="E68" s="17" t="n">
        <f aca="false">RANK(Momentum_Signal!E68,Momentum_Signal!$C68:$J68,0)</f>
        <v>5</v>
      </c>
      <c r="F68" s="17" t="n">
        <f aca="false">RANK(Momentum_Signal!F68,Momentum_Signal!$C68:$J68,0)</f>
        <v>1</v>
      </c>
      <c r="G68" s="17" t="n">
        <f aca="false">RANK(Momentum_Signal!G68,Momentum_Signal!$C68:$J68,0)</f>
        <v>2</v>
      </c>
      <c r="H68" s="17" t="n">
        <f aca="false">RANK(Momentum_Signal!H68,Momentum_Signal!$C68:$J68,0)</f>
        <v>8</v>
      </c>
      <c r="I68" s="17" t="n">
        <f aca="false">RANK(Momentum_Signal!I68,Momentum_Signal!$C68:$J68,0)</f>
        <v>3</v>
      </c>
      <c r="J68" s="17" t="n">
        <f aca="false">RANK(Momentum_Signal!J68,Momentum_Signal!$C68:$J68,0)</f>
        <v>4</v>
      </c>
    </row>
    <row r="69" customFormat="false" ht="15" hidden="false" customHeight="true" outlineLevel="0" collapsed="false">
      <c r="A69" s="1" t="n">
        <v>65</v>
      </c>
      <c r="B69" s="13" t="n">
        <f aca="false">Momentum_Signal!B69</f>
        <v>43952</v>
      </c>
      <c r="C69" s="17" t="n">
        <f aca="false">RANK(Momentum_Signal!C69,Momentum_Signal!$C69:$J69,0)</f>
        <v>8</v>
      </c>
      <c r="D69" s="17" t="n">
        <f aca="false">RANK(Momentum_Signal!D69,Momentum_Signal!$C69:$J69,0)</f>
        <v>4</v>
      </c>
      <c r="E69" s="17" t="n">
        <f aca="false">RANK(Momentum_Signal!E69,Momentum_Signal!$C69:$J69,0)</f>
        <v>7</v>
      </c>
      <c r="F69" s="17" t="n">
        <f aca="false">RANK(Momentum_Signal!F69,Momentum_Signal!$C69:$J69,0)</f>
        <v>1</v>
      </c>
      <c r="G69" s="17" t="n">
        <f aca="false">RANK(Momentum_Signal!G69,Momentum_Signal!$C69:$J69,0)</f>
        <v>2</v>
      </c>
      <c r="H69" s="17" t="n">
        <f aca="false">RANK(Momentum_Signal!H69,Momentum_Signal!$C69:$J69,0)</f>
        <v>6</v>
      </c>
      <c r="I69" s="17" t="n">
        <f aca="false">RANK(Momentum_Signal!I69,Momentum_Signal!$C69:$J69,0)</f>
        <v>3</v>
      </c>
      <c r="J69" s="17" t="n">
        <f aca="false">RANK(Momentum_Signal!J69,Momentum_Signal!$C69:$J69,0)</f>
        <v>5</v>
      </c>
    </row>
    <row r="70" customFormat="false" ht="15" hidden="false" customHeight="true" outlineLevel="0" collapsed="false">
      <c r="A70" s="1" t="n">
        <v>66</v>
      </c>
      <c r="B70" s="13" t="n">
        <f aca="false">Momentum_Signal!B70</f>
        <v>43983</v>
      </c>
      <c r="C70" s="17" t="n">
        <f aca="false">RANK(Momentum_Signal!C70,Momentum_Signal!$C70:$J70,0)</f>
        <v>8</v>
      </c>
      <c r="D70" s="17" t="n">
        <f aca="false">RANK(Momentum_Signal!D70,Momentum_Signal!$C70:$J70,0)</f>
        <v>5</v>
      </c>
      <c r="E70" s="17" t="n">
        <f aca="false">RANK(Momentum_Signal!E70,Momentum_Signal!$C70:$J70,0)</f>
        <v>7</v>
      </c>
      <c r="F70" s="17" t="n">
        <f aca="false">RANK(Momentum_Signal!F70,Momentum_Signal!$C70:$J70,0)</f>
        <v>1</v>
      </c>
      <c r="G70" s="17" t="n">
        <f aca="false">RANK(Momentum_Signal!G70,Momentum_Signal!$C70:$J70,0)</f>
        <v>2</v>
      </c>
      <c r="H70" s="17" t="n">
        <f aca="false">RANK(Momentum_Signal!H70,Momentum_Signal!$C70:$J70,0)</f>
        <v>6</v>
      </c>
      <c r="I70" s="17" t="n">
        <f aca="false">RANK(Momentum_Signal!I70,Momentum_Signal!$C70:$J70,0)</f>
        <v>3</v>
      </c>
      <c r="J70" s="17" t="n">
        <f aca="false">RANK(Momentum_Signal!J70,Momentum_Signal!$C70:$J70,0)</f>
        <v>4</v>
      </c>
    </row>
    <row r="71" customFormat="false" ht="15" hidden="false" customHeight="true" outlineLevel="0" collapsed="false">
      <c r="A71" s="1" t="n">
        <v>67</v>
      </c>
      <c r="B71" s="13" t="n">
        <f aca="false">Momentum_Signal!B71</f>
        <v>44013</v>
      </c>
      <c r="C71" s="17" t="n">
        <f aca="false">RANK(Momentum_Signal!C71,Momentum_Signal!$C71:$J71,0)</f>
        <v>8</v>
      </c>
      <c r="D71" s="17" t="n">
        <f aca="false">RANK(Momentum_Signal!D71,Momentum_Signal!$C71:$J71,0)</f>
        <v>4</v>
      </c>
      <c r="E71" s="17" t="n">
        <f aca="false">RANK(Momentum_Signal!E71,Momentum_Signal!$C71:$J71,0)</f>
        <v>7</v>
      </c>
      <c r="F71" s="17" t="n">
        <f aca="false">RANK(Momentum_Signal!F71,Momentum_Signal!$C71:$J71,0)</f>
        <v>1</v>
      </c>
      <c r="G71" s="17" t="n">
        <f aca="false">RANK(Momentum_Signal!G71,Momentum_Signal!$C71:$J71,0)</f>
        <v>2</v>
      </c>
      <c r="H71" s="17" t="n">
        <f aca="false">RANK(Momentum_Signal!H71,Momentum_Signal!$C71:$J71,0)</f>
        <v>6</v>
      </c>
      <c r="I71" s="17" t="n">
        <f aca="false">RANK(Momentum_Signal!I71,Momentum_Signal!$C71:$J71,0)</f>
        <v>3</v>
      </c>
      <c r="J71" s="17" t="n">
        <f aca="false">RANK(Momentum_Signal!J71,Momentum_Signal!$C71:$J71,0)</f>
        <v>5</v>
      </c>
    </row>
    <row r="72" customFormat="false" ht="15" hidden="false" customHeight="true" outlineLevel="0" collapsed="false">
      <c r="A72" s="1" t="n">
        <v>68</v>
      </c>
      <c r="B72" s="13" t="n">
        <f aca="false">Momentum_Signal!B72</f>
        <v>44044</v>
      </c>
      <c r="C72" s="17" t="n">
        <f aca="false">RANK(Momentum_Signal!C72,Momentum_Signal!$C72:$J72,0)</f>
        <v>7</v>
      </c>
      <c r="D72" s="17" t="n">
        <f aca="false">RANK(Momentum_Signal!D72,Momentum_Signal!$C72:$J72,0)</f>
        <v>6</v>
      </c>
      <c r="E72" s="17" t="n">
        <f aca="false">RANK(Momentum_Signal!E72,Momentum_Signal!$C72:$J72,0)</f>
        <v>8</v>
      </c>
      <c r="F72" s="17" t="n">
        <f aca="false">RANK(Momentum_Signal!F72,Momentum_Signal!$C72:$J72,0)</f>
        <v>1</v>
      </c>
      <c r="G72" s="17" t="n">
        <f aca="false">RANK(Momentum_Signal!G72,Momentum_Signal!$C72:$J72,0)</f>
        <v>4</v>
      </c>
      <c r="H72" s="17" t="n">
        <f aca="false">RANK(Momentum_Signal!H72,Momentum_Signal!$C72:$J72,0)</f>
        <v>5</v>
      </c>
      <c r="I72" s="17" t="n">
        <f aca="false">RANK(Momentum_Signal!I72,Momentum_Signal!$C72:$J72,0)</f>
        <v>2</v>
      </c>
      <c r="J72" s="17" t="n">
        <f aca="false">RANK(Momentum_Signal!J72,Momentum_Signal!$C72:$J72,0)</f>
        <v>3</v>
      </c>
    </row>
    <row r="73" customFormat="false" ht="15" hidden="false" customHeight="true" outlineLevel="0" collapsed="false">
      <c r="A73" s="1" t="n">
        <v>69</v>
      </c>
      <c r="B73" s="13" t="n">
        <f aca="false">Momentum_Signal!B73</f>
        <v>44075</v>
      </c>
      <c r="C73" s="17" t="n">
        <f aca="false">RANK(Momentum_Signal!C73,Momentum_Signal!$C73:$J73,0)</f>
        <v>4</v>
      </c>
      <c r="D73" s="17" t="n">
        <f aca="false">RANK(Momentum_Signal!D73,Momentum_Signal!$C73:$J73,0)</f>
        <v>8</v>
      </c>
      <c r="E73" s="17" t="n">
        <f aca="false">RANK(Momentum_Signal!E73,Momentum_Signal!$C73:$J73,0)</f>
        <v>6</v>
      </c>
      <c r="F73" s="17" t="n">
        <f aca="false">RANK(Momentum_Signal!F73,Momentum_Signal!$C73:$J73,0)</f>
        <v>1</v>
      </c>
      <c r="G73" s="17" t="n">
        <f aca="false">RANK(Momentum_Signal!G73,Momentum_Signal!$C73:$J73,0)</f>
        <v>7</v>
      </c>
      <c r="H73" s="17" t="n">
        <f aca="false">RANK(Momentum_Signal!H73,Momentum_Signal!$C73:$J73,0)</f>
        <v>2</v>
      </c>
      <c r="I73" s="17" t="n">
        <f aca="false">RANK(Momentum_Signal!I73,Momentum_Signal!$C73:$J73,0)</f>
        <v>3</v>
      </c>
      <c r="J73" s="17" t="n">
        <f aca="false">RANK(Momentum_Signal!J73,Momentum_Signal!$C73:$J73,0)</f>
        <v>5</v>
      </c>
    </row>
    <row r="74" customFormat="false" ht="15" hidden="false" customHeight="true" outlineLevel="0" collapsed="false">
      <c r="A74" s="1" t="n">
        <v>70</v>
      </c>
      <c r="B74" s="13" t="n">
        <f aca="false">Momentum_Signal!B74</f>
        <v>44105</v>
      </c>
      <c r="C74" s="17" t="n">
        <f aca="false">RANK(Momentum_Signal!C74,Momentum_Signal!$C74:$J74,0)</f>
        <v>2</v>
      </c>
      <c r="D74" s="17" t="n">
        <f aca="false">RANK(Momentum_Signal!D74,Momentum_Signal!$C74:$J74,0)</f>
        <v>6</v>
      </c>
      <c r="E74" s="17" t="n">
        <f aca="false">RANK(Momentum_Signal!E74,Momentum_Signal!$C74:$J74,0)</f>
        <v>7</v>
      </c>
      <c r="F74" s="17" t="n">
        <f aca="false">RANK(Momentum_Signal!F74,Momentum_Signal!$C74:$J74,0)</f>
        <v>3</v>
      </c>
      <c r="G74" s="17" t="n">
        <f aca="false">RANK(Momentum_Signal!G74,Momentum_Signal!$C74:$J74,0)</f>
        <v>8</v>
      </c>
      <c r="H74" s="17" t="n">
        <f aca="false">RANK(Momentum_Signal!H74,Momentum_Signal!$C74:$J74,0)</f>
        <v>1</v>
      </c>
      <c r="I74" s="17" t="n">
        <f aca="false">RANK(Momentum_Signal!I74,Momentum_Signal!$C74:$J74,0)</f>
        <v>5</v>
      </c>
      <c r="J74" s="17" t="n">
        <f aca="false">RANK(Momentum_Signal!J74,Momentum_Signal!$C74:$J74,0)</f>
        <v>4</v>
      </c>
    </row>
    <row r="75" customFormat="false" ht="15" hidden="false" customHeight="true" outlineLevel="0" collapsed="false">
      <c r="A75" s="1" t="n">
        <v>71</v>
      </c>
      <c r="B75" s="13" t="n">
        <f aca="false">Momentum_Signal!B75</f>
        <v>44136</v>
      </c>
      <c r="C75" s="17" t="n">
        <f aca="false">RANK(Momentum_Signal!C75,Momentum_Signal!$C75:$J75,0)</f>
        <v>2</v>
      </c>
      <c r="D75" s="17" t="n">
        <f aca="false">RANK(Momentum_Signal!D75,Momentum_Signal!$C75:$J75,0)</f>
        <v>7</v>
      </c>
      <c r="E75" s="17" t="n">
        <f aca="false">RANK(Momentum_Signal!E75,Momentum_Signal!$C75:$J75,0)</f>
        <v>5</v>
      </c>
      <c r="F75" s="17" t="n">
        <f aca="false">RANK(Momentum_Signal!F75,Momentum_Signal!$C75:$J75,0)</f>
        <v>3</v>
      </c>
      <c r="G75" s="17" t="n">
        <f aca="false">RANK(Momentum_Signal!G75,Momentum_Signal!$C75:$J75,0)</f>
        <v>8</v>
      </c>
      <c r="H75" s="17" t="n">
        <f aca="false">RANK(Momentum_Signal!H75,Momentum_Signal!$C75:$J75,0)</f>
        <v>1</v>
      </c>
      <c r="I75" s="17" t="n">
        <f aca="false">RANK(Momentum_Signal!I75,Momentum_Signal!$C75:$J75,0)</f>
        <v>6</v>
      </c>
      <c r="J75" s="17" t="n">
        <f aca="false">RANK(Momentum_Signal!J75,Momentum_Signal!$C75:$J75,0)</f>
        <v>4</v>
      </c>
    </row>
    <row r="76" customFormat="false" ht="15" hidden="false" customHeight="true" outlineLevel="0" collapsed="false">
      <c r="A76" s="1" t="n">
        <v>72</v>
      </c>
      <c r="B76" s="13" t="n">
        <f aca="false">Momentum_Signal!B76</f>
        <v>44166</v>
      </c>
      <c r="C76" s="17" t="n">
        <f aca="false">RANK(Momentum_Signal!C76,Momentum_Signal!$C76:$J76,0)</f>
        <v>2</v>
      </c>
      <c r="D76" s="17" t="n">
        <f aca="false">RANK(Momentum_Signal!D76,Momentum_Signal!$C76:$J76,0)</f>
        <v>7</v>
      </c>
      <c r="E76" s="17" t="n">
        <f aca="false">RANK(Momentum_Signal!E76,Momentum_Signal!$C76:$J76,0)</f>
        <v>5</v>
      </c>
      <c r="F76" s="17" t="n">
        <f aca="false">RANK(Momentum_Signal!F76,Momentum_Signal!$C76:$J76,0)</f>
        <v>3</v>
      </c>
      <c r="G76" s="17" t="n">
        <f aca="false">RANK(Momentum_Signal!G76,Momentum_Signal!$C76:$J76,0)</f>
        <v>8</v>
      </c>
      <c r="H76" s="17" t="n">
        <f aca="false">RANK(Momentum_Signal!H76,Momentum_Signal!$C76:$J76,0)</f>
        <v>1</v>
      </c>
      <c r="I76" s="17" t="n">
        <f aca="false">RANK(Momentum_Signal!I76,Momentum_Signal!$C76:$J76,0)</f>
        <v>6</v>
      </c>
      <c r="J76" s="17" t="n">
        <f aca="false">RANK(Momentum_Signal!J76,Momentum_Signal!$C76:$J76,0)</f>
        <v>4</v>
      </c>
    </row>
    <row r="77" customFormat="false" ht="15" hidden="false" customHeight="true" outlineLevel="0" collapsed="false">
      <c r="A77" s="1" t="n">
        <v>73</v>
      </c>
      <c r="B77" s="13" t="n">
        <f aca="false">Momentum_Signal!B77</f>
        <v>44197</v>
      </c>
      <c r="C77" s="17" t="n">
        <f aca="false">RANK(Momentum_Signal!C77,Momentum_Signal!$C77:$J77,0)</f>
        <v>2</v>
      </c>
      <c r="D77" s="17" t="n">
        <f aca="false">RANK(Momentum_Signal!D77,Momentum_Signal!$C77:$J77,0)</f>
        <v>8</v>
      </c>
      <c r="E77" s="17" t="n">
        <f aca="false">RANK(Momentum_Signal!E77,Momentum_Signal!$C77:$J77,0)</f>
        <v>5</v>
      </c>
      <c r="F77" s="17" t="n">
        <f aca="false">RANK(Momentum_Signal!F77,Momentum_Signal!$C77:$J77,0)</f>
        <v>3</v>
      </c>
      <c r="G77" s="17" t="n">
        <f aca="false">RANK(Momentum_Signal!G77,Momentum_Signal!$C77:$J77,0)</f>
        <v>7</v>
      </c>
      <c r="H77" s="17" t="n">
        <f aca="false">RANK(Momentum_Signal!H77,Momentum_Signal!$C77:$J77,0)</f>
        <v>1</v>
      </c>
      <c r="I77" s="17" t="n">
        <f aca="false">RANK(Momentum_Signal!I77,Momentum_Signal!$C77:$J77,0)</f>
        <v>6</v>
      </c>
      <c r="J77" s="17" t="n">
        <f aca="false">RANK(Momentum_Signal!J77,Momentum_Signal!$C77:$J77,0)</f>
        <v>4</v>
      </c>
    </row>
    <row r="78" customFormat="false" ht="15" hidden="false" customHeight="true" outlineLevel="0" collapsed="false">
      <c r="A78" s="1" t="n">
        <v>74</v>
      </c>
      <c r="B78" s="13" t="n">
        <f aca="false">Momentum_Signal!B78</f>
        <v>44228</v>
      </c>
      <c r="C78" s="17" t="n">
        <f aca="false">RANK(Momentum_Signal!C78,Momentum_Signal!$C78:$J78,0)</f>
        <v>3</v>
      </c>
      <c r="D78" s="17" t="n">
        <f aca="false">RANK(Momentum_Signal!D78,Momentum_Signal!$C78:$J78,0)</f>
        <v>7</v>
      </c>
      <c r="E78" s="17" t="n">
        <f aca="false">RANK(Momentum_Signal!E78,Momentum_Signal!$C78:$J78,0)</f>
        <v>6</v>
      </c>
      <c r="F78" s="17" t="n">
        <f aca="false">RANK(Momentum_Signal!F78,Momentum_Signal!$C78:$J78,0)</f>
        <v>1</v>
      </c>
      <c r="G78" s="17" t="n">
        <f aca="false">RANK(Momentum_Signal!G78,Momentum_Signal!$C78:$J78,0)</f>
        <v>8</v>
      </c>
      <c r="H78" s="17" t="n">
        <f aca="false">RANK(Momentum_Signal!H78,Momentum_Signal!$C78:$J78,0)</f>
        <v>2</v>
      </c>
      <c r="I78" s="17" t="n">
        <f aca="false">RANK(Momentum_Signal!I78,Momentum_Signal!$C78:$J78,0)</f>
        <v>5</v>
      </c>
      <c r="J78" s="17" t="n">
        <f aca="false">RANK(Momentum_Signal!J78,Momentum_Signal!$C78:$J78,0)</f>
        <v>4</v>
      </c>
    </row>
    <row r="79" customFormat="false" ht="15" hidden="false" customHeight="true" outlineLevel="0" collapsed="false">
      <c r="A79" s="1" t="n">
        <v>75</v>
      </c>
      <c r="B79" s="13" t="n">
        <f aca="false">Momentum_Signal!B79</f>
        <v>44256</v>
      </c>
      <c r="C79" s="17" t="n">
        <f aca="false">RANK(Momentum_Signal!C79,Momentum_Signal!$C79:$J79,0)</f>
        <v>1</v>
      </c>
      <c r="D79" s="17" t="n">
        <f aca="false">RANK(Momentum_Signal!D79,Momentum_Signal!$C79:$J79,0)</f>
        <v>6</v>
      </c>
      <c r="E79" s="17" t="n">
        <f aca="false">RANK(Momentum_Signal!E79,Momentum_Signal!$C79:$J79,0)</f>
        <v>7</v>
      </c>
      <c r="F79" s="17" t="n">
        <f aca="false">RANK(Momentum_Signal!F79,Momentum_Signal!$C79:$J79,0)</f>
        <v>3</v>
      </c>
      <c r="G79" s="17" t="n">
        <f aca="false">RANK(Momentum_Signal!G79,Momentum_Signal!$C79:$J79,0)</f>
        <v>8</v>
      </c>
      <c r="H79" s="17" t="n">
        <f aca="false">RANK(Momentum_Signal!H79,Momentum_Signal!$C79:$J79,0)</f>
        <v>2</v>
      </c>
      <c r="I79" s="17" t="n">
        <f aca="false">RANK(Momentum_Signal!I79,Momentum_Signal!$C79:$J79,0)</f>
        <v>4</v>
      </c>
      <c r="J79" s="17" t="n">
        <f aca="false">RANK(Momentum_Signal!J79,Momentum_Signal!$C79:$J79,0)</f>
        <v>5</v>
      </c>
    </row>
    <row r="80" customFormat="false" ht="15" hidden="false" customHeight="true" outlineLevel="0" collapsed="false">
      <c r="A80" s="1" t="n">
        <v>76</v>
      </c>
      <c r="B80" s="13" t="n">
        <f aca="false">Momentum_Signal!B80</f>
        <v>44287</v>
      </c>
      <c r="C80" s="17" t="n">
        <f aca="false">RANK(Momentum_Signal!C80,Momentum_Signal!$C80:$J80,0)</f>
        <v>1</v>
      </c>
      <c r="D80" s="17" t="n">
        <f aca="false">RANK(Momentum_Signal!D80,Momentum_Signal!$C80:$J80,0)</f>
        <v>5</v>
      </c>
      <c r="E80" s="17" t="n">
        <f aca="false">RANK(Momentum_Signal!E80,Momentum_Signal!$C80:$J80,0)</f>
        <v>8</v>
      </c>
      <c r="F80" s="17" t="n">
        <f aca="false">RANK(Momentum_Signal!F80,Momentum_Signal!$C80:$J80,0)</f>
        <v>2</v>
      </c>
      <c r="G80" s="17" t="n">
        <f aca="false">RANK(Momentum_Signal!G80,Momentum_Signal!$C80:$J80,0)</f>
        <v>7</v>
      </c>
      <c r="H80" s="17" t="n">
        <f aca="false">RANK(Momentum_Signal!H80,Momentum_Signal!$C80:$J80,0)</f>
        <v>6</v>
      </c>
      <c r="I80" s="17" t="n">
        <f aca="false">RANK(Momentum_Signal!I80,Momentum_Signal!$C80:$J80,0)</f>
        <v>3</v>
      </c>
      <c r="J80" s="17" t="n">
        <f aca="false">RANK(Momentum_Signal!J80,Momentum_Signal!$C80:$J80,0)</f>
        <v>4</v>
      </c>
    </row>
    <row r="81" customFormat="false" ht="15" hidden="false" customHeight="true" outlineLevel="0" collapsed="false">
      <c r="A81" s="1" t="n">
        <v>77</v>
      </c>
      <c r="B81" s="13" t="n">
        <f aca="false">Momentum_Signal!B81</f>
        <v>44317</v>
      </c>
      <c r="C81" s="17" t="n">
        <f aca="false">RANK(Momentum_Signal!C81,Momentum_Signal!$C81:$J81,0)</f>
        <v>2</v>
      </c>
      <c r="D81" s="17" t="n">
        <f aca="false">RANK(Momentum_Signal!D81,Momentum_Signal!$C81:$J81,0)</f>
        <v>3</v>
      </c>
      <c r="E81" s="17" t="n">
        <f aca="false">RANK(Momentum_Signal!E81,Momentum_Signal!$C81:$J81,0)</f>
        <v>8</v>
      </c>
      <c r="F81" s="17" t="n">
        <f aca="false">RANK(Momentum_Signal!F81,Momentum_Signal!$C81:$J81,0)</f>
        <v>1</v>
      </c>
      <c r="G81" s="17" t="n">
        <f aca="false">RANK(Momentum_Signal!G81,Momentum_Signal!$C81:$J81,0)</f>
        <v>7</v>
      </c>
      <c r="H81" s="17" t="n">
        <f aca="false">RANK(Momentum_Signal!H81,Momentum_Signal!$C81:$J81,0)</f>
        <v>6</v>
      </c>
      <c r="I81" s="17" t="n">
        <f aca="false">RANK(Momentum_Signal!I81,Momentum_Signal!$C81:$J81,0)</f>
        <v>5</v>
      </c>
      <c r="J81" s="17" t="n">
        <f aca="false">RANK(Momentum_Signal!J81,Momentum_Signal!$C81:$J81,0)</f>
        <v>4</v>
      </c>
    </row>
    <row r="82" customFormat="false" ht="15" hidden="false" customHeight="true" outlineLevel="0" collapsed="false">
      <c r="A82" s="1" t="n">
        <v>78</v>
      </c>
      <c r="B82" s="13" t="n">
        <f aca="false">Momentum_Signal!B82</f>
        <v>44348</v>
      </c>
      <c r="C82" s="17" t="n">
        <f aca="false">RANK(Momentum_Signal!C82,Momentum_Signal!$C82:$J82,0)</f>
        <v>4</v>
      </c>
      <c r="D82" s="17" t="n">
        <f aca="false">RANK(Momentum_Signal!D82,Momentum_Signal!$C82:$J82,0)</f>
        <v>3</v>
      </c>
      <c r="E82" s="17" t="n">
        <f aca="false">RANK(Momentum_Signal!E82,Momentum_Signal!$C82:$J82,0)</f>
        <v>8</v>
      </c>
      <c r="F82" s="17" t="n">
        <f aca="false">RANK(Momentum_Signal!F82,Momentum_Signal!$C82:$J82,0)</f>
        <v>1</v>
      </c>
      <c r="G82" s="17" t="n">
        <f aca="false">RANK(Momentum_Signal!G82,Momentum_Signal!$C82:$J82,0)</f>
        <v>6</v>
      </c>
      <c r="H82" s="17" t="n">
        <f aca="false">RANK(Momentum_Signal!H82,Momentum_Signal!$C82:$J82,0)</f>
        <v>7</v>
      </c>
      <c r="I82" s="17" t="n">
        <f aca="false">RANK(Momentum_Signal!I82,Momentum_Signal!$C82:$J82,0)</f>
        <v>2</v>
      </c>
      <c r="J82" s="17" t="n">
        <f aca="false">RANK(Momentum_Signal!J82,Momentum_Signal!$C82:$J82,0)</f>
        <v>5</v>
      </c>
    </row>
    <row r="83" customFormat="false" ht="15" hidden="false" customHeight="true" outlineLevel="0" collapsed="false">
      <c r="A83" s="1" t="n">
        <v>79</v>
      </c>
      <c r="B83" s="13" t="n">
        <f aca="false">Momentum_Signal!B83</f>
        <v>44378</v>
      </c>
      <c r="C83" s="17" t="n">
        <f aca="false">RANK(Momentum_Signal!C83,Momentum_Signal!$C83:$J83,0)</f>
        <v>3</v>
      </c>
      <c r="D83" s="17" t="n">
        <f aca="false">RANK(Momentum_Signal!D83,Momentum_Signal!$C83:$J83,0)</f>
        <v>2</v>
      </c>
      <c r="E83" s="17" t="n">
        <f aca="false">RANK(Momentum_Signal!E83,Momentum_Signal!$C83:$J83,0)</f>
        <v>8</v>
      </c>
      <c r="F83" s="17" t="n">
        <f aca="false">RANK(Momentum_Signal!F83,Momentum_Signal!$C83:$J83,0)</f>
        <v>1</v>
      </c>
      <c r="G83" s="17" t="n">
        <f aca="false">RANK(Momentum_Signal!G83,Momentum_Signal!$C83:$J83,0)</f>
        <v>6</v>
      </c>
      <c r="H83" s="17" t="n">
        <f aca="false">RANK(Momentum_Signal!H83,Momentum_Signal!$C83:$J83,0)</f>
        <v>7</v>
      </c>
      <c r="I83" s="17" t="n">
        <f aca="false">RANK(Momentum_Signal!I83,Momentum_Signal!$C83:$J83,0)</f>
        <v>4</v>
      </c>
      <c r="J83" s="17" t="n">
        <f aca="false">RANK(Momentum_Signal!J83,Momentum_Signal!$C83:$J83,0)</f>
        <v>5</v>
      </c>
    </row>
    <row r="84" customFormat="false" ht="15" hidden="false" customHeight="true" outlineLevel="0" collapsed="false">
      <c r="A84" s="1" t="n">
        <v>80</v>
      </c>
      <c r="B84" s="13" t="n">
        <f aca="false">Momentum_Signal!B84</f>
        <v>44409</v>
      </c>
      <c r="C84" s="17" t="n">
        <f aca="false">RANK(Momentum_Signal!C84,Momentum_Signal!$C84:$J84,0)</f>
        <v>1</v>
      </c>
      <c r="D84" s="17" t="n">
        <f aca="false">RANK(Momentum_Signal!D84,Momentum_Signal!$C84:$J84,0)</f>
        <v>2</v>
      </c>
      <c r="E84" s="17" t="n">
        <f aca="false">RANK(Momentum_Signal!E84,Momentum_Signal!$C84:$J84,0)</f>
        <v>7</v>
      </c>
      <c r="F84" s="17" t="n">
        <f aca="false">RANK(Momentum_Signal!F84,Momentum_Signal!$C84:$J84,0)</f>
        <v>6</v>
      </c>
      <c r="G84" s="17" t="n">
        <f aca="false">RANK(Momentum_Signal!G84,Momentum_Signal!$C84:$J84,0)</f>
        <v>5</v>
      </c>
      <c r="H84" s="17" t="n">
        <f aca="false">RANK(Momentum_Signal!H84,Momentum_Signal!$C84:$J84,0)</f>
        <v>8</v>
      </c>
      <c r="I84" s="17" t="n">
        <f aca="false">RANK(Momentum_Signal!I84,Momentum_Signal!$C84:$J84,0)</f>
        <v>4</v>
      </c>
      <c r="J84" s="17" t="n">
        <f aca="false">RANK(Momentum_Signal!J84,Momentum_Signal!$C84:$J84,0)</f>
        <v>3</v>
      </c>
    </row>
    <row r="85" customFormat="false" ht="15" hidden="false" customHeight="true" outlineLevel="0" collapsed="false">
      <c r="A85" s="1" t="n">
        <v>81</v>
      </c>
      <c r="B85" s="13" t="n">
        <f aca="false">Momentum_Signal!B85</f>
        <v>44440</v>
      </c>
      <c r="C85" s="17" t="n">
        <f aca="false">RANK(Momentum_Signal!C85,Momentum_Signal!$C85:$J85,0)</f>
        <v>1</v>
      </c>
      <c r="D85" s="17" t="n">
        <f aca="false">RANK(Momentum_Signal!D85,Momentum_Signal!$C85:$J85,0)</f>
        <v>2</v>
      </c>
      <c r="E85" s="17" t="n">
        <f aca="false">RANK(Momentum_Signal!E85,Momentum_Signal!$C85:$J85,0)</f>
        <v>6</v>
      </c>
      <c r="F85" s="17" t="n">
        <f aca="false">RANK(Momentum_Signal!F85,Momentum_Signal!$C85:$J85,0)</f>
        <v>7</v>
      </c>
      <c r="G85" s="17" t="n">
        <f aca="false">RANK(Momentum_Signal!G85,Momentum_Signal!$C85:$J85,0)</f>
        <v>5</v>
      </c>
      <c r="H85" s="17" t="n">
        <f aca="false">RANK(Momentum_Signal!H85,Momentum_Signal!$C85:$J85,0)</f>
        <v>8</v>
      </c>
      <c r="I85" s="17" t="n">
        <f aca="false">RANK(Momentum_Signal!I85,Momentum_Signal!$C85:$J85,0)</f>
        <v>3</v>
      </c>
      <c r="J85" s="17" t="n">
        <f aca="false">RANK(Momentum_Signal!J85,Momentum_Signal!$C85:$J85,0)</f>
        <v>4</v>
      </c>
    </row>
    <row r="86" customFormat="false" ht="15" hidden="false" customHeight="true" outlineLevel="0" collapsed="false">
      <c r="A86" s="1" t="n">
        <v>82</v>
      </c>
      <c r="B86" s="13" t="n">
        <f aca="false">Momentum_Signal!B86</f>
        <v>44470</v>
      </c>
      <c r="C86" s="17" t="n">
        <f aca="false">RANK(Momentum_Signal!C86,Momentum_Signal!$C86:$J86,0)</f>
        <v>1</v>
      </c>
      <c r="D86" s="17" t="n">
        <f aca="false">RANK(Momentum_Signal!D86,Momentum_Signal!$C86:$J86,0)</f>
        <v>3</v>
      </c>
      <c r="E86" s="17" t="n">
        <f aca="false">RANK(Momentum_Signal!E86,Momentum_Signal!$C86:$J86,0)</f>
        <v>5</v>
      </c>
      <c r="F86" s="17" t="n">
        <f aca="false">RANK(Momentum_Signal!F86,Momentum_Signal!$C86:$J86,0)</f>
        <v>8</v>
      </c>
      <c r="G86" s="17" t="n">
        <f aca="false">RANK(Momentum_Signal!G86,Momentum_Signal!$C86:$J86,0)</f>
        <v>6</v>
      </c>
      <c r="H86" s="17" t="n">
        <f aca="false">RANK(Momentum_Signal!H86,Momentum_Signal!$C86:$J86,0)</f>
        <v>7</v>
      </c>
      <c r="I86" s="17" t="n">
        <f aca="false">RANK(Momentum_Signal!I86,Momentum_Signal!$C86:$J86,0)</f>
        <v>2</v>
      </c>
      <c r="J86" s="17" t="n">
        <f aca="false">RANK(Momentum_Signal!J86,Momentum_Signal!$C86:$J86,0)</f>
        <v>4</v>
      </c>
    </row>
    <row r="87" customFormat="false" ht="15" hidden="false" customHeight="true" outlineLevel="0" collapsed="false">
      <c r="A87" s="1" t="n">
        <v>83</v>
      </c>
      <c r="B87" s="13" t="n">
        <f aca="false">Momentum_Signal!B87</f>
        <v>44501</v>
      </c>
      <c r="C87" s="17" t="n">
        <f aca="false">RANK(Momentum_Signal!C87,Momentum_Signal!$C87:$J87,0)</f>
        <v>1</v>
      </c>
      <c r="D87" s="17" t="n">
        <f aca="false">RANK(Momentum_Signal!D87,Momentum_Signal!$C87:$J87,0)</f>
        <v>3</v>
      </c>
      <c r="E87" s="17" t="n">
        <f aca="false">RANK(Momentum_Signal!E87,Momentum_Signal!$C87:$J87,0)</f>
        <v>4</v>
      </c>
      <c r="F87" s="17" t="n">
        <f aca="false">RANK(Momentum_Signal!F87,Momentum_Signal!$C87:$J87,0)</f>
        <v>8</v>
      </c>
      <c r="G87" s="17" t="n">
        <f aca="false">RANK(Momentum_Signal!G87,Momentum_Signal!$C87:$J87,0)</f>
        <v>6</v>
      </c>
      <c r="H87" s="17" t="n">
        <f aca="false">RANK(Momentum_Signal!H87,Momentum_Signal!$C87:$J87,0)</f>
        <v>7</v>
      </c>
      <c r="I87" s="17" t="n">
        <f aca="false">RANK(Momentum_Signal!I87,Momentum_Signal!$C87:$J87,0)</f>
        <v>2</v>
      </c>
      <c r="J87" s="17" t="n">
        <f aca="false">RANK(Momentum_Signal!J87,Momentum_Signal!$C87:$J87,0)</f>
        <v>5</v>
      </c>
    </row>
    <row r="88" customFormat="false" ht="15" hidden="false" customHeight="true" outlineLevel="0" collapsed="false">
      <c r="A88" s="1" t="n">
        <v>84</v>
      </c>
      <c r="B88" s="13" t="n">
        <f aca="false">Momentum_Signal!B88</f>
        <v>44531</v>
      </c>
      <c r="C88" s="17" t="n">
        <f aca="false">RANK(Momentum_Signal!C88,Momentum_Signal!$C88:$J88,0)</f>
        <v>1</v>
      </c>
      <c r="D88" s="17" t="n">
        <f aca="false">RANK(Momentum_Signal!D88,Momentum_Signal!$C88:$J88,0)</f>
        <v>3</v>
      </c>
      <c r="E88" s="17" t="n">
        <f aca="false">RANK(Momentum_Signal!E88,Momentum_Signal!$C88:$J88,0)</f>
        <v>4</v>
      </c>
      <c r="F88" s="17" t="n">
        <f aca="false">RANK(Momentum_Signal!F88,Momentum_Signal!$C88:$J88,0)</f>
        <v>7</v>
      </c>
      <c r="G88" s="17" t="n">
        <f aca="false">RANK(Momentum_Signal!G88,Momentum_Signal!$C88:$J88,0)</f>
        <v>5</v>
      </c>
      <c r="H88" s="17" t="n">
        <f aca="false">RANK(Momentum_Signal!H88,Momentum_Signal!$C88:$J88,0)</f>
        <v>8</v>
      </c>
      <c r="I88" s="17" t="n">
        <f aca="false">RANK(Momentum_Signal!I88,Momentum_Signal!$C88:$J88,0)</f>
        <v>2</v>
      </c>
      <c r="J88" s="17" t="n">
        <f aca="false">RANK(Momentum_Signal!J88,Momentum_Signal!$C88:$J88,0)</f>
        <v>6</v>
      </c>
    </row>
    <row r="89" customFormat="false" ht="15" hidden="false" customHeight="true" outlineLevel="0" collapsed="false">
      <c r="A89" s="1" t="n">
        <v>85</v>
      </c>
      <c r="B89" s="13" t="n">
        <f aca="false">Momentum_Signal!B89</f>
        <v>44562</v>
      </c>
      <c r="C89" s="17" t="n">
        <f aca="false">RANK(Momentum_Signal!C89,Momentum_Signal!$C89:$J89,0)</f>
        <v>1</v>
      </c>
      <c r="D89" s="17" t="n">
        <f aca="false">RANK(Momentum_Signal!D89,Momentum_Signal!$C89:$J89,0)</f>
        <v>3</v>
      </c>
      <c r="E89" s="17" t="n">
        <f aca="false">RANK(Momentum_Signal!E89,Momentum_Signal!$C89:$J89,0)</f>
        <v>5</v>
      </c>
      <c r="F89" s="17" t="n">
        <f aca="false">RANK(Momentum_Signal!F89,Momentum_Signal!$C89:$J89,0)</f>
        <v>7</v>
      </c>
      <c r="G89" s="17" t="n">
        <f aca="false">RANK(Momentum_Signal!G89,Momentum_Signal!$C89:$J89,0)</f>
        <v>4</v>
      </c>
      <c r="H89" s="17" t="n">
        <f aca="false">RANK(Momentum_Signal!H89,Momentum_Signal!$C89:$J89,0)</f>
        <v>8</v>
      </c>
      <c r="I89" s="17" t="n">
        <f aca="false">RANK(Momentum_Signal!I89,Momentum_Signal!$C89:$J89,0)</f>
        <v>2</v>
      </c>
      <c r="J89" s="17" t="n">
        <f aca="false">RANK(Momentum_Signal!J89,Momentum_Signal!$C89:$J89,0)</f>
        <v>6</v>
      </c>
    </row>
    <row r="90" customFormat="false" ht="15" hidden="false" customHeight="true" outlineLevel="0" collapsed="false">
      <c r="A90" s="1" t="n">
        <v>86</v>
      </c>
      <c r="B90" s="13" t="n">
        <f aca="false">Momentum_Signal!B90</f>
        <v>44593</v>
      </c>
      <c r="C90" s="17" t="n">
        <f aca="false">RANK(Momentum_Signal!C90,Momentum_Signal!$C90:$J90,0)</f>
        <v>3</v>
      </c>
      <c r="D90" s="17" t="n">
        <f aca="false">RANK(Momentum_Signal!D90,Momentum_Signal!$C90:$J90,0)</f>
        <v>2</v>
      </c>
      <c r="E90" s="17" t="n">
        <f aca="false">RANK(Momentum_Signal!E90,Momentum_Signal!$C90:$J90,0)</f>
        <v>5</v>
      </c>
      <c r="F90" s="17" t="n">
        <f aca="false">RANK(Momentum_Signal!F90,Momentum_Signal!$C90:$J90,0)</f>
        <v>7</v>
      </c>
      <c r="G90" s="17" t="n">
        <f aca="false">RANK(Momentum_Signal!G90,Momentum_Signal!$C90:$J90,0)</f>
        <v>4</v>
      </c>
      <c r="H90" s="17" t="n">
        <f aca="false">RANK(Momentum_Signal!H90,Momentum_Signal!$C90:$J90,0)</f>
        <v>8</v>
      </c>
      <c r="I90" s="17" t="n">
        <f aca="false">RANK(Momentum_Signal!I90,Momentum_Signal!$C90:$J90,0)</f>
        <v>1</v>
      </c>
      <c r="J90" s="17" t="n">
        <f aca="false">RANK(Momentum_Signal!J90,Momentum_Signal!$C90:$J90,0)</f>
        <v>6</v>
      </c>
    </row>
    <row r="91" customFormat="false" ht="15" hidden="false" customHeight="true" outlineLevel="0" collapsed="false">
      <c r="A91" s="1" t="n">
        <v>87</v>
      </c>
      <c r="B91" s="13" t="n">
        <f aca="false">Momentum_Signal!B91</f>
        <v>44621</v>
      </c>
      <c r="C91" s="17" t="n">
        <f aca="false">RANK(Momentum_Signal!C91,Momentum_Signal!$C91:$J91,0)</f>
        <v>6</v>
      </c>
      <c r="D91" s="17" t="n">
        <f aca="false">RANK(Momentum_Signal!D91,Momentum_Signal!$C91:$J91,0)</f>
        <v>1</v>
      </c>
      <c r="E91" s="17" t="n">
        <f aca="false">RANK(Momentum_Signal!E91,Momentum_Signal!$C91:$J91,0)</f>
        <v>5</v>
      </c>
      <c r="F91" s="17" t="n">
        <f aca="false">RANK(Momentum_Signal!F91,Momentum_Signal!$C91:$J91,0)</f>
        <v>7</v>
      </c>
      <c r="G91" s="17" t="n">
        <f aca="false">RANK(Momentum_Signal!G91,Momentum_Signal!$C91:$J91,0)</f>
        <v>3</v>
      </c>
      <c r="H91" s="17" t="n">
        <f aca="false">RANK(Momentum_Signal!H91,Momentum_Signal!$C91:$J91,0)</f>
        <v>8</v>
      </c>
      <c r="I91" s="17" t="n">
        <f aca="false">RANK(Momentum_Signal!I91,Momentum_Signal!$C91:$J91,0)</f>
        <v>2</v>
      </c>
      <c r="J91" s="17" t="n">
        <f aca="false">RANK(Momentum_Signal!J91,Momentum_Signal!$C91:$J91,0)</f>
        <v>4</v>
      </c>
    </row>
    <row r="92" customFormat="false" ht="15" hidden="false" customHeight="true" outlineLevel="0" collapsed="false">
      <c r="A92" s="1" t="n">
        <v>88</v>
      </c>
      <c r="B92" s="13" t="n">
        <f aca="false">Momentum_Signal!B92</f>
        <v>44652</v>
      </c>
      <c r="C92" s="17" t="n">
        <f aca="false">RANK(Momentum_Signal!C92,Momentum_Signal!$C92:$J92,0)</f>
        <v>3</v>
      </c>
      <c r="D92" s="17" t="n">
        <f aca="false">RANK(Momentum_Signal!D92,Momentum_Signal!$C92:$J92,0)</f>
        <v>1</v>
      </c>
      <c r="E92" s="17" t="n">
        <f aca="false">RANK(Momentum_Signal!E92,Momentum_Signal!$C92:$J92,0)</f>
        <v>6</v>
      </c>
      <c r="F92" s="17" t="n">
        <f aca="false">RANK(Momentum_Signal!F92,Momentum_Signal!$C92:$J92,0)</f>
        <v>7</v>
      </c>
      <c r="G92" s="17" t="n">
        <f aca="false">RANK(Momentum_Signal!G92,Momentum_Signal!$C92:$J92,0)</f>
        <v>2</v>
      </c>
      <c r="H92" s="17" t="n">
        <f aca="false">RANK(Momentum_Signal!H92,Momentum_Signal!$C92:$J92,0)</f>
        <v>8</v>
      </c>
      <c r="I92" s="17" t="n">
        <f aca="false">RANK(Momentum_Signal!I92,Momentum_Signal!$C92:$J92,0)</f>
        <v>4</v>
      </c>
      <c r="J92" s="17" t="n">
        <f aca="false">RANK(Momentum_Signal!J92,Momentum_Signal!$C92:$J92,0)</f>
        <v>5</v>
      </c>
    </row>
    <row r="93" customFormat="false" ht="15" hidden="false" customHeight="true" outlineLevel="0" collapsed="false">
      <c r="A93" s="1" t="n">
        <v>89</v>
      </c>
      <c r="B93" s="13" t="n">
        <f aca="false">Momentum_Signal!B93</f>
        <v>44682</v>
      </c>
      <c r="C93" s="17" t="n">
        <f aca="false">RANK(Momentum_Signal!C93,Momentum_Signal!$C93:$J93,0)</f>
        <v>5</v>
      </c>
      <c r="D93" s="17" t="n">
        <f aca="false">RANK(Momentum_Signal!D93,Momentum_Signal!$C93:$J93,0)</f>
        <v>1</v>
      </c>
      <c r="E93" s="17" t="n">
        <f aca="false">RANK(Momentum_Signal!E93,Momentum_Signal!$C93:$J93,0)</f>
        <v>6</v>
      </c>
      <c r="F93" s="17" t="n">
        <f aca="false">RANK(Momentum_Signal!F93,Momentum_Signal!$C93:$J93,0)</f>
        <v>8</v>
      </c>
      <c r="G93" s="17" t="n">
        <f aca="false">RANK(Momentum_Signal!G93,Momentum_Signal!$C93:$J93,0)</f>
        <v>2</v>
      </c>
      <c r="H93" s="17" t="n">
        <f aca="false">RANK(Momentum_Signal!H93,Momentum_Signal!$C93:$J93,0)</f>
        <v>7</v>
      </c>
      <c r="I93" s="17" t="n">
        <f aca="false">RANK(Momentum_Signal!I93,Momentum_Signal!$C93:$J93,0)</f>
        <v>4</v>
      </c>
      <c r="J93" s="17" t="n">
        <f aca="false">RANK(Momentum_Signal!J93,Momentum_Signal!$C93:$J93,0)</f>
        <v>3</v>
      </c>
    </row>
    <row r="94" customFormat="false" ht="15" hidden="false" customHeight="true" outlineLevel="0" collapsed="false">
      <c r="A94" s="1" t="n">
        <v>90</v>
      </c>
      <c r="B94" s="13" t="n">
        <f aca="false">Momentum_Signal!B94</f>
        <v>44713</v>
      </c>
      <c r="C94" s="17" t="n">
        <f aca="false">RANK(Momentum_Signal!C94,Momentum_Signal!$C94:$J94,0)</f>
        <v>5</v>
      </c>
      <c r="D94" s="17" t="n">
        <f aca="false">RANK(Momentum_Signal!D94,Momentum_Signal!$C94:$J94,0)</f>
        <v>1</v>
      </c>
      <c r="E94" s="17" t="n">
        <f aca="false">RANK(Momentum_Signal!E94,Momentum_Signal!$C94:$J94,0)</f>
        <v>6</v>
      </c>
      <c r="F94" s="17" t="n">
        <f aca="false">RANK(Momentum_Signal!F94,Momentum_Signal!$C94:$J94,0)</f>
        <v>7</v>
      </c>
      <c r="G94" s="17" t="n">
        <f aca="false">RANK(Momentum_Signal!G94,Momentum_Signal!$C94:$J94,0)</f>
        <v>2</v>
      </c>
      <c r="H94" s="17" t="n">
        <f aca="false">RANK(Momentum_Signal!H94,Momentum_Signal!$C94:$J94,0)</f>
        <v>8</v>
      </c>
      <c r="I94" s="17" t="n">
        <f aca="false">RANK(Momentum_Signal!I94,Momentum_Signal!$C94:$J94,0)</f>
        <v>3</v>
      </c>
      <c r="J94" s="17" t="n">
        <f aca="false">RANK(Momentum_Signal!J94,Momentum_Signal!$C94:$J94,0)</f>
        <v>4</v>
      </c>
    </row>
    <row r="95" customFormat="false" ht="15" hidden="false" customHeight="true" outlineLevel="0" collapsed="false">
      <c r="A95" s="1" t="n">
        <v>91</v>
      </c>
      <c r="B95" s="13" t="n">
        <f aca="false">Momentum_Signal!B95</f>
        <v>44743</v>
      </c>
      <c r="C95" s="17" t="n">
        <f aca="false">RANK(Momentum_Signal!C95,Momentum_Signal!$C95:$J95,0)</f>
        <v>5</v>
      </c>
      <c r="D95" s="17" t="n">
        <f aca="false">RANK(Momentum_Signal!D95,Momentum_Signal!$C95:$J95,0)</f>
        <v>3</v>
      </c>
      <c r="E95" s="17" t="n">
        <f aca="false">RANK(Momentum_Signal!E95,Momentum_Signal!$C95:$J95,0)</f>
        <v>6</v>
      </c>
      <c r="F95" s="17" t="n">
        <f aca="false">RANK(Momentum_Signal!F95,Momentum_Signal!$C95:$J95,0)</f>
        <v>8</v>
      </c>
      <c r="G95" s="17" t="n">
        <f aca="false">RANK(Momentum_Signal!G95,Momentum_Signal!$C95:$J95,0)</f>
        <v>2</v>
      </c>
      <c r="H95" s="17" t="n">
        <f aca="false">RANK(Momentum_Signal!H95,Momentum_Signal!$C95:$J95,0)</f>
        <v>7</v>
      </c>
      <c r="I95" s="17" t="n">
        <f aca="false">RANK(Momentum_Signal!I95,Momentum_Signal!$C95:$J95,0)</f>
        <v>1</v>
      </c>
      <c r="J95" s="17" t="n">
        <f aca="false">RANK(Momentum_Signal!J95,Momentum_Signal!$C95:$J95,0)</f>
        <v>4</v>
      </c>
    </row>
    <row r="96" customFormat="false" ht="15" hidden="false" customHeight="true" outlineLevel="0" collapsed="false">
      <c r="A96" s="1" t="n">
        <v>92</v>
      </c>
      <c r="B96" s="13" t="n">
        <f aca="false">Momentum_Signal!B96</f>
        <v>44774</v>
      </c>
      <c r="C96" s="17" t="n">
        <f aca="false">RANK(Momentum_Signal!C96,Momentum_Signal!$C96:$J96,0)</f>
        <v>1</v>
      </c>
      <c r="D96" s="17" t="n">
        <f aca="false">RANK(Momentum_Signal!D96,Momentum_Signal!$C96:$J96,0)</f>
        <v>3</v>
      </c>
      <c r="E96" s="17" t="n">
        <f aca="false">RANK(Momentum_Signal!E96,Momentum_Signal!$C96:$J96,0)</f>
        <v>8</v>
      </c>
      <c r="F96" s="17" t="n">
        <f aca="false">RANK(Momentum_Signal!F96,Momentum_Signal!$C96:$J96,0)</f>
        <v>6</v>
      </c>
      <c r="G96" s="17" t="n">
        <f aca="false">RANK(Momentum_Signal!G96,Momentum_Signal!$C96:$J96,0)</f>
        <v>4</v>
      </c>
      <c r="H96" s="17" t="n">
        <f aca="false">RANK(Momentum_Signal!H96,Momentum_Signal!$C96:$J96,0)</f>
        <v>7</v>
      </c>
      <c r="I96" s="17" t="n">
        <f aca="false">RANK(Momentum_Signal!I96,Momentum_Signal!$C96:$J96,0)</f>
        <v>5</v>
      </c>
      <c r="J96" s="17" t="n">
        <f aca="false">RANK(Momentum_Signal!J96,Momentum_Signal!$C96:$J96,0)</f>
        <v>2</v>
      </c>
    </row>
    <row r="97" customFormat="false" ht="15" hidden="false" customHeight="true" outlineLevel="0" collapsed="false">
      <c r="A97" s="1" t="n">
        <v>93</v>
      </c>
      <c r="B97" s="13" t="n">
        <f aca="false">Momentum_Signal!B97</f>
        <v>44805</v>
      </c>
      <c r="C97" s="17" t="n">
        <f aca="false">RANK(Momentum_Signal!C97,Momentum_Signal!$C97:$J97,0)</f>
        <v>1</v>
      </c>
      <c r="D97" s="17" t="n">
        <f aca="false">RANK(Momentum_Signal!D97,Momentum_Signal!$C97:$J97,0)</f>
        <v>5</v>
      </c>
      <c r="E97" s="17" t="n">
        <f aca="false">RANK(Momentum_Signal!E97,Momentum_Signal!$C97:$J97,0)</f>
        <v>6</v>
      </c>
      <c r="F97" s="17" t="n">
        <f aca="false">RANK(Momentum_Signal!F97,Momentum_Signal!$C97:$J97,0)</f>
        <v>8</v>
      </c>
      <c r="G97" s="17" t="n">
        <f aca="false">RANK(Momentum_Signal!G97,Momentum_Signal!$C97:$J97,0)</f>
        <v>3</v>
      </c>
      <c r="H97" s="17" t="n">
        <f aca="false">RANK(Momentum_Signal!H97,Momentum_Signal!$C97:$J97,0)</f>
        <v>7</v>
      </c>
      <c r="I97" s="17" t="n">
        <f aca="false">RANK(Momentum_Signal!I97,Momentum_Signal!$C97:$J97,0)</f>
        <v>4</v>
      </c>
      <c r="J97" s="17" t="n">
        <f aca="false">RANK(Momentum_Signal!J97,Momentum_Signal!$C97:$J97,0)</f>
        <v>2</v>
      </c>
    </row>
    <row r="98" customFormat="false" ht="15" hidden="false" customHeight="true" outlineLevel="0" collapsed="false">
      <c r="A98" s="1" t="n">
        <v>94</v>
      </c>
      <c r="B98" s="13" t="n">
        <f aca="false">Momentum_Signal!B98</f>
        <v>44835</v>
      </c>
      <c r="C98" s="17" t="n">
        <f aca="false">RANK(Momentum_Signal!C98,Momentum_Signal!$C98:$J98,0)</f>
        <v>6</v>
      </c>
      <c r="D98" s="17" t="n">
        <f aca="false">RANK(Momentum_Signal!D98,Momentum_Signal!$C98:$J98,0)</f>
        <v>5</v>
      </c>
      <c r="E98" s="17" t="n">
        <f aca="false">RANK(Momentum_Signal!E98,Momentum_Signal!$C98:$J98,0)</f>
        <v>7</v>
      </c>
      <c r="F98" s="17" t="n">
        <f aca="false">RANK(Momentum_Signal!F98,Momentum_Signal!$C98:$J98,0)</f>
        <v>3</v>
      </c>
      <c r="G98" s="17" t="n">
        <f aca="false">RANK(Momentum_Signal!G98,Momentum_Signal!$C98:$J98,0)</f>
        <v>4</v>
      </c>
      <c r="H98" s="17" t="n">
        <f aca="false">RANK(Momentum_Signal!H98,Momentum_Signal!$C98:$J98,0)</f>
        <v>8</v>
      </c>
      <c r="I98" s="17" t="n">
        <f aca="false">RANK(Momentum_Signal!I98,Momentum_Signal!$C98:$J98,0)</f>
        <v>1</v>
      </c>
      <c r="J98" s="17" t="n">
        <f aca="false">RANK(Momentum_Signal!J98,Momentum_Signal!$C98:$J98,0)</f>
        <v>2</v>
      </c>
    </row>
    <row r="99" customFormat="false" ht="15" hidden="false" customHeight="true" outlineLevel="0" collapsed="false">
      <c r="A99" s="1" t="n">
        <v>95</v>
      </c>
      <c r="B99" s="13" t="n">
        <f aca="false">Momentum_Signal!B99</f>
        <v>44866</v>
      </c>
      <c r="C99" s="17" t="n">
        <f aca="false">RANK(Momentum_Signal!C99,Momentum_Signal!$C99:$J99,0)</f>
        <v>5</v>
      </c>
      <c r="D99" s="17" t="n">
        <f aca="false">RANK(Momentum_Signal!D99,Momentum_Signal!$C99:$J99,0)</f>
        <v>4</v>
      </c>
      <c r="E99" s="17" t="n">
        <f aca="false">RANK(Momentum_Signal!E99,Momentum_Signal!$C99:$J99,0)</f>
        <v>7</v>
      </c>
      <c r="F99" s="17" t="n">
        <f aca="false">RANK(Momentum_Signal!F99,Momentum_Signal!$C99:$J99,0)</f>
        <v>2</v>
      </c>
      <c r="G99" s="17" t="n">
        <f aca="false">RANK(Momentum_Signal!G99,Momentum_Signal!$C99:$J99,0)</f>
        <v>6</v>
      </c>
      <c r="H99" s="17" t="n">
        <f aca="false">RANK(Momentum_Signal!H99,Momentum_Signal!$C99:$J99,0)</f>
        <v>8</v>
      </c>
      <c r="I99" s="17" t="n">
        <f aca="false">RANK(Momentum_Signal!I99,Momentum_Signal!$C99:$J99,0)</f>
        <v>1</v>
      </c>
      <c r="J99" s="17" t="n">
        <f aca="false">RANK(Momentum_Signal!J99,Momentum_Signal!$C99:$J99,0)</f>
        <v>3</v>
      </c>
    </row>
    <row r="100" customFormat="false" ht="15" hidden="false" customHeight="true" outlineLevel="0" collapsed="false">
      <c r="A100" s="1" t="n">
        <v>96</v>
      </c>
      <c r="B100" s="13" t="n">
        <f aca="false">Momentum_Signal!B100</f>
        <v>44896</v>
      </c>
      <c r="C100" s="17" t="n">
        <f aca="false">RANK(Momentum_Signal!C100,Momentum_Signal!$C100:$J100,0)</f>
        <v>2</v>
      </c>
      <c r="D100" s="17" t="n">
        <f aca="false">RANK(Momentum_Signal!D100,Momentum_Signal!$C100:$J100,0)</f>
        <v>7</v>
      </c>
      <c r="E100" s="17" t="n">
        <f aca="false">RANK(Momentum_Signal!E100,Momentum_Signal!$C100:$J100,0)</f>
        <v>4</v>
      </c>
      <c r="F100" s="17" t="n">
        <f aca="false">RANK(Momentum_Signal!F100,Momentum_Signal!$C100:$J100,0)</f>
        <v>1</v>
      </c>
      <c r="G100" s="17" t="n">
        <f aca="false">RANK(Momentum_Signal!G100,Momentum_Signal!$C100:$J100,0)</f>
        <v>6</v>
      </c>
      <c r="H100" s="17" t="n">
        <f aca="false">RANK(Momentum_Signal!H100,Momentum_Signal!$C100:$J100,0)</f>
        <v>8</v>
      </c>
      <c r="I100" s="17" t="n">
        <f aca="false">RANK(Momentum_Signal!I100,Momentum_Signal!$C100:$J100,0)</f>
        <v>5</v>
      </c>
      <c r="J100" s="17" t="n">
        <f aca="false">RANK(Momentum_Signal!J100,Momentum_Signal!$C100:$J100,0)</f>
        <v>3</v>
      </c>
    </row>
    <row r="101" customFormat="false" ht="15" hidden="false" customHeight="true" outlineLevel="0" collapsed="false">
      <c r="A101" s="1" t="n">
        <v>97</v>
      </c>
      <c r="B101" s="13" t="n">
        <f aca="false">Momentum_Signal!B101</f>
        <v>44927</v>
      </c>
      <c r="C101" s="17" t="n">
        <f aca="false">RANK(Momentum_Signal!C101,Momentum_Signal!$C101:$J101,0)</f>
        <v>7</v>
      </c>
      <c r="D101" s="17" t="n">
        <f aca="false">RANK(Momentum_Signal!D101,Momentum_Signal!$C101:$J101,0)</f>
        <v>1</v>
      </c>
      <c r="E101" s="17" t="n">
        <f aca="false">RANK(Momentum_Signal!E101,Momentum_Signal!$C101:$J101,0)</f>
        <v>5</v>
      </c>
      <c r="F101" s="17" t="n">
        <f aca="false">RANK(Momentum_Signal!F101,Momentum_Signal!$C101:$J101,0)</f>
        <v>4</v>
      </c>
      <c r="G101" s="17" t="n">
        <f aca="false">RANK(Momentum_Signal!G101,Momentum_Signal!$C101:$J101,0)</f>
        <v>3</v>
      </c>
      <c r="H101" s="17" t="n">
        <f aca="false">RANK(Momentum_Signal!H101,Momentum_Signal!$C101:$J101,0)</f>
        <v>8</v>
      </c>
      <c r="I101" s="17" t="n">
        <f aca="false">RANK(Momentum_Signal!I101,Momentum_Signal!$C101:$J101,0)</f>
        <v>6</v>
      </c>
      <c r="J101" s="17" t="n">
        <f aca="false">RANK(Momentum_Signal!J101,Momentum_Signal!$C101:$J101,0)</f>
        <v>2</v>
      </c>
    </row>
    <row r="102" customFormat="false" ht="15" hidden="false" customHeight="true" outlineLevel="0" collapsed="false">
      <c r="A102" s="1" t="n">
        <v>98</v>
      </c>
      <c r="B102" s="13" t="n">
        <f aca="false">Momentum_Signal!B102</f>
        <v>44958</v>
      </c>
      <c r="C102" s="17" t="n">
        <f aca="false">RANK(Momentum_Signal!C102,Momentum_Signal!$C102:$J102,0)</f>
        <v>8</v>
      </c>
      <c r="D102" s="17" t="n">
        <f aca="false">RANK(Momentum_Signal!D102,Momentum_Signal!$C102:$J102,0)</f>
        <v>1</v>
      </c>
      <c r="E102" s="17" t="n">
        <f aca="false">RANK(Momentum_Signal!E102,Momentum_Signal!$C102:$J102,0)</f>
        <v>3</v>
      </c>
      <c r="F102" s="17" t="n">
        <f aca="false">RANK(Momentum_Signal!F102,Momentum_Signal!$C102:$J102,0)</f>
        <v>7</v>
      </c>
      <c r="G102" s="17" t="n">
        <f aca="false">RANK(Momentum_Signal!G102,Momentum_Signal!$C102:$J102,0)</f>
        <v>2</v>
      </c>
      <c r="H102" s="17" t="n">
        <f aca="false">RANK(Momentum_Signal!H102,Momentum_Signal!$C102:$J102,0)</f>
        <v>6</v>
      </c>
      <c r="I102" s="17" t="n">
        <f aca="false">RANK(Momentum_Signal!I102,Momentum_Signal!$C102:$J102,0)</f>
        <v>5</v>
      </c>
      <c r="J102" s="17" t="n">
        <f aca="false">RANK(Momentum_Signal!J102,Momentum_Signal!$C102:$J102,0)</f>
        <v>4</v>
      </c>
    </row>
    <row r="103" customFormat="false" ht="15" hidden="false" customHeight="true" outlineLevel="0" collapsed="false">
      <c r="A103" s="1" t="n">
        <v>99</v>
      </c>
      <c r="B103" s="13" t="n">
        <f aca="false">Momentum_Signal!B103</f>
        <v>44986</v>
      </c>
      <c r="C103" s="17" t="n">
        <f aca="false">RANK(Momentum_Signal!C103,Momentum_Signal!$C103:$J103,0)</f>
        <v>6</v>
      </c>
      <c r="D103" s="17" t="n">
        <f aca="false">RANK(Momentum_Signal!D103,Momentum_Signal!$C103:$J103,0)</f>
        <v>1</v>
      </c>
      <c r="E103" s="17" t="n">
        <f aca="false">RANK(Momentum_Signal!E103,Momentum_Signal!$C103:$J103,0)</f>
        <v>5</v>
      </c>
      <c r="F103" s="17" t="n">
        <f aca="false">RANK(Momentum_Signal!F103,Momentum_Signal!$C103:$J103,0)</f>
        <v>7</v>
      </c>
      <c r="G103" s="17" t="n">
        <f aca="false">RANK(Momentum_Signal!G103,Momentum_Signal!$C103:$J103,0)</f>
        <v>2</v>
      </c>
      <c r="H103" s="17" t="n">
        <f aca="false">RANK(Momentum_Signal!H103,Momentum_Signal!$C103:$J103,0)</f>
        <v>8</v>
      </c>
      <c r="I103" s="17" t="n">
        <f aca="false">RANK(Momentum_Signal!I103,Momentum_Signal!$C103:$J103,0)</f>
        <v>4</v>
      </c>
      <c r="J103" s="17" t="n">
        <f aca="false">RANK(Momentum_Signal!J103,Momentum_Signal!$C103:$J103,0)</f>
        <v>3</v>
      </c>
    </row>
    <row r="104" customFormat="false" ht="15" hidden="false" customHeight="true" outlineLevel="0" collapsed="false">
      <c r="A104" s="1" t="n">
        <v>100</v>
      </c>
      <c r="B104" s="13" t="n">
        <f aca="false">Momentum_Signal!B104</f>
        <v>45017</v>
      </c>
      <c r="C104" s="17" t="n">
        <f aca="false">RANK(Momentum_Signal!C104,Momentum_Signal!$C104:$J104,0)</f>
        <v>7</v>
      </c>
      <c r="D104" s="17" t="n">
        <f aca="false">RANK(Momentum_Signal!D104,Momentum_Signal!$C104:$J104,0)</f>
        <v>1</v>
      </c>
      <c r="E104" s="17" t="n">
        <f aca="false">RANK(Momentum_Signal!E104,Momentum_Signal!$C104:$J104,0)</f>
        <v>5</v>
      </c>
      <c r="F104" s="17" t="n">
        <f aca="false">RANK(Momentum_Signal!F104,Momentum_Signal!$C104:$J104,0)</f>
        <v>8</v>
      </c>
      <c r="G104" s="17" t="n">
        <f aca="false">RANK(Momentum_Signal!G104,Momentum_Signal!$C104:$J104,0)</f>
        <v>4</v>
      </c>
      <c r="H104" s="17" t="n">
        <f aca="false">RANK(Momentum_Signal!H104,Momentum_Signal!$C104:$J104,0)</f>
        <v>2</v>
      </c>
      <c r="I104" s="17" t="n">
        <f aca="false">RANK(Momentum_Signal!I104,Momentum_Signal!$C104:$J104,0)</f>
        <v>6</v>
      </c>
      <c r="J104" s="17" t="n">
        <f aca="false">RANK(Momentum_Signal!J104,Momentum_Signal!$C104:$J104,0)</f>
        <v>3</v>
      </c>
    </row>
    <row r="105" customFormat="false" ht="15" hidden="false" customHeight="true" outlineLevel="0" collapsed="false">
      <c r="A105" s="1" t="n">
        <v>101</v>
      </c>
      <c r="B105" s="13" t="n">
        <f aca="false">Momentum_Signal!B105</f>
        <v>45047</v>
      </c>
      <c r="C105" s="17" t="n">
        <f aca="false">RANK(Momentum_Signal!C105,Momentum_Signal!$C105:$J105,0)</f>
        <v>8</v>
      </c>
      <c r="D105" s="17" t="n">
        <f aca="false">RANK(Momentum_Signal!D105,Momentum_Signal!$C105:$J105,0)</f>
        <v>2</v>
      </c>
      <c r="E105" s="17" t="n">
        <f aca="false">RANK(Momentum_Signal!E105,Momentum_Signal!$C105:$J105,0)</f>
        <v>5</v>
      </c>
      <c r="F105" s="17" t="n">
        <f aca="false">RANK(Momentum_Signal!F105,Momentum_Signal!$C105:$J105,0)</f>
        <v>1</v>
      </c>
      <c r="G105" s="17" t="n">
        <f aca="false">RANK(Momentum_Signal!G105,Momentum_Signal!$C105:$J105,0)</f>
        <v>3</v>
      </c>
      <c r="H105" s="17" t="n">
        <f aca="false">RANK(Momentum_Signal!H105,Momentum_Signal!$C105:$J105,0)</f>
        <v>7</v>
      </c>
      <c r="I105" s="17" t="n">
        <f aca="false">RANK(Momentum_Signal!I105,Momentum_Signal!$C105:$J105,0)</f>
        <v>6</v>
      </c>
      <c r="J105" s="17" t="n">
        <f aca="false">RANK(Momentum_Signal!J105,Momentum_Signal!$C105:$J105,0)</f>
        <v>4</v>
      </c>
    </row>
    <row r="106" customFormat="false" ht="15" hidden="false" customHeight="true" outlineLevel="0" collapsed="false">
      <c r="A106" s="1" t="n">
        <v>102</v>
      </c>
      <c r="B106" s="13" t="n">
        <f aca="false">Momentum_Signal!B106</f>
        <v>45078</v>
      </c>
      <c r="C106" s="17" t="n">
        <f aca="false">RANK(Momentum_Signal!C106,Momentum_Signal!$C106:$J106,0)</f>
        <v>8</v>
      </c>
      <c r="D106" s="17" t="n">
        <f aca="false">RANK(Momentum_Signal!D106,Momentum_Signal!$C106:$J106,0)</f>
        <v>2</v>
      </c>
      <c r="E106" s="17" t="n">
        <f aca="false">RANK(Momentum_Signal!E106,Momentum_Signal!$C106:$J106,0)</f>
        <v>6</v>
      </c>
      <c r="F106" s="17" t="n">
        <f aca="false">RANK(Momentum_Signal!F106,Momentum_Signal!$C106:$J106,0)</f>
        <v>1</v>
      </c>
      <c r="G106" s="17" t="n">
        <f aca="false">RANK(Momentum_Signal!G106,Momentum_Signal!$C106:$J106,0)</f>
        <v>5</v>
      </c>
      <c r="H106" s="17" t="n">
        <f aca="false">RANK(Momentum_Signal!H106,Momentum_Signal!$C106:$J106,0)</f>
        <v>3</v>
      </c>
      <c r="I106" s="17" t="n">
        <f aca="false">RANK(Momentum_Signal!I106,Momentum_Signal!$C106:$J106,0)</f>
        <v>7</v>
      </c>
      <c r="J106" s="17" t="n">
        <f aca="false">RANK(Momentum_Signal!J106,Momentum_Signal!$C106:$J106,0)</f>
        <v>4</v>
      </c>
    </row>
    <row r="107" customFormat="false" ht="15" hidden="false" customHeight="true" outlineLevel="0" collapsed="false">
      <c r="A107" s="1" t="n">
        <v>103</v>
      </c>
      <c r="B107" s="13" t="n">
        <f aca="false">Momentum_Signal!B107</f>
        <v>45108</v>
      </c>
      <c r="C107" s="17" t="n">
        <f aca="false">RANK(Momentum_Signal!C107,Momentum_Signal!$C107:$J107,0)</f>
        <v>3</v>
      </c>
      <c r="D107" s="17" t="n">
        <f aca="false">RANK(Momentum_Signal!D107,Momentum_Signal!$C107:$J107,0)</f>
        <v>7</v>
      </c>
      <c r="E107" s="17" t="n">
        <f aca="false">RANK(Momentum_Signal!E107,Momentum_Signal!$C107:$J107,0)</f>
        <v>4</v>
      </c>
      <c r="F107" s="17" t="n">
        <f aca="false">RANK(Momentum_Signal!F107,Momentum_Signal!$C107:$J107,0)</f>
        <v>2</v>
      </c>
      <c r="G107" s="17" t="n">
        <f aca="false">RANK(Momentum_Signal!G107,Momentum_Signal!$C107:$J107,0)</f>
        <v>8</v>
      </c>
      <c r="H107" s="17" t="n">
        <f aca="false">RANK(Momentum_Signal!H107,Momentum_Signal!$C107:$J107,0)</f>
        <v>1</v>
      </c>
      <c r="I107" s="17" t="n">
        <f aca="false">RANK(Momentum_Signal!I107,Momentum_Signal!$C107:$J107,0)</f>
        <v>6</v>
      </c>
      <c r="J107" s="17" t="n">
        <f aca="false">RANK(Momentum_Signal!J107,Momentum_Signal!$C107:$J107,0)</f>
        <v>5</v>
      </c>
    </row>
    <row r="108" customFormat="false" ht="15" hidden="false" customHeight="true" outlineLevel="0" collapsed="false">
      <c r="A108" s="1" t="n">
        <v>104</v>
      </c>
      <c r="B108" s="13" t="n">
        <f aca="false">Momentum_Signal!B108</f>
        <v>45139</v>
      </c>
      <c r="C108" s="17" t="n">
        <f aca="false">RANK(Momentum_Signal!C108,Momentum_Signal!$C108:$J108,0)</f>
        <v>3</v>
      </c>
      <c r="D108" s="17" t="n">
        <f aca="false">RANK(Momentum_Signal!D108,Momentum_Signal!$C108:$J108,0)</f>
        <v>8</v>
      </c>
      <c r="E108" s="17" t="n">
        <f aca="false">RANK(Momentum_Signal!E108,Momentum_Signal!$C108:$J108,0)</f>
        <v>6</v>
      </c>
      <c r="F108" s="17" t="n">
        <f aca="false">RANK(Momentum_Signal!F108,Momentum_Signal!$C108:$J108,0)</f>
        <v>1</v>
      </c>
      <c r="G108" s="17" t="n">
        <f aca="false">RANK(Momentum_Signal!G108,Momentum_Signal!$C108:$J108,0)</f>
        <v>7</v>
      </c>
      <c r="H108" s="17" t="n">
        <f aca="false">RANK(Momentum_Signal!H108,Momentum_Signal!$C108:$J108,0)</f>
        <v>2</v>
      </c>
      <c r="I108" s="17" t="n">
        <f aca="false">RANK(Momentum_Signal!I108,Momentum_Signal!$C108:$J108,0)</f>
        <v>4</v>
      </c>
      <c r="J108" s="17" t="n">
        <f aca="false">RANK(Momentum_Signal!J108,Momentum_Signal!$C108:$J108,0)</f>
        <v>5</v>
      </c>
    </row>
    <row r="109" customFormat="false" ht="15" hidden="false" customHeight="true" outlineLevel="0" collapsed="false">
      <c r="A109" s="1" t="n">
        <v>105</v>
      </c>
      <c r="B109" s="13" t="n">
        <f aca="false">Momentum_Signal!B109</f>
        <v>45170</v>
      </c>
      <c r="C109" s="17" t="n">
        <f aca="false">RANK(Momentum_Signal!C109,Momentum_Signal!$C109:$J109,0)</f>
        <v>3</v>
      </c>
      <c r="D109" s="17" t="n">
        <f aca="false">RANK(Momentum_Signal!D109,Momentum_Signal!$C109:$J109,0)</f>
        <v>8</v>
      </c>
      <c r="E109" s="17" t="n">
        <f aca="false">RANK(Momentum_Signal!E109,Momentum_Signal!$C109:$J109,0)</f>
        <v>5</v>
      </c>
      <c r="F109" s="17" t="n">
        <f aca="false">RANK(Momentum_Signal!F109,Momentum_Signal!$C109:$J109,0)</f>
        <v>2</v>
      </c>
      <c r="G109" s="17" t="n">
        <f aca="false">RANK(Momentum_Signal!G109,Momentum_Signal!$C109:$J109,0)</f>
        <v>7</v>
      </c>
      <c r="H109" s="17" t="n">
        <f aca="false">RANK(Momentum_Signal!H109,Momentum_Signal!$C109:$J109,0)</f>
        <v>1</v>
      </c>
      <c r="I109" s="17" t="n">
        <f aca="false">RANK(Momentum_Signal!I109,Momentum_Signal!$C109:$J109,0)</f>
        <v>6</v>
      </c>
      <c r="J109" s="17" t="n">
        <f aca="false">RANK(Momentum_Signal!J109,Momentum_Signal!$C109:$J109,0)</f>
        <v>4</v>
      </c>
    </row>
    <row r="110" customFormat="false" ht="15" hidden="false" customHeight="true" outlineLevel="0" collapsed="false">
      <c r="A110" s="1" t="n">
        <v>106</v>
      </c>
      <c r="B110" s="13" t="n">
        <f aca="false">Momentum_Signal!B110</f>
        <v>45200</v>
      </c>
      <c r="C110" s="17" t="n">
        <f aca="false">RANK(Momentum_Signal!C110,Momentum_Signal!$C110:$J110,0)</f>
        <v>3</v>
      </c>
      <c r="D110" s="17" t="n">
        <f aca="false">RANK(Momentum_Signal!D110,Momentum_Signal!$C110:$J110,0)</f>
        <v>6</v>
      </c>
      <c r="E110" s="17" t="n">
        <f aca="false">RANK(Momentum_Signal!E110,Momentum_Signal!$C110:$J110,0)</f>
        <v>4</v>
      </c>
      <c r="F110" s="17" t="n">
        <f aca="false">RANK(Momentum_Signal!F110,Momentum_Signal!$C110:$J110,0)</f>
        <v>2</v>
      </c>
      <c r="G110" s="17" t="n">
        <f aca="false">RANK(Momentum_Signal!G110,Momentum_Signal!$C110:$J110,0)</f>
        <v>7</v>
      </c>
      <c r="H110" s="17" t="n">
        <f aca="false">RANK(Momentum_Signal!H110,Momentum_Signal!$C110:$J110,0)</f>
        <v>1</v>
      </c>
      <c r="I110" s="17" t="n">
        <f aca="false">RANK(Momentum_Signal!I110,Momentum_Signal!$C110:$J110,0)</f>
        <v>8</v>
      </c>
      <c r="J110" s="17" t="n">
        <f aca="false">RANK(Momentum_Signal!J110,Momentum_Signal!$C110:$J110,0)</f>
        <v>5</v>
      </c>
    </row>
    <row r="111" customFormat="false" ht="15" hidden="false" customHeight="true" outlineLevel="0" collapsed="false">
      <c r="A111" s="1" t="n">
        <v>107</v>
      </c>
      <c r="B111" s="13" t="n">
        <f aca="false">Momentum_Signal!B111</f>
        <v>45231</v>
      </c>
      <c r="C111" s="17" t="n">
        <f aca="false">RANK(Momentum_Signal!C111,Momentum_Signal!$C111:$J111,0)</f>
        <v>2</v>
      </c>
      <c r="D111" s="17" t="n">
        <f aca="false">RANK(Momentum_Signal!D111,Momentum_Signal!$C111:$J111,0)</f>
        <v>6</v>
      </c>
      <c r="E111" s="17" t="n">
        <f aca="false">RANK(Momentum_Signal!E111,Momentum_Signal!$C111:$J111,0)</f>
        <v>5</v>
      </c>
      <c r="F111" s="17" t="n">
        <f aca="false">RANK(Momentum_Signal!F111,Momentum_Signal!$C111:$J111,0)</f>
        <v>3</v>
      </c>
      <c r="G111" s="17" t="n">
        <f aca="false">RANK(Momentum_Signal!G111,Momentum_Signal!$C111:$J111,0)</f>
        <v>7</v>
      </c>
      <c r="H111" s="17" t="n">
        <f aca="false">RANK(Momentum_Signal!H111,Momentum_Signal!$C111:$J111,0)</f>
        <v>1</v>
      </c>
      <c r="I111" s="17" t="n">
        <f aca="false">RANK(Momentum_Signal!I111,Momentum_Signal!$C111:$J111,0)</f>
        <v>8</v>
      </c>
      <c r="J111" s="17" t="n">
        <f aca="false">RANK(Momentum_Signal!J111,Momentum_Signal!$C111:$J111,0)</f>
        <v>4</v>
      </c>
    </row>
    <row r="112" customFormat="false" ht="15" hidden="false" customHeight="true" outlineLevel="0" collapsed="false">
      <c r="A112" s="1" t="n">
        <v>108</v>
      </c>
      <c r="B112" s="13" t="n">
        <f aca="false">Momentum_Signal!B112</f>
        <v>45261</v>
      </c>
      <c r="C112" s="17" t="n">
        <f aca="false">RANK(Momentum_Signal!C112,Momentum_Signal!$C112:$J112,0)</f>
        <v>2</v>
      </c>
      <c r="D112" s="17" t="n">
        <f aca="false">RANK(Momentum_Signal!D112,Momentum_Signal!$C112:$J112,0)</f>
        <v>7</v>
      </c>
      <c r="E112" s="17" t="n">
        <f aca="false">RANK(Momentum_Signal!E112,Momentum_Signal!$C112:$J112,0)</f>
        <v>4</v>
      </c>
      <c r="F112" s="17" t="n">
        <f aca="false">RANK(Momentum_Signal!F112,Momentum_Signal!$C112:$J112,0)</f>
        <v>3</v>
      </c>
      <c r="G112" s="17" t="n">
        <f aca="false">RANK(Momentum_Signal!G112,Momentum_Signal!$C112:$J112,0)</f>
        <v>8</v>
      </c>
      <c r="H112" s="17" t="n">
        <f aca="false">RANK(Momentum_Signal!H112,Momentum_Signal!$C112:$J112,0)</f>
        <v>1</v>
      </c>
      <c r="I112" s="17" t="n">
        <f aca="false">RANK(Momentum_Signal!I112,Momentum_Signal!$C112:$J112,0)</f>
        <v>6</v>
      </c>
      <c r="J112" s="17" t="n">
        <f aca="false">RANK(Momentum_Signal!J112,Momentum_Signal!$C112:$J112,0)</f>
        <v>5</v>
      </c>
    </row>
    <row r="113" customFormat="false" ht="15" hidden="false" customHeight="true" outlineLevel="0" collapsed="false">
      <c r="A113" s="1" t="n">
        <v>109</v>
      </c>
      <c r="B113" s="13" t="n">
        <f aca="false">Momentum_Signal!B113</f>
        <v>45292</v>
      </c>
      <c r="C113" s="17" t="n">
        <f aca="false">RANK(Momentum_Signal!C113,Momentum_Signal!$C113:$J113,0)</f>
        <v>6</v>
      </c>
      <c r="D113" s="17" t="n">
        <f aca="false">RANK(Momentum_Signal!D113,Momentum_Signal!$C113:$J113,0)</f>
        <v>2</v>
      </c>
      <c r="E113" s="17" t="n">
        <f aca="false">RANK(Momentum_Signal!E113,Momentum_Signal!$C113:$J113,0)</f>
        <v>7</v>
      </c>
      <c r="F113" s="17" t="n">
        <f aca="false">RANK(Momentum_Signal!F113,Momentum_Signal!$C113:$J113,0)</f>
        <v>5</v>
      </c>
      <c r="G113" s="17" t="n">
        <f aca="false">RANK(Momentum_Signal!G113,Momentum_Signal!$C113:$J113,0)</f>
        <v>8</v>
      </c>
      <c r="H113" s="17" t="n">
        <f aca="false">RANK(Momentum_Signal!H113,Momentum_Signal!$C113:$J113,0)</f>
        <v>1</v>
      </c>
      <c r="I113" s="17" t="n">
        <f aca="false">RANK(Momentum_Signal!I113,Momentum_Signal!$C113:$J113,0)</f>
        <v>3</v>
      </c>
      <c r="J113" s="17" t="n">
        <f aca="false">RANK(Momentum_Signal!J113,Momentum_Signal!$C113:$J113,0)</f>
        <v>4</v>
      </c>
    </row>
    <row r="114" customFormat="false" ht="15" hidden="false" customHeight="true" outlineLevel="0" collapsed="false">
      <c r="A114" s="1" t="n">
        <v>110</v>
      </c>
      <c r="B114" s="13" t="n">
        <f aca="false">Momentum_Signal!B114</f>
        <v>45323</v>
      </c>
      <c r="C114" s="17" t="n">
        <f aca="false">RANK(Momentum_Signal!C114,Momentum_Signal!$C114:$J114,0)</f>
        <v>3</v>
      </c>
      <c r="D114" s="17" t="n">
        <f aca="false">RANK(Momentum_Signal!D114,Momentum_Signal!$C114:$J114,0)</f>
        <v>2</v>
      </c>
      <c r="E114" s="17" t="n">
        <f aca="false">RANK(Momentum_Signal!E114,Momentum_Signal!$C114:$J114,0)</f>
        <v>4</v>
      </c>
      <c r="F114" s="17" t="n">
        <f aca="false">RANK(Momentum_Signal!F114,Momentum_Signal!$C114:$J114,0)</f>
        <v>7</v>
      </c>
      <c r="G114" s="17" t="n">
        <f aca="false">RANK(Momentum_Signal!G114,Momentum_Signal!$C114:$J114,0)</f>
        <v>8</v>
      </c>
      <c r="H114" s="17" t="n">
        <f aca="false">RANK(Momentum_Signal!H114,Momentum_Signal!$C114:$J114,0)</f>
        <v>1</v>
      </c>
      <c r="I114" s="17" t="n">
        <f aca="false">RANK(Momentum_Signal!I114,Momentum_Signal!$C114:$J114,0)</f>
        <v>5</v>
      </c>
      <c r="J114" s="17" t="n">
        <f aca="false">RANK(Momentum_Signal!J114,Momentum_Signal!$C114:$J114,0)</f>
        <v>6</v>
      </c>
    </row>
    <row r="115" customFormat="false" ht="15" hidden="false" customHeight="true" outlineLevel="0" collapsed="false">
      <c r="A115" s="1" t="n">
        <v>111</v>
      </c>
      <c r="B115" s="13" t="n">
        <f aca="false">Momentum_Signal!B115</f>
        <v>45352</v>
      </c>
      <c r="C115" s="17" t="n">
        <f aca="false">RANK(Momentum_Signal!C115,Momentum_Signal!$C115:$J115,0)</f>
        <v>3</v>
      </c>
      <c r="D115" s="17" t="n">
        <f aca="false">RANK(Momentum_Signal!D115,Momentum_Signal!$C115:$J115,0)</f>
        <v>2</v>
      </c>
      <c r="E115" s="17" t="n">
        <f aca="false">RANK(Momentum_Signal!E115,Momentum_Signal!$C115:$J115,0)</f>
        <v>5</v>
      </c>
      <c r="F115" s="17" t="n">
        <f aca="false">RANK(Momentum_Signal!F115,Momentum_Signal!$C115:$J115,0)</f>
        <v>8</v>
      </c>
      <c r="G115" s="17" t="n">
        <f aca="false">RANK(Momentum_Signal!G115,Momentum_Signal!$C115:$J115,0)</f>
        <v>7</v>
      </c>
      <c r="H115" s="17" t="n">
        <f aca="false">RANK(Momentum_Signal!H115,Momentum_Signal!$C115:$J115,0)</f>
        <v>1</v>
      </c>
      <c r="I115" s="17" t="n">
        <f aca="false">RANK(Momentum_Signal!I115,Momentum_Signal!$C115:$J115,0)</f>
        <v>4</v>
      </c>
      <c r="J115" s="17" t="n">
        <f aca="false">RANK(Momentum_Signal!J115,Momentum_Signal!$C115:$J115,0)</f>
        <v>6</v>
      </c>
    </row>
    <row r="116" customFormat="false" ht="15" hidden="false" customHeight="true" outlineLevel="0" collapsed="false">
      <c r="A116" s="1" t="n">
        <v>112</v>
      </c>
      <c r="B116" s="13" t="n">
        <f aca="false">Momentum_Signal!B116</f>
        <v>45383</v>
      </c>
      <c r="C116" s="17" t="n">
        <f aca="false">RANK(Momentum_Signal!C116,Momentum_Signal!$C116:$J116,0)</f>
        <v>4</v>
      </c>
      <c r="D116" s="17" t="n">
        <f aca="false">RANK(Momentum_Signal!D116,Momentum_Signal!$C116:$J116,0)</f>
        <v>2</v>
      </c>
      <c r="E116" s="17" t="n">
        <f aca="false">RANK(Momentum_Signal!E116,Momentum_Signal!$C116:$J116,0)</f>
        <v>6</v>
      </c>
      <c r="F116" s="17" t="n">
        <f aca="false">RANK(Momentum_Signal!F116,Momentum_Signal!$C116:$J116,0)</f>
        <v>8</v>
      </c>
      <c r="G116" s="17" t="n">
        <f aca="false">RANK(Momentum_Signal!G116,Momentum_Signal!$C116:$J116,0)</f>
        <v>5</v>
      </c>
      <c r="H116" s="17" t="n">
        <f aca="false">RANK(Momentum_Signal!H116,Momentum_Signal!$C116:$J116,0)</f>
        <v>1</v>
      </c>
      <c r="I116" s="17" t="n">
        <f aca="false">RANK(Momentum_Signal!I116,Momentum_Signal!$C116:$J116,0)</f>
        <v>3</v>
      </c>
      <c r="J116" s="17" t="n">
        <f aca="false">RANK(Momentum_Signal!J116,Momentum_Signal!$C116:$J116,0)</f>
        <v>7</v>
      </c>
    </row>
    <row r="117" customFormat="false" ht="15" hidden="false" customHeight="true" outlineLevel="0" collapsed="false">
      <c r="A117" s="1" t="n">
        <v>113</v>
      </c>
      <c r="B117" s="13" t="n">
        <f aca="false">Momentum_Signal!B117</f>
        <v>45413</v>
      </c>
      <c r="C117" s="17" t="n">
        <f aca="false">RANK(Momentum_Signal!C117,Momentum_Signal!$C117:$J117,0)</f>
        <v>3</v>
      </c>
      <c r="D117" s="17" t="n">
        <f aca="false">RANK(Momentum_Signal!D117,Momentum_Signal!$C117:$J117,0)</f>
        <v>4</v>
      </c>
      <c r="E117" s="17" t="n">
        <f aca="false">RANK(Momentum_Signal!E117,Momentum_Signal!$C117:$J117,0)</f>
        <v>7</v>
      </c>
      <c r="F117" s="17" t="n">
        <f aca="false">RANK(Momentum_Signal!F117,Momentum_Signal!$C117:$J117,0)</f>
        <v>8</v>
      </c>
      <c r="G117" s="17" t="n">
        <f aca="false">RANK(Momentum_Signal!G117,Momentum_Signal!$C117:$J117,0)</f>
        <v>5</v>
      </c>
      <c r="H117" s="17" t="n">
        <f aca="false">RANK(Momentum_Signal!H117,Momentum_Signal!$C117:$J117,0)</f>
        <v>1</v>
      </c>
      <c r="I117" s="17" t="n">
        <f aca="false">RANK(Momentum_Signal!I117,Momentum_Signal!$C117:$J117,0)</f>
        <v>2</v>
      </c>
      <c r="J117" s="17" t="n">
        <f aca="false">RANK(Momentum_Signal!J117,Momentum_Signal!$C117:$J117,0)</f>
        <v>6</v>
      </c>
    </row>
    <row r="118" customFormat="false" ht="15" hidden="false" customHeight="true" outlineLevel="0" collapsed="false">
      <c r="A118" s="1" t="n">
        <v>114</v>
      </c>
      <c r="B118" s="13" t="n">
        <f aca="false">Momentum_Signal!B118</f>
        <v>45444</v>
      </c>
      <c r="C118" s="17" t="n">
        <f aca="false">RANK(Momentum_Signal!C118,Momentum_Signal!$C118:$J118,0)</f>
        <v>2</v>
      </c>
      <c r="D118" s="17" t="n">
        <f aca="false">RANK(Momentum_Signal!D118,Momentum_Signal!$C118:$J118,0)</f>
        <v>3</v>
      </c>
      <c r="E118" s="17" t="n">
        <f aca="false">RANK(Momentum_Signal!E118,Momentum_Signal!$C118:$J118,0)</f>
        <v>5</v>
      </c>
      <c r="F118" s="17" t="n">
        <f aca="false">RANK(Momentum_Signal!F118,Momentum_Signal!$C118:$J118,0)</f>
        <v>8</v>
      </c>
      <c r="G118" s="17" t="n">
        <f aca="false">RANK(Momentum_Signal!G118,Momentum_Signal!$C118:$J118,0)</f>
        <v>4</v>
      </c>
      <c r="H118" s="17" t="n">
        <f aca="false">RANK(Momentum_Signal!H118,Momentum_Signal!$C118:$J118,0)</f>
        <v>1</v>
      </c>
      <c r="I118" s="17" t="n">
        <f aca="false">RANK(Momentum_Signal!I118,Momentum_Signal!$C118:$J118,0)</f>
        <v>6</v>
      </c>
      <c r="J118" s="17" t="n">
        <f aca="false">RANK(Momentum_Signal!J118,Momentum_Signal!$C118:$J118,0)</f>
        <v>7</v>
      </c>
    </row>
    <row r="119" customFormat="false" ht="15" hidden="false" customHeight="true" outlineLevel="0" collapsed="false">
      <c r="A119" s="1" t="n">
        <v>115</v>
      </c>
      <c r="B119" s="13" t="n">
        <f aca="false">Momentum_Signal!B119</f>
        <v>45474</v>
      </c>
      <c r="C119" s="17" t="n">
        <f aca="false">RANK(Momentum_Signal!C119,Momentum_Signal!$C119:$J119,0)</f>
        <v>3</v>
      </c>
      <c r="D119" s="17" t="n">
        <f aca="false">RANK(Momentum_Signal!D119,Momentum_Signal!$C119:$J119,0)</f>
        <v>4</v>
      </c>
      <c r="E119" s="17" t="n">
        <f aca="false">RANK(Momentum_Signal!E119,Momentum_Signal!$C119:$J119,0)</f>
        <v>5</v>
      </c>
      <c r="F119" s="17" t="n">
        <f aca="false">RANK(Momentum_Signal!F119,Momentum_Signal!$C119:$J119,0)</f>
        <v>7</v>
      </c>
      <c r="G119" s="17" t="n">
        <f aca="false">RANK(Momentum_Signal!G119,Momentum_Signal!$C119:$J119,0)</f>
        <v>2</v>
      </c>
      <c r="H119" s="17" t="n">
        <f aca="false">RANK(Momentum_Signal!H119,Momentum_Signal!$C119:$J119,0)</f>
        <v>1</v>
      </c>
      <c r="I119" s="17" t="n">
        <f aca="false">RANK(Momentum_Signal!I119,Momentum_Signal!$C119:$J119,0)</f>
        <v>8</v>
      </c>
      <c r="J119" s="17" t="n">
        <f aca="false">RANK(Momentum_Signal!J119,Momentum_Signal!$C119:$J119,0)</f>
        <v>6</v>
      </c>
    </row>
    <row r="120" customFormat="false" ht="15" hidden="false" customHeight="true" outlineLevel="0" collapsed="false">
      <c r="A120" s="1" t="n">
        <v>116</v>
      </c>
      <c r="B120" s="13" t="n">
        <f aca="false">Momentum_Signal!B120</f>
        <v>45505</v>
      </c>
      <c r="C120" s="17" t="n">
        <f aca="false">RANK(Momentum_Signal!C120,Momentum_Signal!$C120:$J120,0)</f>
        <v>4</v>
      </c>
      <c r="D120" s="17" t="n">
        <f aca="false">RANK(Momentum_Signal!D120,Momentum_Signal!$C120:$J120,0)</f>
        <v>7</v>
      </c>
      <c r="E120" s="17" t="n">
        <f aca="false">RANK(Momentum_Signal!E120,Momentum_Signal!$C120:$J120,0)</f>
        <v>8</v>
      </c>
      <c r="F120" s="17" t="n">
        <f aca="false">RANK(Momentum_Signal!F120,Momentum_Signal!$C120:$J120,0)</f>
        <v>6</v>
      </c>
      <c r="G120" s="17" t="n">
        <f aca="false">RANK(Momentum_Signal!G120,Momentum_Signal!$C120:$J120,0)</f>
        <v>2</v>
      </c>
      <c r="H120" s="17" t="n">
        <f aca="false">RANK(Momentum_Signal!H120,Momentum_Signal!$C120:$J120,0)</f>
        <v>1</v>
      </c>
      <c r="I120" s="17" t="n">
        <f aca="false">RANK(Momentum_Signal!I120,Momentum_Signal!$C120:$J120,0)</f>
        <v>3</v>
      </c>
      <c r="J120" s="17" t="n">
        <f aca="false">RANK(Momentum_Signal!J120,Momentum_Signal!$C120:$J120,0)</f>
        <v>5</v>
      </c>
    </row>
    <row r="121" customFormat="false" ht="15" hidden="false" customHeight="true" outlineLevel="0" collapsed="false">
      <c r="A121" s="1" t="n">
        <v>117</v>
      </c>
      <c r="B121" s="13" t="n">
        <f aca="false">Momentum_Signal!B121</f>
        <v>45536</v>
      </c>
      <c r="C121" s="17" t="n">
        <f aca="false">RANK(Momentum_Signal!C121,Momentum_Signal!$C121:$J121,0)</f>
        <v>8</v>
      </c>
      <c r="D121" s="17" t="n">
        <f aca="false">RANK(Momentum_Signal!D121,Momentum_Signal!$C121:$J121,0)</f>
        <v>4</v>
      </c>
      <c r="E121" s="17" t="n">
        <f aca="false">RANK(Momentum_Signal!E121,Momentum_Signal!$C121:$J121,0)</f>
        <v>6</v>
      </c>
      <c r="F121" s="17" t="n">
        <f aca="false">RANK(Momentum_Signal!F121,Momentum_Signal!$C121:$J121,0)</f>
        <v>7</v>
      </c>
      <c r="G121" s="17" t="n">
        <f aca="false">RANK(Momentum_Signal!G121,Momentum_Signal!$C121:$J121,0)</f>
        <v>2</v>
      </c>
      <c r="H121" s="17" t="n">
        <f aca="false">RANK(Momentum_Signal!H121,Momentum_Signal!$C121:$J121,0)</f>
        <v>1</v>
      </c>
      <c r="I121" s="17" t="n">
        <f aca="false">RANK(Momentum_Signal!I121,Momentum_Signal!$C121:$J121,0)</f>
        <v>3</v>
      </c>
      <c r="J121" s="17" t="n">
        <f aca="false">RANK(Momentum_Signal!J121,Momentum_Signal!$C121:$J121,0)</f>
        <v>5</v>
      </c>
    </row>
    <row r="122" customFormat="false" ht="15" hidden="false" customHeight="true" outlineLevel="0" collapsed="false">
      <c r="A122" s="1" t="n">
        <v>118</v>
      </c>
      <c r="B122" s="13" t="n">
        <f aca="false">Momentum_Signal!B122</f>
        <v>45566</v>
      </c>
      <c r="C122" s="17" t="n">
        <f aca="false">RANK(Momentum_Signal!C122,Momentum_Signal!$C122:$J122,0)</f>
        <v>7</v>
      </c>
      <c r="D122" s="17" t="n">
        <f aca="false">RANK(Momentum_Signal!D122,Momentum_Signal!$C122:$J122,0)</f>
        <v>5</v>
      </c>
      <c r="E122" s="17" t="n">
        <f aca="false">RANK(Momentum_Signal!E122,Momentum_Signal!$C122:$J122,0)</f>
        <v>6</v>
      </c>
      <c r="F122" s="17" t="n">
        <f aca="false">RANK(Momentum_Signal!F122,Momentum_Signal!$C122:$J122,0)</f>
        <v>8</v>
      </c>
      <c r="G122" s="17" t="n">
        <f aca="false">RANK(Momentum_Signal!G122,Momentum_Signal!$C122:$J122,0)</f>
        <v>1</v>
      </c>
      <c r="H122" s="17" t="n">
        <f aca="false">RANK(Momentum_Signal!H122,Momentum_Signal!$C122:$J122,0)</f>
        <v>2</v>
      </c>
      <c r="I122" s="17" t="n">
        <f aca="false">RANK(Momentum_Signal!I122,Momentum_Signal!$C122:$J122,0)</f>
        <v>3</v>
      </c>
      <c r="J122" s="17" t="n">
        <f aca="false">RANK(Momentum_Signal!J122,Momentum_Signal!$C122:$J122,0)</f>
        <v>4</v>
      </c>
    </row>
    <row r="123" customFormat="false" ht="15" hidden="false" customHeight="true" outlineLevel="0" collapsed="false">
      <c r="A123" s="1" t="n">
        <v>119</v>
      </c>
      <c r="B123" s="13" t="n">
        <f aca="false">Momentum_Signal!B123</f>
        <v>45597</v>
      </c>
      <c r="C123" s="17" t="n">
        <f aca="false">RANK(Momentum_Signal!C123,Momentum_Signal!$C123:$J123,0)</f>
        <v>8</v>
      </c>
      <c r="D123" s="17" t="n">
        <f aca="false">RANK(Momentum_Signal!D123,Momentum_Signal!$C123:$J123,0)</f>
        <v>6</v>
      </c>
      <c r="E123" s="17" t="n">
        <f aca="false">RANK(Momentum_Signal!E123,Momentum_Signal!$C123:$J123,0)</f>
        <v>4</v>
      </c>
      <c r="F123" s="17" t="n">
        <f aca="false">RANK(Momentum_Signal!F123,Momentum_Signal!$C123:$J123,0)</f>
        <v>7</v>
      </c>
      <c r="G123" s="17" t="n">
        <f aca="false">RANK(Momentum_Signal!G123,Momentum_Signal!$C123:$J123,0)</f>
        <v>1</v>
      </c>
      <c r="H123" s="17" t="n">
        <f aca="false">RANK(Momentum_Signal!H123,Momentum_Signal!$C123:$J123,0)</f>
        <v>5</v>
      </c>
      <c r="I123" s="17" t="n">
        <f aca="false">RANK(Momentum_Signal!I123,Momentum_Signal!$C123:$J123,0)</f>
        <v>2</v>
      </c>
      <c r="J123" s="17" t="n">
        <f aca="false">RANK(Momentum_Signal!J123,Momentum_Signal!$C123:$J123,0)</f>
        <v>3</v>
      </c>
    </row>
    <row r="124" customFormat="false" ht="15" hidden="false" customHeight="true" outlineLevel="0" collapsed="false">
      <c r="A124" s="1" t="n">
        <v>120</v>
      </c>
      <c r="B124" s="13" t="n">
        <f aca="false">Momentum_Signal!B124</f>
        <v>45627</v>
      </c>
      <c r="C124" s="17" t="n">
        <f aca="false">RANK(Momentum_Signal!C124,Momentum_Signal!$C124:$J124,0)</f>
        <v>8</v>
      </c>
      <c r="D124" s="17" t="n">
        <f aca="false">RANK(Momentum_Signal!D124,Momentum_Signal!$C124:$J124,0)</f>
        <v>6</v>
      </c>
      <c r="E124" s="17" t="n">
        <f aca="false">RANK(Momentum_Signal!E124,Momentum_Signal!$C124:$J124,0)</f>
        <v>5</v>
      </c>
      <c r="F124" s="17" t="n">
        <f aca="false">RANK(Momentum_Signal!F124,Momentum_Signal!$C124:$J124,0)</f>
        <v>7</v>
      </c>
      <c r="G124" s="17" t="n">
        <f aca="false">RANK(Momentum_Signal!G124,Momentum_Signal!$C124:$J124,0)</f>
        <v>2</v>
      </c>
      <c r="H124" s="17" t="n">
        <f aca="false">RANK(Momentum_Signal!H124,Momentum_Signal!$C124:$J124,0)</f>
        <v>4</v>
      </c>
      <c r="I124" s="17" t="n">
        <f aca="false">RANK(Momentum_Signal!I124,Momentum_Signal!$C124:$J124,0)</f>
        <v>1</v>
      </c>
      <c r="J124" s="17" t="n">
        <f aca="false">RANK(Momentum_Signal!J124,Momentum_Signal!$C124:$J124,0)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10" min="3" style="1" width="8"/>
    <col collapsed="false" customWidth="true" hidden="false" outlineLevel="0" max="16" min="11" style="1" width="11"/>
    <col collapsed="false" customWidth="true" hidden="false" outlineLevel="0" max="17" min="17" style="1" width="12"/>
    <col collapsed="false" customWidth="true" hidden="false" outlineLevel="0" max="18" min="18" style="1" width="11"/>
    <col collapsed="false" customWidth="true" hidden="false" outlineLevel="0" max="19" min="19" style="1" width="13"/>
  </cols>
  <sheetData>
    <row r="1" customFormat="false" ht="15.75" hidden="false" customHeight="true" outlineLevel="0" collapsed="false">
      <c r="A1" s="18" t="s">
        <v>68</v>
      </c>
    </row>
    <row r="2" customFormat="false" ht="15" hidden="false" customHeight="true" outlineLevel="0" collapsed="false">
      <c r="A2" s="5" t="s">
        <v>69</v>
      </c>
    </row>
    <row r="4" customFormat="false" ht="15" hidden="false" customHeight="true" outlineLevel="0" collapsed="false">
      <c r="A4" s="12" t="s">
        <v>70</v>
      </c>
      <c r="B4" s="12" t="s">
        <v>51</v>
      </c>
      <c r="C4" s="12" t="s">
        <v>52</v>
      </c>
      <c r="D4" s="12" t="s">
        <v>53</v>
      </c>
      <c r="E4" s="12" t="s">
        <v>54</v>
      </c>
      <c r="F4" s="12" t="s">
        <v>55</v>
      </c>
      <c r="G4" s="12" t="s">
        <v>56</v>
      </c>
      <c r="H4" s="12" t="s">
        <v>57</v>
      </c>
      <c r="I4" s="12" t="s">
        <v>58</v>
      </c>
      <c r="J4" s="12" t="s">
        <v>59</v>
      </c>
      <c r="K4" s="12" t="s">
        <v>71</v>
      </c>
      <c r="L4" s="12" t="s">
        <v>72</v>
      </c>
      <c r="M4" s="12" t="s">
        <v>73</v>
      </c>
      <c r="N4" s="12" t="s">
        <v>74</v>
      </c>
      <c r="O4" s="12" t="s">
        <v>75</v>
      </c>
      <c r="P4" s="12" t="s">
        <v>76</v>
      </c>
      <c r="Q4" s="19" t="s">
        <v>77</v>
      </c>
      <c r="R4" s="19" t="s">
        <v>78</v>
      </c>
      <c r="S4" s="19" t="s">
        <v>79</v>
      </c>
    </row>
    <row r="5" customFormat="false" ht="15" hidden="false" customHeight="true" outlineLevel="0" collapsed="false">
      <c r="A5" s="1" t="n">
        <v>8</v>
      </c>
      <c r="B5" s="13" t="n">
        <f aca="false">Returns!A9</f>
        <v>42217</v>
      </c>
      <c r="C5" s="17" t="n">
        <f aca="false">IF(Rankings!C11&lt;=2,1,0)</f>
        <v>0</v>
      </c>
      <c r="D5" s="17" t="n">
        <f aca="false">IF(Rankings!D11&lt;=2,1,0)</f>
        <v>0</v>
      </c>
      <c r="E5" s="17" t="n">
        <f aca="false">IF(Rankings!E11&lt;=2,1,0)</f>
        <v>0</v>
      </c>
      <c r="F5" s="17" t="n">
        <f aca="false">IF(Rankings!F11&lt;=2,1,0)</f>
        <v>0</v>
      </c>
      <c r="G5" s="17" t="n">
        <f aca="false">IF(Rankings!G11&lt;=2,1,0)</f>
        <v>1</v>
      </c>
      <c r="H5" s="17" t="n">
        <f aca="false">IF(Rankings!H11&lt;=2,1,0)</f>
        <v>1</v>
      </c>
      <c r="I5" s="17" t="n">
        <f aca="false">IF(Rankings!I11&lt;=2,1,0)</f>
        <v>0</v>
      </c>
      <c r="J5" s="17" t="n">
        <f aca="false">IF(Rankings!J11&lt;=2,1,0)</f>
        <v>0</v>
      </c>
      <c r="K5" s="20" t="n">
        <f aca="false">SUM(C5:J5)</f>
        <v>2</v>
      </c>
      <c r="L5" s="16" t="n">
        <f aca="false">SUMPRODUCT(C5:J5,Returns!B9:I9)/K5</f>
        <v>-0.0566811293424257</v>
      </c>
      <c r="M5" s="16" t="n">
        <f aca="false">-2*Assumptions!$B$13</f>
        <v>-0.007</v>
      </c>
      <c r="N5" s="16" t="n">
        <v>0</v>
      </c>
      <c r="O5" s="16" t="n">
        <f aca="false">L5+M5+N5</f>
        <v>-0.0636811293424257</v>
      </c>
      <c r="P5" s="21" t="n">
        <f aca="false">1*(1+O5)</f>
        <v>0.936318870657574</v>
      </c>
      <c r="Q5" s="21" t="n">
        <f aca="false">MAX($P$5:P5)</f>
        <v>0.936318870657574</v>
      </c>
      <c r="R5" s="16" t="n">
        <f aca="false">P5/Q5-1</f>
        <v>0</v>
      </c>
      <c r="S5" s="16" t="n">
        <f aca="false">O5-Benchmark_RF!D5</f>
        <v>-0.0692810598517519</v>
      </c>
    </row>
    <row r="6" customFormat="false" ht="15" hidden="false" customHeight="true" outlineLevel="0" collapsed="false">
      <c r="A6" s="1" t="n">
        <v>9</v>
      </c>
      <c r="B6" s="13" t="n">
        <f aca="false">Returns!A10</f>
        <v>42248</v>
      </c>
      <c r="C6" s="17" t="n">
        <f aca="false">IF(Rankings!C11&lt;=2,1,0)</f>
        <v>0</v>
      </c>
      <c r="D6" s="17" t="n">
        <f aca="false">IF(Rankings!D11&lt;=2,1,0)</f>
        <v>0</v>
      </c>
      <c r="E6" s="17" t="n">
        <f aca="false">IF(Rankings!E11&lt;=2,1,0)</f>
        <v>0</v>
      </c>
      <c r="F6" s="17" t="n">
        <f aca="false">IF(Rankings!F11&lt;=2,1,0)</f>
        <v>0</v>
      </c>
      <c r="G6" s="17" t="n">
        <f aca="false">IF(Rankings!G11&lt;=2,1,0)</f>
        <v>1</v>
      </c>
      <c r="H6" s="17" t="n">
        <f aca="false">IF(Rankings!H11&lt;=2,1,0)</f>
        <v>1</v>
      </c>
      <c r="I6" s="17" t="n">
        <f aca="false">IF(Rankings!I11&lt;=2,1,0)</f>
        <v>0</v>
      </c>
      <c r="J6" s="17" t="n">
        <f aca="false">IF(Rankings!J11&lt;=2,1,0)</f>
        <v>0</v>
      </c>
      <c r="K6" s="20" t="n">
        <f aca="false">SUM(C6:J6)</f>
        <v>2</v>
      </c>
      <c r="L6" s="16" t="n">
        <f aca="false">SUMPRODUCT(C6:J6,Returns!B10:I10)/K6</f>
        <v>-0.0508737794276119</v>
      </c>
      <c r="M6" s="16" t="n">
        <v>0</v>
      </c>
      <c r="N6" s="16" t="n">
        <v>0</v>
      </c>
      <c r="O6" s="16" t="n">
        <f aca="false">L6+M6+N6</f>
        <v>-0.0508737794276119</v>
      </c>
      <c r="P6" s="21" t="n">
        <f aca="false">P5*(1+O6)</f>
        <v>0.88868479095783</v>
      </c>
      <c r="Q6" s="21" t="n">
        <f aca="false">MAX($P$5:P6)</f>
        <v>0.936318870657574</v>
      </c>
      <c r="R6" s="16" t="n">
        <f aca="false">P6/Q6-1</f>
        <v>-0.050873779427612</v>
      </c>
      <c r="S6" s="16" t="n">
        <f aca="false">O6-Benchmark_RF!D6</f>
        <v>-0.0561089617847709</v>
      </c>
    </row>
    <row r="7" customFormat="false" ht="15" hidden="false" customHeight="true" outlineLevel="0" collapsed="false">
      <c r="A7" s="1" t="n">
        <v>10</v>
      </c>
      <c r="B7" s="13" t="n">
        <f aca="false">Returns!A11</f>
        <v>42278</v>
      </c>
      <c r="C7" s="17" t="n">
        <f aca="false">IF(Rankings!C11&lt;=2,1,0)</f>
        <v>0</v>
      </c>
      <c r="D7" s="17" t="n">
        <f aca="false">IF(Rankings!D11&lt;=2,1,0)</f>
        <v>0</v>
      </c>
      <c r="E7" s="17" t="n">
        <f aca="false">IF(Rankings!E11&lt;=2,1,0)</f>
        <v>0</v>
      </c>
      <c r="F7" s="17" t="n">
        <f aca="false">IF(Rankings!F11&lt;=2,1,0)</f>
        <v>0</v>
      </c>
      <c r="G7" s="17" t="n">
        <f aca="false">IF(Rankings!G11&lt;=2,1,0)</f>
        <v>1</v>
      </c>
      <c r="H7" s="17" t="n">
        <f aca="false">IF(Rankings!H11&lt;=2,1,0)</f>
        <v>1</v>
      </c>
      <c r="I7" s="17" t="n">
        <f aca="false">IF(Rankings!I11&lt;=2,1,0)</f>
        <v>0</v>
      </c>
      <c r="J7" s="17" t="n">
        <f aca="false">IF(Rankings!J11&lt;=2,1,0)</f>
        <v>0</v>
      </c>
      <c r="K7" s="20" t="n">
        <f aca="false">SUM(C7:J7)</f>
        <v>2</v>
      </c>
      <c r="L7" s="16" t="n">
        <f aca="false">SUMPRODUCT(C7:J7,Returns!B11:I11)/K7</f>
        <v>0.0197648699383213</v>
      </c>
      <c r="M7" s="16" t="n">
        <v>0</v>
      </c>
      <c r="N7" s="16" t="n">
        <v>0</v>
      </c>
      <c r="O7" s="16" t="n">
        <f aca="false">L7+M7+N7</f>
        <v>0.0197648699383213</v>
      </c>
      <c r="P7" s="21" t="n">
        <f aca="false">P6*(1+O7)</f>
        <v>0.906249530267276</v>
      </c>
      <c r="Q7" s="21" t="n">
        <f aca="false">MAX($P$5:P7)</f>
        <v>0.936318870657574</v>
      </c>
      <c r="R7" s="16" t="n">
        <f aca="false">P7/Q7-1</f>
        <v>-0.0321144231229484</v>
      </c>
      <c r="S7" s="16" t="n">
        <f aca="false">O7-Benchmark_RF!D7</f>
        <v>0.014657635033162</v>
      </c>
    </row>
    <row r="8" customFormat="false" ht="15" hidden="false" customHeight="true" outlineLevel="0" collapsed="false">
      <c r="A8" s="1" t="n">
        <v>11</v>
      </c>
      <c r="B8" s="13" t="n">
        <f aca="false">Returns!A12</f>
        <v>42309</v>
      </c>
      <c r="C8" s="17" t="n">
        <f aca="false">IF(Rankings!C11&lt;=2,1,0)</f>
        <v>0</v>
      </c>
      <c r="D8" s="17" t="n">
        <f aca="false">IF(Rankings!D11&lt;=2,1,0)</f>
        <v>0</v>
      </c>
      <c r="E8" s="17" t="n">
        <f aca="false">IF(Rankings!E11&lt;=2,1,0)</f>
        <v>0</v>
      </c>
      <c r="F8" s="17" t="n">
        <f aca="false">IF(Rankings!F11&lt;=2,1,0)</f>
        <v>0</v>
      </c>
      <c r="G8" s="17" t="n">
        <f aca="false">IF(Rankings!G11&lt;=2,1,0)</f>
        <v>1</v>
      </c>
      <c r="H8" s="17" t="n">
        <f aca="false">IF(Rankings!H11&lt;=2,1,0)</f>
        <v>1</v>
      </c>
      <c r="I8" s="17" t="n">
        <f aca="false">IF(Rankings!I11&lt;=2,1,0)</f>
        <v>0</v>
      </c>
      <c r="J8" s="17" t="n">
        <f aca="false">IF(Rankings!J11&lt;=2,1,0)</f>
        <v>0</v>
      </c>
      <c r="K8" s="20" t="n">
        <f aca="false">SUM(C8:J8)</f>
        <v>2</v>
      </c>
      <c r="L8" s="16" t="n">
        <f aca="false">SUMPRODUCT(C8:J8,Returns!B12:I12)/K8</f>
        <v>-0.0766393289458111</v>
      </c>
      <c r="M8" s="16" t="n">
        <v>0</v>
      </c>
      <c r="N8" s="16" t="n">
        <v>0</v>
      </c>
      <c r="O8" s="16" t="n">
        <f aca="false">L8+M8+N8</f>
        <v>-0.0766393289458111</v>
      </c>
      <c r="P8" s="21" t="n">
        <f aca="false">P7*(1+O8)</f>
        <v>0.836795174410135</v>
      </c>
      <c r="Q8" s="21" t="n">
        <f aca="false">MAX($P$5:P8)</f>
        <v>0.936318870657574</v>
      </c>
      <c r="R8" s="16" t="n">
        <f aca="false">P8/Q8-1</f>
        <v>-0.106292524231135</v>
      </c>
      <c r="S8" s="16" t="n">
        <f aca="false">O8-Benchmark_RF!D8</f>
        <v>-0.0817980005752362</v>
      </c>
    </row>
    <row r="9" customFormat="false" ht="15" hidden="false" customHeight="true" outlineLevel="0" collapsed="false">
      <c r="A9" s="1" t="n">
        <v>12</v>
      </c>
      <c r="B9" s="13" t="n">
        <f aca="false">Returns!A13</f>
        <v>42339</v>
      </c>
      <c r="C9" s="17" t="n">
        <f aca="false">IF(Rankings!C11&lt;=2,1,0)</f>
        <v>0</v>
      </c>
      <c r="D9" s="17" t="n">
        <f aca="false">IF(Rankings!D11&lt;=2,1,0)</f>
        <v>0</v>
      </c>
      <c r="E9" s="17" t="n">
        <f aca="false">IF(Rankings!E11&lt;=2,1,0)</f>
        <v>0</v>
      </c>
      <c r="F9" s="17" t="n">
        <f aca="false">IF(Rankings!F11&lt;=2,1,0)</f>
        <v>0</v>
      </c>
      <c r="G9" s="17" t="n">
        <f aca="false">IF(Rankings!G11&lt;=2,1,0)</f>
        <v>1</v>
      </c>
      <c r="H9" s="17" t="n">
        <f aca="false">IF(Rankings!H11&lt;=2,1,0)</f>
        <v>1</v>
      </c>
      <c r="I9" s="17" t="n">
        <f aca="false">IF(Rankings!I11&lt;=2,1,0)</f>
        <v>0</v>
      </c>
      <c r="J9" s="17" t="n">
        <f aca="false">IF(Rankings!J11&lt;=2,1,0)</f>
        <v>0</v>
      </c>
      <c r="K9" s="20" t="n">
        <f aca="false">SUM(C9:J9)</f>
        <v>2</v>
      </c>
      <c r="L9" s="16" t="n">
        <f aca="false">SUMPRODUCT(C9:J9,Returns!B13:I13)/K9</f>
        <v>0.00365177472357492</v>
      </c>
      <c r="M9" s="16" t="n">
        <v>0</v>
      </c>
      <c r="N9" s="16" t="n">
        <v>0</v>
      </c>
      <c r="O9" s="16" t="n">
        <f aca="false">L9+M9+N9</f>
        <v>0.00365177472357492</v>
      </c>
      <c r="P9" s="21" t="n">
        <f aca="false">P8*(1+O9)</f>
        <v>0.839850961876856</v>
      </c>
      <c r="Q9" s="21" t="n">
        <f aca="false">MAX($P$5:P9)</f>
        <v>0.936318870657574</v>
      </c>
      <c r="R9" s="16" t="n">
        <f aca="false">P9/Q9-1</f>
        <v>-0.103028905860852</v>
      </c>
      <c r="S9" s="16" t="n">
        <f aca="false">O9-Benchmark_RF!D9</f>
        <v>-0.00148193047369527</v>
      </c>
    </row>
    <row r="10" customFormat="false" ht="15" hidden="false" customHeight="true" outlineLevel="0" collapsed="false">
      <c r="A10" s="1" t="n">
        <v>13</v>
      </c>
      <c r="B10" s="13" t="n">
        <f aca="false">Returns!A14</f>
        <v>42370</v>
      </c>
      <c r="C10" s="17" t="n">
        <f aca="false">IF(Rankings!C11&lt;=2,1,0)</f>
        <v>0</v>
      </c>
      <c r="D10" s="17" t="n">
        <f aca="false">IF(Rankings!D11&lt;=2,1,0)</f>
        <v>0</v>
      </c>
      <c r="E10" s="17" t="n">
        <f aca="false">IF(Rankings!E11&lt;=2,1,0)</f>
        <v>0</v>
      </c>
      <c r="F10" s="17" t="n">
        <f aca="false">IF(Rankings!F11&lt;=2,1,0)</f>
        <v>0</v>
      </c>
      <c r="G10" s="17" t="n">
        <f aca="false">IF(Rankings!G11&lt;=2,1,0)</f>
        <v>1</v>
      </c>
      <c r="H10" s="17" t="n">
        <f aca="false">IF(Rankings!H11&lt;=2,1,0)</f>
        <v>1</v>
      </c>
      <c r="I10" s="17" t="n">
        <f aca="false">IF(Rankings!I11&lt;=2,1,0)</f>
        <v>0</v>
      </c>
      <c r="J10" s="17" t="n">
        <f aca="false">IF(Rankings!J11&lt;=2,1,0)</f>
        <v>0</v>
      </c>
      <c r="K10" s="20" t="n">
        <f aca="false">SUM(C10:J10)</f>
        <v>2</v>
      </c>
      <c r="L10" s="16" t="n">
        <f aca="false">SUMPRODUCT(C10:J10,Returns!B14:I14)/K10</f>
        <v>-0.0393267610960223</v>
      </c>
      <c r="M10" s="16" t="n">
        <v>0</v>
      </c>
      <c r="N10" s="16" t="n">
        <v>0</v>
      </c>
      <c r="O10" s="16" t="n">
        <f aca="false">L10+M10+N10</f>
        <v>-0.0393267610960223</v>
      </c>
      <c r="P10" s="21" t="n">
        <f aca="false">P9*(1+O10)</f>
        <v>0.80682234374286</v>
      </c>
      <c r="Q10" s="21" t="n">
        <f aca="false">MAX($P$5:P10)</f>
        <v>0.936318870657574</v>
      </c>
      <c r="R10" s="16" t="n">
        <f aca="false">P10/Q10-1</f>
        <v>-0.1383038737901</v>
      </c>
      <c r="S10" s="16" t="n">
        <f aca="false">O10-Benchmark_RF!D10</f>
        <v>-0.044321963852164</v>
      </c>
    </row>
    <row r="11" customFormat="false" ht="15" hidden="false" customHeight="true" outlineLevel="0" collapsed="false">
      <c r="A11" s="1" t="n">
        <v>14</v>
      </c>
      <c r="B11" s="13" t="n">
        <f aca="false">Returns!A15</f>
        <v>42401</v>
      </c>
      <c r="C11" s="17" t="n">
        <f aca="false">IF(Rankings!C11&lt;=2,1,0)</f>
        <v>0</v>
      </c>
      <c r="D11" s="17" t="n">
        <f aca="false">IF(Rankings!D11&lt;=2,1,0)</f>
        <v>0</v>
      </c>
      <c r="E11" s="17" t="n">
        <f aca="false">IF(Rankings!E11&lt;=2,1,0)</f>
        <v>0</v>
      </c>
      <c r="F11" s="17" t="n">
        <f aca="false">IF(Rankings!F11&lt;=2,1,0)</f>
        <v>0</v>
      </c>
      <c r="G11" s="17" t="n">
        <f aca="false">IF(Rankings!G11&lt;=2,1,0)</f>
        <v>1</v>
      </c>
      <c r="H11" s="17" t="n">
        <f aca="false">IF(Rankings!H11&lt;=2,1,0)</f>
        <v>1</v>
      </c>
      <c r="I11" s="17" t="n">
        <f aca="false">IF(Rankings!I11&lt;=2,1,0)</f>
        <v>0</v>
      </c>
      <c r="J11" s="17" t="n">
        <f aca="false">IF(Rankings!J11&lt;=2,1,0)</f>
        <v>0</v>
      </c>
      <c r="K11" s="20" t="n">
        <f aca="false">SUM(C11:J11)</f>
        <v>2</v>
      </c>
      <c r="L11" s="16" t="n">
        <f aca="false">SUMPRODUCT(C11:J11,Returns!B15:I15)/K11</f>
        <v>-0.00343813276438393</v>
      </c>
      <c r="M11" s="16" t="n">
        <v>0</v>
      </c>
      <c r="N11" s="16" t="n">
        <v>0</v>
      </c>
      <c r="O11" s="16" t="n">
        <f aca="false">L11+M11+N11</f>
        <v>-0.00343813276438393</v>
      </c>
      <c r="P11" s="21" t="n">
        <f aca="false">P10*(1+O11)</f>
        <v>0.804048381407801</v>
      </c>
      <c r="Q11" s="21" t="n">
        <f aca="false">MAX($P$5:P11)</f>
        <v>0.936318870657574</v>
      </c>
      <c r="R11" s="16" t="n">
        <f aca="false">P11/Q11-1</f>
        <v>-0.141266499474565</v>
      </c>
      <c r="S11" s="16" t="n">
        <f aca="false">O11-Benchmark_RF!D11</f>
        <v>-0.008474663858067</v>
      </c>
    </row>
    <row r="12" customFormat="false" ht="15" hidden="false" customHeight="true" outlineLevel="0" collapsed="false">
      <c r="A12" s="1" t="n">
        <v>15</v>
      </c>
      <c r="B12" s="13" t="n">
        <f aca="false">Returns!A16</f>
        <v>42430</v>
      </c>
      <c r="C12" s="17" t="n">
        <f aca="false">IF(Rankings!C11&lt;=2,1,0)</f>
        <v>0</v>
      </c>
      <c r="D12" s="17" t="n">
        <f aca="false">IF(Rankings!D11&lt;=2,1,0)</f>
        <v>0</v>
      </c>
      <c r="E12" s="17" t="n">
        <f aca="false">IF(Rankings!E11&lt;=2,1,0)</f>
        <v>0</v>
      </c>
      <c r="F12" s="17" t="n">
        <f aca="false">IF(Rankings!F11&lt;=2,1,0)</f>
        <v>0</v>
      </c>
      <c r="G12" s="17" t="n">
        <f aca="false">IF(Rankings!G11&lt;=2,1,0)</f>
        <v>1</v>
      </c>
      <c r="H12" s="17" t="n">
        <f aca="false">IF(Rankings!H11&lt;=2,1,0)</f>
        <v>1</v>
      </c>
      <c r="I12" s="17" t="n">
        <f aca="false">IF(Rankings!I11&lt;=2,1,0)</f>
        <v>0</v>
      </c>
      <c r="J12" s="17" t="n">
        <f aca="false">IF(Rankings!J11&lt;=2,1,0)</f>
        <v>0</v>
      </c>
      <c r="K12" s="20" t="n">
        <f aca="false">SUM(C12:J12)</f>
        <v>2</v>
      </c>
      <c r="L12" s="16" t="n">
        <f aca="false">SUMPRODUCT(C12:J12,Returns!B16:I16)/K12</f>
        <v>0.0369759583296734</v>
      </c>
      <c r="M12" s="16" t="n">
        <v>0</v>
      </c>
      <c r="N12" s="16" t="n">
        <v>0</v>
      </c>
      <c r="O12" s="16" t="n">
        <f aca="false">L12+M12+N12</f>
        <v>0.0369759583296734</v>
      </c>
      <c r="P12" s="21" t="n">
        <f aca="false">P11*(1+O12)</f>
        <v>0.833778840853777</v>
      </c>
      <c r="Q12" s="21" t="n">
        <f aca="false">MAX($P$5:P12)</f>
        <v>0.936318870657574</v>
      </c>
      <c r="R12" s="16" t="n">
        <f aca="false">P12/Q12-1</f>
        <v>-0.109514005342842</v>
      </c>
      <c r="S12" s="16" t="n">
        <f aca="false">O12-Benchmark_RF!D12</f>
        <v>0.0319744446943515</v>
      </c>
    </row>
    <row r="13" customFormat="false" ht="15" hidden="false" customHeight="true" outlineLevel="0" collapsed="false">
      <c r="A13" s="1" t="n">
        <v>16</v>
      </c>
      <c r="B13" s="13" t="n">
        <f aca="false">Returns!A17</f>
        <v>42461</v>
      </c>
      <c r="C13" s="17" t="n">
        <f aca="false">IF(Rankings!C11&lt;=2,1,0)</f>
        <v>0</v>
      </c>
      <c r="D13" s="17" t="n">
        <f aca="false">IF(Rankings!D11&lt;=2,1,0)</f>
        <v>0</v>
      </c>
      <c r="E13" s="17" t="n">
        <f aca="false">IF(Rankings!E11&lt;=2,1,0)</f>
        <v>0</v>
      </c>
      <c r="F13" s="17" t="n">
        <f aca="false">IF(Rankings!F11&lt;=2,1,0)</f>
        <v>0</v>
      </c>
      <c r="G13" s="17" t="n">
        <f aca="false">IF(Rankings!G11&lt;=2,1,0)</f>
        <v>1</v>
      </c>
      <c r="H13" s="17" t="n">
        <f aca="false">IF(Rankings!H11&lt;=2,1,0)</f>
        <v>1</v>
      </c>
      <c r="I13" s="17" t="n">
        <f aca="false">IF(Rankings!I11&lt;=2,1,0)</f>
        <v>0</v>
      </c>
      <c r="J13" s="17" t="n">
        <f aca="false">IF(Rankings!J11&lt;=2,1,0)</f>
        <v>0</v>
      </c>
      <c r="K13" s="20" t="n">
        <f aca="false">SUM(C13:J13)</f>
        <v>2</v>
      </c>
      <c r="L13" s="16" t="n">
        <f aca="false">SUMPRODUCT(C13:J13,Returns!B17:I17)/K13</f>
        <v>0.0174876898177232</v>
      </c>
      <c r="M13" s="16" t="n">
        <v>0</v>
      </c>
      <c r="N13" s="16" t="n">
        <v>0</v>
      </c>
      <c r="O13" s="16" t="n">
        <f aca="false">L13+M13+N13</f>
        <v>0.0174876898177232</v>
      </c>
      <c r="P13" s="21" t="n">
        <f aca="false">P12*(1+O13)</f>
        <v>0.848359706599209</v>
      </c>
      <c r="Q13" s="21" t="n">
        <f aca="false">MAX($P$5:P13)</f>
        <v>0.936318870657574</v>
      </c>
      <c r="R13" s="16" t="n">
        <f aca="false">P13/Q13-1</f>
        <v>-0.093941462481251</v>
      </c>
      <c r="S13" s="16" t="n">
        <f aca="false">O13-Benchmark_RF!D13</f>
        <v>0.0124861761824013</v>
      </c>
    </row>
    <row r="14" customFormat="false" ht="15" hidden="false" customHeight="true" outlineLevel="0" collapsed="false">
      <c r="A14" s="1" t="n">
        <v>17</v>
      </c>
      <c r="B14" s="13" t="n">
        <f aca="false">Returns!A18</f>
        <v>42491</v>
      </c>
      <c r="C14" s="17" t="n">
        <f aca="false">IF(Rankings!C11&lt;=2,1,0)</f>
        <v>0</v>
      </c>
      <c r="D14" s="17" t="n">
        <f aca="false">IF(Rankings!D11&lt;=2,1,0)</f>
        <v>0</v>
      </c>
      <c r="E14" s="17" t="n">
        <f aca="false">IF(Rankings!E11&lt;=2,1,0)</f>
        <v>0</v>
      </c>
      <c r="F14" s="17" t="n">
        <f aca="false">IF(Rankings!F11&lt;=2,1,0)</f>
        <v>0</v>
      </c>
      <c r="G14" s="17" t="n">
        <f aca="false">IF(Rankings!G11&lt;=2,1,0)</f>
        <v>1</v>
      </c>
      <c r="H14" s="17" t="n">
        <f aca="false">IF(Rankings!H11&lt;=2,1,0)</f>
        <v>1</v>
      </c>
      <c r="I14" s="17" t="n">
        <f aca="false">IF(Rankings!I11&lt;=2,1,0)</f>
        <v>0</v>
      </c>
      <c r="J14" s="17" t="n">
        <f aca="false">IF(Rankings!J11&lt;=2,1,0)</f>
        <v>0</v>
      </c>
      <c r="K14" s="20" t="n">
        <f aca="false">SUM(C14:J14)</f>
        <v>2</v>
      </c>
      <c r="L14" s="16" t="n">
        <f aca="false">SUMPRODUCT(C14:J14,Returns!B18:I18)/K14</f>
        <v>0.069048944975329</v>
      </c>
      <c r="M14" s="16" t="n">
        <v>0</v>
      </c>
      <c r="N14" s="16" t="n">
        <v>0</v>
      </c>
      <c r="O14" s="16" t="n">
        <f aca="false">L14+M14+N14</f>
        <v>0.069048944975329</v>
      </c>
      <c r="P14" s="21" t="n">
        <f aca="false">P13*(1+O14)</f>
        <v>0.906938049299464</v>
      </c>
      <c r="Q14" s="21" t="n">
        <f aca="false">MAX($P$5:P14)</f>
        <v>0.936318870657574</v>
      </c>
      <c r="R14" s="16" t="n">
        <f aca="false">P14/Q14-1</f>
        <v>-0.0313790763796917</v>
      </c>
      <c r="S14" s="16" t="n">
        <f aca="false">O14-Benchmark_RF!D14</f>
        <v>0.0641912698214097</v>
      </c>
    </row>
    <row r="15" customFormat="false" ht="15" hidden="false" customHeight="true" outlineLevel="0" collapsed="false">
      <c r="A15" s="1" t="n">
        <v>18</v>
      </c>
      <c r="B15" s="13" t="n">
        <f aca="false">Returns!A19</f>
        <v>42522</v>
      </c>
      <c r="C15" s="17" t="n">
        <f aca="false">IF(Rankings!C11&lt;=2,1,0)</f>
        <v>0</v>
      </c>
      <c r="D15" s="17" t="n">
        <f aca="false">IF(Rankings!D11&lt;=2,1,0)</f>
        <v>0</v>
      </c>
      <c r="E15" s="17" t="n">
        <f aca="false">IF(Rankings!E11&lt;=2,1,0)</f>
        <v>0</v>
      </c>
      <c r="F15" s="17" t="n">
        <f aca="false">IF(Rankings!F11&lt;=2,1,0)</f>
        <v>0</v>
      </c>
      <c r="G15" s="17" t="n">
        <f aca="false">IF(Rankings!G11&lt;=2,1,0)</f>
        <v>1</v>
      </c>
      <c r="H15" s="17" t="n">
        <f aca="false">IF(Rankings!H11&lt;=2,1,0)</f>
        <v>1</v>
      </c>
      <c r="I15" s="17" t="n">
        <f aca="false">IF(Rankings!I11&lt;=2,1,0)</f>
        <v>0</v>
      </c>
      <c r="J15" s="17" t="n">
        <f aca="false">IF(Rankings!J11&lt;=2,1,0)</f>
        <v>0</v>
      </c>
      <c r="K15" s="20" t="n">
        <f aca="false">SUM(C15:J15)</f>
        <v>2</v>
      </c>
      <c r="L15" s="16" t="n">
        <f aca="false">SUMPRODUCT(C15:J15,Returns!B19:I19)/K15</f>
        <v>0.0501073001073001</v>
      </c>
      <c r="M15" s="16" t="n">
        <v>0</v>
      </c>
      <c r="N15" s="16" t="n">
        <v>0</v>
      </c>
      <c r="O15" s="16" t="n">
        <f aca="false">L15+M15+N15</f>
        <v>0.0501073001073001</v>
      </c>
      <c r="P15" s="21" t="n">
        <f aca="false">P14*(1+O15)</f>
        <v>0.952382266314441</v>
      </c>
      <c r="Q15" s="21" t="n">
        <f aca="false">MAX($P$5:P15)</f>
        <v>0.952382266314441</v>
      </c>
      <c r="R15" s="16" t="n">
        <f aca="false">P15/Q15-1</f>
        <v>0</v>
      </c>
      <c r="S15" s="16" t="n">
        <f aca="false">O15-Benchmark_RF!D15</f>
        <v>0.0453189408771487</v>
      </c>
    </row>
    <row r="16" customFormat="false" ht="15" hidden="false" customHeight="true" outlineLevel="0" collapsed="false">
      <c r="A16" s="1" t="n">
        <v>19</v>
      </c>
      <c r="B16" s="13" t="n">
        <f aca="false">Returns!A20</f>
        <v>42552</v>
      </c>
      <c r="C16" s="17" t="n">
        <f aca="false">IF(Rankings!C11&lt;=2,1,0)</f>
        <v>0</v>
      </c>
      <c r="D16" s="17" t="n">
        <f aca="false">IF(Rankings!D11&lt;=2,1,0)</f>
        <v>0</v>
      </c>
      <c r="E16" s="17" t="n">
        <f aca="false">IF(Rankings!E11&lt;=2,1,0)</f>
        <v>0</v>
      </c>
      <c r="F16" s="17" t="n">
        <f aca="false">IF(Rankings!F11&lt;=2,1,0)</f>
        <v>0</v>
      </c>
      <c r="G16" s="17" t="n">
        <f aca="false">IF(Rankings!G11&lt;=2,1,0)</f>
        <v>1</v>
      </c>
      <c r="H16" s="17" t="n">
        <f aca="false">IF(Rankings!H11&lt;=2,1,0)</f>
        <v>1</v>
      </c>
      <c r="I16" s="17" t="n">
        <f aca="false">IF(Rankings!I11&lt;=2,1,0)</f>
        <v>0</v>
      </c>
      <c r="J16" s="17" t="n">
        <f aca="false">IF(Rankings!J11&lt;=2,1,0)</f>
        <v>0</v>
      </c>
      <c r="K16" s="20" t="n">
        <f aca="false">SUM(C16:J16)</f>
        <v>2</v>
      </c>
      <c r="L16" s="16" t="n">
        <f aca="false">SUMPRODUCT(C16:J16,Returns!B20:I20)/K16</f>
        <v>0.06781197500168</v>
      </c>
      <c r="M16" s="16" t="n">
        <v>0</v>
      </c>
      <c r="N16" s="16" t="n">
        <v>0</v>
      </c>
      <c r="O16" s="16" t="n">
        <f aca="false">L16+M16+N16</f>
        <v>0.06781197500168</v>
      </c>
      <c r="P16" s="21" t="n">
        <f aca="false">P15*(1+O16)</f>
        <v>1.0169651887498</v>
      </c>
      <c r="Q16" s="21" t="n">
        <f aca="false">MAX($P$5:P16)</f>
        <v>1.0169651887498</v>
      </c>
      <c r="R16" s="16" t="n">
        <f aca="false">P16/Q16-1</f>
        <v>0</v>
      </c>
      <c r="S16" s="16" t="n">
        <f aca="false">O16-Benchmark_RF!D16</f>
        <v>0.0631126100899121</v>
      </c>
    </row>
    <row r="17" customFormat="false" ht="15" hidden="false" customHeight="true" outlineLevel="0" collapsed="false">
      <c r="A17" s="1" t="n">
        <v>20</v>
      </c>
      <c r="B17" s="13" t="n">
        <f aca="false">Returns!A21</f>
        <v>42583</v>
      </c>
      <c r="C17" s="17" t="n">
        <f aca="false">IF(Rankings!C23&lt;=2,1,0)</f>
        <v>0</v>
      </c>
      <c r="D17" s="17" t="n">
        <f aca="false">IF(Rankings!D23&lt;=2,1,0)</f>
        <v>0</v>
      </c>
      <c r="E17" s="17" t="n">
        <f aca="false">IF(Rankings!E23&lt;=2,1,0)</f>
        <v>0</v>
      </c>
      <c r="F17" s="17" t="n">
        <f aca="false">IF(Rankings!F23&lt;=2,1,0)</f>
        <v>1</v>
      </c>
      <c r="G17" s="17" t="n">
        <f aca="false">IF(Rankings!G23&lt;=2,1,0)</f>
        <v>0</v>
      </c>
      <c r="H17" s="17" t="n">
        <f aca="false">IF(Rankings!H23&lt;=2,1,0)</f>
        <v>0</v>
      </c>
      <c r="I17" s="17" t="n">
        <f aca="false">IF(Rankings!I23&lt;=2,1,0)</f>
        <v>1</v>
      </c>
      <c r="J17" s="17" t="n">
        <f aca="false">IF(Rankings!J23&lt;=2,1,0)</f>
        <v>0</v>
      </c>
      <c r="K17" s="20" t="n">
        <f aca="false">SUM(C17:J17)</f>
        <v>2</v>
      </c>
      <c r="L17" s="16" t="n">
        <f aca="false">SUMPRODUCT(C17:J17,Returns!B21:I21)/K17</f>
        <v>0.042663683182296</v>
      </c>
      <c r="M17" s="16" t="n">
        <f aca="false">-2*Assumptions!$B$13</f>
        <v>-0.007</v>
      </c>
      <c r="N17" s="16" t="n">
        <f aca="false">-Assumptions!$B$16*MAX(0,(1+O5)*(1+O6)*(1+O7)*(1+O8)*(1+O9)*(1+O10)*(1+O11)*(1+O12)*(1+O13)*(1+O14)*(1+O15)*(1+O16)-1)</f>
        <v>-0.00254477831246989</v>
      </c>
      <c r="O17" s="16" t="n">
        <f aca="false">L17+M17+N17</f>
        <v>0.0331189048698261</v>
      </c>
      <c r="P17" s="21" t="n">
        <f aca="false">P16*(1+O17)</f>
        <v>1.05064596209193</v>
      </c>
      <c r="Q17" s="21" t="n">
        <f aca="false">MAX($P$5:P17)</f>
        <v>1.05064596209193</v>
      </c>
      <c r="R17" s="16" t="n">
        <f aca="false">P17/Q17-1</f>
        <v>0</v>
      </c>
      <c r="S17" s="16" t="n">
        <f aca="false">O17-Benchmark_RF!D17</f>
        <v>0.028362019941239</v>
      </c>
    </row>
    <row r="18" customFormat="false" ht="15" hidden="false" customHeight="true" outlineLevel="0" collapsed="false">
      <c r="A18" s="1" t="n">
        <v>21</v>
      </c>
      <c r="B18" s="13" t="n">
        <f aca="false">Returns!A22</f>
        <v>42614</v>
      </c>
      <c r="C18" s="17" t="n">
        <f aca="false">IF(Rankings!C23&lt;=2,1,0)</f>
        <v>0</v>
      </c>
      <c r="D18" s="17" t="n">
        <f aca="false">IF(Rankings!D23&lt;=2,1,0)</f>
        <v>0</v>
      </c>
      <c r="E18" s="17" t="n">
        <f aca="false">IF(Rankings!E23&lt;=2,1,0)</f>
        <v>0</v>
      </c>
      <c r="F18" s="17" t="n">
        <f aca="false">IF(Rankings!F23&lt;=2,1,0)</f>
        <v>1</v>
      </c>
      <c r="G18" s="17" t="n">
        <f aca="false">IF(Rankings!G23&lt;=2,1,0)</f>
        <v>0</v>
      </c>
      <c r="H18" s="17" t="n">
        <f aca="false">IF(Rankings!H23&lt;=2,1,0)</f>
        <v>0</v>
      </c>
      <c r="I18" s="17" t="n">
        <f aca="false">IF(Rankings!I23&lt;=2,1,0)</f>
        <v>1</v>
      </c>
      <c r="J18" s="17" t="n">
        <f aca="false">IF(Rankings!J23&lt;=2,1,0)</f>
        <v>0</v>
      </c>
      <c r="K18" s="20" t="n">
        <f aca="false">SUM(C18:J18)</f>
        <v>2</v>
      </c>
      <c r="L18" s="16" t="n">
        <f aca="false">SUMPRODUCT(C18:J18,Returns!B22:I22)/K18</f>
        <v>0.30210014775338</v>
      </c>
      <c r="M18" s="16" t="n">
        <v>0</v>
      </c>
      <c r="N18" s="16" t="n">
        <v>0</v>
      </c>
      <c r="O18" s="16" t="n">
        <f aca="false">L18+M18+N18</f>
        <v>0.30210014775338</v>
      </c>
      <c r="P18" s="21" t="n">
        <f aca="false">P17*(1+O18)</f>
        <v>1.36804626247639</v>
      </c>
      <c r="Q18" s="21" t="n">
        <f aca="false">MAX($P$5:P18)</f>
        <v>1.36804626247639</v>
      </c>
      <c r="R18" s="16" t="n">
        <f aca="false">P18/Q18-1</f>
        <v>0</v>
      </c>
      <c r="S18" s="16" t="n">
        <f aca="false">O18-Benchmark_RF!D18</f>
        <v>0.297343262824793</v>
      </c>
    </row>
    <row r="19" customFormat="false" ht="15" hidden="false" customHeight="true" outlineLevel="0" collapsed="false">
      <c r="A19" s="1" t="n">
        <v>22</v>
      </c>
      <c r="B19" s="13" t="n">
        <f aca="false">Returns!A23</f>
        <v>42644</v>
      </c>
      <c r="C19" s="17" t="n">
        <f aca="false">IF(Rankings!C23&lt;=2,1,0)</f>
        <v>0</v>
      </c>
      <c r="D19" s="17" t="n">
        <f aca="false">IF(Rankings!D23&lt;=2,1,0)</f>
        <v>0</v>
      </c>
      <c r="E19" s="17" t="n">
        <f aca="false">IF(Rankings!E23&lt;=2,1,0)</f>
        <v>0</v>
      </c>
      <c r="F19" s="17" t="n">
        <f aca="false">IF(Rankings!F23&lt;=2,1,0)</f>
        <v>1</v>
      </c>
      <c r="G19" s="17" t="n">
        <f aca="false">IF(Rankings!G23&lt;=2,1,0)</f>
        <v>0</v>
      </c>
      <c r="H19" s="17" t="n">
        <f aca="false">IF(Rankings!H23&lt;=2,1,0)</f>
        <v>0</v>
      </c>
      <c r="I19" s="17" t="n">
        <f aca="false">IF(Rankings!I23&lt;=2,1,0)</f>
        <v>1</v>
      </c>
      <c r="J19" s="17" t="n">
        <f aca="false">IF(Rankings!J23&lt;=2,1,0)</f>
        <v>0</v>
      </c>
      <c r="K19" s="20" t="n">
        <f aca="false">SUM(C19:J19)</f>
        <v>2</v>
      </c>
      <c r="L19" s="16" t="n">
        <f aca="false">SUMPRODUCT(C19:J19,Returns!B23:I23)/K19</f>
        <v>0.104222426675588</v>
      </c>
      <c r="M19" s="16" t="n">
        <v>0</v>
      </c>
      <c r="N19" s="16" t="n">
        <v>0</v>
      </c>
      <c r="O19" s="16" t="n">
        <f aca="false">L19+M19+N19</f>
        <v>0.104222426675588</v>
      </c>
      <c r="P19" s="21" t="n">
        <f aca="false">P18*(1+O19)</f>
        <v>1.51062736375615</v>
      </c>
      <c r="Q19" s="21" t="n">
        <f aca="false">MAX($P$5:P19)</f>
        <v>1.51062736375615</v>
      </c>
      <c r="R19" s="16" t="n">
        <f aca="false">P19/Q19-1</f>
        <v>0</v>
      </c>
      <c r="S19" s="16" t="n">
        <f aca="false">O19-Benchmark_RF!D19</f>
        <v>0.0994497241594458</v>
      </c>
    </row>
    <row r="20" customFormat="false" ht="15" hidden="false" customHeight="true" outlineLevel="0" collapsed="false">
      <c r="A20" s="1" t="n">
        <v>23</v>
      </c>
      <c r="B20" s="13" t="n">
        <f aca="false">Returns!A24</f>
        <v>42675</v>
      </c>
      <c r="C20" s="17" t="n">
        <f aca="false">IF(Rankings!C23&lt;=2,1,0)</f>
        <v>0</v>
      </c>
      <c r="D20" s="17" t="n">
        <f aca="false">IF(Rankings!D23&lt;=2,1,0)</f>
        <v>0</v>
      </c>
      <c r="E20" s="17" t="n">
        <f aca="false">IF(Rankings!E23&lt;=2,1,0)</f>
        <v>0</v>
      </c>
      <c r="F20" s="17" t="n">
        <f aca="false">IF(Rankings!F23&lt;=2,1,0)</f>
        <v>1</v>
      </c>
      <c r="G20" s="17" t="n">
        <f aca="false">IF(Rankings!G23&lt;=2,1,0)</f>
        <v>0</v>
      </c>
      <c r="H20" s="17" t="n">
        <f aca="false">IF(Rankings!H23&lt;=2,1,0)</f>
        <v>0</v>
      </c>
      <c r="I20" s="17" t="n">
        <f aca="false">IF(Rankings!I23&lt;=2,1,0)</f>
        <v>1</v>
      </c>
      <c r="J20" s="17" t="n">
        <f aca="false">IF(Rankings!J23&lt;=2,1,0)</f>
        <v>0</v>
      </c>
      <c r="K20" s="20" t="n">
        <f aca="false">SUM(C20:J20)</f>
        <v>2</v>
      </c>
      <c r="L20" s="16" t="n">
        <f aca="false">SUMPRODUCT(C20:J20,Returns!B24:I24)/K20</f>
        <v>0.222006227603243</v>
      </c>
      <c r="M20" s="16" t="n">
        <v>0</v>
      </c>
      <c r="N20" s="16" t="n">
        <v>0</v>
      </c>
      <c r="O20" s="16" t="n">
        <f aca="false">L20+M20+N20</f>
        <v>0.222006227603243</v>
      </c>
      <c r="P20" s="21" t="n">
        <f aca="false">P19*(1+O20)</f>
        <v>1.84599604609788</v>
      </c>
      <c r="Q20" s="21" t="n">
        <f aca="false">MAX($P$5:P20)</f>
        <v>1.84599604609788</v>
      </c>
      <c r="R20" s="16" t="n">
        <f aca="false">P20/Q20-1</f>
        <v>0</v>
      </c>
      <c r="S20" s="16" t="n">
        <f aca="false">O20-Benchmark_RF!D20</f>
        <v>0.217178185090705</v>
      </c>
    </row>
    <row r="21" customFormat="false" ht="15" hidden="false" customHeight="true" outlineLevel="0" collapsed="false">
      <c r="A21" s="1" t="n">
        <v>24</v>
      </c>
      <c r="B21" s="13" t="n">
        <f aca="false">Returns!A25</f>
        <v>42705</v>
      </c>
      <c r="C21" s="17" t="n">
        <f aca="false">IF(Rankings!C23&lt;=2,1,0)</f>
        <v>0</v>
      </c>
      <c r="D21" s="17" t="n">
        <f aca="false">IF(Rankings!D23&lt;=2,1,0)</f>
        <v>0</v>
      </c>
      <c r="E21" s="17" t="n">
        <f aca="false">IF(Rankings!E23&lt;=2,1,0)</f>
        <v>0</v>
      </c>
      <c r="F21" s="17" t="n">
        <f aca="false">IF(Rankings!F23&lt;=2,1,0)</f>
        <v>1</v>
      </c>
      <c r="G21" s="17" t="n">
        <f aca="false">IF(Rankings!G23&lt;=2,1,0)</f>
        <v>0</v>
      </c>
      <c r="H21" s="17" t="n">
        <f aca="false">IF(Rankings!H23&lt;=2,1,0)</f>
        <v>0</v>
      </c>
      <c r="I21" s="17" t="n">
        <f aca="false">IF(Rankings!I23&lt;=2,1,0)</f>
        <v>1</v>
      </c>
      <c r="J21" s="17" t="n">
        <f aca="false">IF(Rankings!J23&lt;=2,1,0)</f>
        <v>0</v>
      </c>
      <c r="K21" s="20" t="n">
        <f aca="false">SUM(C21:J21)</f>
        <v>2</v>
      </c>
      <c r="L21" s="16" t="n">
        <f aca="false">SUMPRODUCT(C21:J21,Returns!B25:I25)/K21</f>
        <v>0.00855345274640124</v>
      </c>
      <c r="M21" s="16" t="n">
        <v>0</v>
      </c>
      <c r="N21" s="16" t="n">
        <v>0</v>
      </c>
      <c r="O21" s="16" t="n">
        <f aca="false">L21+M21+N21</f>
        <v>0.00855345274640124</v>
      </c>
      <c r="P21" s="21" t="n">
        <f aca="false">P20*(1+O21)</f>
        <v>1.86178568604823</v>
      </c>
      <c r="Q21" s="21" t="n">
        <f aca="false">MAX($P$5:P21)</f>
        <v>1.86178568604823</v>
      </c>
      <c r="R21" s="16" t="n">
        <f aca="false">P21/Q21-1</f>
        <v>0</v>
      </c>
      <c r="S21" s="16" t="n">
        <f aca="false">O21-Benchmark_RF!D21</f>
        <v>0.00371363504676164</v>
      </c>
    </row>
    <row r="22" customFormat="false" ht="15" hidden="false" customHeight="true" outlineLevel="0" collapsed="false">
      <c r="A22" s="1" t="n">
        <v>25</v>
      </c>
      <c r="B22" s="13" t="n">
        <f aca="false">Returns!A26</f>
        <v>42736</v>
      </c>
      <c r="C22" s="17" t="n">
        <f aca="false">IF(Rankings!C23&lt;=2,1,0)</f>
        <v>0</v>
      </c>
      <c r="D22" s="17" t="n">
        <f aca="false">IF(Rankings!D23&lt;=2,1,0)</f>
        <v>0</v>
      </c>
      <c r="E22" s="17" t="n">
        <f aca="false">IF(Rankings!E23&lt;=2,1,0)</f>
        <v>0</v>
      </c>
      <c r="F22" s="17" t="n">
        <f aca="false">IF(Rankings!F23&lt;=2,1,0)</f>
        <v>1</v>
      </c>
      <c r="G22" s="17" t="n">
        <f aca="false">IF(Rankings!G23&lt;=2,1,0)</f>
        <v>0</v>
      </c>
      <c r="H22" s="17" t="n">
        <f aca="false">IF(Rankings!H23&lt;=2,1,0)</f>
        <v>0</v>
      </c>
      <c r="I22" s="17" t="n">
        <f aca="false">IF(Rankings!I23&lt;=2,1,0)</f>
        <v>1</v>
      </c>
      <c r="J22" s="17" t="n">
        <f aca="false">IF(Rankings!J23&lt;=2,1,0)</f>
        <v>0</v>
      </c>
      <c r="K22" s="20" t="n">
        <f aca="false">SUM(C22:J22)</f>
        <v>2</v>
      </c>
      <c r="L22" s="16" t="n">
        <f aca="false">SUMPRODUCT(C22:J22,Returns!B26:I26)/K22</f>
        <v>-0.0048449545147809</v>
      </c>
      <c r="M22" s="16" t="n">
        <v>0</v>
      </c>
      <c r="N22" s="16" t="n">
        <v>0</v>
      </c>
      <c r="O22" s="16" t="n">
        <f aca="false">L22+M22+N22</f>
        <v>-0.0048449545147809</v>
      </c>
      <c r="P22" s="21" t="n">
        <f aca="false">P21*(1+O22)</f>
        <v>1.85276541908305</v>
      </c>
      <c r="Q22" s="21" t="n">
        <f aca="false">MAX($P$5:P22)</f>
        <v>1.86178568604823</v>
      </c>
      <c r="R22" s="16" t="n">
        <f aca="false">P22/Q22-1</f>
        <v>-0.00484495451478084</v>
      </c>
      <c r="S22" s="16" t="n">
        <f aca="false">O22-Benchmark_RF!D22</f>
        <v>-0.00961931771872587</v>
      </c>
    </row>
    <row r="23" customFormat="false" ht="15" hidden="false" customHeight="true" outlineLevel="0" collapsed="false">
      <c r="A23" s="1" t="n">
        <v>26</v>
      </c>
      <c r="B23" s="13" t="n">
        <f aca="false">Returns!A27</f>
        <v>42767</v>
      </c>
      <c r="C23" s="17" t="n">
        <f aca="false">IF(Rankings!C23&lt;=2,1,0)</f>
        <v>0</v>
      </c>
      <c r="D23" s="17" t="n">
        <f aca="false">IF(Rankings!D23&lt;=2,1,0)</f>
        <v>0</v>
      </c>
      <c r="E23" s="17" t="n">
        <f aca="false">IF(Rankings!E23&lt;=2,1,0)</f>
        <v>0</v>
      </c>
      <c r="F23" s="17" t="n">
        <f aca="false">IF(Rankings!F23&lt;=2,1,0)</f>
        <v>1</v>
      </c>
      <c r="G23" s="17" t="n">
        <f aca="false">IF(Rankings!G23&lt;=2,1,0)</f>
        <v>0</v>
      </c>
      <c r="H23" s="17" t="n">
        <f aca="false">IF(Rankings!H23&lt;=2,1,0)</f>
        <v>0</v>
      </c>
      <c r="I23" s="17" t="n">
        <f aca="false">IF(Rankings!I23&lt;=2,1,0)</f>
        <v>1</v>
      </c>
      <c r="J23" s="17" t="n">
        <f aca="false">IF(Rankings!J23&lt;=2,1,0)</f>
        <v>0</v>
      </c>
      <c r="K23" s="20" t="n">
        <f aca="false">SUM(C23:J23)</f>
        <v>2</v>
      </c>
      <c r="L23" s="16" t="n">
        <f aca="false">SUMPRODUCT(C23:J23,Returns!B27:I27)/K23</f>
        <v>-0.0468171949006897</v>
      </c>
      <c r="M23" s="16" t="n">
        <v>0</v>
      </c>
      <c r="N23" s="16" t="n">
        <v>0</v>
      </c>
      <c r="O23" s="16" t="n">
        <f aca="false">L23+M23+N23</f>
        <v>-0.0468171949006897</v>
      </c>
      <c r="P23" s="21" t="n">
        <f aca="false">P22*(1+O23)</f>
        <v>1.76602413935258</v>
      </c>
      <c r="Q23" s="21" t="n">
        <f aca="false">MAX($P$5:P23)</f>
        <v>1.86178568604823</v>
      </c>
      <c r="R23" s="16" t="n">
        <f aca="false">P23/Q23-1</f>
        <v>-0.0514353222356672</v>
      </c>
      <c r="S23" s="16" t="n">
        <f aca="false">O23-Benchmark_RF!D23</f>
        <v>-0.0516386774224924</v>
      </c>
    </row>
    <row r="24" customFormat="false" ht="15" hidden="false" customHeight="true" outlineLevel="0" collapsed="false">
      <c r="A24" s="1" t="n">
        <v>27</v>
      </c>
      <c r="B24" s="13" t="n">
        <f aca="false">Returns!A28</f>
        <v>42795</v>
      </c>
      <c r="C24" s="17" t="n">
        <f aca="false">IF(Rankings!C23&lt;=2,1,0)</f>
        <v>0</v>
      </c>
      <c r="D24" s="17" t="n">
        <f aca="false">IF(Rankings!D23&lt;=2,1,0)</f>
        <v>0</v>
      </c>
      <c r="E24" s="17" t="n">
        <f aca="false">IF(Rankings!E23&lt;=2,1,0)</f>
        <v>0</v>
      </c>
      <c r="F24" s="17" t="n">
        <f aca="false">IF(Rankings!F23&lt;=2,1,0)</f>
        <v>1</v>
      </c>
      <c r="G24" s="17" t="n">
        <f aca="false">IF(Rankings!G23&lt;=2,1,0)</f>
        <v>0</v>
      </c>
      <c r="H24" s="17" t="n">
        <f aca="false">IF(Rankings!H23&lt;=2,1,0)</f>
        <v>0</v>
      </c>
      <c r="I24" s="17" t="n">
        <f aca="false">IF(Rankings!I23&lt;=2,1,0)</f>
        <v>1</v>
      </c>
      <c r="J24" s="17" t="n">
        <f aca="false">IF(Rankings!J23&lt;=2,1,0)</f>
        <v>0</v>
      </c>
      <c r="K24" s="20" t="n">
        <f aca="false">SUM(C24:J24)</f>
        <v>2</v>
      </c>
      <c r="L24" s="16" t="n">
        <f aca="false">SUMPRODUCT(C24:J24,Returns!B28:I28)/K24</f>
        <v>0.0159486582738342</v>
      </c>
      <c r="M24" s="16" t="n">
        <v>0</v>
      </c>
      <c r="N24" s="16" t="n">
        <v>0</v>
      </c>
      <c r="O24" s="16" t="n">
        <f aca="false">L24+M24+N24</f>
        <v>0.0159486582738342</v>
      </c>
      <c r="P24" s="21" t="n">
        <f aca="false">P23*(1+O24)</f>
        <v>1.79418985485446</v>
      </c>
      <c r="Q24" s="21" t="n">
        <f aca="false">MAX($P$5:P24)</f>
        <v>1.86178568604823</v>
      </c>
      <c r="R24" s="16" t="n">
        <f aca="false">P24/Q24-1</f>
        <v>-0.0363069883393742</v>
      </c>
      <c r="S24" s="16" t="n">
        <f aca="false">O24-Benchmark_RF!D24</f>
        <v>0.0111033881493625</v>
      </c>
    </row>
    <row r="25" customFormat="false" ht="15" hidden="false" customHeight="true" outlineLevel="0" collapsed="false">
      <c r="A25" s="1" t="n">
        <v>28</v>
      </c>
      <c r="B25" s="13" t="n">
        <f aca="false">Returns!A29</f>
        <v>42826</v>
      </c>
      <c r="C25" s="17" t="n">
        <f aca="false">IF(Rankings!C23&lt;=2,1,0)</f>
        <v>0</v>
      </c>
      <c r="D25" s="17" t="n">
        <f aca="false">IF(Rankings!D23&lt;=2,1,0)</f>
        <v>0</v>
      </c>
      <c r="E25" s="17" t="n">
        <f aca="false">IF(Rankings!E23&lt;=2,1,0)</f>
        <v>0</v>
      </c>
      <c r="F25" s="17" t="n">
        <f aca="false">IF(Rankings!F23&lt;=2,1,0)</f>
        <v>1</v>
      </c>
      <c r="G25" s="17" t="n">
        <f aca="false">IF(Rankings!G23&lt;=2,1,0)</f>
        <v>0</v>
      </c>
      <c r="H25" s="17" t="n">
        <f aca="false">IF(Rankings!H23&lt;=2,1,0)</f>
        <v>0</v>
      </c>
      <c r="I25" s="17" t="n">
        <f aca="false">IF(Rankings!I23&lt;=2,1,0)</f>
        <v>1</v>
      </c>
      <c r="J25" s="17" t="n">
        <f aca="false">IF(Rankings!J23&lt;=2,1,0)</f>
        <v>0</v>
      </c>
      <c r="K25" s="20" t="n">
        <f aca="false">SUM(C25:J25)</f>
        <v>2</v>
      </c>
      <c r="L25" s="16" t="n">
        <f aca="false">SUMPRODUCT(C25:J25,Returns!B29:I29)/K25</f>
        <v>0.115233053713976</v>
      </c>
      <c r="M25" s="16" t="n">
        <v>0</v>
      </c>
      <c r="N25" s="16" t="n">
        <v>0</v>
      </c>
      <c r="O25" s="16" t="n">
        <f aca="false">L25+M25+N25</f>
        <v>0.115233053713976</v>
      </c>
      <c r="P25" s="21" t="n">
        <f aca="false">P24*(1+O25)</f>
        <v>2.00093983077198</v>
      </c>
      <c r="Q25" s="21" t="n">
        <f aca="false">MAX($P$5:P25)</f>
        <v>2.00093983077198</v>
      </c>
      <c r="R25" s="16" t="n">
        <f aca="false">P25/Q25-1</f>
        <v>0</v>
      </c>
      <c r="S25" s="16" t="n">
        <f aca="false">O25-Benchmark_RF!D25</f>
        <v>0.110377274761221</v>
      </c>
    </row>
    <row r="26" customFormat="false" ht="15" hidden="false" customHeight="true" outlineLevel="0" collapsed="false">
      <c r="A26" s="1" t="n">
        <v>29</v>
      </c>
      <c r="B26" s="13" t="n">
        <f aca="false">Returns!A30</f>
        <v>42856</v>
      </c>
      <c r="C26" s="17" t="n">
        <f aca="false">IF(Rankings!C23&lt;=2,1,0)</f>
        <v>0</v>
      </c>
      <c r="D26" s="17" t="n">
        <f aca="false">IF(Rankings!D23&lt;=2,1,0)</f>
        <v>0</v>
      </c>
      <c r="E26" s="17" t="n">
        <f aca="false">IF(Rankings!E23&lt;=2,1,0)</f>
        <v>0</v>
      </c>
      <c r="F26" s="17" t="n">
        <f aca="false">IF(Rankings!F23&lt;=2,1,0)</f>
        <v>1</v>
      </c>
      <c r="G26" s="17" t="n">
        <f aca="false">IF(Rankings!G23&lt;=2,1,0)</f>
        <v>0</v>
      </c>
      <c r="H26" s="17" t="n">
        <f aca="false">IF(Rankings!H23&lt;=2,1,0)</f>
        <v>0</v>
      </c>
      <c r="I26" s="17" t="n">
        <f aca="false">IF(Rankings!I23&lt;=2,1,0)</f>
        <v>1</v>
      </c>
      <c r="J26" s="17" t="n">
        <f aca="false">IF(Rankings!J23&lt;=2,1,0)</f>
        <v>0</v>
      </c>
      <c r="K26" s="20" t="n">
        <f aca="false">SUM(C26:J26)</f>
        <v>2</v>
      </c>
      <c r="L26" s="16" t="n">
        <f aca="false">SUMPRODUCT(C26:J26,Returns!B30:I30)/K26</f>
        <v>0.371085684670395</v>
      </c>
      <c r="M26" s="16" t="n">
        <v>0</v>
      </c>
      <c r="N26" s="16" t="n">
        <v>0</v>
      </c>
      <c r="O26" s="16" t="n">
        <f aca="false">L26+M26+N26</f>
        <v>0.371085684670395</v>
      </c>
      <c r="P26" s="21" t="n">
        <f aca="false">P25*(1+O26)</f>
        <v>2.74345995785826</v>
      </c>
      <c r="Q26" s="21" t="n">
        <f aca="false">MAX($P$5:P26)</f>
        <v>2.74345995785826</v>
      </c>
      <c r="R26" s="16" t="n">
        <f aca="false">P26/Q26-1</f>
        <v>0</v>
      </c>
      <c r="S26" s="16" t="n">
        <f aca="false">O26-Benchmark_RF!D26</f>
        <v>0.36622990571764</v>
      </c>
    </row>
    <row r="27" customFormat="false" ht="15" hidden="false" customHeight="true" outlineLevel="0" collapsed="false">
      <c r="A27" s="1" t="n">
        <v>30</v>
      </c>
      <c r="B27" s="13" t="n">
        <f aca="false">Returns!A31</f>
        <v>42887</v>
      </c>
      <c r="C27" s="17" t="n">
        <f aca="false">IF(Rankings!C23&lt;=2,1,0)</f>
        <v>0</v>
      </c>
      <c r="D27" s="17" t="n">
        <f aca="false">IF(Rankings!D23&lt;=2,1,0)</f>
        <v>0</v>
      </c>
      <c r="E27" s="17" t="n">
        <f aca="false">IF(Rankings!E23&lt;=2,1,0)</f>
        <v>0</v>
      </c>
      <c r="F27" s="17" t="n">
        <f aca="false">IF(Rankings!F23&lt;=2,1,0)</f>
        <v>1</v>
      </c>
      <c r="G27" s="17" t="n">
        <f aca="false">IF(Rankings!G23&lt;=2,1,0)</f>
        <v>0</v>
      </c>
      <c r="H27" s="17" t="n">
        <f aca="false">IF(Rankings!H23&lt;=2,1,0)</f>
        <v>0</v>
      </c>
      <c r="I27" s="17" t="n">
        <f aca="false">IF(Rankings!I23&lt;=2,1,0)</f>
        <v>1</v>
      </c>
      <c r="J27" s="17" t="n">
        <f aca="false">IF(Rankings!J23&lt;=2,1,0)</f>
        <v>0</v>
      </c>
      <c r="K27" s="20" t="n">
        <f aca="false">SUM(C27:J27)</f>
        <v>2</v>
      </c>
      <c r="L27" s="16" t="n">
        <f aca="false">SUMPRODUCT(C27:J27,Returns!B31:I31)/K27</f>
        <v>0.148384630368083</v>
      </c>
      <c r="M27" s="16" t="n">
        <v>0</v>
      </c>
      <c r="N27" s="16" t="n">
        <v>0</v>
      </c>
      <c r="O27" s="16" t="n">
        <f aca="false">L27+M27+N27</f>
        <v>0.148384630368083</v>
      </c>
      <c r="P27" s="21" t="n">
        <f aca="false">P26*(1+O27)</f>
        <v>3.15054724963469</v>
      </c>
      <c r="Q27" s="21" t="n">
        <f aca="false">MAX($P$5:P27)</f>
        <v>3.15054724963469</v>
      </c>
      <c r="R27" s="16" t="n">
        <f aca="false">P27/Q27-1</f>
        <v>0</v>
      </c>
      <c r="S27" s="16" t="n">
        <f aca="false">O27-Benchmark_RF!D27</f>
        <v>0.143524189991352</v>
      </c>
    </row>
    <row r="28" customFormat="false" ht="15" hidden="false" customHeight="true" outlineLevel="0" collapsed="false">
      <c r="A28" s="1" t="n">
        <v>31</v>
      </c>
      <c r="B28" s="13" t="n">
        <f aca="false">Returns!A32</f>
        <v>42917</v>
      </c>
      <c r="C28" s="17" t="n">
        <f aca="false">IF(Rankings!C23&lt;=2,1,0)</f>
        <v>0</v>
      </c>
      <c r="D28" s="17" t="n">
        <f aca="false">IF(Rankings!D23&lt;=2,1,0)</f>
        <v>0</v>
      </c>
      <c r="E28" s="17" t="n">
        <f aca="false">IF(Rankings!E23&lt;=2,1,0)</f>
        <v>0</v>
      </c>
      <c r="F28" s="17" t="n">
        <f aca="false">IF(Rankings!F23&lt;=2,1,0)</f>
        <v>1</v>
      </c>
      <c r="G28" s="17" t="n">
        <f aca="false">IF(Rankings!G23&lt;=2,1,0)</f>
        <v>0</v>
      </c>
      <c r="H28" s="17" t="n">
        <f aca="false">IF(Rankings!H23&lt;=2,1,0)</f>
        <v>0</v>
      </c>
      <c r="I28" s="17" t="n">
        <f aca="false">IF(Rankings!I23&lt;=2,1,0)</f>
        <v>1</v>
      </c>
      <c r="J28" s="17" t="n">
        <f aca="false">IF(Rankings!J23&lt;=2,1,0)</f>
        <v>0</v>
      </c>
      <c r="K28" s="20" t="n">
        <f aca="false">SUM(C28:J28)</f>
        <v>2</v>
      </c>
      <c r="L28" s="16" t="n">
        <f aca="false">SUMPRODUCT(C28:J28,Returns!B32:I32)/K28</f>
        <v>-0.0976753564897192</v>
      </c>
      <c r="M28" s="16" t="n">
        <v>0</v>
      </c>
      <c r="N28" s="16" t="n">
        <v>0</v>
      </c>
      <c r="O28" s="16" t="n">
        <f aca="false">L28+M28+N28</f>
        <v>-0.0976753564897192</v>
      </c>
      <c r="P28" s="21" t="n">
        <f aca="false">P27*(1+O28)</f>
        <v>2.84281642388892</v>
      </c>
      <c r="Q28" s="21" t="n">
        <f aca="false">MAX($P$5:P28)</f>
        <v>3.15054724963469</v>
      </c>
      <c r="R28" s="16" t="n">
        <f aca="false">P28/Q28-1</f>
        <v>-0.0976753564897194</v>
      </c>
      <c r="S28" s="16" t="n">
        <f aca="false">O28-Benchmark_RF!D28</f>
        <v>-0.102535717861246</v>
      </c>
    </row>
    <row r="29" customFormat="false" ht="15" hidden="false" customHeight="true" outlineLevel="0" collapsed="false">
      <c r="A29" s="1" t="n">
        <v>32</v>
      </c>
      <c r="B29" s="13" t="n">
        <f aca="false">Returns!A33</f>
        <v>42948</v>
      </c>
      <c r="C29" s="17" t="n">
        <f aca="false">IF(Rankings!C35&lt;=2,1,0)</f>
        <v>0</v>
      </c>
      <c r="D29" s="17" t="n">
        <f aca="false">IF(Rankings!D35&lt;=2,1,0)</f>
        <v>0</v>
      </c>
      <c r="E29" s="17" t="n">
        <f aca="false">IF(Rankings!E35&lt;=2,1,0)</f>
        <v>0</v>
      </c>
      <c r="F29" s="17" t="n">
        <f aca="false">IF(Rankings!F35&lt;=2,1,0)</f>
        <v>0</v>
      </c>
      <c r="G29" s="17" t="n">
        <f aca="false">IF(Rankings!G35&lt;=2,1,0)</f>
        <v>0</v>
      </c>
      <c r="H29" s="17" t="n">
        <f aca="false">IF(Rankings!H35&lt;=2,1,0)</f>
        <v>1</v>
      </c>
      <c r="I29" s="17" t="n">
        <f aca="false">IF(Rankings!I35&lt;=2,1,0)</f>
        <v>1</v>
      </c>
      <c r="J29" s="17" t="n">
        <f aca="false">IF(Rankings!J35&lt;=2,1,0)</f>
        <v>0</v>
      </c>
      <c r="K29" s="20" t="n">
        <f aca="false">SUM(C29:J29)</f>
        <v>2</v>
      </c>
      <c r="L29" s="16" t="n">
        <f aca="false">SUMPRODUCT(C29:J29,Returns!B33:I33)/K29</f>
        <v>-0.213194828142044</v>
      </c>
      <c r="M29" s="16" t="n">
        <f aca="false">-2*Assumptions!$B$13</f>
        <v>-0.007</v>
      </c>
      <c r="N29" s="16" t="n">
        <f aca="false">-Assumptions!$B$16*MAX(0,(1+O17)*(1+O18)*(1+O19)*(1+O20)*(1+O21)*(1+O22)*(1+O23)*(1+O24)*(1+O25)*(1+O26)*(1+O27)*(1+O28)-1)</f>
        <v>-0.269308810469273</v>
      </c>
      <c r="O29" s="16" t="n">
        <f aca="false">L29+M29+N29</f>
        <v>-0.489503638611317</v>
      </c>
      <c r="P29" s="21" t="n">
        <f aca="false">P28*(1+O29)</f>
        <v>1.45124744049128</v>
      </c>
      <c r="Q29" s="21" t="n">
        <f aca="false">MAX($P$5:P29)</f>
        <v>3.15054724963469</v>
      </c>
      <c r="R29" s="16" t="n">
        <f aca="false">P29/Q29-1</f>
        <v>-0.539366552696661</v>
      </c>
      <c r="S29" s="16" t="n">
        <f aca="false">O29-Benchmark_RF!D29</f>
        <v>-0.494363446944499</v>
      </c>
    </row>
    <row r="30" customFormat="false" ht="15" hidden="false" customHeight="true" outlineLevel="0" collapsed="false">
      <c r="A30" s="1" t="n">
        <v>33</v>
      </c>
      <c r="B30" s="13" t="n">
        <f aca="false">Returns!A34</f>
        <v>42979</v>
      </c>
      <c r="C30" s="17" t="n">
        <f aca="false">IF(Rankings!C35&lt;=2,1,0)</f>
        <v>0</v>
      </c>
      <c r="D30" s="17" t="n">
        <f aca="false">IF(Rankings!D35&lt;=2,1,0)</f>
        <v>0</v>
      </c>
      <c r="E30" s="17" t="n">
        <f aca="false">IF(Rankings!E35&lt;=2,1,0)</f>
        <v>0</v>
      </c>
      <c r="F30" s="17" t="n">
        <f aca="false">IF(Rankings!F35&lt;=2,1,0)</f>
        <v>0</v>
      </c>
      <c r="G30" s="17" t="n">
        <f aca="false">IF(Rankings!G35&lt;=2,1,0)</f>
        <v>0</v>
      </c>
      <c r="H30" s="17" t="n">
        <f aca="false">IF(Rankings!H35&lt;=2,1,0)</f>
        <v>1</v>
      </c>
      <c r="I30" s="17" t="n">
        <f aca="false">IF(Rankings!I35&lt;=2,1,0)</f>
        <v>1</v>
      </c>
      <c r="J30" s="17" t="n">
        <f aca="false">IF(Rankings!J35&lt;=2,1,0)</f>
        <v>0</v>
      </c>
      <c r="K30" s="20" t="n">
        <f aca="false">SUM(C30:J30)</f>
        <v>2</v>
      </c>
      <c r="L30" s="16" t="n">
        <f aca="false">SUMPRODUCT(C30:J30,Returns!B34:I34)/K30</f>
        <v>0.102652780065308</v>
      </c>
      <c r="M30" s="16" t="n">
        <v>0</v>
      </c>
      <c r="N30" s="16" t="n">
        <v>0</v>
      </c>
      <c r="O30" s="16" t="n">
        <f aca="false">L30+M30+N30</f>
        <v>0.102652780065308</v>
      </c>
      <c r="P30" s="21" t="n">
        <f aca="false">P29*(1+O30)</f>
        <v>1.60022202482037</v>
      </c>
      <c r="Q30" s="21" t="n">
        <f aca="false">MAX($P$5:P30)</f>
        <v>3.15054724963469</v>
      </c>
      <c r="R30" s="16" t="n">
        <f aca="false">P30/Q30-1</f>
        <v>-0.492081248739907</v>
      </c>
      <c r="S30" s="16" t="n">
        <f aca="false">O30-Benchmark_RF!D30</f>
        <v>0.0977923396885769</v>
      </c>
    </row>
    <row r="31" customFormat="false" ht="15" hidden="false" customHeight="true" outlineLevel="0" collapsed="false">
      <c r="A31" s="1" t="n">
        <v>34</v>
      </c>
      <c r="B31" s="13" t="n">
        <f aca="false">Returns!A35</f>
        <v>43009</v>
      </c>
      <c r="C31" s="17" t="n">
        <f aca="false">IF(Rankings!C35&lt;=2,1,0)</f>
        <v>0</v>
      </c>
      <c r="D31" s="17" t="n">
        <f aca="false">IF(Rankings!D35&lt;=2,1,0)</f>
        <v>0</v>
      </c>
      <c r="E31" s="17" t="n">
        <f aca="false">IF(Rankings!E35&lt;=2,1,0)</f>
        <v>0</v>
      </c>
      <c r="F31" s="17" t="n">
        <f aca="false">IF(Rankings!F35&lt;=2,1,0)</f>
        <v>0</v>
      </c>
      <c r="G31" s="17" t="n">
        <f aca="false">IF(Rankings!G35&lt;=2,1,0)</f>
        <v>0</v>
      </c>
      <c r="H31" s="17" t="n">
        <f aca="false">IF(Rankings!H35&lt;=2,1,0)</f>
        <v>1</v>
      </c>
      <c r="I31" s="17" t="n">
        <f aca="false">IF(Rankings!I35&lt;=2,1,0)</f>
        <v>1</v>
      </c>
      <c r="J31" s="17" t="n">
        <f aca="false">IF(Rankings!J35&lt;=2,1,0)</f>
        <v>0</v>
      </c>
      <c r="K31" s="20" t="n">
        <f aca="false">SUM(C31:J31)</f>
        <v>2</v>
      </c>
      <c r="L31" s="16" t="n">
        <f aca="false">SUMPRODUCT(C31:J31,Returns!B35:I35)/K31</f>
        <v>-0.0456513939735423</v>
      </c>
      <c r="M31" s="16" t="n">
        <v>0</v>
      </c>
      <c r="N31" s="16" t="n">
        <v>0</v>
      </c>
      <c r="O31" s="16" t="n">
        <f aca="false">L31+M31+N31</f>
        <v>-0.0456513939735423</v>
      </c>
      <c r="P31" s="21" t="n">
        <f aca="false">P30*(1+O31)</f>
        <v>1.52716965872016</v>
      </c>
      <c r="Q31" s="21" t="n">
        <f aca="false">MAX($P$5:P31)</f>
        <v>3.15054724963469</v>
      </c>
      <c r="R31" s="16" t="n">
        <f aca="false">P31/Q31-1</f>
        <v>-0.515268447760231</v>
      </c>
      <c r="S31" s="16" t="n">
        <f aca="false">O31-Benchmark_RF!D31</f>
        <v>-0.0505118343502731</v>
      </c>
    </row>
    <row r="32" customFormat="false" ht="15" hidden="false" customHeight="true" outlineLevel="0" collapsed="false">
      <c r="A32" s="1" t="n">
        <v>35</v>
      </c>
      <c r="B32" s="13" t="n">
        <f aca="false">Returns!A36</f>
        <v>43040</v>
      </c>
      <c r="C32" s="17" t="n">
        <f aca="false">IF(Rankings!C35&lt;=2,1,0)</f>
        <v>0</v>
      </c>
      <c r="D32" s="17" t="n">
        <f aca="false">IF(Rankings!D35&lt;=2,1,0)</f>
        <v>0</v>
      </c>
      <c r="E32" s="17" t="n">
        <f aca="false">IF(Rankings!E35&lt;=2,1,0)</f>
        <v>0</v>
      </c>
      <c r="F32" s="17" t="n">
        <f aca="false">IF(Rankings!F35&lt;=2,1,0)</f>
        <v>0</v>
      </c>
      <c r="G32" s="17" t="n">
        <f aca="false">IF(Rankings!G35&lt;=2,1,0)</f>
        <v>0</v>
      </c>
      <c r="H32" s="17" t="n">
        <f aca="false">IF(Rankings!H35&lt;=2,1,0)</f>
        <v>1</v>
      </c>
      <c r="I32" s="17" t="n">
        <f aca="false">IF(Rankings!I35&lt;=2,1,0)</f>
        <v>1</v>
      </c>
      <c r="J32" s="17" t="n">
        <f aca="false">IF(Rankings!J35&lt;=2,1,0)</f>
        <v>0</v>
      </c>
      <c r="K32" s="20" t="n">
        <f aca="false">SUM(C32:J32)</f>
        <v>2</v>
      </c>
      <c r="L32" s="16" t="n">
        <f aca="false">SUMPRODUCT(C32:J32,Returns!B36:I36)/K32</f>
        <v>0.255273417690657</v>
      </c>
      <c r="M32" s="16" t="n">
        <v>0</v>
      </c>
      <c r="N32" s="16" t="n">
        <v>0</v>
      </c>
      <c r="O32" s="16" t="n">
        <f aca="false">L32+M32+N32</f>
        <v>0.255273417690657</v>
      </c>
      <c r="P32" s="21" t="n">
        <f aca="false">P31*(1+O32)</f>
        <v>1.91701547689513</v>
      </c>
      <c r="Q32" s="21" t="n">
        <f aca="false">MAX($P$5:P32)</f>
        <v>3.15054724963469</v>
      </c>
      <c r="R32" s="16" t="n">
        <f aca="false">P32/Q32-1</f>
        <v>-0.391529367757488</v>
      </c>
      <c r="S32" s="16" t="n">
        <f aca="false">O32-Benchmark_RF!D32</f>
        <v>0.250413056319131</v>
      </c>
    </row>
    <row r="33" customFormat="false" ht="15" hidden="false" customHeight="true" outlineLevel="0" collapsed="false">
      <c r="A33" s="1" t="n">
        <v>36</v>
      </c>
      <c r="B33" s="13" t="n">
        <f aca="false">Returns!A37</f>
        <v>43070</v>
      </c>
      <c r="C33" s="17" t="n">
        <f aca="false">IF(Rankings!C35&lt;=2,1,0)</f>
        <v>0</v>
      </c>
      <c r="D33" s="17" t="n">
        <f aca="false">IF(Rankings!D35&lt;=2,1,0)</f>
        <v>0</v>
      </c>
      <c r="E33" s="17" t="n">
        <f aca="false">IF(Rankings!E35&lt;=2,1,0)</f>
        <v>0</v>
      </c>
      <c r="F33" s="17" t="n">
        <f aca="false">IF(Rankings!F35&lt;=2,1,0)</f>
        <v>0</v>
      </c>
      <c r="G33" s="17" t="n">
        <f aca="false">IF(Rankings!G35&lt;=2,1,0)</f>
        <v>0</v>
      </c>
      <c r="H33" s="17" t="n">
        <f aca="false">IF(Rankings!H35&lt;=2,1,0)</f>
        <v>1</v>
      </c>
      <c r="I33" s="17" t="n">
        <f aca="false">IF(Rankings!I35&lt;=2,1,0)</f>
        <v>1</v>
      </c>
      <c r="J33" s="17" t="n">
        <f aca="false">IF(Rankings!J35&lt;=2,1,0)</f>
        <v>0</v>
      </c>
      <c r="K33" s="20" t="n">
        <f aca="false">SUM(C33:J33)</f>
        <v>2</v>
      </c>
      <c r="L33" s="16" t="n">
        <f aca="false">SUMPRODUCT(C33:J33,Returns!B37:I37)/K33</f>
        <v>-0.0290512679776154</v>
      </c>
      <c r="M33" s="16" t="n">
        <v>0</v>
      </c>
      <c r="N33" s="16" t="n">
        <v>0</v>
      </c>
      <c r="O33" s="16" t="n">
        <f aca="false">L33+M33+N33</f>
        <v>-0.0290512679776154</v>
      </c>
      <c r="P33" s="21" t="n">
        <f aca="false">P32*(1+O33)</f>
        <v>1.86132374655861</v>
      </c>
      <c r="Q33" s="21" t="n">
        <f aca="false">MAX($P$5:P33)</f>
        <v>3.15054724963469</v>
      </c>
      <c r="R33" s="16" t="n">
        <f aca="false">P33/Q33-1</f>
        <v>-0.409206211151274</v>
      </c>
      <c r="S33" s="16" t="n">
        <f aca="false">O33-Benchmark_RF!D33</f>
        <v>-0.0339117083543461</v>
      </c>
    </row>
    <row r="34" customFormat="false" ht="15" hidden="false" customHeight="true" outlineLevel="0" collapsed="false">
      <c r="A34" s="1" t="n">
        <v>37</v>
      </c>
      <c r="B34" s="13" t="n">
        <f aca="false">Returns!A38</f>
        <v>43101</v>
      </c>
      <c r="C34" s="17" t="n">
        <f aca="false">IF(Rankings!C35&lt;=2,1,0)</f>
        <v>0</v>
      </c>
      <c r="D34" s="17" t="n">
        <f aca="false">IF(Rankings!D35&lt;=2,1,0)</f>
        <v>0</v>
      </c>
      <c r="E34" s="17" t="n">
        <f aca="false">IF(Rankings!E35&lt;=2,1,0)</f>
        <v>0</v>
      </c>
      <c r="F34" s="17" t="n">
        <f aca="false">IF(Rankings!F35&lt;=2,1,0)</f>
        <v>0</v>
      </c>
      <c r="G34" s="17" t="n">
        <f aca="false">IF(Rankings!G35&lt;=2,1,0)</f>
        <v>0</v>
      </c>
      <c r="H34" s="17" t="n">
        <f aca="false">IF(Rankings!H35&lt;=2,1,0)</f>
        <v>1</v>
      </c>
      <c r="I34" s="17" t="n">
        <f aca="false">IF(Rankings!I35&lt;=2,1,0)</f>
        <v>1</v>
      </c>
      <c r="J34" s="17" t="n">
        <f aca="false">IF(Rankings!J35&lt;=2,1,0)</f>
        <v>0</v>
      </c>
      <c r="K34" s="20" t="n">
        <f aca="false">SUM(C34:J34)</f>
        <v>2</v>
      </c>
      <c r="L34" s="16" t="n">
        <f aca="false">SUMPRODUCT(C34:J34,Returns!B38:I38)/K34</f>
        <v>0.0588607594936708</v>
      </c>
      <c r="M34" s="16" t="n">
        <v>0</v>
      </c>
      <c r="N34" s="16" t="n">
        <v>0</v>
      </c>
      <c r="O34" s="16" t="n">
        <f aca="false">L34+M34+N34</f>
        <v>0.0588607594936708</v>
      </c>
      <c r="P34" s="21" t="n">
        <f aca="false">P33*(1+O34)</f>
        <v>1.97088267594466</v>
      </c>
      <c r="Q34" s="21" t="n">
        <f aca="false">MAX($P$5:P34)</f>
        <v>3.15054724963469</v>
      </c>
      <c r="R34" s="16" t="n">
        <f aca="false">P34/Q34-1</f>
        <v>-0.374431640035495</v>
      </c>
      <c r="S34" s="16" t="n">
        <f aca="false">O34-Benchmark_RF!D34</f>
        <v>0.0538353473548345</v>
      </c>
    </row>
    <row r="35" customFormat="false" ht="15" hidden="false" customHeight="true" outlineLevel="0" collapsed="false">
      <c r="A35" s="1" t="n">
        <v>38</v>
      </c>
      <c r="B35" s="13" t="n">
        <f aca="false">Returns!A39</f>
        <v>43132</v>
      </c>
      <c r="C35" s="17" t="n">
        <f aca="false">IF(Rankings!C35&lt;=2,1,0)</f>
        <v>0</v>
      </c>
      <c r="D35" s="17" t="n">
        <f aca="false">IF(Rankings!D35&lt;=2,1,0)</f>
        <v>0</v>
      </c>
      <c r="E35" s="17" t="n">
        <f aca="false">IF(Rankings!E35&lt;=2,1,0)</f>
        <v>0</v>
      </c>
      <c r="F35" s="17" t="n">
        <f aca="false">IF(Rankings!F35&lt;=2,1,0)</f>
        <v>0</v>
      </c>
      <c r="G35" s="17" t="n">
        <f aca="false">IF(Rankings!G35&lt;=2,1,0)</f>
        <v>0</v>
      </c>
      <c r="H35" s="17" t="n">
        <f aca="false">IF(Rankings!H35&lt;=2,1,0)</f>
        <v>1</v>
      </c>
      <c r="I35" s="17" t="n">
        <f aca="false">IF(Rankings!I35&lt;=2,1,0)</f>
        <v>1</v>
      </c>
      <c r="J35" s="17" t="n">
        <f aca="false">IF(Rankings!J35&lt;=2,1,0)</f>
        <v>0</v>
      </c>
      <c r="K35" s="20" t="n">
        <f aca="false">SUM(C35:J35)</f>
        <v>2</v>
      </c>
      <c r="L35" s="16" t="n">
        <f aca="false">SUMPRODUCT(C35:J35,Returns!B39:I39)/K35</f>
        <v>0.0104830020713248</v>
      </c>
      <c r="M35" s="16" t="n">
        <v>0</v>
      </c>
      <c r="N35" s="16" t="n">
        <v>0</v>
      </c>
      <c r="O35" s="16" t="n">
        <f aca="false">L35+M35+N35</f>
        <v>0.0104830020713248</v>
      </c>
      <c r="P35" s="21" t="n">
        <f aca="false">P34*(1+O35)</f>
        <v>1.99154344311892</v>
      </c>
      <c r="Q35" s="21" t="n">
        <f aca="false">MAX($P$5:P35)</f>
        <v>3.15054724963469</v>
      </c>
      <c r="R35" s="16" t="n">
        <f aca="false">P35/Q35-1</f>
        <v>-0.367873805622232</v>
      </c>
      <c r="S35" s="16" t="n">
        <f aca="false">O35-Benchmark_RF!D35</f>
        <v>0.0054321996924499</v>
      </c>
    </row>
    <row r="36" customFormat="false" ht="15" hidden="false" customHeight="true" outlineLevel="0" collapsed="false">
      <c r="A36" s="1" t="n">
        <v>39</v>
      </c>
      <c r="B36" s="13" t="n">
        <f aca="false">Returns!A40</f>
        <v>43160</v>
      </c>
      <c r="C36" s="17" t="n">
        <f aca="false">IF(Rankings!C35&lt;=2,1,0)</f>
        <v>0</v>
      </c>
      <c r="D36" s="17" t="n">
        <f aca="false">IF(Rankings!D35&lt;=2,1,0)</f>
        <v>0</v>
      </c>
      <c r="E36" s="17" t="n">
        <f aca="false">IF(Rankings!E35&lt;=2,1,0)</f>
        <v>0</v>
      </c>
      <c r="F36" s="17" t="n">
        <f aca="false">IF(Rankings!F35&lt;=2,1,0)</f>
        <v>0</v>
      </c>
      <c r="G36" s="17" t="n">
        <f aca="false">IF(Rankings!G35&lt;=2,1,0)</f>
        <v>0</v>
      </c>
      <c r="H36" s="17" t="n">
        <f aca="false">IF(Rankings!H35&lt;=2,1,0)</f>
        <v>1</v>
      </c>
      <c r="I36" s="17" t="n">
        <f aca="false">IF(Rankings!I35&lt;=2,1,0)</f>
        <v>1</v>
      </c>
      <c r="J36" s="17" t="n">
        <f aca="false">IF(Rankings!J35&lt;=2,1,0)</f>
        <v>0</v>
      </c>
      <c r="K36" s="20" t="n">
        <f aca="false">SUM(C36:J36)</f>
        <v>2</v>
      </c>
      <c r="L36" s="16" t="n">
        <f aca="false">SUMPRODUCT(C36:J36,Returns!B40:I40)/K36</f>
        <v>0.213356340123801</v>
      </c>
      <c r="M36" s="16" t="n">
        <v>0</v>
      </c>
      <c r="N36" s="16" t="n">
        <v>0</v>
      </c>
      <c r="O36" s="16" t="n">
        <f aca="false">L36+M36+N36</f>
        <v>0.213356340123801</v>
      </c>
      <c r="P36" s="21" t="n">
        <f aca="false">P35*(1+O36)</f>
        <v>2.41645186334033</v>
      </c>
      <c r="Q36" s="21" t="n">
        <f aca="false">MAX($P$5:P36)</f>
        <v>3.15054724963469</v>
      </c>
      <c r="R36" s="16" t="n">
        <f aca="false">P36/Q36-1</f>
        <v>-0.233005674293405</v>
      </c>
      <c r="S36" s="16" t="n">
        <f aca="false">O36-Benchmark_RF!D36</f>
        <v>0.208284332051685</v>
      </c>
    </row>
    <row r="37" customFormat="false" ht="15" hidden="false" customHeight="true" outlineLevel="0" collapsed="false">
      <c r="A37" s="1" t="n">
        <v>40</v>
      </c>
      <c r="B37" s="13" t="n">
        <f aca="false">Returns!A41</f>
        <v>43191</v>
      </c>
      <c r="C37" s="17" t="n">
        <f aca="false">IF(Rankings!C35&lt;=2,1,0)</f>
        <v>0</v>
      </c>
      <c r="D37" s="17" t="n">
        <f aca="false">IF(Rankings!D35&lt;=2,1,0)</f>
        <v>0</v>
      </c>
      <c r="E37" s="17" t="n">
        <f aca="false">IF(Rankings!E35&lt;=2,1,0)</f>
        <v>0</v>
      </c>
      <c r="F37" s="17" t="n">
        <f aca="false">IF(Rankings!F35&lt;=2,1,0)</f>
        <v>0</v>
      </c>
      <c r="G37" s="17" t="n">
        <f aca="false">IF(Rankings!G35&lt;=2,1,0)</f>
        <v>0</v>
      </c>
      <c r="H37" s="17" t="n">
        <f aca="false">IF(Rankings!H35&lt;=2,1,0)</f>
        <v>1</v>
      </c>
      <c r="I37" s="17" t="n">
        <f aca="false">IF(Rankings!I35&lt;=2,1,0)</f>
        <v>1</v>
      </c>
      <c r="J37" s="17" t="n">
        <f aca="false">IF(Rankings!J35&lt;=2,1,0)</f>
        <v>0</v>
      </c>
      <c r="K37" s="20" t="n">
        <f aca="false">SUM(C37:J37)</f>
        <v>2</v>
      </c>
      <c r="L37" s="16" t="n">
        <f aca="false">SUMPRODUCT(C37:J37,Returns!B41:I41)/K37</f>
        <v>0.0234554023434971</v>
      </c>
      <c r="M37" s="16" t="n">
        <v>0</v>
      </c>
      <c r="N37" s="16" t="n">
        <v>0</v>
      </c>
      <c r="O37" s="16" t="n">
        <f aca="false">L37+M37+N37</f>
        <v>0.0234554023434971</v>
      </c>
      <c r="P37" s="21" t="n">
        <f aca="false">P36*(1+O37)</f>
        <v>2.47313071403867</v>
      </c>
      <c r="Q37" s="21" t="n">
        <f aca="false">MAX($P$5:P37)</f>
        <v>3.15054724963469</v>
      </c>
      <c r="R37" s="16" t="n">
        <f aca="false">P37/Q37-1</f>
        <v>-0.215015513788777</v>
      </c>
      <c r="S37" s="16" t="n">
        <f aca="false">O37-Benchmark_RF!D37</f>
        <v>0.0184008945258237</v>
      </c>
    </row>
    <row r="38" customFormat="false" ht="15" hidden="false" customHeight="true" outlineLevel="0" collapsed="false">
      <c r="A38" s="1" t="n">
        <v>41</v>
      </c>
      <c r="B38" s="13" t="n">
        <f aca="false">Returns!A42</f>
        <v>43221</v>
      </c>
      <c r="C38" s="17" t="n">
        <f aca="false">IF(Rankings!C35&lt;=2,1,0)</f>
        <v>0</v>
      </c>
      <c r="D38" s="17" t="n">
        <f aca="false">IF(Rankings!D35&lt;=2,1,0)</f>
        <v>0</v>
      </c>
      <c r="E38" s="17" t="n">
        <f aca="false">IF(Rankings!E35&lt;=2,1,0)</f>
        <v>0</v>
      </c>
      <c r="F38" s="17" t="n">
        <f aca="false">IF(Rankings!F35&lt;=2,1,0)</f>
        <v>0</v>
      </c>
      <c r="G38" s="17" t="n">
        <f aca="false">IF(Rankings!G35&lt;=2,1,0)</f>
        <v>0</v>
      </c>
      <c r="H38" s="17" t="n">
        <f aca="false">IF(Rankings!H35&lt;=2,1,0)</f>
        <v>1</v>
      </c>
      <c r="I38" s="17" t="n">
        <f aca="false">IF(Rankings!I35&lt;=2,1,0)</f>
        <v>1</v>
      </c>
      <c r="J38" s="17" t="n">
        <f aca="false">IF(Rankings!J35&lt;=2,1,0)</f>
        <v>0</v>
      </c>
      <c r="K38" s="20" t="n">
        <f aca="false">SUM(C38:J38)</f>
        <v>2</v>
      </c>
      <c r="L38" s="16" t="n">
        <f aca="false">SUMPRODUCT(C38:J38,Returns!B42:I42)/K38</f>
        <v>0.0198059239114261</v>
      </c>
      <c r="M38" s="16" t="n">
        <v>0</v>
      </c>
      <c r="N38" s="16" t="n">
        <v>0</v>
      </c>
      <c r="O38" s="16" t="n">
        <f aca="false">L38+M38+N38</f>
        <v>0.0198059239114261</v>
      </c>
      <c r="P38" s="21" t="n">
        <f aca="false">P37*(1+O38)</f>
        <v>2.52211335278393</v>
      </c>
      <c r="Q38" s="21" t="n">
        <f aca="false">MAX($P$5:P38)</f>
        <v>3.15054724963469</v>
      </c>
      <c r="R38" s="16" t="n">
        <f aca="false">P38/Q38-1</f>
        <v>-0.199468170783228</v>
      </c>
      <c r="S38" s="16" t="n">
        <f aca="false">O38-Benchmark_RF!D38</f>
        <v>0.0147343887750921</v>
      </c>
    </row>
    <row r="39" customFormat="false" ht="15" hidden="false" customHeight="true" outlineLevel="0" collapsed="false">
      <c r="A39" s="1" t="n">
        <v>42</v>
      </c>
      <c r="B39" s="13" t="n">
        <f aca="false">Returns!A43</f>
        <v>43252</v>
      </c>
      <c r="C39" s="17" t="n">
        <f aca="false">IF(Rankings!C35&lt;=2,1,0)</f>
        <v>0</v>
      </c>
      <c r="D39" s="17" t="n">
        <f aca="false">IF(Rankings!D35&lt;=2,1,0)</f>
        <v>0</v>
      </c>
      <c r="E39" s="17" t="n">
        <f aca="false">IF(Rankings!E35&lt;=2,1,0)</f>
        <v>0</v>
      </c>
      <c r="F39" s="17" t="n">
        <f aca="false">IF(Rankings!F35&lt;=2,1,0)</f>
        <v>0</v>
      </c>
      <c r="G39" s="17" t="n">
        <f aca="false">IF(Rankings!G35&lt;=2,1,0)</f>
        <v>0</v>
      </c>
      <c r="H39" s="17" t="n">
        <f aca="false">IF(Rankings!H35&lt;=2,1,0)</f>
        <v>1</v>
      </c>
      <c r="I39" s="17" t="n">
        <f aca="false">IF(Rankings!I35&lt;=2,1,0)</f>
        <v>1</v>
      </c>
      <c r="J39" s="17" t="n">
        <f aca="false">IF(Rankings!J35&lt;=2,1,0)</f>
        <v>0</v>
      </c>
      <c r="K39" s="20" t="n">
        <f aca="false">SUM(C39:J39)</f>
        <v>2</v>
      </c>
      <c r="L39" s="16" t="n">
        <f aca="false">SUMPRODUCT(C39:J39,Returns!B43:I43)/K39</f>
        <v>0.0420455832535344</v>
      </c>
      <c r="M39" s="16" t="n">
        <v>0</v>
      </c>
      <c r="N39" s="16" t="n">
        <v>0</v>
      </c>
      <c r="O39" s="16" t="n">
        <f aca="false">L39+M39+N39</f>
        <v>0.0420455832535344</v>
      </c>
      <c r="P39" s="21" t="n">
        <f aca="false">P38*(1+O39)</f>
        <v>2.62815707973326</v>
      </c>
      <c r="Q39" s="21" t="n">
        <f aca="false">MAX($P$5:P39)</f>
        <v>3.15054724963469</v>
      </c>
      <c r="R39" s="16" t="n">
        <f aca="false">P39/Q39-1</f>
        <v>-0.16580934311079</v>
      </c>
      <c r="S39" s="16" t="n">
        <f aca="false">O39-Benchmark_RF!D39</f>
        <v>0.0365799965415866</v>
      </c>
    </row>
    <row r="40" customFormat="false" ht="15" hidden="false" customHeight="true" outlineLevel="0" collapsed="false">
      <c r="A40" s="1" t="n">
        <v>43</v>
      </c>
      <c r="B40" s="13" t="n">
        <f aca="false">Returns!A44</f>
        <v>43282</v>
      </c>
      <c r="C40" s="17" t="n">
        <f aca="false">IF(Rankings!C35&lt;=2,1,0)</f>
        <v>0</v>
      </c>
      <c r="D40" s="17" t="n">
        <f aca="false">IF(Rankings!D35&lt;=2,1,0)</f>
        <v>0</v>
      </c>
      <c r="E40" s="17" t="n">
        <f aca="false">IF(Rankings!E35&lt;=2,1,0)</f>
        <v>0</v>
      </c>
      <c r="F40" s="17" t="n">
        <f aca="false">IF(Rankings!F35&lt;=2,1,0)</f>
        <v>0</v>
      </c>
      <c r="G40" s="17" t="n">
        <f aca="false">IF(Rankings!G35&lt;=2,1,0)</f>
        <v>0</v>
      </c>
      <c r="H40" s="17" t="n">
        <f aca="false">IF(Rankings!H35&lt;=2,1,0)</f>
        <v>1</v>
      </c>
      <c r="I40" s="17" t="n">
        <f aca="false">IF(Rankings!I35&lt;=2,1,0)</f>
        <v>1</v>
      </c>
      <c r="J40" s="17" t="n">
        <f aca="false">IF(Rankings!J35&lt;=2,1,0)</f>
        <v>0</v>
      </c>
      <c r="K40" s="20" t="n">
        <f aca="false">SUM(C40:J40)</f>
        <v>2</v>
      </c>
      <c r="L40" s="16" t="n">
        <f aca="false">SUMPRODUCT(C40:J40,Returns!B44:I44)/K40</f>
        <v>0.0686635693573723</v>
      </c>
      <c r="M40" s="16" t="n">
        <v>0</v>
      </c>
      <c r="N40" s="16" t="n">
        <v>0</v>
      </c>
      <c r="O40" s="16" t="n">
        <f aca="false">L40+M40+N40</f>
        <v>0.0686635693573723</v>
      </c>
      <c r="P40" s="21" t="n">
        <f aca="false">P39*(1+O40)</f>
        <v>2.80861572565959</v>
      </c>
      <c r="Q40" s="21" t="n">
        <f aca="false">MAX($P$5:P40)</f>
        <v>3.15054724963469</v>
      </c>
      <c r="R40" s="16" t="n">
        <f aca="false">P40/Q40-1</f>
        <v>-0.108530835084206</v>
      </c>
      <c r="S40" s="16" t="n">
        <f aca="false">O40-Benchmark_RF!D40</f>
        <v>0.0624462255643221</v>
      </c>
    </row>
    <row r="41" customFormat="false" ht="15" hidden="false" customHeight="true" outlineLevel="0" collapsed="false">
      <c r="A41" s="1" t="n">
        <v>44</v>
      </c>
      <c r="B41" s="13" t="n">
        <f aca="false">Returns!A45</f>
        <v>43313</v>
      </c>
      <c r="C41" s="17" t="n">
        <f aca="false">IF(Rankings!C47&lt;=2,1,0)</f>
        <v>1</v>
      </c>
      <c r="D41" s="17" t="n">
        <f aca="false">IF(Rankings!D47&lt;=2,1,0)</f>
        <v>0</v>
      </c>
      <c r="E41" s="17" t="n">
        <f aca="false">IF(Rankings!E47&lt;=2,1,0)</f>
        <v>0</v>
      </c>
      <c r="F41" s="17" t="n">
        <f aca="false">IF(Rankings!F47&lt;=2,1,0)</f>
        <v>0</v>
      </c>
      <c r="G41" s="17" t="n">
        <f aca="false">IF(Rankings!G47&lt;=2,1,0)</f>
        <v>0</v>
      </c>
      <c r="H41" s="17" t="n">
        <f aca="false">IF(Rankings!H47&lt;=2,1,0)</f>
        <v>1</v>
      </c>
      <c r="I41" s="17" t="n">
        <f aca="false">IF(Rankings!I47&lt;=2,1,0)</f>
        <v>0</v>
      </c>
      <c r="J41" s="17" t="n">
        <f aca="false">IF(Rankings!J47&lt;=2,1,0)</f>
        <v>0</v>
      </c>
      <c r="K41" s="20" t="n">
        <f aca="false">SUM(C41:J41)</f>
        <v>2</v>
      </c>
      <c r="L41" s="16" t="n">
        <f aca="false">SUMPRODUCT(C41:J41,Returns!B45:I45)/K41</f>
        <v>-0.00442573525835394</v>
      </c>
      <c r="M41" s="16" t="n">
        <f aca="false">-2*Assumptions!$B$13</f>
        <v>-0.007</v>
      </c>
      <c r="N41" s="16" t="n">
        <f aca="false">-Assumptions!$B$16*MAX(0,(1+O29)*(1+O30)*(1+O31)*(1+O32)*(1+O33)*(1+O34)*(1+O35)*(1+O36)*(1+O37)*(1+O38)*(1+O39)*(1+O40)-1)</f>
        <v>-0</v>
      </c>
      <c r="O41" s="16" t="n">
        <f aca="false">L41+M41+N41</f>
        <v>-0.0114257352583539</v>
      </c>
      <c r="P41" s="21" t="n">
        <f aca="false">P40*(1+O41)</f>
        <v>2.77652522593576</v>
      </c>
      <c r="Q41" s="21" t="n">
        <f aca="false">MAX($P$5:P41)</f>
        <v>3.15054724963469</v>
      </c>
      <c r="R41" s="16" t="n">
        <f aca="false">P41/Q41-1</f>
        <v>-0.11871652575352</v>
      </c>
      <c r="S41" s="16" t="n">
        <f aca="false">O41-Benchmark_RF!D41</f>
        <v>-0.0176654167196397</v>
      </c>
    </row>
    <row r="42" customFormat="false" ht="15" hidden="false" customHeight="true" outlineLevel="0" collapsed="false">
      <c r="A42" s="1" t="n">
        <v>45</v>
      </c>
      <c r="B42" s="13" t="n">
        <f aca="false">Returns!A46</f>
        <v>43344</v>
      </c>
      <c r="C42" s="17" t="n">
        <f aca="false">IF(Rankings!C47&lt;=2,1,0)</f>
        <v>1</v>
      </c>
      <c r="D42" s="17" t="n">
        <f aca="false">IF(Rankings!D47&lt;=2,1,0)</f>
        <v>0</v>
      </c>
      <c r="E42" s="17" t="n">
        <f aca="false">IF(Rankings!E47&lt;=2,1,0)</f>
        <v>0</v>
      </c>
      <c r="F42" s="17" t="n">
        <f aca="false">IF(Rankings!F47&lt;=2,1,0)</f>
        <v>0</v>
      </c>
      <c r="G42" s="17" t="n">
        <f aca="false">IF(Rankings!G47&lt;=2,1,0)</f>
        <v>0</v>
      </c>
      <c r="H42" s="17" t="n">
        <f aca="false">IF(Rankings!H47&lt;=2,1,0)</f>
        <v>1</v>
      </c>
      <c r="I42" s="17" t="n">
        <f aca="false">IF(Rankings!I47&lt;=2,1,0)</f>
        <v>0</v>
      </c>
      <c r="J42" s="17" t="n">
        <f aca="false">IF(Rankings!J47&lt;=2,1,0)</f>
        <v>0</v>
      </c>
      <c r="K42" s="20" t="n">
        <f aca="false">SUM(C42:J42)</f>
        <v>2</v>
      </c>
      <c r="L42" s="16" t="n">
        <f aca="false">SUMPRODUCT(C42:J42,Returns!B46:I46)/K42</f>
        <v>0.00276332551027464</v>
      </c>
      <c r="M42" s="16" t="n">
        <v>0</v>
      </c>
      <c r="N42" s="16" t="n">
        <v>0</v>
      </c>
      <c r="O42" s="16" t="n">
        <f aca="false">L42+M42+N42</f>
        <v>0.00276332551027464</v>
      </c>
      <c r="P42" s="21" t="n">
        <f aca="false">P41*(1+O42)</f>
        <v>2.78419766892251</v>
      </c>
      <c r="Q42" s="21" t="n">
        <f aca="false">MAX($P$5:P42)</f>
        <v>3.15054724963469</v>
      </c>
      <c r="R42" s="16" t="n">
        <f aca="false">P42/Q42-1</f>
        <v>-0.116281252647351</v>
      </c>
      <c r="S42" s="16" t="n">
        <f aca="false">O42-Benchmark_RF!D42</f>
        <v>-0.00347635595101109</v>
      </c>
    </row>
    <row r="43" customFormat="false" ht="15" hidden="false" customHeight="true" outlineLevel="0" collapsed="false">
      <c r="A43" s="1" t="n">
        <v>46</v>
      </c>
      <c r="B43" s="13" t="n">
        <f aca="false">Returns!A47</f>
        <v>43374</v>
      </c>
      <c r="C43" s="17" t="n">
        <f aca="false">IF(Rankings!C47&lt;=2,1,0)</f>
        <v>1</v>
      </c>
      <c r="D43" s="17" t="n">
        <f aca="false">IF(Rankings!D47&lt;=2,1,0)</f>
        <v>0</v>
      </c>
      <c r="E43" s="17" t="n">
        <f aca="false">IF(Rankings!E47&lt;=2,1,0)</f>
        <v>0</v>
      </c>
      <c r="F43" s="17" t="n">
        <f aca="false">IF(Rankings!F47&lt;=2,1,0)</f>
        <v>0</v>
      </c>
      <c r="G43" s="17" t="n">
        <f aca="false">IF(Rankings!G47&lt;=2,1,0)</f>
        <v>0</v>
      </c>
      <c r="H43" s="17" t="n">
        <f aca="false">IF(Rankings!H47&lt;=2,1,0)</f>
        <v>1</v>
      </c>
      <c r="I43" s="17" t="n">
        <f aca="false">IF(Rankings!I47&lt;=2,1,0)</f>
        <v>0</v>
      </c>
      <c r="J43" s="17" t="n">
        <f aca="false">IF(Rankings!J47&lt;=2,1,0)</f>
        <v>0</v>
      </c>
      <c r="K43" s="20" t="n">
        <f aca="false">SUM(C43:J43)</f>
        <v>2</v>
      </c>
      <c r="L43" s="16" t="n">
        <f aca="false">SUMPRODUCT(C43:J43,Returns!B47:I47)/K43</f>
        <v>0.0202088661551577</v>
      </c>
      <c r="M43" s="16" t="n">
        <v>0</v>
      </c>
      <c r="N43" s="16" t="n">
        <v>0</v>
      </c>
      <c r="O43" s="16" t="n">
        <f aca="false">L43+M43+N43</f>
        <v>0.0202088661551577</v>
      </c>
      <c r="P43" s="21" t="n">
        <f aca="false">P42*(1+O43)</f>
        <v>2.84046314696326</v>
      </c>
      <c r="Q43" s="21" t="n">
        <f aca="false">MAX($P$5:P43)</f>
        <v>3.15054724963469</v>
      </c>
      <c r="R43" s="16" t="n">
        <f aca="false">P43/Q43-1</f>
        <v>-0.0984222987632977</v>
      </c>
      <c r="S43" s="16" t="n">
        <f aca="false">O43-Benchmark_RF!D43</f>
        <v>0.0131619277594198</v>
      </c>
    </row>
    <row r="44" customFormat="false" ht="15" hidden="false" customHeight="true" outlineLevel="0" collapsed="false">
      <c r="A44" s="1" t="n">
        <v>47</v>
      </c>
      <c r="B44" s="13" t="n">
        <f aca="false">Returns!A48</f>
        <v>43405</v>
      </c>
      <c r="C44" s="17" t="n">
        <f aca="false">IF(Rankings!C47&lt;=2,1,0)</f>
        <v>1</v>
      </c>
      <c r="D44" s="17" t="n">
        <f aca="false">IF(Rankings!D47&lt;=2,1,0)</f>
        <v>0</v>
      </c>
      <c r="E44" s="17" t="n">
        <f aca="false">IF(Rankings!E47&lt;=2,1,0)</f>
        <v>0</v>
      </c>
      <c r="F44" s="17" t="n">
        <f aca="false">IF(Rankings!F47&lt;=2,1,0)</f>
        <v>0</v>
      </c>
      <c r="G44" s="17" t="n">
        <f aca="false">IF(Rankings!G47&lt;=2,1,0)</f>
        <v>0</v>
      </c>
      <c r="H44" s="17" t="n">
        <f aca="false">IF(Rankings!H47&lt;=2,1,0)</f>
        <v>1</v>
      </c>
      <c r="I44" s="17" t="n">
        <f aca="false">IF(Rankings!I47&lt;=2,1,0)</f>
        <v>0</v>
      </c>
      <c r="J44" s="17" t="n">
        <f aca="false">IF(Rankings!J47&lt;=2,1,0)</f>
        <v>0</v>
      </c>
      <c r="K44" s="20" t="n">
        <f aca="false">SUM(C44:J44)</f>
        <v>2</v>
      </c>
      <c r="L44" s="16" t="n">
        <f aca="false">SUMPRODUCT(C44:J44,Returns!B48:I48)/K44</f>
        <v>-0.0318617789724161</v>
      </c>
      <c r="M44" s="16" t="n">
        <v>0</v>
      </c>
      <c r="N44" s="16" t="n">
        <v>0</v>
      </c>
      <c r="O44" s="16" t="n">
        <f aca="false">L44+M44+N44</f>
        <v>-0.0318617789724161</v>
      </c>
      <c r="P44" s="21" t="n">
        <f aca="false">P43*(1+O44)</f>
        <v>2.74996093799543</v>
      </c>
      <c r="Q44" s="21" t="n">
        <f aca="false">MAX($P$5:P44)</f>
        <v>3.15054724963469</v>
      </c>
      <c r="R44" s="16" t="n">
        <f aca="false">P44/Q44-1</f>
        <v>-0.12714816820656</v>
      </c>
      <c r="S44" s="16" t="n">
        <f aca="false">O44-Benchmark_RF!D44</f>
        <v>-0.0389134998381247</v>
      </c>
    </row>
    <row r="45" customFormat="false" ht="15" hidden="false" customHeight="true" outlineLevel="0" collapsed="false">
      <c r="A45" s="1" t="n">
        <v>48</v>
      </c>
      <c r="B45" s="13" t="n">
        <f aca="false">Returns!A49</f>
        <v>43435</v>
      </c>
      <c r="C45" s="17" t="n">
        <f aca="false">IF(Rankings!C47&lt;=2,1,0)</f>
        <v>1</v>
      </c>
      <c r="D45" s="17" t="n">
        <f aca="false">IF(Rankings!D47&lt;=2,1,0)</f>
        <v>0</v>
      </c>
      <c r="E45" s="17" t="n">
        <f aca="false">IF(Rankings!E47&lt;=2,1,0)</f>
        <v>0</v>
      </c>
      <c r="F45" s="17" t="n">
        <f aca="false">IF(Rankings!F47&lt;=2,1,0)</f>
        <v>0</v>
      </c>
      <c r="G45" s="17" t="n">
        <f aca="false">IF(Rankings!G47&lt;=2,1,0)</f>
        <v>0</v>
      </c>
      <c r="H45" s="17" t="n">
        <f aca="false">IF(Rankings!H47&lt;=2,1,0)</f>
        <v>1</v>
      </c>
      <c r="I45" s="17" t="n">
        <f aca="false">IF(Rankings!I47&lt;=2,1,0)</f>
        <v>0</v>
      </c>
      <c r="J45" s="17" t="n">
        <f aca="false">IF(Rankings!J47&lt;=2,1,0)</f>
        <v>0</v>
      </c>
      <c r="K45" s="20" t="n">
        <f aca="false">SUM(C45:J45)</f>
        <v>2</v>
      </c>
      <c r="L45" s="16" t="n">
        <f aca="false">SUMPRODUCT(C45:J45,Returns!B49:I49)/K45</f>
        <v>-0.0951638088276425</v>
      </c>
      <c r="M45" s="16" t="n">
        <v>0</v>
      </c>
      <c r="N45" s="16" t="n">
        <v>0</v>
      </c>
      <c r="O45" s="16" t="n">
        <f aca="false">L45+M45+N45</f>
        <v>-0.0951638088276425</v>
      </c>
      <c r="P45" s="21" t="n">
        <f aca="false">P44*(1+O45)</f>
        <v>2.48826418100854</v>
      </c>
      <c r="Q45" s="21" t="n">
        <f aca="false">MAX($P$5:P45)</f>
        <v>3.15054724963469</v>
      </c>
      <c r="R45" s="16" t="n">
        <f aca="false">P45/Q45-1</f>
        <v>-0.210212073062209</v>
      </c>
      <c r="S45" s="16" t="n">
        <f aca="false">O45-Benchmark_RF!D45</f>
        <v>-0.103364158570341</v>
      </c>
    </row>
    <row r="46" customFormat="false" ht="15" hidden="false" customHeight="true" outlineLevel="0" collapsed="false">
      <c r="A46" s="1" t="n">
        <v>49</v>
      </c>
      <c r="B46" s="13" t="n">
        <f aca="false">Returns!A50</f>
        <v>43466</v>
      </c>
      <c r="C46" s="17" t="n">
        <f aca="false">IF(Rankings!C47&lt;=2,1,0)</f>
        <v>1</v>
      </c>
      <c r="D46" s="17" t="n">
        <f aca="false">IF(Rankings!D47&lt;=2,1,0)</f>
        <v>0</v>
      </c>
      <c r="E46" s="17" t="n">
        <f aca="false">IF(Rankings!E47&lt;=2,1,0)</f>
        <v>0</v>
      </c>
      <c r="F46" s="17" t="n">
        <f aca="false">IF(Rankings!F47&lt;=2,1,0)</f>
        <v>0</v>
      </c>
      <c r="G46" s="17" t="n">
        <f aca="false">IF(Rankings!G47&lt;=2,1,0)</f>
        <v>0</v>
      </c>
      <c r="H46" s="17" t="n">
        <f aca="false">IF(Rankings!H47&lt;=2,1,0)</f>
        <v>1</v>
      </c>
      <c r="I46" s="17" t="n">
        <f aca="false">IF(Rankings!I47&lt;=2,1,0)</f>
        <v>0</v>
      </c>
      <c r="J46" s="17" t="n">
        <f aca="false">IF(Rankings!J47&lt;=2,1,0)</f>
        <v>0</v>
      </c>
      <c r="K46" s="20" t="n">
        <f aca="false">SUM(C46:J46)</f>
        <v>2</v>
      </c>
      <c r="L46" s="16" t="n">
        <f aca="false">SUMPRODUCT(C46:J46,Returns!B50:I50)/K46</f>
        <v>0.160007431572848</v>
      </c>
      <c r="M46" s="16" t="n">
        <v>0</v>
      </c>
      <c r="N46" s="16" t="n">
        <v>0</v>
      </c>
      <c r="O46" s="16" t="n">
        <f aca="false">L46+M46+N46</f>
        <v>0.160007431572848</v>
      </c>
      <c r="P46" s="21" t="n">
        <f aca="false">P45*(1+O46)</f>
        <v>2.88640494168644</v>
      </c>
      <c r="Q46" s="21" t="n">
        <f aca="false">MAX($P$5:P46)</f>
        <v>3.15054724963469</v>
      </c>
      <c r="R46" s="16" t="n">
        <f aca="false">P46/Q46-1</f>
        <v>-0.0838401353856486</v>
      </c>
      <c r="S46" s="16" t="n">
        <f aca="false">O46-Benchmark_RF!D46</f>
        <v>0.151803730260813</v>
      </c>
    </row>
    <row r="47" customFormat="false" ht="15" hidden="false" customHeight="true" outlineLevel="0" collapsed="false">
      <c r="A47" s="1" t="n">
        <v>50</v>
      </c>
      <c r="B47" s="13" t="n">
        <f aca="false">Returns!A51</f>
        <v>43497</v>
      </c>
      <c r="C47" s="17" t="n">
        <f aca="false">IF(Rankings!C47&lt;=2,1,0)</f>
        <v>1</v>
      </c>
      <c r="D47" s="17" t="n">
        <f aca="false">IF(Rankings!D47&lt;=2,1,0)</f>
        <v>0</v>
      </c>
      <c r="E47" s="17" t="n">
        <f aca="false">IF(Rankings!E47&lt;=2,1,0)</f>
        <v>0</v>
      </c>
      <c r="F47" s="17" t="n">
        <f aca="false">IF(Rankings!F47&lt;=2,1,0)</f>
        <v>0</v>
      </c>
      <c r="G47" s="17" t="n">
        <f aca="false">IF(Rankings!G47&lt;=2,1,0)</f>
        <v>0</v>
      </c>
      <c r="H47" s="17" t="n">
        <f aca="false">IF(Rankings!H47&lt;=2,1,0)</f>
        <v>1</v>
      </c>
      <c r="I47" s="17" t="n">
        <f aca="false">IF(Rankings!I47&lt;=2,1,0)</f>
        <v>0</v>
      </c>
      <c r="J47" s="17" t="n">
        <f aca="false">IF(Rankings!J47&lt;=2,1,0)</f>
        <v>0</v>
      </c>
      <c r="K47" s="20" t="n">
        <f aca="false">SUM(C47:J47)</f>
        <v>2</v>
      </c>
      <c r="L47" s="16" t="n">
        <f aca="false">SUMPRODUCT(C47:J47,Returns!B51:I51)/K47</f>
        <v>-0.000152710109812382</v>
      </c>
      <c r="M47" s="16" t="n">
        <v>0</v>
      </c>
      <c r="N47" s="16" t="n">
        <v>0</v>
      </c>
      <c r="O47" s="16" t="n">
        <f aca="false">L47+M47+N47</f>
        <v>-0.000152710109812382</v>
      </c>
      <c r="P47" s="21" t="n">
        <f aca="false">P46*(1+O47)</f>
        <v>2.88596415847083</v>
      </c>
      <c r="Q47" s="21" t="n">
        <f aca="false">MAX($P$5:P47)</f>
        <v>3.15054724963469</v>
      </c>
      <c r="R47" s="16" t="n">
        <f aca="false">P47/Q47-1</f>
        <v>-0.0839800422591795</v>
      </c>
      <c r="S47" s="16" t="n">
        <f aca="false">O47-Benchmark_RF!D47</f>
        <v>-0.00854572832515882</v>
      </c>
    </row>
    <row r="48" customFormat="false" ht="15" hidden="false" customHeight="true" outlineLevel="0" collapsed="false">
      <c r="A48" s="1" t="n">
        <v>51</v>
      </c>
      <c r="B48" s="13" t="n">
        <f aca="false">Returns!A52</f>
        <v>43525</v>
      </c>
      <c r="C48" s="17" t="n">
        <f aca="false">IF(Rankings!C47&lt;=2,1,0)</f>
        <v>1</v>
      </c>
      <c r="D48" s="17" t="n">
        <f aca="false">IF(Rankings!D47&lt;=2,1,0)</f>
        <v>0</v>
      </c>
      <c r="E48" s="17" t="n">
        <f aca="false">IF(Rankings!E47&lt;=2,1,0)</f>
        <v>0</v>
      </c>
      <c r="F48" s="17" t="n">
        <f aca="false">IF(Rankings!F47&lt;=2,1,0)</f>
        <v>0</v>
      </c>
      <c r="G48" s="17" t="n">
        <f aca="false">IF(Rankings!G47&lt;=2,1,0)</f>
        <v>0</v>
      </c>
      <c r="H48" s="17" t="n">
        <f aca="false">IF(Rankings!H47&lt;=2,1,0)</f>
        <v>1</v>
      </c>
      <c r="I48" s="17" t="n">
        <f aca="false">IF(Rankings!I47&lt;=2,1,0)</f>
        <v>0</v>
      </c>
      <c r="J48" s="17" t="n">
        <f aca="false">IF(Rankings!J47&lt;=2,1,0)</f>
        <v>0</v>
      </c>
      <c r="K48" s="20" t="n">
        <f aca="false">SUM(C48:J48)</f>
        <v>2</v>
      </c>
      <c r="L48" s="16" t="n">
        <f aca="false">SUMPRODUCT(C48:J48,Returns!B52:I52)/K48</f>
        <v>-0.0184745863519815</v>
      </c>
      <c r="M48" s="16" t="n">
        <v>0</v>
      </c>
      <c r="N48" s="16" t="n">
        <v>0</v>
      </c>
      <c r="O48" s="16" t="n">
        <f aca="false">L48+M48+N48</f>
        <v>-0.0184745863519815</v>
      </c>
      <c r="P48" s="21" t="n">
        <f aca="false">P47*(1+O48)</f>
        <v>2.83264716441644</v>
      </c>
      <c r="Q48" s="21" t="n">
        <f aca="false">MAX($P$5:P48)</f>
        <v>3.15054724963469</v>
      </c>
      <c r="R48" s="16" t="n">
        <f aca="false">P48/Q48-1</f>
        <v>-0.100903132068601</v>
      </c>
      <c r="S48" s="16" t="n">
        <f aca="false">O48-Benchmark_RF!D48</f>
        <v>-0.0268622834692104</v>
      </c>
    </row>
    <row r="49" customFormat="false" ht="15" hidden="false" customHeight="true" outlineLevel="0" collapsed="false">
      <c r="A49" s="1" t="n">
        <v>52</v>
      </c>
      <c r="B49" s="13" t="n">
        <f aca="false">Returns!A53</f>
        <v>43556</v>
      </c>
      <c r="C49" s="17" t="n">
        <f aca="false">IF(Rankings!C47&lt;=2,1,0)</f>
        <v>1</v>
      </c>
      <c r="D49" s="17" t="n">
        <f aca="false">IF(Rankings!D47&lt;=2,1,0)</f>
        <v>0</v>
      </c>
      <c r="E49" s="17" t="n">
        <f aca="false">IF(Rankings!E47&lt;=2,1,0)</f>
        <v>0</v>
      </c>
      <c r="F49" s="17" t="n">
        <f aca="false">IF(Rankings!F47&lt;=2,1,0)</f>
        <v>0</v>
      </c>
      <c r="G49" s="17" t="n">
        <f aca="false">IF(Rankings!G47&lt;=2,1,0)</f>
        <v>0</v>
      </c>
      <c r="H49" s="17" t="n">
        <f aca="false">IF(Rankings!H47&lt;=2,1,0)</f>
        <v>1</v>
      </c>
      <c r="I49" s="17" t="n">
        <f aca="false">IF(Rankings!I47&lt;=2,1,0)</f>
        <v>0</v>
      </c>
      <c r="J49" s="17" t="n">
        <f aca="false">IF(Rankings!J47&lt;=2,1,0)</f>
        <v>0</v>
      </c>
      <c r="K49" s="20" t="n">
        <f aca="false">SUM(C49:J49)</f>
        <v>2</v>
      </c>
      <c r="L49" s="16" t="n">
        <f aca="false">SUMPRODUCT(C49:J49,Returns!B53:I53)/K49</f>
        <v>-0.0266050095839606</v>
      </c>
      <c r="M49" s="16" t="n">
        <v>0</v>
      </c>
      <c r="N49" s="16" t="n">
        <v>0</v>
      </c>
      <c r="O49" s="16" t="n">
        <f aca="false">L49+M49+N49</f>
        <v>-0.0266050095839606</v>
      </c>
      <c r="P49" s="21" t="n">
        <f aca="false">P48*(1+O49)</f>
        <v>2.75728455945916</v>
      </c>
      <c r="Q49" s="21" t="n">
        <f aca="false">MAX($P$5:P49)</f>
        <v>3.15054724963469</v>
      </c>
      <c r="R49" s="16" t="n">
        <f aca="false">P49/Q49-1</f>
        <v>-0.124823612856825</v>
      </c>
      <c r="S49" s="16" t="n">
        <f aca="false">O49-Benchmark_RF!D49</f>
        <v>-0.0353019574610676</v>
      </c>
    </row>
    <row r="50" customFormat="false" ht="15" hidden="false" customHeight="true" outlineLevel="0" collapsed="false">
      <c r="A50" s="1" t="n">
        <v>53</v>
      </c>
      <c r="B50" s="13" t="n">
        <f aca="false">Returns!A54</f>
        <v>43586</v>
      </c>
      <c r="C50" s="17" t="n">
        <f aca="false">IF(Rankings!C47&lt;=2,1,0)</f>
        <v>1</v>
      </c>
      <c r="D50" s="17" t="n">
        <f aca="false">IF(Rankings!D47&lt;=2,1,0)</f>
        <v>0</v>
      </c>
      <c r="E50" s="17" t="n">
        <f aca="false">IF(Rankings!E47&lt;=2,1,0)</f>
        <v>0</v>
      </c>
      <c r="F50" s="17" t="n">
        <f aca="false">IF(Rankings!F47&lt;=2,1,0)</f>
        <v>0</v>
      </c>
      <c r="G50" s="17" t="n">
        <f aca="false">IF(Rankings!G47&lt;=2,1,0)</f>
        <v>0</v>
      </c>
      <c r="H50" s="17" t="n">
        <f aca="false">IF(Rankings!H47&lt;=2,1,0)</f>
        <v>1</v>
      </c>
      <c r="I50" s="17" t="n">
        <f aca="false">IF(Rankings!I47&lt;=2,1,0)</f>
        <v>0</v>
      </c>
      <c r="J50" s="17" t="n">
        <f aca="false">IF(Rankings!J47&lt;=2,1,0)</f>
        <v>0</v>
      </c>
      <c r="K50" s="20" t="n">
        <f aca="false">SUM(C50:J50)</f>
        <v>2</v>
      </c>
      <c r="L50" s="16" t="n">
        <f aca="false">SUMPRODUCT(C50:J50,Returns!B54:I54)/K50</f>
        <v>-0.0670839036408432</v>
      </c>
      <c r="M50" s="16" t="n">
        <v>0</v>
      </c>
      <c r="N50" s="16" t="n">
        <v>0</v>
      </c>
      <c r="O50" s="16" t="n">
        <f aca="false">L50+M50+N50</f>
        <v>-0.0670839036408432</v>
      </c>
      <c r="P50" s="21" t="n">
        <f aca="false">P49*(1+O50)</f>
        <v>2.57231514776202</v>
      </c>
      <c r="Q50" s="21" t="n">
        <f aca="false">MAX($P$5:P50)</f>
        <v>3.15054724963469</v>
      </c>
      <c r="R50" s="16" t="n">
        <f aca="false">P50/Q50-1</f>
        <v>-0.183533861280679</v>
      </c>
      <c r="S50" s="16" t="n">
        <f aca="false">O50-Benchmark_RF!D50</f>
        <v>-0.0770033463135113</v>
      </c>
    </row>
    <row r="51" customFormat="false" ht="15" hidden="false" customHeight="true" outlineLevel="0" collapsed="false">
      <c r="A51" s="1" t="n">
        <v>54</v>
      </c>
      <c r="B51" s="13" t="n">
        <f aca="false">Returns!A55</f>
        <v>43617</v>
      </c>
      <c r="C51" s="17" t="n">
        <f aca="false">IF(Rankings!C47&lt;=2,1,0)</f>
        <v>1</v>
      </c>
      <c r="D51" s="17" t="n">
        <f aca="false">IF(Rankings!D47&lt;=2,1,0)</f>
        <v>0</v>
      </c>
      <c r="E51" s="17" t="n">
        <f aca="false">IF(Rankings!E47&lt;=2,1,0)</f>
        <v>0</v>
      </c>
      <c r="F51" s="17" t="n">
        <f aca="false">IF(Rankings!F47&lt;=2,1,0)</f>
        <v>0</v>
      </c>
      <c r="G51" s="17" t="n">
        <f aca="false">IF(Rankings!G47&lt;=2,1,0)</f>
        <v>0</v>
      </c>
      <c r="H51" s="17" t="n">
        <f aca="false">IF(Rankings!H47&lt;=2,1,0)</f>
        <v>1</v>
      </c>
      <c r="I51" s="17" t="n">
        <f aca="false">IF(Rankings!I47&lt;=2,1,0)</f>
        <v>0</v>
      </c>
      <c r="J51" s="17" t="n">
        <f aca="false">IF(Rankings!J47&lt;=2,1,0)</f>
        <v>0</v>
      </c>
      <c r="K51" s="20" t="n">
        <f aca="false">SUM(C51:J51)</f>
        <v>2</v>
      </c>
      <c r="L51" s="16" t="n">
        <f aca="false">SUMPRODUCT(C51:J51,Returns!B55:I55)/K51</f>
        <v>-0.0532256410377592</v>
      </c>
      <c r="M51" s="16" t="n">
        <v>0</v>
      </c>
      <c r="N51" s="16" t="n">
        <v>0</v>
      </c>
      <c r="O51" s="16" t="n">
        <f aca="false">L51+M51+N51</f>
        <v>-0.0532256410377592</v>
      </c>
      <c r="P51" s="21" t="n">
        <f aca="false">P50*(1+O51)</f>
        <v>2.43540202507124</v>
      </c>
      <c r="Q51" s="21" t="n">
        <f aca="false">MAX($P$5:P51)</f>
        <v>3.15054724963469</v>
      </c>
      <c r="R51" s="16" t="n">
        <f aca="false">P51/Q51-1</f>
        <v>-0.226990794899638</v>
      </c>
      <c r="S51" s="16" t="n">
        <f aca="false">O51-Benchmark_RF!D51</f>
        <v>-0.0632671590646459</v>
      </c>
    </row>
    <row r="52" customFormat="false" ht="15" hidden="false" customHeight="true" outlineLevel="0" collapsed="false">
      <c r="A52" s="1" t="n">
        <v>55</v>
      </c>
      <c r="B52" s="13" t="n">
        <f aca="false">Returns!A56</f>
        <v>43647</v>
      </c>
      <c r="C52" s="17" t="n">
        <f aca="false">IF(Rankings!C47&lt;=2,1,0)</f>
        <v>1</v>
      </c>
      <c r="D52" s="17" t="n">
        <f aca="false">IF(Rankings!D47&lt;=2,1,0)</f>
        <v>0</v>
      </c>
      <c r="E52" s="17" t="n">
        <f aca="false">IF(Rankings!E47&lt;=2,1,0)</f>
        <v>0</v>
      </c>
      <c r="F52" s="17" t="n">
        <f aca="false">IF(Rankings!F47&lt;=2,1,0)</f>
        <v>0</v>
      </c>
      <c r="G52" s="17" t="n">
        <f aca="false">IF(Rankings!G47&lt;=2,1,0)</f>
        <v>0</v>
      </c>
      <c r="H52" s="17" t="n">
        <f aca="false">IF(Rankings!H47&lt;=2,1,0)</f>
        <v>1</v>
      </c>
      <c r="I52" s="17" t="n">
        <f aca="false">IF(Rankings!I47&lt;=2,1,0)</f>
        <v>0</v>
      </c>
      <c r="J52" s="17" t="n">
        <f aca="false">IF(Rankings!J47&lt;=2,1,0)</f>
        <v>0</v>
      </c>
      <c r="K52" s="20" t="n">
        <f aca="false">SUM(C52:J52)</f>
        <v>2</v>
      </c>
      <c r="L52" s="16" t="n">
        <f aca="false">SUMPRODUCT(C52:J52,Returns!B56:I56)/K52</f>
        <v>0.031270776354108</v>
      </c>
      <c r="M52" s="16" t="n">
        <v>0</v>
      </c>
      <c r="N52" s="16" t="n">
        <v>0</v>
      </c>
      <c r="O52" s="16" t="n">
        <f aca="false">L52+M52+N52</f>
        <v>0.031270776354108</v>
      </c>
      <c r="P52" s="21" t="n">
        <f aca="false">P51*(1+O52)</f>
        <v>2.51155893712959</v>
      </c>
      <c r="Q52" s="21" t="n">
        <f aca="false">MAX($P$5:P52)</f>
        <v>3.15054724963469</v>
      </c>
      <c r="R52" s="16" t="n">
        <f aca="false">P52/Q52-1</f>
        <v>-0.202818196927278</v>
      </c>
      <c r="S52" s="16" t="n">
        <f aca="false">O52-Benchmark_RF!D52</f>
        <v>0.0204800495130934</v>
      </c>
    </row>
    <row r="53" customFormat="false" ht="15" hidden="false" customHeight="true" outlineLevel="0" collapsed="false">
      <c r="A53" s="1" t="n">
        <v>56</v>
      </c>
      <c r="B53" s="13" t="n">
        <f aca="false">Returns!A57</f>
        <v>43678</v>
      </c>
      <c r="C53" s="17" t="n">
        <f aca="false">IF(Rankings!C59&lt;=2,1,0)</f>
        <v>1</v>
      </c>
      <c r="D53" s="17" t="n">
        <f aca="false">IF(Rankings!D59&lt;=2,1,0)</f>
        <v>0</v>
      </c>
      <c r="E53" s="17" t="n">
        <f aca="false">IF(Rankings!E59&lt;=2,1,0)</f>
        <v>0</v>
      </c>
      <c r="F53" s="17" t="n">
        <f aca="false">IF(Rankings!F59&lt;=2,1,0)</f>
        <v>0</v>
      </c>
      <c r="G53" s="17" t="n">
        <f aca="false">IF(Rankings!G59&lt;=2,1,0)</f>
        <v>1</v>
      </c>
      <c r="H53" s="17" t="n">
        <f aca="false">IF(Rankings!H59&lt;=2,1,0)</f>
        <v>0</v>
      </c>
      <c r="I53" s="17" t="n">
        <f aca="false">IF(Rankings!I59&lt;=2,1,0)</f>
        <v>0</v>
      </c>
      <c r="J53" s="17" t="n">
        <f aca="false">IF(Rankings!J59&lt;=2,1,0)</f>
        <v>0</v>
      </c>
      <c r="K53" s="20" t="n">
        <f aca="false">SUM(C53:J53)</f>
        <v>2</v>
      </c>
      <c r="L53" s="16" t="n">
        <f aca="false">SUMPRODUCT(C53:J53,Returns!B57:I57)/K53</f>
        <v>-0.125753514126764</v>
      </c>
      <c r="M53" s="16" t="n">
        <f aca="false">-2*Assumptions!$B$13</f>
        <v>-0.007</v>
      </c>
      <c r="N53" s="16" t="n">
        <f aca="false">-Assumptions!$B$16*MAX(0,(1+O41)*(1+O42)*(1+O43)*(1+O44)*(1+O45)*(1+O46)*(1+O47)*(1+O48)*(1+O49)*(1+O50)*(1+O51)*(1+O52)-1)</f>
        <v>-0</v>
      </c>
      <c r="O53" s="16" t="n">
        <f aca="false">L53+M53+N53</f>
        <v>-0.132753514126764</v>
      </c>
      <c r="P53" s="21" t="n">
        <f aca="false">P52*(1+O53)</f>
        <v>2.17814066228916</v>
      </c>
      <c r="Q53" s="21" t="n">
        <f aca="false">MAX($P$5:P53)</f>
        <v>3.15054724963469</v>
      </c>
      <c r="R53" s="16" t="n">
        <f aca="false">P53/Q53-1</f>
        <v>-0.308646882683092</v>
      </c>
      <c r="S53" s="16" t="n">
        <f aca="false">O53-Benchmark_RF!D53</f>
        <v>-0.143546684697552</v>
      </c>
    </row>
    <row r="54" customFormat="false" ht="15" hidden="false" customHeight="true" outlineLevel="0" collapsed="false">
      <c r="A54" s="1" t="n">
        <v>57</v>
      </c>
      <c r="B54" s="13" t="n">
        <f aca="false">Returns!A58</f>
        <v>43709</v>
      </c>
      <c r="C54" s="17" t="n">
        <f aca="false">IF(Rankings!C59&lt;=2,1,0)</f>
        <v>1</v>
      </c>
      <c r="D54" s="17" t="n">
        <f aca="false">IF(Rankings!D59&lt;=2,1,0)</f>
        <v>0</v>
      </c>
      <c r="E54" s="17" t="n">
        <f aca="false">IF(Rankings!E59&lt;=2,1,0)</f>
        <v>0</v>
      </c>
      <c r="F54" s="17" t="n">
        <f aca="false">IF(Rankings!F59&lt;=2,1,0)</f>
        <v>0</v>
      </c>
      <c r="G54" s="17" t="n">
        <f aca="false">IF(Rankings!G59&lt;=2,1,0)</f>
        <v>1</v>
      </c>
      <c r="H54" s="17" t="n">
        <f aca="false">IF(Rankings!H59&lt;=2,1,0)</f>
        <v>0</v>
      </c>
      <c r="I54" s="17" t="n">
        <f aca="false">IF(Rankings!I59&lt;=2,1,0)</f>
        <v>0</v>
      </c>
      <c r="J54" s="17" t="n">
        <f aca="false">IF(Rankings!J59&lt;=2,1,0)</f>
        <v>0</v>
      </c>
      <c r="K54" s="20" t="n">
        <f aca="false">SUM(C54:J54)</f>
        <v>2</v>
      </c>
      <c r="L54" s="16" t="n">
        <f aca="false">SUMPRODUCT(C54:J54,Returns!B58:I58)/K54</f>
        <v>0.081285585128882</v>
      </c>
      <c r="M54" s="16" t="n">
        <v>0</v>
      </c>
      <c r="N54" s="16" t="n">
        <v>0</v>
      </c>
      <c r="O54" s="16" t="n">
        <f aca="false">L54+M54+N54</f>
        <v>0.081285585128882</v>
      </c>
      <c r="P54" s="21" t="n">
        <f aca="false">P53*(1+O54)</f>
        <v>2.35519210051634</v>
      </c>
      <c r="Q54" s="21" t="n">
        <f aca="false">MAX($P$5:P54)</f>
        <v>3.15054724963469</v>
      </c>
      <c r="R54" s="16" t="n">
        <f aca="false">P54/Q54-1</f>
        <v>-0.25244984001131</v>
      </c>
      <c r="S54" s="16" t="n">
        <f aca="false">O54-Benchmark_RF!D54</f>
        <v>0.0705154474401215</v>
      </c>
    </row>
    <row r="55" customFormat="false" ht="15" hidden="false" customHeight="true" outlineLevel="0" collapsed="false">
      <c r="A55" s="1" t="n">
        <v>58</v>
      </c>
      <c r="B55" s="13" t="n">
        <f aca="false">Returns!A59</f>
        <v>43739</v>
      </c>
      <c r="C55" s="17" t="n">
        <f aca="false">IF(Rankings!C59&lt;=2,1,0)</f>
        <v>1</v>
      </c>
      <c r="D55" s="17" t="n">
        <f aca="false">IF(Rankings!D59&lt;=2,1,0)</f>
        <v>0</v>
      </c>
      <c r="E55" s="17" t="n">
        <f aca="false">IF(Rankings!E59&lt;=2,1,0)</f>
        <v>0</v>
      </c>
      <c r="F55" s="17" t="n">
        <f aca="false">IF(Rankings!F59&lt;=2,1,0)</f>
        <v>0</v>
      </c>
      <c r="G55" s="17" t="n">
        <f aca="false">IF(Rankings!G59&lt;=2,1,0)</f>
        <v>1</v>
      </c>
      <c r="H55" s="17" t="n">
        <f aca="false">IF(Rankings!H59&lt;=2,1,0)</f>
        <v>0</v>
      </c>
      <c r="I55" s="17" t="n">
        <f aca="false">IF(Rankings!I59&lt;=2,1,0)</f>
        <v>0</v>
      </c>
      <c r="J55" s="17" t="n">
        <f aca="false">IF(Rankings!J59&lt;=2,1,0)</f>
        <v>0</v>
      </c>
      <c r="K55" s="20" t="n">
        <f aca="false">SUM(C55:J55)</f>
        <v>2</v>
      </c>
      <c r="L55" s="16" t="n">
        <f aca="false">SUMPRODUCT(C55:J55,Returns!B59:I59)/K55</f>
        <v>0.0302491196639181</v>
      </c>
      <c r="M55" s="16" t="n">
        <v>0</v>
      </c>
      <c r="N55" s="16" t="n">
        <v>0</v>
      </c>
      <c r="O55" s="16" t="n">
        <f aca="false">L55+M55+N55</f>
        <v>0.0302491196639181</v>
      </c>
      <c r="P55" s="21" t="n">
        <f aca="false">P54*(1+O55)</f>
        <v>2.42643458819638</v>
      </c>
      <c r="Q55" s="21" t="n">
        <f aca="false">MAX($P$5:P55)</f>
        <v>3.15054724963469</v>
      </c>
      <c r="R55" s="16" t="n">
        <f aca="false">P55/Q55-1</f>
        <v>-0.229837105767031</v>
      </c>
      <c r="S55" s="16" t="n">
        <f aca="false">O55-Benchmark_RF!D55</f>
        <v>0.019825913395138</v>
      </c>
    </row>
    <row r="56" customFormat="false" ht="15" hidden="false" customHeight="true" outlineLevel="0" collapsed="false">
      <c r="A56" s="1" t="n">
        <v>59</v>
      </c>
      <c r="B56" s="13" t="n">
        <f aca="false">Returns!A60</f>
        <v>43770</v>
      </c>
      <c r="C56" s="17" t="n">
        <f aca="false">IF(Rankings!C59&lt;=2,1,0)</f>
        <v>1</v>
      </c>
      <c r="D56" s="17" t="n">
        <f aca="false">IF(Rankings!D59&lt;=2,1,0)</f>
        <v>0</v>
      </c>
      <c r="E56" s="17" t="n">
        <f aca="false">IF(Rankings!E59&lt;=2,1,0)</f>
        <v>0</v>
      </c>
      <c r="F56" s="17" t="n">
        <f aca="false">IF(Rankings!F59&lt;=2,1,0)</f>
        <v>0</v>
      </c>
      <c r="G56" s="17" t="n">
        <f aca="false">IF(Rankings!G59&lt;=2,1,0)</f>
        <v>1</v>
      </c>
      <c r="H56" s="17" t="n">
        <f aca="false">IF(Rankings!H59&lt;=2,1,0)</f>
        <v>0</v>
      </c>
      <c r="I56" s="17" t="n">
        <f aca="false">IF(Rankings!I59&lt;=2,1,0)</f>
        <v>0</v>
      </c>
      <c r="J56" s="17" t="n">
        <f aca="false">IF(Rankings!J59&lt;=2,1,0)</f>
        <v>0</v>
      </c>
      <c r="K56" s="20" t="n">
        <f aca="false">SUM(C56:J56)</f>
        <v>2</v>
      </c>
      <c r="L56" s="16" t="n">
        <f aca="false">SUMPRODUCT(C56:J56,Returns!B60:I60)/K56</f>
        <v>0.112860804578541</v>
      </c>
      <c r="M56" s="16" t="n">
        <v>0</v>
      </c>
      <c r="N56" s="16" t="n">
        <v>0</v>
      </c>
      <c r="O56" s="16" t="n">
        <f aca="false">L56+M56+N56</f>
        <v>0.112860804578541</v>
      </c>
      <c r="P56" s="21" t="n">
        <f aca="false">P55*(1+O56)</f>
        <v>2.70028394807742</v>
      </c>
      <c r="Q56" s="21" t="n">
        <f aca="false">MAX($P$5:P56)</f>
        <v>3.15054724963469</v>
      </c>
      <c r="R56" s="16" t="n">
        <f aca="false">P56/Q56-1</f>
        <v>-0.142915901867361</v>
      </c>
      <c r="S56" s="16" t="n">
        <f aca="false">O56-Benchmark_RF!D56</f>
        <v>0.102281298469584</v>
      </c>
    </row>
    <row r="57" customFormat="false" ht="15" hidden="false" customHeight="true" outlineLevel="0" collapsed="false">
      <c r="A57" s="1" t="n">
        <v>60</v>
      </c>
      <c r="B57" s="13" t="n">
        <f aca="false">Returns!A61</f>
        <v>43800</v>
      </c>
      <c r="C57" s="17" t="n">
        <f aca="false">IF(Rankings!C59&lt;=2,1,0)</f>
        <v>1</v>
      </c>
      <c r="D57" s="17" t="n">
        <f aca="false">IF(Rankings!D59&lt;=2,1,0)</f>
        <v>0</v>
      </c>
      <c r="E57" s="17" t="n">
        <f aca="false">IF(Rankings!E59&lt;=2,1,0)</f>
        <v>0</v>
      </c>
      <c r="F57" s="17" t="n">
        <f aca="false">IF(Rankings!F59&lt;=2,1,0)</f>
        <v>0</v>
      </c>
      <c r="G57" s="17" t="n">
        <f aca="false">IF(Rankings!G59&lt;=2,1,0)</f>
        <v>1</v>
      </c>
      <c r="H57" s="17" t="n">
        <f aca="false">IF(Rankings!H59&lt;=2,1,0)</f>
        <v>0</v>
      </c>
      <c r="I57" s="17" t="n">
        <f aca="false">IF(Rankings!I59&lt;=2,1,0)</f>
        <v>0</v>
      </c>
      <c r="J57" s="17" t="n">
        <f aca="false">IF(Rankings!J59&lt;=2,1,0)</f>
        <v>0</v>
      </c>
      <c r="K57" s="20" t="n">
        <f aca="false">SUM(C57:J57)</f>
        <v>2</v>
      </c>
      <c r="L57" s="16" t="n">
        <f aca="false">SUMPRODUCT(C57:J57,Returns!B61:I61)/K57</f>
        <v>0.0467606829530327</v>
      </c>
      <c r="M57" s="16" t="n">
        <v>0</v>
      </c>
      <c r="N57" s="16" t="n">
        <v>0</v>
      </c>
      <c r="O57" s="16" t="n">
        <f aca="false">L57+M57+N57</f>
        <v>0.0467606829530327</v>
      </c>
      <c r="P57" s="21" t="n">
        <f aca="false">P56*(1+O57)</f>
        <v>2.82655106965663</v>
      </c>
      <c r="Q57" s="21" t="n">
        <f aca="false">MAX($P$5:P57)</f>
        <v>3.15054724963469</v>
      </c>
      <c r="R57" s="16" t="n">
        <f aca="false">P57/Q57-1</f>
        <v>-0.102838064090494</v>
      </c>
      <c r="S57" s="16" t="n">
        <f aca="false">O57-Benchmark_RF!D57</f>
        <v>0.0361920141634016</v>
      </c>
    </row>
    <row r="58" customFormat="false" ht="15" hidden="false" customHeight="true" outlineLevel="0" collapsed="false">
      <c r="A58" s="1" t="n">
        <v>61</v>
      </c>
      <c r="B58" s="13" t="n">
        <f aca="false">Returns!A62</f>
        <v>43831</v>
      </c>
      <c r="C58" s="17" t="n">
        <f aca="false">IF(Rankings!C59&lt;=2,1,0)</f>
        <v>1</v>
      </c>
      <c r="D58" s="17" t="n">
        <f aca="false">IF(Rankings!D59&lt;=2,1,0)</f>
        <v>0</v>
      </c>
      <c r="E58" s="17" t="n">
        <f aca="false">IF(Rankings!E59&lt;=2,1,0)</f>
        <v>0</v>
      </c>
      <c r="F58" s="17" t="n">
        <f aca="false">IF(Rankings!F59&lt;=2,1,0)</f>
        <v>0</v>
      </c>
      <c r="G58" s="17" t="n">
        <f aca="false">IF(Rankings!G59&lt;=2,1,0)</f>
        <v>1</v>
      </c>
      <c r="H58" s="17" t="n">
        <f aca="false">IF(Rankings!H59&lt;=2,1,0)</f>
        <v>0</v>
      </c>
      <c r="I58" s="17" t="n">
        <f aca="false">IF(Rankings!I59&lt;=2,1,0)</f>
        <v>0</v>
      </c>
      <c r="J58" s="17" t="n">
        <f aca="false">IF(Rankings!J59&lt;=2,1,0)</f>
        <v>0</v>
      </c>
      <c r="K58" s="20" t="n">
        <f aca="false">SUM(C58:J58)</f>
        <v>2</v>
      </c>
      <c r="L58" s="16" t="n">
        <f aca="false">SUMPRODUCT(C58:J58,Returns!B62:I62)/K58</f>
        <v>0.0435064162882569</v>
      </c>
      <c r="M58" s="16" t="n">
        <v>0</v>
      </c>
      <c r="N58" s="16" t="n">
        <v>0</v>
      </c>
      <c r="O58" s="16" t="n">
        <f aca="false">L58+M58+N58</f>
        <v>0.0435064162882569</v>
      </c>
      <c r="P58" s="21" t="n">
        <f aca="false">P57*(1+O58)</f>
        <v>2.94952417715313</v>
      </c>
      <c r="Q58" s="21" t="n">
        <f aca="false">MAX($P$5:P58)</f>
        <v>3.15054724963469</v>
      </c>
      <c r="R58" s="16" t="n">
        <f aca="false">P58/Q58-1</f>
        <v>-0.063805763428837</v>
      </c>
      <c r="S58" s="16" t="n">
        <f aca="false">O58-Benchmark_RF!D58</f>
        <v>0.0329805896926996</v>
      </c>
    </row>
    <row r="59" customFormat="false" ht="15" hidden="false" customHeight="true" outlineLevel="0" collapsed="false">
      <c r="A59" s="1" t="n">
        <v>62</v>
      </c>
      <c r="B59" s="13" t="n">
        <f aca="false">Returns!A63</f>
        <v>43862</v>
      </c>
      <c r="C59" s="17" t="n">
        <f aca="false">IF(Rankings!C59&lt;=2,1,0)</f>
        <v>1</v>
      </c>
      <c r="D59" s="17" t="n">
        <f aca="false">IF(Rankings!D59&lt;=2,1,0)</f>
        <v>0</v>
      </c>
      <c r="E59" s="17" t="n">
        <f aca="false">IF(Rankings!E59&lt;=2,1,0)</f>
        <v>0</v>
      </c>
      <c r="F59" s="17" t="n">
        <f aca="false">IF(Rankings!F59&lt;=2,1,0)</f>
        <v>0</v>
      </c>
      <c r="G59" s="17" t="n">
        <f aca="false">IF(Rankings!G59&lt;=2,1,0)</f>
        <v>1</v>
      </c>
      <c r="H59" s="17" t="n">
        <f aca="false">IF(Rankings!H59&lt;=2,1,0)</f>
        <v>0</v>
      </c>
      <c r="I59" s="17" t="n">
        <f aca="false">IF(Rankings!I59&lt;=2,1,0)</f>
        <v>0</v>
      </c>
      <c r="J59" s="17" t="n">
        <f aca="false">IF(Rankings!J59&lt;=2,1,0)</f>
        <v>0</v>
      </c>
      <c r="K59" s="20" t="n">
        <f aca="false">SUM(C59:J59)</f>
        <v>2</v>
      </c>
      <c r="L59" s="16" t="n">
        <f aca="false">SUMPRODUCT(C59:J59,Returns!B63:I63)/K59</f>
        <v>-0.0600288085229744</v>
      </c>
      <c r="M59" s="16" t="n">
        <v>0</v>
      </c>
      <c r="N59" s="16" t="n">
        <v>0</v>
      </c>
      <c r="O59" s="16" t="n">
        <f aca="false">L59+M59+N59</f>
        <v>-0.0600288085229744</v>
      </c>
      <c r="P59" s="21" t="n">
        <f aca="false">P58*(1+O59)</f>
        <v>2.77246775508892</v>
      </c>
      <c r="Q59" s="21" t="n">
        <f aca="false">MAX($P$5:P59)</f>
        <v>3.15054724963469</v>
      </c>
      <c r="R59" s="16" t="n">
        <f aca="false">P59/Q59-1</f>
        <v>-0.120004387996279</v>
      </c>
      <c r="S59" s="16" t="n">
        <f aca="false">O59-Benchmark_RF!D59</f>
        <v>-0.0705491391799338</v>
      </c>
    </row>
    <row r="60" customFormat="false" ht="15" hidden="false" customHeight="true" outlineLevel="0" collapsed="false">
      <c r="A60" s="1" t="n">
        <v>63</v>
      </c>
      <c r="B60" s="13" t="n">
        <f aca="false">Returns!A64</f>
        <v>43891</v>
      </c>
      <c r="C60" s="17" t="n">
        <f aca="false">IF(Rankings!C59&lt;=2,1,0)</f>
        <v>1</v>
      </c>
      <c r="D60" s="17" t="n">
        <f aca="false">IF(Rankings!D59&lt;=2,1,0)</f>
        <v>0</v>
      </c>
      <c r="E60" s="17" t="n">
        <f aca="false">IF(Rankings!E59&lt;=2,1,0)</f>
        <v>0</v>
      </c>
      <c r="F60" s="17" t="n">
        <f aca="false">IF(Rankings!F59&lt;=2,1,0)</f>
        <v>0</v>
      </c>
      <c r="G60" s="17" t="n">
        <f aca="false">IF(Rankings!G59&lt;=2,1,0)</f>
        <v>1</v>
      </c>
      <c r="H60" s="17" t="n">
        <f aca="false">IF(Rankings!H59&lt;=2,1,0)</f>
        <v>0</v>
      </c>
      <c r="I60" s="17" t="n">
        <f aca="false">IF(Rankings!I59&lt;=2,1,0)</f>
        <v>0</v>
      </c>
      <c r="J60" s="17" t="n">
        <f aca="false">IF(Rankings!J59&lt;=2,1,0)</f>
        <v>0</v>
      </c>
      <c r="K60" s="20" t="n">
        <f aca="false">SUM(C60:J60)</f>
        <v>2</v>
      </c>
      <c r="L60" s="16" t="n">
        <f aca="false">SUMPRODUCT(C60:J60,Returns!B64:I64)/K60</f>
        <v>-0.295060942744673</v>
      </c>
      <c r="M60" s="16" t="n">
        <v>0</v>
      </c>
      <c r="N60" s="16" t="n">
        <v>0</v>
      </c>
      <c r="O60" s="16" t="n">
        <f aca="false">L60+M60+N60</f>
        <v>-0.295060942744673</v>
      </c>
      <c r="P60" s="21" t="n">
        <f aca="false">P59*(1+O60)</f>
        <v>1.95442080554318</v>
      </c>
      <c r="Q60" s="21" t="n">
        <f aca="false">MAX($P$5:P60)</f>
        <v>3.15054724963469</v>
      </c>
      <c r="R60" s="16" t="n">
        <f aca="false">P60/Q60-1</f>
        <v>-0.379656722885273</v>
      </c>
      <c r="S60" s="16" t="n">
        <f aca="false">O60-Benchmark_RF!D60</f>
        <v>-0.303960027775466</v>
      </c>
    </row>
    <row r="61" customFormat="false" ht="15" hidden="false" customHeight="true" outlineLevel="0" collapsed="false">
      <c r="A61" s="1" t="n">
        <v>64</v>
      </c>
      <c r="B61" s="13" t="n">
        <f aca="false">Returns!A65</f>
        <v>43922</v>
      </c>
      <c r="C61" s="17" t="n">
        <f aca="false">IF(Rankings!C59&lt;=2,1,0)</f>
        <v>1</v>
      </c>
      <c r="D61" s="17" t="n">
        <f aca="false">IF(Rankings!D59&lt;=2,1,0)</f>
        <v>0</v>
      </c>
      <c r="E61" s="17" t="n">
        <f aca="false">IF(Rankings!E59&lt;=2,1,0)</f>
        <v>0</v>
      </c>
      <c r="F61" s="17" t="n">
        <f aca="false">IF(Rankings!F59&lt;=2,1,0)</f>
        <v>0</v>
      </c>
      <c r="G61" s="17" t="n">
        <f aca="false">IF(Rankings!G59&lt;=2,1,0)</f>
        <v>1</v>
      </c>
      <c r="H61" s="17" t="n">
        <f aca="false">IF(Rankings!H59&lt;=2,1,0)</f>
        <v>0</v>
      </c>
      <c r="I61" s="17" t="n">
        <f aca="false">IF(Rankings!I59&lt;=2,1,0)</f>
        <v>0</v>
      </c>
      <c r="J61" s="17" t="n">
        <f aca="false">IF(Rankings!J59&lt;=2,1,0)</f>
        <v>0</v>
      </c>
      <c r="K61" s="20" t="n">
        <f aca="false">SUM(C61:J61)</f>
        <v>2</v>
      </c>
      <c r="L61" s="16" t="n">
        <f aca="false">SUMPRODUCT(C61:J61,Returns!B65:I65)/K61</f>
        <v>0.318872020209371</v>
      </c>
      <c r="M61" s="16" t="n">
        <v>0</v>
      </c>
      <c r="N61" s="16" t="n">
        <v>0</v>
      </c>
      <c r="O61" s="16" t="n">
        <f aca="false">L61+M61+N61</f>
        <v>0.318872020209371</v>
      </c>
      <c r="P61" s="21" t="n">
        <f aca="false">P60*(1+O61)</f>
        <v>2.57763091614596</v>
      </c>
      <c r="Q61" s="21" t="n">
        <f aca="false">MAX($P$5:P61)</f>
        <v>3.15054724963469</v>
      </c>
      <c r="R61" s="16" t="n">
        <f aca="false">P61/Q61-1</f>
        <v>-0.181846608888398</v>
      </c>
      <c r="S61" s="16" t="n">
        <f aca="false">O61-Benchmark_RF!D61</f>
        <v>0.312271954969011</v>
      </c>
    </row>
    <row r="62" customFormat="false" ht="15" hidden="false" customHeight="true" outlineLevel="0" collapsed="false">
      <c r="A62" s="1" t="n">
        <v>65</v>
      </c>
      <c r="B62" s="13" t="n">
        <f aca="false">Returns!A66</f>
        <v>43952</v>
      </c>
      <c r="C62" s="17" t="n">
        <f aca="false">IF(Rankings!C59&lt;=2,1,0)</f>
        <v>1</v>
      </c>
      <c r="D62" s="17" t="n">
        <f aca="false">IF(Rankings!D59&lt;=2,1,0)</f>
        <v>0</v>
      </c>
      <c r="E62" s="17" t="n">
        <f aca="false">IF(Rankings!E59&lt;=2,1,0)</f>
        <v>0</v>
      </c>
      <c r="F62" s="17" t="n">
        <f aca="false">IF(Rankings!F59&lt;=2,1,0)</f>
        <v>0</v>
      </c>
      <c r="G62" s="17" t="n">
        <f aca="false">IF(Rankings!G59&lt;=2,1,0)</f>
        <v>1</v>
      </c>
      <c r="H62" s="17" t="n">
        <f aca="false">IF(Rankings!H59&lt;=2,1,0)</f>
        <v>0</v>
      </c>
      <c r="I62" s="17" t="n">
        <f aca="false">IF(Rankings!I59&lt;=2,1,0)</f>
        <v>0</v>
      </c>
      <c r="J62" s="17" t="n">
        <f aca="false">IF(Rankings!J59&lt;=2,1,0)</f>
        <v>0</v>
      </c>
      <c r="K62" s="20" t="n">
        <f aca="false">SUM(C62:J62)</f>
        <v>2</v>
      </c>
      <c r="L62" s="16" t="n">
        <f aca="false">SUMPRODUCT(C62:J62,Returns!B66:I66)/K62</f>
        <v>0.0330509545000822</v>
      </c>
      <c r="M62" s="16" t="n">
        <v>0</v>
      </c>
      <c r="N62" s="16" t="n">
        <v>0</v>
      </c>
      <c r="O62" s="16" t="n">
        <f aca="false">L62+M62+N62</f>
        <v>0.0330509545000822</v>
      </c>
      <c r="P62" s="21" t="n">
        <f aca="false">P61*(1+O62)</f>
        <v>2.6628240782735</v>
      </c>
      <c r="Q62" s="21" t="n">
        <f aca="false">MAX($P$5:P62)</f>
        <v>3.15054724963469</v>
      </c>
      <c r="R62" s="16" t="n">
        <f aca="false">P62/Q62-1</f>
        <v>-0.154805858384681</v>
      </c>
      <c r="S62" s="16" t="n">
        <f aca="false">O62-Benchmark_RF!D62</f>
        <v>0.0265232404333796</v>
      </c>
    </row>
    <row r="63" customFormat="false" ht="15" hidden="false" customHeight="true" outlineLevel="0" collapsed="false">
      <c r="A63" s="1" t="n">
        <v>66</v>
      </c>
      <c r="B63" s="13" t="n">
        <f aca="false">Returns!A67</f>
        <v>43983</v>
      </c>
      <c r="C63" s="17" t="n">
        <f aca="false">IF(Rankings!C59&lt;=2,1,0)</f>
        <v>1</v>
      </c>
      <c r="D63" s="17" t="n">
        <f aca="false">IF(Rankings!D59&lt;=2,1,0)</f>
        <v>0</v>
      </c>
      <c r="E63" s="17" t="n">
        <f aca="false">IF(Rankings!E59&lt;=2,1,0)</f>
        <v>0</v>
      </c>
      <c r="F63" s="17" t="n">
        <f aca="false">IF(Rankings!F59&lt;=2,1,0)</f>
        <v>0</v>
      </c>
      <c r="G63" s="17" t="n">
        <f aca="false">IF(Rankings!G59&lt;=2,1,0)</f>
        <v>1</v>
      </c>
      <c r="H63" s="17" t="n">
        <f aca="false">IF(Rankings!H59&lt;=2,1,0)</f>
        <v>0</v>
      </c>
      <c r="I63" s="17" t="n">
        <f aca="false">IF(Rankings!I59&lt;=2,1,0)</f>
        <v>0</v>
      </c>
      <c r="J63" s="17" t="n">
        <f aca="false">IF(Rankings!J59&lt;=2,1,0)</f>
        <v>0</v>
      </c>
      <c r="K63" s="20" t="n">
        <f aca="false">SUM(C63:J63)</f>
        <v>2</v>
      </c>
      <c r="L63" s="16" t="n">
        <f aca="false">SUMPRODUCT(C63:J63,Returns!B67:I67)/K63</f>
        <v>-0.0098465752903466</v>
      </c>
      <c r="M63" s="16" t="n">
        <v>0</v>
      </c>
      <c r="N63" s="16" t="n">
        <v>0</v>
      </c>
      <c r="O63" s="16" t="n">
        <f aca="false">L63+M63+N63</f>
        <v>-0.0098465752903466</v>
      </c>
      <c r="P63" s="21" t="n">
        <f aca="false">P62*(1+O63)</f>
        <v>2.63660438050183</v>
      </c>
      <c r="Q63" s="21" t="n">
        <f aca="false">MAX($P$5:P63)</f>
        <v>3.15054724963469</v>
      </c>
      <c r="R63" s="16" t="n">
        <f aca="false">P63/Q63-1</f>
        <v>-0.163128126135056</v>
      </c>
      <c r="S63" s="16" t="n">
        <f aca="false">O63-Benchmark_RF!D63</f>
        <v>-0.015382221085693</v>
      </c>
    </row>
    <row r="64" customFormat="false" ht="15" hidden="false" customHeight="true" outlineLevel="0" collapsed="false">
      <c r="A64" s="1" t="n">
        <v>67</v>
      </c>
      <c r="B64" s="13" t="n">
        <f aca="false">Returns!A68</f>
        <v>44013</v>
      </c>
      <c r="C64" s="17" t="n">
        <f aca="false">IF(Rankings!C59&lt;=2,1,0)</f>
        <v>1</v>
      </c>
      <c r="D64" s="17" t="n">
        <f aca="false">IF(Rankings!D59&lt;=2,1,0)</f>
        <v>0</v>
      </c>
      <c r="E64" s="17" t="n">
        <f aca="false">IF(Rankings!E59&lt;=2,1,0)</f>
        <v>0</v>
      </c>
      <c r="F64" s="17" t="n">
        <f aca="false">IF(Rankings!F59&lt;=2,1,0)</f>
        <v>0</v>
      </c>
      <c r="G64" s="17" t="n">
        <f aca="false">IF(Rankings!G59&lt;=2,1,0)</f>
        <v>1</v>
      </c>
      <c r="H64" s="17" t="n">
        <f aca="false">IF(Rankings!H59&lt;=2,1,0)</f>
        <v>0</v>
      </c>
      <c r="I64" s="17" t="n">
        <f aca="false">IF(Rankings!I59&lt;=2,1,0)</f>
        <v>0</v>
      </c>
      <c r="J64" s="17" t="n">
        <f aca="false">IF(Rankings!J59&lt;=2,1,0)</f>
        <v>0</v>
      </c>
      <c r="K64" s="20" t="n">
        <f aca="false">SUM(C64:J64)</f>
        <v>2</v>
      </c>
      <c r="L64" s="16" t="n">
        <f aca="false">SUMPRODUCT(C64:J64,Returns!B68:I68)/K64</f>
        <v>0.143320233687408</v>
      </c>
      <c r="M64" s="16" t="n">
        <v>0</v>
      </c>
      <c r="N64" s="16" t="n">
        <v>0</v>
      </c>
      <c r="O64" s="16" t="n">
        <f aca="false">L64+M64+N64</f>
        <v>0.143320233687408</v>
      </c>
      <c r="P64" s="21" t="n">
        <f aca="false">P63*(1+O64)</f>
        <v>3.0144831364566</v>
      </c>
      <c r="Q64" s="21" t="n">
        <f aca="false">MAX($P$5:P64)</f>
        <v>3.15054724963469</v>
      </c>
      <c r="R64" s="16" t="n">
        <f aca="false">P64/Q64-1</f>
        <v>-0.043187453606313</v>
      </c>
      <c r="S64" s="16" t="n">
        <f aca="false">O64-Benchmark_RF!D64</f>
        <v>0.137765297730765</v>
      </c>
    </row>
    <row r="65" customFormat="false" ht="15" hidden="false" customHeight="true" outlineLevel="0" collapsed="false">
      <c r="A65" s="1" t="n">
        <v>68</v>
      </c>
      <c r="B65" s="13" t="n">
        <f aca="false">Returns!A69</f>
        <v>44044</v>
      </c>
      <c r="C65" s="17" t="n">
        <f aca="false">IF(Rankings!C71&lt;=2,1,0)</f>
        <v>0</v>
      </c>
      <c r="D65" s="17" t="n">
        <f aca="false">IF(Rankings!D71&lt;=2,1,0)</f>
        <v>0</v>
      </c>
      <c r="E65" s="17" t="n">
        <f aca="false">IF(Rankings!E71&lt;=2,1,0)</f>
        <v>0</v>
      </c>
      <c r="F65" s="17" t="n">
        <f aca="false">IF(Rankings!F71&lt;=2,1,0)</f>
        <v>1</v>
      </c>
      <c r="G65" s="17" t="n">
        <f aca="false">IF(Rankings!G71&lt;=2,1,0)</f>
        <v>1</v>
      </c>
      <c r="H65" s="17" t="n">
        <f aca="false">IF(Rankings!H71&lt;=2,1,0)</f>
        <v>0</v>
      </c>
      <c r="I65" s="17" t="n">
        <f aca="false">IF(Rankings!I71&lt;=2,1,0)</f>
        <v>0</v>
      </c>
      <c r="J65" s="17" t="n">
        <f aca="false">IF(Rankings!J71&lt;=2,1,0)</f>
        <v>0</v>
      </c>
      <c r="K65" s="20" t="n">
        <f aca="false">SUM(C65:J65)</f>
        <v>2</v>
      </c>
      <c r="L65" s="16" t="n">
        <f aca="false">SUMPRODUCT(C65:J65,Returns!B69:I69)/K65</f>
        <v>0.00914431749514982</v>
      </c>
      <c r="M65" s="16" t="n">
        <f aca="false">-2*Assumptions!$B$13</f>
        <v>-0.007</v>
      </c>
      <c r="N65" s="16" t="n">
        <f aca="false">-Assumptions!$B$16*MAX(0,(1+O53)*(1+O54)*(1+O55)*(1+O56)*(1+O57)*(1+O58)*(1+O59)*(1+O60)*(1+O61)*(1+O62)*(1+O63)*(1+O64)-1)</f>
        <v>-0.0300365756040225</v>
      </c>
      <c r="O65" s="16" t="n">
        <f aca="false">L65+M65+N65</f>
        <v>-0.0278922581088727</v>
      </c>
      <c r="P65" s="21" t="n">
        <f aca="false">P64*(1+O65)</f>
        <v>2.93040239474971</v>
      </c>
      <c r="Q65" s="21" t="n">
        <f aca="false">MAX($P$5:P65)</f>
        <v>3.15054724963469</v>
      </c>
      <c r="R65" s="16" t="n">
        <f aca="false">P65/Q65-1</f>
        <v>-0.0698751161121334</v>
      </c>
      <c r="S65" s="16" t="n">
        <f aca="false">O65-Benchmark_RF!D65</f>
        <v>-0.0336181182901926</v>
      </c>
    </row>
    <row r="66" customFormat="false" ht="15" hidden="false" customHeight="true" outlineLevel="0" collapsed="false">
      <c r="A66" s="1" t="n">
        <v>69</v>
      </c>
      <c r="B66" s="13" t="n">
        <f aca="false">Returns!A70</f>
        <v>44075</v>
      </c>
      <c r="C66" s="17" t="n">
        <f aca="false">IF(Rankings!C71&lt;=2,1,0)</f>
        <v>0</v>
      </c>
      <c r="D66" s="17" t="n">
        <f aca="false">IF(Rankings!D71&lt;=2,1,0)</f>
        <v>0</v>
      </c>
      <c r="E66" s="17" t="n">
        <f aca="false">IF(Rankings!E71&lt;=2,1,0)</f>
        <v>0</v>
      </c>
      <c r="F66" s="17" t="n">
        <f aca="false">IF(Rankings!F71&lt;=2,1,0)</f>
        <v>1</v>
      </c>
      <c r="G66" s="17" t="n">
        <f aca="false">IF(Rankings!G71&lt;=2,1,0)</f>
        <v>1</v>
      </c>
      <c r="H66" s="17" t="n">
        <f aca="false">IF(Rankings!H71&lt;=2,1,0)</f>
        <v>0</v>
      </c>
      <c r="I66" s="17" t="n">
        <f aca="false">IF(Rankings!I71&lt;=2,1,0)</f>
        <v>0</v>
      </c>
      <c r="J66" s="17" t="n">
        <f aca="false">IF(Rankings!J71&lt;=2,1,0)</f>
        <v>0</v>
      </c>
      <c r="K66" s="20" t="n">
        <f aca="false">SUM(C66:J66)</f>
        <v>2</v>
      </c>
      <c r="L66" s="16" t="n">
        <f aca="false">SUMPRODUCT(C66:J66,Returns!B70:I70)/K66</f>
        <v>0.0365182222020717</v>
      </c>
      <c r="M66" s="16" t="n">
        <v>0</v>
      </c>
      <c r="N66" s="16" t="n">
        <v>0</v>
      </c>
      <c r="O66" s="16" t="n">
        <f aca="false">L66+M66+N66</f>
        <v>0.0365182222020717</v>
      </c>
      <c r="P66" s="21" t="n">
        <f aca="false">P65*(1+O66)</f>
        <v>3.03741548054266</v>
      </c>
      <c r="Q66" s="21" t="n">
        <f aca="false">MAX($P$5:P66)</f>
        <v>3.15054724963469</v>
      </c>
      <c r="R66" s="16" t="n">
        <f aca="false">P66/Q66-1</f>
        <v>-0.0359086089266403</v>
      </c>
      <c r="S66" s="16" t="n">
        <f aca="false">O66-Benchmark_RF!D66</f>
        <v>0.0307871187134261</v>
      </c>
    </row>
    <row r="67" customFormat="false" ht="15" hidden="false" customHeight="true" outlineLevel="0" collapsed="false">
      <c r="A67" s="1" t="n">
        <v>70</v>
      </c>
      <c r="B67" s="13" t="n">
        <f aca="false">Returns!A71</f>
        <v>44105</v>
      </c>
      <c r="C67" s="17" t="n">
        <f aca="false">IF(Rankings!C71&lt;=2,1,0)</f>
        <v>0</v>
      </c>
      <c r="D67" s="17" t="n">
        <f aca="false">IF(Rankings!D71&lt;=2,1,0)</f>
        <v>0</v>
      </c>
      <c r="E67" s="17" t="n">
        <f aca="false">IF(Rankings!E71&lt;=2,1,0)</f>
        <v>0</v>
      </c>
      <c r="F67" s="17" t="n">
        <f aca="false">IF(Rankings!F71&lt;=2,1,0)</f>
        <v>1</v>
      </c>
      <c r="G67" s="17" t="n">
        <f aca="false">IF(Rankings!G71&lt;=2,1,0)</f>
        <v>1</v>
      </c>
      <c r="H67" s="17" t="n">
        <f aca="false">IF(Rankings!H71&lt;=2,1,0)</f>
        <v>0</v>
      </c>
      <c r="I67" s="17" t="n">
        <f aca="false">IF(Rankings!I71&lt;=2,1,0)</f>
        <v>0</v>
      </c>
      <c r="J67" s="17" t="n">
        <f aca="false">IF(Rankings!J71&lt;=2,1,0)</f>
        <v>0</v>
      </c>
      <c r="K67" s="20" t="n">
        <f aca="false">SUM(C67:J67)</f>
        <v>2</v>
      </c>
      <c r="L67" s="16" t="n">
        <f aca="false">SUMPRODUCT(C67:J67,Returns!B71:I71)/K67</f>
        <v>-0.00513376022805556</v>
      </c>
      <c r="M67" s="16" t="n">
        <v>0</v>
      </c>
      <c r="N67" s="16" t="n">
        <v>0</v>
      </c>
      <c r="O67" s="16" t="n">
        <f aca="false">L67+M67+N67</f>
        <v>-0.00513376022805556</v>
      </c>
      <c r="P67" s="21" t="n">
        <f aca="false">P66*(1+O67)</f>
        <v>3.02182211775257</v>
      </c>
      <c r="Q67" s="21" t="n">
        <f aca="false">MAX($P$5:P67)</f>
        <v>3.15054724963469</v>
      </c>
      <c r="R67" s="16" t="n">
        <f aca="false">P67/Q67-1</f>
        <v>-0.0408580229663434</v>
      </c>
      <c r="S67" s="16" t="n">
        <f aca="false">O67-Benchmark_RF!D67</f>
        <v>-0.0109115706611594</v>
      </c>
    </row>
    <row r="68" customFormat="false" ht="15" hidden="false" customHeight="true" outlineLevel="0" collapsed="false">
      <c r="A68" s="1" t="n">
        <v>71</v>
      </c>
      <c r="B68" s="13" t="n">
        <f aca="false">Returns!A72</f>
        <v>44136</v>
      </c>
      <c r="C68" s="17" t="n">
        <f aca="false">IF(Rankings!C71&lt;=2,1,0)</f>
        <v>0</v>
      </c>
      <c r="D68" s="17" t="n">
        <f aca="false">IF(Rankings!D71&lt;=2,1,0)</f>
        <v>0</v>
      </c>
      <c r="E68" s="17" t="n">
        <f aca="false">IF(Rankings!E71&lt;=2,1,0)</f>
        <v>0</v>
      </c>
      <c r="F68" s="17" t="n">
        <f aca="false">IF(Rankings!F71&lt;=2,1,0)</f>
        <v>1</v>
      </c>
      <c r="G68" s="17" t="n">
        <f aca="false">IF(Rankings!G71&lt;=2,1,0)</f>
        <v>1</v>
      </c>
      <c r="H68" s="17" t="n">
        <f aca="false">IF(Rankings!H71&lt;=2,1,0)</f>
        <v>0</v>
      </c>
      <c r="I68" s="17" t="n">
        <f aca="false">IF(Rankings!I71&lt;=2,1,0)</f>
        <v>0</v>
      </c>
      <c r="J68" s="17" t="n">
        <f aca="false">IF(Rankings!J71&lt;=2,1,0)</f>
        <v>0</v>
      </c>
      <c r="K68" s="20" t="n">
        <f aca="false">SUM(C68:J68)</f>
        <v>2</v>
      </c>
      <c r="L68" s="16" t="n">
        <f aca="false">SUMPRODUCT(C68:J68,Returns!B72:I72)/K68</f>
        <v>0.0180153167888564</v>
      </c>
      <c r="M68" s="16" t="n">
        <v>0</v>
      </c>
      <c r="N68" s="16" t="n">
        <v>0</v>
      </c>
      <c r="O68" s="16" t="n">
        <f aca="false">L68+M68+N68</f>
        <v>0.0180153167888564</v>
      </c>
      <c r="P68" s="21" t="n">
        <f aca="false">P67*(1+O68)</f>
        <v>3.07626120048345</v>
      </c>
      <c r="Q68" s="21" t="n">
        <f aca="false">MAX($P$5:P68)</f>
        <v>3.15054724963469</v>
      </c>
      <c r="R68" s="16" t="n">
        <f aca="false">P68/Q68-1</f>
        <v>-0.0235787764045922</v>
      </c>
      <c r="S68" s="16" t="n">
        <f aca="false">O68-Benchmark_RF!D68</f>
        <v>0.0122514298831449</v>
      </c>
    </row>
    <row r="69" customFormat="false" ht="15" hidden="false" customHeight="true" outlineLevel="0" collapsed="false">
      <c r="A69" s="1" t="n">
        <v>72</v>
      </c>
      <c r="B69" s="13" t="n">
        <f aca="false">Returns!A73</f>
        <v>44166</v>
      </c>
      <c r="C69" s="17" t="n">
        <f aca="false">IF(Rankings!C71&lt;=2,1,0)</f>
        <v>0</v>
      </c>
      <c r="D69" s="17" t="n">
        <f aca="false">IF(Rankings!D71&lt;=2,1,0)</f>
        <v>0</v>
      </c>
      <c r="E69" s="17" t="n">
        <f aca="false">IF(Rankings!E71&lt;=2,1,0)</f>
        <v>0</v>
      </c>
      <c r="F69" s="17" t="n">
        <f aca="false">IF(Rankings!F71&lt;=2,1,0)</f>
        <v>1</v>
      </c>
      <c r="G69" s="17" t="n">
        <f aca="false">IF(Rankings!G71&lt;=2,1,0)</f>
        <v>1</v>
      </c>
      <c r="H69" s="17" t="n">
        <f aca="false">IF(Rankings!H71&lt;=2,1,0)</f>
        <v>0</v>
      </c>
      <c r="I69" s="17" t="n">
        <f aca="false">IF(Rankings!I71&lt;=2,1,0)</f>
        <v>0</v>
      </c>
      <c r="J69" s="17" t="n">
        <f aca="false">IF(Rankings!J71&lt;=2,1,0)</f>
        <v>0</v>
      </c>
      <c r="K69" s="20" t="n">
        <f aca="false">SUM(C69:J69)</f>
        <v>2</v>
      </c>
      <c r="L69" s="16" t="n">
        <f aca="false">SUMPRODUCT(C69:J69,Returns!B73:I73)/K69</f>
        <v>0.0648823880790932</v>
      </c>
      <c r="M69" s="16" t="n">
        <v>0</v>
      </c>
      <c r="N69" s="16" t="n">
        <v>0</v>
      </c>
      <c r="O69" s="16" t="n">
        <f aca="false">L69+M69+N69</f>
        <v>0.0648823880790932</v>
      </c>
      <c r="P69" s="21" t="n">
        <f aca="false">P68*(1+O69)</f>
        <v>3.27585637352588</v>
      </c>
      <c r="Q69" s="21" t="n">
        <f aca="false">MAX($P$5:P69)</f>
        <v>3.27585637352588</v>
      </c>
      <c r="R69" s="16" t="n">
        <f aca="false">P69/Q69-1</f>
        <v>0</v>
      </c>
      <c r="S69" s="16" t="n">
        <f aca="false">O69-Benchmark_RF!D69</f>
        <v>0.0591429115738946</v>
      </c>
    </row>
    <row r="70" customFormat="false" ht="15" hidden="false" customHeight="true" outlineLevel="0" collapsed="false">
      <c r="A70" s="1" t="n">
        <v>73</v>
      </c>
      <c r="B70" s="13" t="n">
        <f aca="false">Returns!A74</f>
        <v>44197</v>
      </c>
      <c r="C70" s="17" t="n">
        <f aca="false">IF(Rankings!C71&lt;=2,1,0)</f>
        <v>0</v>
      </c>
      <c r="D70" s="17" t="n">
        <f aca="false">IF(Rankings!D71&lt;=2,1,0)</f>
        <v>0</v>
      </c>
      <c r="E70" s="17" t="n">
        <f aca="false">IF(Rankings!E71&lt;=2,1,0)</f>
        <v>0</v>
      </c>
      <c r="F70" s="17" t="n">
        <f aca="false">IF(Rankings!F71&lt;=2,1,0)</f>
        <v>1</v>
      </c>
      <c r="G70" s="17" t="n">
        <f aca="false">IF(Rankings!G71&lt;=2,1,0)</f>
        <v>1</v>
      </c>
      <c r="H70" s="17" t="n">
        <f aca="false">IF(Rankings!H71&lt;=2,1,0)</f>
        <v>0</v>
      </c>
      <c r="I70" s="17" t="n">
        <f aca="false">IF(Rankings!I71&lt;=2,1,0)</f>
        <v>0</v>
      </c>
      <c r="J70" s="17" t="n">
        <f aca="false">IF(Rankings!J71&lt;=2,1,0)</f>
        <v>0</v>
      </c>
      <c r="K70" s="20" t="n">
        <f aca="false">SUM(C70:J70)</f>
        <v>2</v>
      </c>
      <c r="L70" s="16" t="n">
        <f aca="false">SUMPRODUCT(C70:J70,Returns!B74:I74)/K70</f>
        <v>0.0354512772582809</v>
      </c>
      <c r="M70" s="16" t="n">
        <v>0</v>
      </c>
      <c r="N70" s="16" t="n">
        <v>0</v>
      </c>
      <c r="O70" s="16" t="n">
        <f aca="false">L70+M70+N70</f>
        <v>0.0354512772582809</v>
      </c>
      <c r="P70" s="21" t="n">
        <f aca="false">P69*(1+O70)</f>
        <v>3.39198966608205</v>
      </c>
      <c r="Q70" s="21" t="n">
        <f aca="false">MAX($P$5:P70)</f>
        <v>3.39198966608205</v>
      </c>
      <c r="R70" s="16" t="n">
        <f aca="false">P70/Q70-1</f>
        <v>0</v>
      </c>
      <c r="S70" s="16" t="n">
        <f aca="false">O70-Benchmark_RF!D70</f>
        <v>0.0296783945727972</v>
      </c>
    </row>
    <row r="71" customFormat="false" ht="15" hidden="false" customHeight="true" outlineLevel="0" collapsed="false">
      <c r="A71" s="1" t="n">
        <v>74</v>
      </c>
      <c r="B71" s="13" t="n">
        <f aca="false">Returns!A75</f>
        <v>44228</v>
      </c>
      <c r="C71" s="17" t="n">
        <f aca="false">IF(Rankings!C71&lt;=2,1,0)</f>
        <v>0</v>
      </c>
      <c r="D71" s="17" t="n">
        <f aca="false">IF(Rankings!D71&lt;=2,1,0)</f>
        <v>0</v>
      </c>
      <c r="E71" s="17" t="n">
        <f aca="false">IF(Rankings!E71&lt;=2,1,0)</f>
        <v>0</v>
      </c>
      <c r="F71" s="17" t="n">
        <f aca="false">IF(Rankings!F71&lt;=2,1,0)</f>
        <v>1</v>
      </c>
      <c r="G71" s="17" t="n">
        <f aca="false">IF(Rankings!G71&lt;=2,1,0)</f>
        <v>1</v>
      </c>
      <c r="H71" s="17" t="n">
        <f aca="false">IF(Rankings!H71&lt;=2,1,0)</f>
        <v>0</v>
      </c>
      <c r="I71" s="17" t="n">
        <f aca="false">IF(Rankings!I71&lt;=2,1,0)</f>
        <v>0</v>
      </c>
      <c r="J71" s="17" t="n">
        <f aca="false">IF(Rankings!J71&lt;=2,1,0)</f>
        <v>0</v>
      </c>
      <c r="K71" s="20" t="n">
        <f aca="false">SUM(C71:J71)</f>
        <v>2</v>
      </c>
      <c r="L71" s="16" t="n">
        <f aca="false">SUMPRODUCT(C71:J71,Returns!B75:I75)/K71</f>
        <v>0.0836489680223188</v>
      </c>
      <c r="M71" s="16" t="n">
        <v>0</v>
      </c>
      <c r="N71" s="16" t="n">
        <v>0</v>
      </c>
      <c r="O71" s="16" t="n">
        <f aca="false">L71+M71+N71</f>
        <v>0.0836489680223188</v>
      </c>
      <c r="P71" s="21" t="n">
        <f aca="false">P70*(1+O71)</f>
        <v>3.67572610119218</v>
      </c>
      <c r="Q71" s="21" t="n">
        <f aca="false">MAX($P$5:P71)</f>
        <v>3.67572610119218</v>
      </c>
      <c r="R71" s="16" t="n">
        <f aca="false">P71/Q71-1</f>
        <v>0</v>
      </c>
      <c r="S71" s="16" t="n">
        <f aca="false">O71-Benchmark_RF!D71</f>
        <v>0.0778456626925542</v>
      </c>
    </row>
    <row r="72" customFormat="false" ht="15" hidden="false" customHeight="true" outlineLevel="0" collapsed="false">
      <c r="A72" s="1" t="n">
        <v>75</v>
      </c>
      <c r="B72" s="13" t="n">
        <f aca="false">Returns!A76</f>
        <v>44256</v>
      </c>
      <c r="C72" s="17" t="n">
        <f aca="false">IF(Rankings!C71&lt;=2,1,0)</f>
        <v>0</v>
      </c>
      <c r="D72" s="17" t="n">
        <f aca="false">IF(Rankings!D71&lt;=2,1,0)</f>
        <v>0</v>
      </c>
      <c r="E72" s="17" t="n">
        <f aca="false">IF(Rankings!E71&lt;=2,1,0)</f>
        <v>0</v>
      </c>
      <c r="F72" s="17" t="n">
        <f aca="false">IF(Rankings!F71&lt;=2,1,0)</f>
        <v>1</v>
      </c>
      <c r="G72" s="17" t="n">
        <f aca="false">IF(Rankings!G71&lt;=2,1,0)</f>
        <v>1</v>
      </c>
      <c r="H72" s="17" t="n">
        <f aca="false">IF(Rankings!H71&lt;=2,1,0)</f>
        <v>0</v>
      </c>
      <c r="I72" s="17" t="n">
        <f aca="false">IF(Rankings!I71&lt;=2,1,0)</f>
        <v>0</v>
      </c>
      <c r="J72" s="17" t="n">
        <f aca="false">IF(Rankings!J71&lt;=2,1,0)</f>
        <v>0</v>
      </c>
      <c r="K72" s="20" t="n">
        <f aca="false">SUM(C72:J72)</f>
        <v>2</v>
      </c>
      <c r="L72" s="16" t="n">
        <f aca="false">SUMPRODUCT(C72:J72,Returns!B76:I76)/K72</f>
        <v>-0.0671756593943816</v>
      </c>
      <c r="M72" s="16" t="n">
        <v>0</v>
      </c>
      <c r="N72" s="16" t="n">
        <v>0</v>
      </c>
      <c r="O72" s="16" t="n">
        <f aca="false">L72+M72+N72</f>
        <v>-0.0671756593943816</v>
      </c>
      <c r="P72" s="21" t="n">
        <f aca="false">P71*(1+O72)</f>
        <v>3.42880677659146</v>
      </c>
      <c r="Q72" s="21" t="n">
        <f aca="false">MAX($P$5:P72)</f>
        <v>3.67572610119218</v>
      </c>
      <c r="R72" s="16" t="n">
        <f aca="false">P72/Q72-1</f>
        <v>-0.0671756593943816</v>
      </c>
      <c r="S72" s="16" t="n">
        <f aca="false">O72-Benchmark_RF!D72</f>
        <v>-0.0731658144650517</v>
      </c>
    </row>
    <row r="73" customFormat="false" ht="15" hidden="false" customHeight="true" outlineLevel="0" collapsed="false">
      <c r="A73" s="1" t="n">
        <v>76</v>
      </c>
      <c r="B73" s="13" t="n">
        <f aca="false">Returns!A77</f>
        <v>44287</v>
      </c>
      <c r="C73" s="17" t="n">
        <f aca="false">IF(Rankings!C71&lt;=2,1,0)</f>
        <v>0</v>
      </c>
      <c r="D73" s="17" t="n">
        <f aca="false">IF(Rankings!D71&lt;=2,1,0)</f>
        <v>0</v>
      </c>
      <c r="E73" s="17" t="n">
        <f aca="false">IF(Rankings!E71&lt;=2,1,0)</f>
        <v>0</v>
      </c>
      <c r="F73" s="17" t="n">
        <f aca="false">IF(Rankings!F71&lt;=2,1,0)</f>
        <v>1</v>
      </c>
      <c r="G73" s="17" t="n">
        <f aca="false">IF(Rankings!G71&lt;=2,1,0)</f>
        <v>1</v>
      </c>
      <c r="H73" s="17" t="n">
        <f aca="false">IF(Rankings!H71&lt;=2,1,0)</f>
        <v>0</v>
      </c>
      <c r="I73" s="17" t="n">
        <f aca="false">IF(Rankings!I71&lt;=2,1,0)</f>
        <v>0</v>
      </c>
      <c r="J73" s="17" t="n">
        <f aca="false">IF(Rankings!J71&lt;=2,1,0)</f>
        <v>0</v>
      </c>
      <c r="K73" s="20" t="n">
        <f aca="false">SUM(C73:J73)</f>
        <v>2</v>
      </c>
      <c r="L73" s="16" t="n">
        <f aca="false">SUMPRODUCT(C73:J73,Returns!B77:I77)/K73</f>
        <v>-0.0166997034493523</v>
      </c>
      <c r="M73" s="16" t="n">
        <v>0</v>
      </c>
      <c r="N73" s="16" t="n">
        <v>0</v>
      </c>
      <c r="O73" s="16" t="n">
        <f aca="false">L73+M73+N73</f>
        <v>-0.0166997034493523</v>
      </c>
      <c r="P73" s="21" t="n">
        <f aca="false">P72*(1+O73)</f>
        <v>3.37154672023725</v>
      </c>
      <c r="Q73" s="21" t="n">
        <f aca="false">MAX($P$5:P73)</f>
        <v>3.67572610119218</v>
      </c>
      <c r="R73" s="16" t="n">
        <f aca="false">P73/Q73-1</f>
        <v>-0.0827535492528331</v>
      </c>
      <c r="S73" s="16" t="n">
        <f aca="false">O73-Benchmark_RF!D73</f>
        <v>-0.0226481004279783</v>
      </c>
    </row>
    <row r="74" customFormat="false" ht="15" hidden="false" customHeight="true" outlineLevel="0" collapsed="false">
      <c r="A74" s="1" t="n">
        <v>77</v>
      </c>
      <c r="B74" s="13" t="n">
        <f aca="false">Returns!A78</f>
        <v>44317</v>
      </c>
      <c r="C74" s="17" t="n">
        <f aca="false">IF(Rankings!C71&lt;=2,1,0)</f>
        <v>0</v>
      </c>
      <c r="D74" s="17" t="n">
        <f aca="false">IF(Rankings!D71&lt;=2,1,0)</f>
        <v>0</v>
      </c>
      <c r="E74" s="17" t="n">
        <f aca="false">IF(Rankings!E71&lt;=2,1,0)</f>
        <v>0</v>
      </c>
      <c r="F74" s="17" t="n">
        <f aca="false">IF(Rankings!F71&lt;=2,1,0)</f>
        <v>1</v>
      </c>
      <c r="G74" s="17" t="n">
        <f aca="false">IF(Rankings!G71&lt;=2,1,0)</f>
        <v>1</v>
      </c>
      <c r="H74" s="17" t="n">
        <f aca="false">IF(Rankings!H71&lt;=2,1,0)</f>
        <v>0</v>
      </c>
      <c r="I74" s="17" t="n">
        <f aca="false">IF(Rankings!I71&lt;=2,1,0)</f>
        <v>0</v>
      </c>
      <c r="J74" s="17" t="n">
        <f aca="false">IF(Rankings!J71&lt;=2,1,0)</f>
        <v>0</v>
      </c>
      <c r="K74" s="20" t="n">
        <f aca="false">SUM(C74:J74)</f>
        <v>2</v>
      </c>
      <c r="L74" s="16" t="n">
        <f aca="false">SUMPRODUCT(C74:J74,Returns!B78:I78)/K74</f>
        <v>0.0672796027643914</v>
      </c>
      <c r="M74" s="16" t="n">
        <v>0</v>
      </c>
      <c r="N74" s="16" t="n">
        <v>0</v>
      </c>
      <c r="O74" s="16" t="n">
        <f aca="false">L74+M74+N74</f>
        <v>0.0672796027643914</v>
      </c>
      <c r="P74" s="21" t="n">
        <f aca="false">P73*(1+O74)</f>
        <v>3.5983830442764</v>
      </c>
      <c r="Q74" s="21" t="n">
        <f aca="false">MAX($P$5:P74)</f>
        <v>3.67572610119218</v>
      </c>
      <c r="R74" s="16" t="n">
        <f aca="false">P74/Q74-1</f>
        <v>-0.0210415724095159</v>
      </c>
      <c r="S74" s="16" t="n">
        <f aca="false">O74-Benchmark_RF!D74</f>
        <v>0.0613579878307329</v>
      </c>
    </row>
    <row r="75" customFormat="false" ht="15" hidden="false" customHeight="true" outlineLevel="0" collapsed="false">
      <c r="A75" s="1" t="n">
        <v>78</v>
      </c>
      <c r="B75" s="13" t="n">
        <f aca="false">Returns!A79</f>
        <v>44348</v>
      </c>
      <c r="C75" s="17" t="n">
        <f aca="false">IF(Rankings!C71&lt;=2,1,0)</f>
        <v>0</v>
      </c>
      <c r="D75" s="17" t="n">
        <f aca="false">IF(Rankings!D71&lt;=2,1,0)</f>
        <v>0</v>
      </c>
      <c r="E75" s="17" t="n">
        <f aca="false">IF(Rankings!E71&lt;=2,1,0)</f>
        <v>0</v>
      </c>
      <c r="F75" s="17" t="n">
        <f aca="false">IF(Rankings!F71&lt;=2,1,0)</f>
        <v>1</v>
      </c>
      <c r="G75" s="17" t="n">
        <f aca="false">IF(Rankings!G71&lt;=2,1,0)</f>
        <v>1</v>
      </c>
      <c r="H75" s="17" t="n">
        <f aca="false">IF(Rankings!H71&lt;=2,1,0)</f>
        <v>0</v>
      </c>
      <c r="I75" s="17" t="n">
        <f aca="false">IF(Rankings!I71&lt;=2,1,0)</f>
        <v>0</v>
      </c>
      <c r="J75" s="17" t="n">
        <f aca="false">IF(Rankings!J71&lt;=2,1,0)</f>
        <v>0</v>
      </c>
      <c r="K75" s="20" t="n">
        <f aca="false">SUM(C75:J75)</f>
        <v>2</v>
      </c>
      <c r="L75" s="16" t="n">
        <f aca="false">SUMPRODUCT(C75:J75,Returns!B79:I79)/K75</f>
        <v>-0.0510098117793061</v>
      </c>
      <c r="M75" s="16" t="n">
        <v>0</v>
      </c>
      <c r="N75" s="16" t="n">
        <v>0</v>
      </c>
      <c r="O75" s="16" t="n">
        <f aca="false">L75+M75+N75</f>
        <v>-0.0510098117793061</v>
      </c>
      <c r="P75" s="21" t="n">
        <f aca="false">P74*(1+O75)</f>
        <v>3.41483020247802</v>
      </c>
      <c r="Q75" s="21" t="n">
        <f aca="false">MAX($P$5:P75)</f>
        <v>3.67572610119218</v>
      </c>
      <c r="R75" s="16" t="n">
        <f aca="false">P75/Q75-1</f>
        <v>-0.0709780575406719</v>
      </c>
      <c r="S75" s="16" t="n">
        <f aca="false">O75-Benchmark_RF!D75</f>
        <v>-0.0568949499151137</v>
      </c>
    </row>
    <row r="76" customFormat="false" ht="15" hidden="false" customHeight="true" outlineLevel="0" collapsed="false">
      <c r="A76" s="1" t="n">
        <v>79</v>
      </c>
      <c r="B76" s="13" t="n">
        <f aca="false">Returns!A80</f>
        <v>44378</v>
      </c>
      <c r="C76" s="17" t="n">
        <f aca="false">IF(Rankings!C71&lt;=2,1,0)</f>
        <v>0</v>
      </c>
      <c r="D76" s="17" t="n">
        <f aca="false">IF(Rankings!D71&lt;=2,1,0)</f>
        <v>0</v>
      </c>
      <c r="E76" s="17" t="n">
        <f aca="false">IF(Rankings!E71&lt;=2,1,0)</f>
        <v>0</v>
      </c>
      <c r="F76" s="17" t="n">
        <f aca="false">IF(Rankings!F71&lt;=2,1,0)</f>
        <v>1</v>
      </c>
      <c r="G76" s="17" t="n">
        <f aca="false">IF(Rankings!G71&lt;=2,1,0)</f>
        <v>1</v>
      </c>
      <c r="H76" s="17" t="n">
        <f aca="false">IF(Rankings!H71&lt;=2,1,0)</f>
        <v>0</v>
      </c>
      <c r="I76" s="17" t="n">
        <f aca="false">IF(Rankings!I71&lt;=2,1,0)</f>
        <v>0</v>
      </c>
      <c r="J76" s="17" t="n">
        <f aca="false">IF(Rankings!J71&lt;=2,1,0)</f>
        <v>0</v>
      </c>
      <c r="K76" s="20" t="n">
        <f aca="false">SUM(C76:J76)</f>
        <v>2</v>
      </c>
      <c r="L76" s="16" t="n">
        <f aca="false">SUMPRODUCT(C76:J76,Returns!B80:I80)/K76</f>
        <v>0.0135446677694689</v>
      </c>
      <c r="M76" s="16" t="n">
        <v>0</v>
      </c>
      <c r="N76" s="16" t="n">
        <v>0</v>
      </c>
      <c r="O76" s="16" t="n">
        <f aca="false">L76+M76+N76</f>
        <v>0.0135446677694689</v>
      </c>
      <c r="P76" s="21" t="n">
        <f aca="false">P75*(1+O76)</f>
        <v>3.46108294305973</v>
      </c>
      <c r="Q76" s="21" t="n">
        <f aca="false">MAX($P$5:P76)</f>
        <v>3.67572610119218</v>
      </c>
      <c r="R76" s="16" t="n">
        <f aca="false">P76/Q76-1</f>
        <v>-0.0583947639795136</v>
      </c>
      <c r="S76" s="16" t="n">
        <f aca="false">O76-Benchmark_RF!D76</f>
        <v>0.00770860489531622</v>
      </c>
    </row>
    <row r="77" customFormat="false" ht="15" hidden="false" customHeight="true" outlineLevel="0" collapsed="false">
      <c r="A77" s="1" t="n">
        <v>80</v>
      </c>
      <c r="B77" s="13" t="n">
        <f aca="false">Returns!A81</f>
        <v>44409</v>
      </c>
      <c r="C77" s="17" t="n">
        <f aca="false">IF(Rankings!C83&lt;=2,1,0)</f>
        <v>0</v>
      </c>
      <c r="D77" s="17" t="n">
        <f aca="false">IF(Rankings!D83&lt;=2,1,0)</f>
        <v>1</v>
      </c>
      <c r="E77" s="17" t="n">
        <f aca="false">IF(Rankings!E83&lt;=2,1,0)</f>
        <v>0</v>
      </c>
      <c r="F77" s="17" t="n">
        <f aca="false">IF(Rankings!F83&lt;=2,1,0)</f>
        <v>1</v>
      </c>
      <c r="G77" s="17" t="n">
        <f aca="false">IF(Rankings!G83&lt;=2,1,0)</f>
        <v>0</v>
      </c>
      <c r="H77" s="17" t="n">
        <f aca="false">IF(Rankings!H83&lt;=2,1,0)</f>
        <v>0</v>
      </c>
      <c r="I77" s="17" t="n">
        <f aca="false">IF(Rankings!I83&lt;=2,1,0)</f>
        <v>0</v>
      </c>
      <c r="J77" s="17" t="n">
        <f aca="false">IF(Rankings!J83&lt;=2,1,0)</f>
        <v>0</v>
      </c>
      <c r="K77" s="20" t="n">
        <f aca="false">SUM(C77:J77)</f>
        <v>2</v>
      </c>
      <c r="L77" s="16" t="n">
        <f aca="false">SUMPRODUCT(C77:J77,Returns!B81:I81)/K77</f>
        <v>0.126598821780837</v>
      </c>
      <c r="M77" s="16" t="n">
        <f aca="false">-2*Assumptions!$B$13</f>
        <v>-0.007</v>
      </c>
      <c r="N77" s="16" t="n">
        <f aca="false">-Assumptions!$B$16*MAX(0,(1+O65)*(1+O66)*(1+O67)*(1+O68)*(1+O69)*(1+O70)*(1+O71)*(1+O72)*(1+O73)*(1+O74)*(1+O75)*(1+O76)-1)</f>
        <v>-0.0222227055047366</v>
      </c>
      <c r="O77" s="16" t="n">
        <f aca="false">L77+M77+N77</f>
        <v>0.0973761162761</v>
      </c>
      <c r="P77" s="21" t="n">
        <f aca="false">P76*(1+O77)</f>
        <v>3.79810975816434</v>
      </c>
      <c r="Q77" s="21" t="n">
        <f aca="false">MAX($P$5:P77)</f>
        <v>3.79810975816434</v>
      </c>
      <c r="R77" s="16" t="n">
        <f aca="false">P77/Q77-1</f>
        <v>0</v>
      </c>
      <c r="S77" s="16" t="n">
        <f aca="false">O77-Benchmark_RF!D77</f>
        <v>0.0915425547575883</v>
      </c>
    </row>
    <row r="78" customFormat="false" ht="15" hidden="false" customHeight="true" outlineLevel="0" collapsed="false">
      <c r="A78" s="1" t="n">
        <v>81</v>
      </c>
      <c r="B78" s="13" t="n">
        <f aca="false">Returns!A82</f>
        <v>44440</v>
      </c>
      <c r="C78" s="17" t="n">
        <f aca="false">IF(Rankings!C83&lt;=2,1,0)</f>
        <v>0</v>
      </c>
      <c r="D78" s="17" t="n">
        <f aca="false">IF(Rankings!D83&lt;=2,1,0)</f>
        <v>1</v>
      </c>
      <c r="E78" s="17" t="n">
        <f aca="false">IF(Rankings!E83&lt;=2,1,0)</f>
        <v>0</v>
      </c>
      <c r="F78" s="17" t="n">
        <f aca="false">IF(Rankings!F83&lt;=2,1,0)</f>
        <v>1</v>
      </c>
      <c r="G78" s="17" t="n">
        <f aca="false">IF(Rankings!G83&lt;=2,1,0)</f>
        <v>0</v>
      </c>
      <c r="H78" s="17" t="n">
        <f aca="false">IF(Rankings!H83&lt;=2,1,0)</f>
        <v>0</v>
      </c>
      <c r="I78" s="17" t="n">
        <f aca="false">IF(Rankings!I83&lt;=2,1,0)</f>
        <v>0</v>
      </c>
      <c r="J78" s="17" t="n">
        <f aca="false">IF(Rankings!J83&lt;=2,1,0)</f>
        <v>0</v>
      </c>
      <c r="K78" s="20" t="n">
        <f aca="false">SUM(C78:J78)</f>
        <v>2</v>
      </c>
      <c r="L78" s="16" t="n">
        <f aca="false">SUMPRODUCT(C78:J78,Returns!B82:I82)/K78</f>
        <v>-0.0142434579757816</v>
      </c>
      <c r="M78" s="16" t="n">
        <v>0</v>
      </c>
      <c r="N78" s="16" t="n">
        <v>0</v>
      </c>
      <c r="O78" s="16" t="n">
        <f aca="false">L78+M78+N78</f>
        <v>-0.0142434579757816</v>
      </c>
      <c r="P78" s="21" t="n">
        <f aca="false">P77*(1+O78)</f>
        <v>3.74401154143652</v>
      </c>
      <c r="Q78" s="21" t="n">
        <f aca="false">MAX($P$5:P78)</f>
        <v>3.79810975816434</v>
      </c>
      <c r="R78" s="16" t="n">
        <f aca="false">P78/Q78-1</f>
        <v>-0.0142434579757815</v>
      </c>
      <c r="S78" s="16" t="n">
        <f aca="false">O78-Benchmark_RF!D78</f>
        <v>-0.0203438096507649</v>
      </c>
    </row>
    <row r="79" customFormat="false" ht="15" hidden="false" customHeight="true" outlineLevel="0" collapsed="false">
      <c r="A79" s="1" t="n">
        <v>82</v>
      </c>
      <c r="B79" s="13" t="n">
        <f aca="false">Returns!A83</f>
        <v>44470</v>
      </c>
      <c r="C79" s="17" t="n">
        <f aca="false">IF(Rankings!C83&lt;=2,1,0)</f>
        <v>0</v>
      </c>
      <c r="D79" s="17" t="n">
        <f aca="false">IF(Rankings!D83&lt;=2,1,0)</f>
        <v>1</v>
      </c>
      <c r="E79" s="17" t="n">
        <f aca="false">IF(Rankings!E83&lt;=2,1,0)</f>
        <v>0</v>
      </c>
      <c r="F79" s="17" t="n">
        <f aca="false">IF(Rankings!F83&lt;=2,1,0)</f>
        <v>1</v>
      </c>
      <c r="G79" s="17" t="n">
        <f aca="false">IF(Rankings!G83&lt;=2,1,0)</f>
        <v>0</v>
      </c>
      <c r="H79" s="17" t="n">
        <f aca="false">IF(Rankings!H83&lt;=2,1,0)</f>
        <v>0</v>
      </c>
      <c r="I79" s="17" t="n">
        <f aca="false">IF(Rankings!I83&lt;=2,1,0)</f>
        <v>0</v>
      </c>
      <c r="J79" s="17" t="n">
        <f aca="false">IF(Rankings!J83&lt;=2,1,0)</f>
        <v>0</v>
      </c>
      <c r="K79" s="20" t="n">
        <f aca="false">SUM(C79:J79)</f>
        <v>2</v>
      </c>
      <c r="L79" s="16" t="n">
        <f aca="false">SUMPRODUCT(C79:J79,Returns!B83:I83)/K79</f>
        <v>0.0113119844346098</v>
      </c>
      <c r="M79" s="16" t="n">
        <v>0</v>
      </c>
      <c r="N79" s="16" t="n">
        <v>0</v>
      </c>
      <c r="O79" s="16" t="n">
        <f aca="false">L79+M79+N79</f>
        <v>0.0113119844346098</v>
      </c>
      <c r="P79" s="21" t="n">
        <f aca="false">P78*(1+O79)</f>
        <v>3.78636374171625</v>
      </c>
      <c r="Q79" s="21" t="n">
        <f aca="false">MAX($P$5:P79)</f>
        <v>3.79810975816434</v>
      </c>
      <c r="R79" s="16" t="n">
        <f aca="false">P79/Q79-1</f>
        <v>-0.00309259531608863</v>
      </c>
      <c r="S79" s="16" t="n">
        <f aca="false">O79-Benchmark_RF!D79</f>
        <v>0.0047423105756545</v>
      </c>
    </row>
    <row r="80" customFormat="false" ht="15" hidden="false" customHeight="true" outlineLevel="0" collapsed="false">
      <c r="A80" s="1" t="n">
        <v>83</v>
      </c>
      <c r="B80" s="13" t="n">
        <f aca="false">Returns!A84</f>
        <v>44501</v>
      </c>
      <c r="C80" s="17" t="n">
        <f aca="false">IF(Rankings!C83&lt;=2,1,0)</f>
        <v>0</v>
      </c>
      <c r="D80" s="17" t="n">
        <f aca="false">IF(Rankings!D83&lt;=2,1,0)</f>
        <v>1</v>
      </c>
      <c r="E80" s="17" t="n">
        <f aca="false">IF(Rankings!E83&lt;=2,1,0)</f>
        <v>0</v>
      </c>
      <c r="F80" s="17" t="n">
        <f aca="false">IF(Rankings!F83&lt;=2,1,0)</f>
        <v>1</v>
      </c>
      <c r="G80" s="17" t="n">
        <f aca="false">IF(Rankings!G83&lt;=2,1,0)</f>
        <v>0</v>
      </c>
      <c r="H80" s="17" t="n">
        <f aca="false">IF(Rankings!H83&lt;=2,1,0)</f>
        <v>0</v>
      </c>
      <c r="I80" s="17" t="n">
        <f aca="false">IF(Rankings!I83&lt;=2,1,0)</f>
        <v>0</v>
      </c>
      <c r="J80" s="17" t="n">
        <f aca="false">IF(Rankings!J83&lt;=2,1,0)</f>
        <v>0</v>
      </c>
      <c r="K80" s="20" t="n">
        <f aca="false">SUM(C80:J80)</f>
        <v>2</v>
      </c>
      <c r="L80" s="16" t="n">
        <f aca="false">SUMPRODUCT(C80:J80,Returns!B84:I84)/K80</f>
        <v>0.0387859040487684</v>
      </c>
      <c r="M80" s="16" t="n">
        <v>0</v>
      </c>
      <c r="N80" s="16" t="n">
        <v>0</v>
      </c>
      <c r="O80" s="16" t="n">
        <f aca="false">L80+M80+N80</f>
        <v>0.0387859040487684</v>
      </c>
      <c r="P80" s="21" t="n">
        <f aca="false">P79*(1+O80)</f>
        <v>3.93322128249619</v>
      </c>
      <c r="Q80" s="21" t="n">
        <f aca="false">MAX($P$5:P80)</f>
        <v>3.93322128249619</v>
      </c>
      <c r="R80" s="16" t="n">
        <f aca="false">P80/Q80-1</f>
        <v>0</v>
      </c>
      <c r="S80" s="16" t="n">
        <f aca="false">O80-Benchmark_RF!D80</f>
        <v>0.031964178696581</v>
      </c>
    </row>
    <row r="81" customFormat="false" ht="15" hidden="false" customHeight="true" outlineLevel="0" collapsed="false">
      <c r="A81" s="1" t="n">
        <v>84</v>
      </c>
      <c r="B81" s="13" t="n">
        <f aca="false">Returns!A85</f>
        <v>44531</v>
      </c>
      <c r="C81" s="17" t="n">
        <f aca="false">IF(Rankings!C83&lt;=2,1,0)</f>
        <v>0</v>
      </c>
      <c r="D81" s="17" t="n">
        <f aca="false">IF(Rankings!D83&lt;=2,1,0)</f>
        <v>1</v>
      </c>
      <c r="E81" s="17" t="n">
        <f aca="false">IF(Rankings!E83&lt;=2,1,0)</f>
        <v>0</v>
      </c>
      <c r="F81" s="17" t="n">
        <f aca="false">IF(Rankings!F83&lt;=2,1,0)</f>
        <v>1</v>
      </c>
      <c r="G81" s="17" t="n">
        <f aca="false">IF(Rankings!G83&lt;=2,1,0)</f>
        <v>0</v>
      </c>
      <c r="H81" s="17" t="n">
        <f aca="false">IF(Rankings!H83&lt;=2,1,0)</f>
        <v>0</v>
      </c>
      <c r="I81" s="17" t="n">
        <f aca="false">IF(Rankings!I83&lt;=2,1,0)</f>
        <v>0</v>
      </c>
      <c r="J81" s="17" t="n">
        <f aca="false">IF(Rankings!J83&lt;=2,1,0)</f>
        <v>0</v>
      </c>
      <c r="K81" s="20" t="n">
        <f aca="false">SUM(C81:J81)</f>
        <v>2</v>
      </c>
      <c r="L81" s="16" t="n">
        <f aca="false">SUMPRODUCT(C81:J81,Returns!B85:I85)/K81</f>
        <v>-0.0615688328360525</v>
      </c>
      <c r="M81" s="16" t="n">
        <v>0</v>
      </c>
      <c r="N81" s="16" t="n">
        <v>0</v>
      </c>
      <c r="O81" s="16" t="n">
        <f aca="false">L81+M81+N81</f>
        <v>-0.0615688328360525</v>
      </c>
      <c r="P81" s="21" t="n">
        <f aca="false">P80*(1+O81)</f>
        <v>3.69105743884698</v>
      </c>
      <c r="Q81" s="21" t="n">
        <f aca="false">MAX($P$5:P81)</f>
        <v>3.93322128249619</v>
      </c>
      <c r="R81" s="16" t="n">
        <f aca="false">P81/Q81-1</f>
        <v>-0.0615688328360524</v>
      </c>
      <c r="S81" s="16" t="n">
        <f aca="false">O81-Benchmark_RF!D81</f>
        <v>-0.0698382458474152</v>
      </c>
    </row>
    <row r="82" customFormat="false" ht="15" hidden="false" customHeight="true" outlineLevel="0" collapsed="false">
      <c r="A82" s="1" t="n">
        <v>85</v>
      </c>
      <c r="B82" s="13" t="n">
        <f aca="false">Returns!A86</f>
        <v>44562</v>
      </c>
      <c r="C82" s="17" t="n">
        <f aca="false">IF(Rankings!C83&lt;=2,1,0)</f>
        <v>0</v>
      </c>
      <c r="D82" s="17" t="n">
        <f aca="false">IF(Rankings!D83&lt;=2,1,0)</f>
        <v>1</v>
      </c>
      <c r="E82" s="17" t="n">
        <f aca="false">IF(Rankings!E83&lt;=2,1,0)</f>
        <v>0</v>
      </c>
      <c r="F82" s="17" t="n">
        <f aca="false">IF(Rankings!F83&lt;=2,1,0)</f>
        <v>1</v>
      </c>
      <c r="G82" s="17" t="n">
        <f aca="false">IF(Rankings!G83&lt;=2,1,0)</f>
        <v>0</v>
      </c>
      <c r="H82" s="17" t="n">
        <f aca="false">IF(Rankings!H83&lt;=2,1,0)</f>
        <v>0</v>
      </c>
      <c r="I82" s="17" t="n">
        <f aca="false">IF(Rankings!I83&lt;=2,1,0)</f>
        <v>0</v>
      </c>
      <c r="J82" s="17" t="n">
        <f aca="false">IF(Rankings!J83&lt;=2,1,0)</f>
        <v>0</v>
      </c>
      <c r="K82" s="20" t="n">
        <f aca="false">SUM(C82:J82)</f>
        <v>2</v>
      </c>
      <c r="L82" s="16" t="n">
        <f aca="false">SUMPRODUCT(C82:J82,Returns!B86:I86)/K82</f>
        <v>0.0363397946731227</v>
      </c>
      <c r="M82" s="16" t="n">
        <v>0</v>
      </c>
      <c r="N82" s="16" t="n">
        <v>0</v>
      </c>
      <c r="O82" s="16" t="n">
        <f aca="false">L82+M82+N82</f>
        <v>0.0363397946731227</v>
      </c>
      <c r="P82" s="21" t="n">
        <f aca="false">P81*(1+O82)</f>
        <v>3.82518970830138</v>
      </c>
      <c r="Q82" s="21" t="n">
        <f aca="false">MAX($P$5:P82)</f>
        <v>3.93322128249619</v>
      </c>
      <c r="R82" s="16" t="n">
        <f aca="false">P82/Q82-1</f>
        <v>-0.0274664369064556</v>
      </c>
      <c r="S82" s="16" t="n">
        <f aca="false">O82-Benchmark_RF!D82</f>
        <v>0.0282107710010874</v>
      </c>
    </row>
    <row r="83" customFormat="false" ht="15" hidden="false" customHeight="true" outlineLevel="0" collapsed="false">
      <c r="A83" s="1" t="n">
        <v>86</v>
      </c>
      <c r="B83" s="13" t="n">
        <f aca="false">Returns!A87</f>
        <v>44593</v>
      </c>
      <c r="C83" s="17" t="n">
        <f aca="false">IF(Rankings!C83&lt;=2,1,0)</f>
        <v>0</v>
      </c>
      <c r="D83" s="17" t="n">
        <f aca="false">IF(Rankings!D83&lt;=2,1,0)</f>
        <v>1</v>
      </c>
      <c r="E83" s="17" t="n">
        <f aca="false">IF(Rankings!E83&lt;=2,1,0)</f>
        <v>0</v>
      </c>
      <c r="F83" s="17" t="n">
        <f aca="false">IF(Rankings!F83&lt;=2,1,0)</f>
        <v>1</v>
      </c>
      <c r="G83" s="17" t="n">
        <f aca="false">IF(Rankings!G83&lt;=2,1,0)</f>
        <v>0</v>
      </c>
      <c r="H83" s="17" t="n">
        <f aca="false">IF(Rankings!H83&lt;=2,1,0)</f>
        <v>0</v>
      </c>
      <c r="I83" s="17" t="n">
        <f aca="false">IF(Rankings!I83&lt;=2,1,0)</f>
        <v>0</v>
      </c>
      <c r="J83" s="17" t="n">
        <f aca="false">IF(Rankings!J83&lt;=2,1,0)</f>
        <v>0</v>
      </c>
      <c r="K83" s="20" t="n">
        <f aca="false">SUM(C83:J83)</f>
        <v>2</v>
      </c>
      <c r="L83" s="16" t="n">
        <f aca="false">SUMPRODUCT(C83:J83,Returns!B87:I87)/K83</f>
        <v>-0.00252898408077201</v>
      </c>
      <c r="M83" s="16" t="n">
        <v>0</v>
      </c>
      <c r="N83" s="16" t="n">
        <v>0</v>
      </c>
      <c r="O83" s="16" t="n">
        <f aca="false">L83+M83+N83</f>
        <v>-0.00252898408077201</v>
      </c>
      <c r="P83" s="21" t="n">
        <f aca="false">P82*(1+O83)</f>
        <v>3.81551586442315</v>
      </c>
      <c r="Q83" s="21" t="n">
        <f aca="false">MAX($P$5:P83)</f>
        <v>3.93322128249619</v>
      </c>
      <c r="R83" s="16" t="n">
        <f aca="false">P83/Q83-1</f>
        <v>-0.0299259588055357</v>
      </c>
      <c r="S83" s="16" t="n">
        <f aca="false">O83-Benchmark_RF!D83</f>
        <v>-0.0107955807550645</v>
      </c>
    </row>
    <row r="84" customFormat="false" ht="15" hidden="false" customHeight="true" outlineLevel="0" collapsed="false">
      <c r="A84" s="1" t="n">
        <v>87</v>
      </c>
      <c r="B84" s="13" t="n">
        <f aca="false">Returns!A88</f>
        <v>44621</v>
      </c>
      <c r="C84" s="17" t="n">
        <f aca="false">IF(Rankings!C83&lt;=2,1,0)</f>
        <v>0</v>
      </c>
      <c r="D84" s="17" t="n">
        <f aca="false">IF(Rankings!D83&lt;=2,1,0)</f>
        <v>1</v>
      </c>
      <c r="E84" s="17" t="n">
        <f aca="false">IF(Rankings!E83&lt;=2,1,0)</f>
        <v>0</v>
      </c>
      <c r="F84" s="17" t="n">
        <f aca="false">IF(Rankings!F83&lt;=2,1,0)</f>
        <v>1</v>
      </c>
      <c r="G84" s="17" t="n">
        <f aca="false">IF(Rankings!G83&lt;=2,1,0)</f>
        <v>0</v>
      </c>
      <c r="H84" s="17" t="n">
        <f aca="false">IF(Rankings!H83&lt;=2,1,0)</f>
        <v>0</v>
      </c>
      <c r="I84" s="17" t="n">
        <f aca="false">IF(Rankings!I83&lt;=2,1,0)</f>
        <v>0</v>
      </c>
      <c r="J84" s="17" t="n">
        <f aca="false">IF(Rankings!J83&lt;=2,1,0)</f>
        <v>0</v>
      </c>
      <c r="K84" s="20" t="n">
        <f aca="false">SUM(C84:J84)</f>
        <v>2</v>
      </c>
      <c r="L84" s="16" t="n">
        <f aca="false">SUMPRODUCT(C84:J84,Returns!B88:I88)/K84</f>
        <v>-0.0680346918357956</v>
      </c>
      <c r="M84" s="16" t="n">
        <v>0</v>
      </c>
      <c r="N84" s="16" t="n">
        <v>0</v>
      </c>
      <c r="O84" s="16" t="n">
        <f aca="false">L84+M84+N84</f>
        <v>-0.0680346918357956</v>
      </c>
      <c r="P84" s="21" t="n">
        <f aca="false">P83*(1+O84)</f>
        <v>3.55592841839254</v>
      </c>
      <c r="Q84" s="21" t="n">
        <f aca="false">MAX($P$5:P84)</f>
        <v>3.93322128249619</v>
      </c>
      <c r="R84" s="16" t="n">
        <f aca="false">P84/Q84-1</f>
        <v>-0.0959246472561059</v>
      </c>
      <c r="S84" s="16" t="n">
        <f aca="false">O84-Benchmark_RF!D84</f>
        <v>-0.0773359670422852</v>
      </c>
    </row>
    <row r="85" customFormat="false" ht="15" hidden="false" customHeight="true" outlineLevel="0" collapsed="false">
      <c r="A85" s="1" t="n">
        <v>88</v>
      </c>
      <c r="B85" s="13" t="n">
        <f aca="false">Returns!A89</f>
        <v>44652</v>
      </c>
      <c r="C85" s="17" t="n">
        <f aca="false">IF(Rankings!C83&lt;=2,1,0)</f>
        <v>0</v>
      </c>
      <c r="D85" s="17" t="n">
        <f aca="false">IF(Rankings!D83&lt;=2,1,0)</f>
        <v>1</v>
      </c>
      <c r="E85" s="17" t="n">
        <f aca="false">IF(Rankings!E83&lt;=2,1,0)</f>
        <v>0</v>
      </c>
      <c r="F85" s="17" t="n">
        <f aca="false">IF(Rankings!F83&lt;=2,1,0)</f>
        <v>1</v>
      </c>
      <c r="G85" s="17" t="n">
        <f aca="false">IF(Rankings!G83&lt;=2,1,0)</f>
        <v>0</v>
      </c>
      <c r="H85" s="17" t="n">
        <f aca="false">IF(Rankings!H83&lt;=2,1,0)</f>
        <v>0</v>
      </c>
      <c r="I85" s="17" t="n">
        <f aca="false">IF(Rankings!I83&lt;=2,1,0)</f>
        <v>0</v>
      </c>
      <c r="J85" s="17" t="n">
        <f aca="false">IF(Rankings!J83&lt;=2,1,0)</f>
        <v>0</v>
      </c>
      <c r="K85" s="20" t="n">
        <f aca="false">SUM(C85:J85)</f>
        <v>2</v>
      </c>
      <c r="L85" s="16" t="n">
        <f aca="false">SUMPRODUCT(C85:J85,Returns!B89:I89)/K85</f>
        <v>0.0541924019407845</v>
      </c>
      <c r="M85" s="16" t="n">
        <v>0</v>
      </c>
      <c r="N85" s="16" t="n">
        <v>0</v>
      </c>
      <c r="O85" s="16" t="n">
        <f aca="false">L85+M85+N85</f>
        <v>0.0541924019407845</v>
      </c>
      <c r="P85" s="21" t="n">
        <f aca="false">P84*(1+O85)</f>
        <v>3.74863272051472</v>
      </c>
      <c r="Q85" s="21" t="n">
        <f aca="false">MAX($P$5:P85)</f>
        <v>3.93322128249619</v>
      </c>
      <c r="R85" s="16" t="n">
        <f aca="false">P85/Q85-1</f>
        <v>-0.0469306323554524</v>
      </c>
      <c r="S85" s="16" t="n">
        <f aca="false">O85-Benchmark_RF!D85</f>
        <v>0.0430705870334338</v>
      </c>
    </row>
    <row r="86" customFormat="false" ht="15" hidden="false" customHeight="true" outlineLevel="0" collapsed="false">
      <c r="A86" s="1" t="n">
        <v>89</v>
      </c>
      <c r="B86" s="13" t="n">
        <f aca="false">Returns!A90</f>
        <v>44682</v>
      </c>
      <c r="C86" s="17" t="n">
        <f aca="false">IF(Rankings!C83&lt;=2,1,0)</f>
        <v>0</v>
      </c>
      <c r="D86" s="17" t="n">
        <f aca="false">IF(Rankings!D83&lt;=2,1,0)</f>
        <v>1</v>
      </c>
      <c r="E86" s="17" t="n">
        <f aca="false">IF(Rankings!E83&lt;=2,1,0)</f>
        <v>0</v>
      </c>
      <c r="F86" s="17" t="n">
        <f aca="false">IF(Rankings!F83&lt;=2,1,0)</f>
        <v>1</v>
      </c>
      <c r="G86" s="17" t="n">
        <f aca="false">IF(Rankings!G83&lt;=2,1,0)</f>
        <v>0</v>
      </c>
      <c r="H86" s="17" t="n">
        <f aca="false">IF(Rankings!H83&lt;=2,1,0)</f>
        <v>0</v>
      </c>
      <c r="I86" s="17" t="n">
        <f aca="false">IF(Rankings!I83&lt;=2,1,0)</f>
        <v>0</v>
      </c>
      <c r="J86" s="17" t="n">
        <f aca="false">IF(Rankings!J83&lt;=2,1,0)</f>
        <v>0</v>
      </c>
      <c r="K86" s="20" t="n">
        <f aca="false">SUM(C86:J86)</f>
        <v>2</v>
      </c>
      <c r="L86" s="16" t="n">
        <f aca="false">SUMPRODUCT(C86:J86,Returns!B90:I90)/K86</f>
        <v>-0.0903516442870488</v>
      </c>
      <c r="M86" s="16" t="n">
        <v>0</v>
      </c>
      <c r="N86" s="16" t="n">
        <v>0</v>
      </c>
      <c r="O86" s="16" t="n">
        <f aca="false">L86+M86+N86</f>
        <v>-0.0903516442870488</v>
      </c>
      <c r="P86" s="21" t="n">
        <f aca="false">P85*(1+O86)</f>
        <v>3.40993759038798</v>
      </c>
      <c r="Q86" s="21" t="n">
        <f aca="false">MAX($P$5:P86)</f>
        <v>3.93322128249619</v>
      </c>
      <c r="R86" s="16" t="n">
        <f aca="false">P86/Q86-1</f>
        <v>-0.133042016841755</v>
      </c>
      <c r="S86" s="16" t="n">
        <f aca="false">O86-Benchmark_RF!D86</f>
        <v>-0.101642202904167</v>
      </c>
    </row>
    <row r="87" customFormat="false" ht="15" hidden="false" customHeight="true" outlineLevel="0" collapsed="false">
      <c r="A87" s="1" t="n">
        <v>90</v>
      </c>
      <c r="B87" s="13" t="n">
        <f aca="false">Returns!A91</f>
        <v>44713</v>
      </c>
      <c r="C87" s="17" t="n">
        <f aca="false">IF(Rankings!C83&lt;=2,1,0)</f>
        <v>0</v>
      </c>
      <c r="D87" s="17" t="n">
        <f aca="false">IF(Rankings!D83&lt;=2,1,0)</f>
        <v>1</v>
      </c>
      <c r="E87" s="17" t="n">
        <f aca="false">IF(Rankings!E83&lt;=2,1,0)</f>
        <v>0</v>
      </c>
      <c r="F87" s="17" t="n">
        <f aca="false">IF(Rankings!F83&lt;=2,1,0)</f>
        <v>1</v>
      </c>
      <c r="G87" s="17" t="n">
        <f aca="false">IF(Rankings!G83&lt;=2,1,0)</f>
        <v>0</v>
      </c>
      <c r="H87" s="17" t="n">
        <f aca="false">IF(Rankings!H83&lt;=2,1,0)</f>
        <v>0</v>
      </c>
      <c r="I87" s="17" t="n">
        <f aca="false">IF(Rankings!I83&lt;=2,1,0)</f>
        <v>0</v>
      </c>
      <c r="J87" s="17" t="n">
        <f aca="false">IF(Rankings!J83&lt;=2,1,0)</f>
        <v>0</v>
      </c>
      <c r="K87" s="20" t="n">
        <f aca="false">SUM(C87:J87)</f>
        <v>2</v>
      </c>
      <c r="L87" s="16" t="n">
        <f aca="false">SUMPRODUCT(C87:J87,Returns!B91:I91)/K87</f>
        <v>-0.108865063562048</v>
      </c>
      <c r="M87" s="16" t="n">
        <v>0</v>
      </c>
      <c r="N87" s="16" t="n">
        <v>0</v>
      </c>
      <c r="O87" s="16" t="n">
        <f aca="false">L87+M87+N87</f>
        <v>-0.108865063562048</v>
      </c>
      <c r="P87" s="21" t="n">
        <f aca="false">P86*(1+O87)</f>
        <v>3.03871451786778</v>
      </c>
      <c r="Q87" s="21" t="n">
        <f aca="false">MAX($P$5:P87)</f>
        <v>3.93322128249619</v>
      </c>
      <c r="R87" s="16" t="n">
        <f aca="false">P87/Q87-1</f>
        <v>-0.227423452783902</v>
      </c>
      <c r="S87" s="16" t="n">
        <f aca="false">O87-Benchmark_RF!D87</f>
        <v>-0.120638611930275</v>
      </c>
    </row>
    <row r="88" customFormat="false" ht="15" hidden="false" customHeight="true" outlineLevel="0" collapsed="false">
      <c r="A88" s="1" t="n">
        <v>91</v>
      </c>
      <c r="B88" s="13" t="n">
        <f aca="false">Returns!A92</f>
        <v>44743</v>
      </c>
      <c r="C88" s="17" t="n">
        <f aca="false">IF(Rankings!C83&lt;=2,1,0)</f>
        <v>0</v>
      </c>
      <c r="D88" s="17" t="n">
        <f aca="false">IF(Rankings!D83&lt;=2,1,0)</f>
        <v>1</v>
      </c>
      <c r="E88" s="17" t="n">
        <f aca="false">IF(Rankings!E83&lt;=2,1,0)</f>
        <v>0</v>
      </c>
      <c r="F88" s="17" t="n">
        <f aca="false">IF(Rankings!F83&lt;=2,1,0)</f>
        <v>1</v>
      </c>
      <c r="G88" s="17" t="n">
        <f aca="false">IF(Rankings!G83&lt;=2,1,0)</f>
        <v>0</v>
      </c>
      <c r="H88" s="17" t="n">
        <f aca="false">IF(Rankings!H83&lt;=2,1,0)</f>
        <v>0</v>
      </c>
      <c r="I88" s="17" t="n">
        <f aca="false">IF(Rankings!I83&lt;=2,1,0)</f>
        <v>0</v>
      </c>
      <c r="J88" s="17" t="n">
        <f aca="false">IF(Rankings!J83&lt;=2,1,0)</f>
        <v>0</v>
      </c>
      <c r="K88" s="20" t="n">
        <f aca="false">SUM(C88:J88)</f>
        <v>2</v>
      </c>
      <c r="L88" s="16" t="n">
        <f aca="false">SUMPRODUCT(C88:J88,Returns!B92:I92)/K88</f>
        <v>0.0224010112154499</v>
      </c>
      <c r="M88" s="16" t="n">
        <v>0</v>
      </c>
      <c r="N88" s="16" t="n">
        <v>0</v>
      </c>
      <c r="O88" s="16" t="n">
        <f aca="false">L88+M88+N88</f>
        <v>0.0224010112154499</v>
      </c>
      <c r="P88" s="21" t="n">
        <f aca="false">P87*(1+O88)</f>
        <v>3.10678479586309</v>
      </c>
      <c r="Q88" s="21" t="n">
        <f aca="false">MAX($P$5:P88)</f>
        <v>3.93322128249619</v>
      </c>
      <c r="R88" s="16" t="n">
        <f aca="false">P88/Q88-1</f>
        <v>-0.210116956884921</v>
      </c>
      <c r="S88" s="16" t="n">
        <f aca="false">O88-Benchmark_RF!D88</f>
        <v>0.0102253800943902</v>
      </c>
    </row>
    <row r="89" customFormat="false" ht="15" hidden="false" customHeight="true" outlineLevel="0" collapsed="false">
      <c r="A89" s="1" t="n">
        <v>92</v>
      </c>
      <c r="B89" s="13" t="n">
        <f aca="false">Returns!A93</f>
        <v>44774</v>
      </c>
      <c r="C89" s="17" t="n">
        <f aca="false">IF(Rankings!C95&lt;=2,1,0)</f>
        <v>0</v>
      </c>
      <c r="D89" s="17" t="n">
        <f aca="false">IF(Rankings!D95&lt;=2,1,0)</f>
        <v>0</v>
      </c>
      <c r="E89" s="17" t="n">
        <f aca="false">IF(Rankings!E95&lt;=2,1,0)</f>
        <v>0</v>
      </c>
      <c r="F89" s="17" t="n">
        <f aca="false">IF(Rankings!F95&lt;=2,1,0)</f>
        <v>0</v>
      </c>
      <c r="G89" s="17" t="n">
        <f aca="false">IF(Rankings!G95&lt;=2,1,0)</f>
        <v>1</v>
      </c>
      <c r="H89" s="17" t="n">
        <f aca="false">IF(Rankings!H95&lt;=2,1,0)</f>
        <v>0</v>
      </c>
      <c r="I89" s="17" t="n">
        <f aca="false">IF(Rankings!I95&lt;=2,1,0)</f>
        <v>1</v>
      </c>
      <c r="J89" s="17" t="n">
        <f aca="false">IF(Rankings!J95&lt;=2,1,0)</f>
        <v>0</v>
      </c>
      <c r="K89" s="20" t="n">
        <f aca="false">SUM(C89:J89)</f>
        <v>2</v>
      </c>
      <c r="L89" s="16" t="n">
        <f aca="false">SUMPRODUCT(C89:J89,Returns!B93:I93)/K89</f>
        <v>0.16547020445783</v>
      </c>
      <c r="M89" s="16" t="n">
        <f aca="false">-2*Assumptions!$B$13</f>
        <v>-0.007</v>
      </c>
      <c r="N89" s="16" t="n">
        <f aca="false">-Assumptions!$B$16*MAX(0,(1+O77)*(1+O78)*(1+O79)*(1+O80)*(1+O81)*(1+O82)*(1+O83)*(1+O84)*(1+O85)*(1+O86)*(1+O87)*(1+O88)-1)</f>
        <v>-0</v>
      </c>
      <c r="O89" s="16" t="n">
        <f aca="false">L89+M89+N89</f>
        <v>0.15847020445783</v>
      </c>
      <c r="P89" s="21" t="n">
        <f aca="false">P88*(1+O89)</f>
        <v>3.59911761766999</v>
      </c>
      <c r="Q89" s="21" t="n">
        <f aca="false">MAX($P$5:P89)</f>
        <v>3.93322128249619</v>
      </c>
      <c r="R89" s="16" t="n">
        <f aca="false">P89/Q89-1</f>
        <v>-0.0849440295447009</v>
      </c>
      <c r="S89" s="16" t="n">
        <f aca="false">O89-Benchmark_RF!D89</f>
        <v>0.146221655794666</v>
      </c>
    </row>
    <row r="90" customFormat="false" ht="15" hidden="false" customHeight="true" outlineLevel="0" collapsed="false">
      <c r="A90" s="1" t="n">
        <v>93</v>
      </c>
      <c r="B90" s="13" t="n">
        <f aca="false">Returns!A94</f>
        <v>44805</v>
      </c>
      <c r="C90" s="17" t="n">
        <f aca="false">IF(Rankings!C95&lt;=2,1,0)</f>
        <v>0</v>
      </c>
      <c r="D90" s="17" t="n">
        <f aca="false">IF(Rankings!D95&lt;=2,1,0)</f>
        <v>0</v>
      </c>
      <c r="E90" s="17" t="n">
        <f aca="false">IF(Rankings!E95&lt;=2,1,0)</f>
        <v>0</v>
      </c>
      <c r="F90" s="17" t="n">
        <f aca="false">IF(Rankings!F95&lt;=2,1,0)</f>
        <v>0</v>
      </c>
      <c r="G90" s="17" t="n">
        <f aca="false">IF(Rankings!G95&lt;=2,1,0)</f>
        <v>1</v>
      </c>
      <c r="H90" s="17" t="n">
        <f aca="false">IF(Rankings!H95&lt;=2,1,0)</f>
        <v>0</v>
      </c>
      <c r="I90" s="17" t="n">
        <f aca="false">IF(Rankings!I95&lt;=2,1,0)</f>
        <v>1</v>
      </c>
      <c r="J90" s="17" t="n">
        <f aca="false">IF(Rankings!J95&lt;=2,1,0)</f>
        <v>0</v>
      </c>
      <c r="K90" s="20" t="n">
        <f aca="false">SUM(C90:J90)</f>
        <v>2</v>
      </c>
      <c r="L90" s="16" t="n">
        <f aca="false">SUMPRODUCT(C90:J90,Returns!B94:I94)/K90</f>
        <v>-0.0625476574393502</v>
      </c>
      <c r="M90" s="16" t="n">
        <v>0</v>
      </c>
      <c r="N90" s="16" t="n">
        <v>0</v>
      </c>
      <c r="O90" s="16" t="n">
        <f aca="false">L90+M90+N90</f>
        <v>-0.0625476574393502</v>
      </c>
      <c r="P90" s="21" t="n">
        <f aca="false">P89*(1+O90)</f>
        <v>3.37400124183604</v>
      </c>
      <c r="Q90" s="21" t="n">
        <f aca="false">MAX($P$5:P90)</f>
        <v>3.93322128249619</v>
      </c>
      <c r="R90" s="16" t="n">
        <f aca="false">P90/Q90-1</f>
        <v>-0.142178636922571</v>
      </c>
      <c r="S90" s="16" t="n">
        <f aca="false">O90-Benchmark_RF!D90</f>
        <v>-0.0749709728339039</v>
      </c>
    </row>
    <row r="91" customFormat="false" ht="15" hidden="false" customHeight="true" outlineLevel="0" collapsed="false">
      <c r="A91" s="1" t="n">
        <v>94</v>
      </c>
      <c r="B91" s="13" t="n">
        <f aca="false">Returns!A95</f>
        <v>44835</v>
      </c>
      <c r="C91" s="17" t="n">
        <f aca="false">IF(Rankings!C95&lt;=2,1,0)</f>
        <v>0</v>
      </c>
      <c r="D91" s="17" t="n">
        <f aca="false">IF(Rankings!D95&lt;=2,1,0)</f>
        <v>0</v>
      </c>
      <c r="E91" s="17" t="n">
        <f aca="false">IF(Rankings!E95&lt;=2,1,0)</f>
        <v>0</v>
      </c>
      <c r="F91" s="17" t="n">
        <f aca="false">IF(Rankings!F95&lt;=2,1,0)</f>
        <v>0</v>
      </c>
      <c r="G91" s="17" t="n">
        <f aca="false">IF(Rankings!G95&lt;=2,1,0)</f>
        <v>1</v>
      </c>
      <c r="H91" s="17" t="n">
        <f aca="false">IF(Rankings!H95&lt;=2,1,0)</f>
        <v>0</v>
      </c>
      <c r="I91" s="17" t="n">
        <f aca="false">IF(Rankings!I95&lt;=2,1,0)</f>
        <v>1</v>
      </c>
      <c r="J91" s="17" t="n">
        <f aca="false">IF(Rankings!J95&lt;=2,1,0)</f>
        <v>0</v>
      </c>
      <c r="K91" s="20" t="n">
        <f aca="false">SUM(C91:J91)</f>
        <v>2</v>
      </c>
      <c r="L91" s="16" t="n">
        <f aca="false">SUMPRODUCT(C91:J91,Returns!B95:I95)/K91</f>
        <v>-0.0774499480797636</v>
      </c>
      <c r="M91" s="16" t="n">
        <v>0</v>
      </c>
      <c r="N91" s="16" t="n">
        <v>0</v>
      </c>
      <c r="O91" s="16" t="n">
        <f aca="false">L91+M91+N91</f>
        <v>-0.0774499480797636</v>
      </c>
      <c r="P91" s="21" t="n">
        <f aca="false">P90*(1+O91)</f>
        <v>3.11268502083478</v>
      </c>
      <c r="Q91" s="21" t="n">
        <f aca="false">MAX($P$5:P91)</f>
        <v>3.93322128249619</v>
      </c>
      <c r="R91" s="16" t="n">
        <f aca="false">P91/Q91-1</f>
        <v>-0.20861685695463</v>
      </c>
      <c r="S91" s="16" t="n">
        <f aca="false">O91-Benchmark_RF!D91</f>
        <v>-0.0896547531517707</v>
      </c>
    </row>
    <row r="92" customFormat="false" ht="15" hidden="false" customHeight="true" outlineLevel="0" collapsed="false">
      <c r="A92" s="1" t="n">
        <v>95</v>
      </c>
      <c r="B92" s="13" t="n">
        <f aca="false">Returns!A96</f>
        <v>44866</v>
      </c>
      <c r="C92" s="17" t="n">
        <f aca="false">IF(Rankings!C95&lt;=2,1,0)</f>
        <v>0</v>
      </c>
      <c r="D92" s="17" t="n">
        <f aca="false">IF(Rankings!D95&lt;=2,1,0)</f>
        <v>0</v>
      </c>
      <c r="E92" s="17" t="n">
        <f aca="false">IF(Rankings!E95&lt;=2,1,0)</f>
        <v>0</v>
      </c>
      <c r="F92" s="17" t="n">
        <f aca="false">IF(Rankings!F95&lt;=2,1,0)</f>
        <v>0</v>
      </c>
      <c r="G92" s="17" t="n">
        <f aca="false">IF(Rankings!G95&lt;=2,1,0)</f>
        <v>1</v>
      </c>
      <c r="H92" s="17" t="n">
        <f aca="false">IF(Rankings!H95&lt;=2,1,0)</f>
        <v>0</v>
      </c>
      <c r="I92" s="17" t="n">
        <f aca="false">IF(Rankings!I95&lt;=2,1,0)</f>
        <v>1</v>
      </c>
      <c r="J92" s="17" t="n">
        <f aca="false">IF(Rankings!J95&lt;=2,1,0)</f>
        <v>0</v>
      </c>
      <c r="K92" s="20" t="n">
        <f aca="false">SUM(C92:J92)</f>
        <v>2</v>
      </c>
      <c r="L92" s="16" t="n">
        <f aca="false">SUMPRODUCT(C92:J92,Returns!B96:I96)/K92</f>
        <v>0.054530774812676</v>
      </c>
      <c r="M92" s="16" t="n">
        <v>0</v>
      </c>
      <c r="N92" s="16" t="n">
        <v>0</v>
      </c>
      <c r="O92" s="16" t="n">
        <f aca="false">L92+M92+N92</f>
        <v>0.054530774812676</v>
      </c>
      <c r="P92" s="21" t="n">
        <f aca="false">P91*(1+O92)</f>
        <v>3.28242214676871</v>
      </c>
      <c r="Q92" s="21" t="n">
        <f aca="false">MAX($P$5:P92)</f>
        <v>3.93322128249619</v>
      </c>
      <c r="R92" s="16" t="n">
        <f aca="false">P92/Q92-1</f>
        <v>-0.165462120990675</v>
      </c>
      <c r="S92" s="16" t="n">
        <f aca="false">O92-Benchmark_RF!D92</f>
        <v>0.0414478001085441</v>
      </c>
    </row>
    <row r="93" customFormat="false" ht="15" hidden="false" customHeight="true" outlineLevel="0" collapsed="false">
      <c r="A93" s="1" t="n">
        <v>96</v>
      </c>
      <c r="B93" s="13" t="n">
        <f aca="false">Returns!A97</f>
        <v>44896</v>
      </c>
      <c r="C93" s="17" t="n">
        <f aca="false">IF(Rankings!C95&lt;=2,1,0)</f>
        <v>0</v>
      </c>
      <c r="D93" s="17" t="n">
        <f aca="false">IF(Rankings!D95&lt;=2,1,0)</f>
        <v>0</v>
      </c>
      <c r="E93" s="17" t="n">
        <f aca="false">IF(Rankings!E95&lt;=2,1,0)</f>
        <v>0</v>
      </c>
      <c r="F93" s="17" t="n">
        <f aca="false">IF(Rankings!F95&lt;=2,1,0)</f>
        <v>0</v>
      </c>
      <c r="G93" s="17" t="n">
        <f aca="false">IF(Rankings!G95&lt;=2,1,0)</f>
        <v>1</v>
      </c>
      <c r="H93" s="17" t="n">
        <f aca="false">IF(Rankings!H95&lt;=2,1,0)</f>
        <v>0</v>
      </c>
      <c r="I93" s="17" t="n">
        <f aca="false">IF(Rankings!I95&lt;=2,1,0)</f>
        <v>1</v>
      </c>
      <c r="J93" s="17" t="n">
        <f aca="false">IF(Rankings!J95&lt;=2,1,0)</f>
        <v>0</v>
      </c>
      <c r="K93" s="20" t="n">
        <f aca="false">SUM(C93:J93)</f>
        <v>2</v>
      </c>
      <c r="L93" s="16" t="n">
        <f aca="false">SUMPRODUCT(C93:J93,Returns!B97:I97)/K93</f>
        <v>-0.115646264644338</v>
      </c>
      <c r="M93" s="16" t="n">
        <v>0</v>
      </c>
      <c r="N93" s="16" t="n">
        <v>0</v>
      </c>
      <c r="O93" s="16" t="n">
        <f aca="false">L93+M93+N93</f>
        <v>-0.115646264644338</v>
      </c>
      <c r="P93" s="21" t="n">
        <f aca="false">P92*(1+O93)</f>
        <v>2.90282228650906</v>
      </c>
      <c r="Q93" s="21" t="n">
        <f aca="false">MAX($P$5:P93)</f>
        <v>3.93322128249619</v>
      </c>
      <c r="R93" s="16" t="n">
        <f aca="false">P93/Q93-1</f>
        <v>-0.261973309402312</v>
      </c>
      <c r="S93" s="16" t="n">
        <f aca="false">O93-Benchmark_RF!D93</f>
        <v>-0.128787006020684</v>
      </c>
    </row>
    <row r="94" customFormat="false" ht="15" hidden="false" customHeight="true" outlineLevel="0" collapsed="false">
      <c r="A94" s="1" t="n">
        <v>97</v>
      </c>
      <c r="B94" s="13" t="n">
        <f aca="false">Returns!A98</f>
        <v>44927</v>
      </c>
      <c r="C94" s="17" t="n">
        <f aca="false">IF(Rankings!C95&lt;=2,1,0)</f>
        <v>0</v>
      </c>
      <c r="D94" s="17" t="n">
        <f aca="false">IF(Rankings!D95&lt;=2,1,0)</f>
        <v>0</v>
      </c>
      <c r="E94" s="17" t="n">
        <f aca="false">IF(Rankings!E95&lt;=2,1,0)</f>
        <v>0</v>
      </c>
      <c r="F94" s="17" t="n">
        <f aca="false">IF(Rankings!F95&lt;=2,1,0)</f>
        <v>0</v>
      </c>
      <c r="G94" s="17" t="n">
        <f aca="false">IF(Rankings!G95&lt;=2,1,0)</f>
        <v>1</v>
      </c>
      <c r="H94" s="17" t="n">
        <f aca="false">IF(Rankings!H95&lt;=2,1,0)</f>
        <v>0</v>
      </c>
      <c r="I94" s="17" t="n">
        <f aca="false">IF(Rankings!I95&lt;=2,1,0)</f>
        <v>1</v>
      </c>
      <c r="J94" s="17" t="n">
        <f aca="false">IF(Rankings!J95&lt;=2,1,0)</f>
        <v>0</v>
      </c>
      <c r="K94" s="20" t="n">
        <f aca="false">SUM(C94:J94)</f>
        <v>2</v>
      </c>
      <c r="L94" s="16" t="n">
        <f aca="false">SUMPRODUCT(C94:J94,Returns!B98:I98)/K94</f>
        <v>-0.0445821991179786</v>
      </c>
      <c r="M94" s="16" t="n">
        <v>0</v>
      </c>
      <c r="N94" s="16" t="n">
        <v>0</v>
      </c>
      <c r="O94" s="16" t="n">
        <f aca="false">L94+M94+N94</f>
        <v>-0.0445821991179786</v>
      </c>
      <c r="P94" s="21" t="n">
        <f aca="false">P93*(1+O94)</f>
        <v>2.7734080853278</v>
      </c>
      <c r="Q94" s="21" t="n">
        <f aca="false">MAX($P$5:P94)</f>
        <v>3.93322128249619</v>
      </c>
      <c r="R94" s="16" t="n">
        <f aca="false">P94/Q94-1</f>
        <v>-0.294876162276921</v>
      </c>
      <c r="S94" s="16" t="n">
        <f aca="false">O94-Benchmark_RF!D94</f>
        <v>-0.0583416551463082</v>
      </c>
    </row>
    <row r="95" customFormat="false" ht="15" hidden="false" customHeight="true" outlineLevel="0" collapsed="false">
      <c r="A95" s="1" t="n">
        <v>98</v>
      </c>
      <c r="B95" s="13" t="n">
        <f aca="false">Returns!A99</f>
        <v>44958</v>
      </c>
      <c r="C95" s="17" t="n">
        <f aca="false">IF(Rankings!C95&lt;=2,1,0)</f>
        <v>0</v>
      </c>
      <c r="D95" s="17" t="n">
        <f aca="false">IF(Rankings!D95&lt;=2,1,0)</f>
        <v>0</v>
      </c>
      <c r="E95" s="17" t="n">
        <f aca="false">IF(Rankings!E95&lt;=2,1,0)</f>
        <v>0</v>
      </c>
      <c r="F95" s="17" t="n">
        <f aca="false">IF(Rankings!F95&lt;=2,1,0)</f>
        <v>0</v>
      </c>
      <c r="G95" s="17" t="n">
        <f aca="false">IF(Rankings!G95&lt;=2,1,0)</f>
        <v>1</v>
      </c>
      <c r="H95" s="17" t="n">
        <f aca="false">IF(Rankings!H95&lt;=2,1,0)</f>
        <v>0</v>
      </c>
      <c r="I95" s="17" t="n">
        <f aca="false">IF(Rankings!I95&lt;=2,1,0)</f>
        <v>1</v>
      </c>
      <c r="J95" s="17" t="n">
        <f aca="false">IF(Rankings!J95&lt;=2,1,0)</f>
        <v>0</v>
      </c>
      <c r="K95" s="20" t="n">
        <f aca="false">SUM(C95:J95)</f>
        <v>2</v>
      </c>
      <c r="L95" s="16" t="n">
        <f aca="false">SUMPRODUCT(C95:J95,Returns!B99:I99)/K95</f>
        <v>0.0492056969996108</v>
      </c>
      <c r="M95" s="16" t="n">
        <v>0</v>
      </c>
      <c r="N95" s="16" t="n">
        <v>0</v>
      </c>
      <c r="O95" s="16" t="n">
        <f aca="false">L95+M95+N95</f>
        <v>0.0492056969996108</v>
      </c>
      <c r="P95" s="21" t="n">
        <f aca="false">P94*(1+O95)</f>
        <v>2.90987556323072</v>
      </c>
      <c r="Q95" s="21" t="n">
        <f aca="false">MAX($P$5:P95)</f>
        <v>3.93322128249619</v>
      </c>
      <c r="R95" s="16" t="n">
        <f aca="false">P95/Q95-1</f>
        <v>-0.260180052370717</v>
      </c>
      <c r="S95" s="16" t="n">
        <f aca="false">O95-Benchmark_RF!D95</f>
        <v>0.0344123726968223</v>
      </c>
    </row>
    <row r="96" customFormat="false" ht="15" hidden="false" customHeight="true" outlineLevel="0" collapsed="false">
      <c r="A96" s="1" t="n">
        <v>99</v>
      </c>
      <c r="B96" s="13" t="n">
        <f aca="false">Returns!A100</f>
        <v>44986</v>
      </c>
      <c r="C96" s="17" t="n">
        <f aca="false">IF(Rankings!C95&lt;=2,1,0)</f>
        <v>0</v>
      </c>
      <c r="D96" s="17" t="n">
        <f aca="false">IF(Rankings!D95&lt;=2,1,0)</f>
        <v>0</v>
      </c>
      <c r="E96" s="17" t="n">
        <f aca="false">IF(Rankings!E95&lt;=2,1,0)</f>
        <v>0</v>
      </c>
      <c r="F96" s="17" t="n">
        <f aca="false">IF(Rankings!F95&lt;=2,1,0)</f>
        <v>0</v>
      </c>
      <c r="G96" s="17" t="n">
        <f aca="false">IF(Rankings!G95&lt;=2,1,0)</f>
        <v>1</v>
      </c>
      <c r="H96" s="17" t="n">
        <f aca="false">IF(Rankings!H95&lt;=2,1,0)</f>
        <v>0</v>
      </c>
      <c r="I96" s="17" t="n">
        <f aca="false">IF(Rankings!I95&lt;=2,1,0)</f>
        <v>1</v>
      </c>
      <c r="J96" s="17" t="n">
        <f aca="false">IF(Rankings!J95&lt;=2,1,0)</f>
        <v>0</v>
      </c>
      <c r="K96" s="20" t="n">
        <f aca="false">SUM(C96:J96)</f>
        <v>2</v>
      </c>
      <c r="L96" s="16" t="n">
        <f aca="false">SUMPRODUCT(C96:J96,Returns!B100:I100)/K96</f>
        <v>-0.0748714150992519</v>
      </c>
      <c r="M96" s="16" t="n">
        <v>0</v>
      </c>
      <c r="N96" s="16" t="n">
        <v>0</v>
      </c>
      <c r="O96" s="16" t="n">
        <f aca="false">L96+M96+N96</f>
        <v>-0.0748714150992519</v>
      </c>
      <c r="P96" s="21" t="n">
        <f aca="false">P95*(1+O96)</f>
        <v>2.6920090620489</v>
      </c>
      <c r="Q96" s="21" t="n">
        <f aca="false">MAX($P$5:P96)</f>
        <v>3.93322128249619</v>
      </c>
      <c r="R96" s="16" t="n">
        <f aca="false">P96/Q96-1</f>
        <v>-0.315571418768376</v>
      </c>
      <c r="S96" s="16" t="n">
        <f aca="false">O96-Benchmark_RF!D96</f>
        <v>-0.0909252572953298</v>
      </c>
    </row>
    <row r="97" customFormat="false" ht="15" hidden="false" customHeight="true" outlineLevel="0" collapsed="false">
      <c r="A97" s="1" t="n">
        <v>100</v>
      </c>
      <c r="B97" s="13" t="n">
        <f aca="false">Returns!A101</f>
        <v>45017</v>
      </c>
      <c r="C97" s="17" t="n">
        <f aca="false">IF(Rankings!C95&lt;=2,1,0)</f>
        <v>0</v>
      </c>
      <c r="D97" s="17" t="n">
        <f aca="false">IF(Rankings!D95&lt;=2,1,0)</f>
        <v>0</v>
      </c>
      <c r="E97" s="17" t="n">
        <f aca="false">IF(Rankings!E95&lt;=2,1,0)</f>
        <v>0</v>
      </c>
      <c r="F97" s="17" t="n">
        <f aca="false">IF(Rankings!F95&lt;=2,1,0)</f>
        <v>0</v>
      </c>
      <c r="G97" s="17" t="n">
        <f aca="false">IF(Rankings!G95&lt;=2,1,0)</f>
        <v>1</v>
      </c>
      <c r="H97" s="17" t="n">
        <f aca="false">IF(Rankings!H95&lt;=2,1,0)</f>
        <v>0</v>
      </c>
      <c r="I97" s="17" t="n">
        <f aca="false">IF(Rankings!I95&lt;=2,1,0)</f>
        <v>1</v>
      </c>
      <c r="J97" s="17" t="n">
        <f aca="false">IF(Rankings!J95&lt;=2,1,0)</f>
        <v>0</v>
      </c>
      <c r="K97" s="20" t="n">
        <f aca="false">SUM(C97:J97)</f>
        <v>2</v>
      </c>
      <c r="L97" s="16" t="n">
        <f aca="false">SUMPRODUCT(C97:J97,Returns!B101:I101)/K97</f>
        <v>0.0841960385293719</v>
      </c>
      <c r="M97" s="16" t="n">
        <v>0</v>
      </c>
      <c r="N97" s="16" t="n">
        <v>0</v>
      </c>
      <c r="O97" s="16" t="n">
        <f aca="false">L97+M97+N97</f>
        <v>0.0841960385293719</v>
      </c>
      <c r="P97" s="21" t="n">
        <f aca="false">P96*(1+O97)</f>
        <v>2.91866556075859</v>
      </c>
      <c r="Q97" s="21" t="n">
        <f aca="false">MAX($P$5:P97)</f>
        <v>3.93322128249619</v>
      </c>
      <c r="R97" s="16" t="n">
        <f aca="false">P97/Q97-1</f>
        <v>-0.257945243572394</v>
      </c>
      <c r="S97" s="16" t="n">
        <f aca="false">O97-Benchmark_RF!D97</f>
        <v>0.0675009651666801</v>
      </c>
    </row>
    <row r="98" customFormat="false" ht="15" hidden="false" customHeight="true" outlineLevel="0" collapsed="false">
      <c r="A98" s="1" t="n">
        <v>101</v>
      </c>
      <c r="B98" s="13" t="n">
        <f aca="false">Returns!A102</f>
        <v>45047</v>
      </c>
      <c r="C98" s="17" t="n">
        <f aca="false">IF(Rankings!C95&lt;=2,1,0)</f>
        <v>0</v>
      </c>
      <c r="D98" s="17" t="n">
        <f aca="false">IF(Rankings!D95&lt;=2,1,0)</f>
        <v>0</v>
      </c>
      <c r="E98" s="17" t="n">
        <f aca="false">IF(Rankings!E95&lt;=2,1,0)</f>
        <v>0</v>
      </c>
      <c r="F98" s="17" t="n">
        <f aca="false">IF(Rankings!F95&lt;=2,1,0)</f>
        <v>0</v>
      </c>
      <c r="G98" s="17" t="n">
        <f aca="false">IF(Rankings!G95&lt;=2,1,0)</f>
        <v>1</v>
      </c>
      <c r="H98" s="17" t="n">
        <f aca="false">IF(Rankings!H95&lt;=2,1,0)</f>
        <v>0</v>
      </c>
      <c r="I98" s="17" t="n">
        <f aca="false">IF(Rankings!I95&lt;=2,1,0)</f>
        <v>1</v>
      </c>
      <c r="J98" s="17" t="n">
        <f aca="false">IF(Rankings!J95&lt;=2,1,0)</f>
        <v>0</v>
      </c>
      <c r="K98" s="20" t="n">
        <f aca="false">SUM(C98:J98)</f>
        <v>2</v>
      </c>
      <c r="L98" s="16" t="n">
        <f aca="false">SUMPRODUCT(C98:J98,Returns!B102:I102)/K98</f>
        <v>0.0965733652648168</v>
      </c>
      <c r="M98" s="16" t="n">
        <v>0</v>
      </c>
      <c r="N98" s="16" t="n">
        <v>0</v>
      </c>
      <c r="O98" s="16" t="n">
        <f aca="false">L98+M98+N98</f>
        <v>0.0965733652648168</v>
      </c>
      <c r="P98" s="21" t="n">
        <f aca="false">P97*(1+O98)</f>
        <v>3.20053091604357</v>
      </c>
      <c r="Q98" s="21" t="n">
        <f aca="false">MAX($P$5:P98)</f>
        <v>3.93322128249619</v>
      </c>
      <c r="R98" s="16" t="n">
        <f aca="false">P98/Q98-1</f>
        <v>-0.186282518533417</v>
      </c>
      <c r="S98" s="16" t="n">
        <f aca="false">O98-Benchmark_RF!D98</f>
        <v>0.079878291902125</v>
      </c>
    </row>
    <row r="99" customFormat="false" ht="15" hidden="false" customHeight="true" outlineLevel="0" collapsed="false">
      <c r="A99" s="1" t="n">
        <v>102</v>
      </c>
      <c r="B99" s="13" t="n">
        <f aca="false">Returns!A103</f>
        <v>45078</v>
      </c>
      <c r="C99" s="17" t="n">
        <f aca="false">IF(Rankings!C95&lt;=2,1,0)</f>
        <v>0</v>
      </c>
      <c r="D99" s="17" t="n">
        <f aca="false">IF(Rankings!D95&lt;=2,1,0)</f>
        <v>0</v>
      </c>
      <c r="E99" s="17" t="n">
        <f aca="false">IF(Rankings!E95&lt;=2,1,0)</f>
        <v>0</v>
      </c>
      <c r="F99" s="17" t="n">
        <f aca="false">IF(Rankings!F95&lt;=2,1,0)</f>
        <v>0</v>
      </c>
      <c r="G99" s="17" t="n">
        <f aca="false">IF(Rankings!G95&lt;=2,1,0)</f>
        <v>1</v>
      </c>
      <c r="H99" s="17" t="n">
        <f aca="false">IF(Rankings!H95&lt;=2,1,0)</f>
        <v>0</v>
      </c>
      <c r="I99" s="17" t="n">
        <f aca="false">IF(Rankings!I95&lt;=2,1,0)</f>
        <v>1</v>
      </c>
      <c r="J99" s="17" t="n">
        <f aca="false">IF(Rankings!J95&lt;=2,1,0)</f>
        <v>0</v>
      </c>
      <c r="K99" s="20" t="n">
        <f aca="false">SUM(C99:J99)</f>
        <v>2</v>
      </c>
      <c r="L99" s="16" t="n">
        <f aca="false">SUMPRODUCT(C99:J99,Returns!B103:I103)/K99</f>
        <v>0.0273187709689445</v>
      </c>
      <c r="M99" s="16" t="n">
        <v>0</v>
      </c>
      <c r="N99" s="16" t="n">
        <v>0</v>
      </c>
      <c r="O99" s="16" t="n">
        <f aca="false">L99+M99+N99</f>
        <v>0.0273187709689445</v>
      </c>
      <c r="P99" s="21" t="n">
        <f aca="false">P98*(1+O99)</f>
        <v>3.28796548711799</v>
      </c>
      <c r="Q99" s="21" t="n">
        <f aca="false">MAX($P$5:P99)</f>
        <v>3.93322128249619</v>
      </c>
      <c r="R99" s="16" t="n">
        <f aca="false">P99/Q99-1</f>
        <v>-0.164052757023805</v>
      </c>
      <c r="S99" s="16" t="n">
        <f aca="false">O99-Benchmark_RF!D99</f>
        <v>0.0106167520900916</v>
      </c>
    </row>
    <row r="100" customFormat="false" ht="15" hidden="false" customHeight="true" outlineLevel="0" collapsed="false">
      <c r="A100" s="1" t="n">
        <v>103</v>
      </c>
      <c r="B100" s="13" t="n">
        <f aca="false">Returns!A104</f>
        <v>45108</v>
      </c>
      <c r="C100" s="17" t="n">
        <f aca="false">IF(Rankings!C95&lt;=2,1,0)</f>
        <v>0</v>
      </c>
      <c r="D100" s="17" t="n">
        <f aca="false">IF(Rankings!D95&lt;=2,1,0)</f>
        <v>0</v>
      </c>
      <c r="E100" s="17" t="n">
        <f aca="false">IF(Rankings!E95&lt;=2,1,0)</f>
        <v>0</v>
      </c>
      <c r="F100" s="17" t="n">
        <f aca="false">IF(Rankings!F95&lt;=2,1,0)</f>
        <v>0</v>
      </c>
      <c r="G100" s="17" t="n">
        <f aca="false">IF(Rankings!G95&lt;=2,1,0)</f>
        <v>1</v>
      </c>
      <c r="H100" s="17" t="n">
        <f aca="false">IF(Rankings!H95&lt;=2,1,0)</f>
        <v>0</v>
      </c>
      <c r="I100" s="17" t="n">
        <f aca="false">IF(Rankings!I95&lt;=2,1,0)</f>
        <v>1</v>
      </c>
      <c r="J100" s="17" t="n">
        <f aca="false">IF(Rankings!J95&lt;=2,1,0)</f>
        <v>0</v>
      </c>
      <c r="K100" s="20" t="n">
        <f aca="false">SUM(C100:J100)</f>
        <v>2</v>
      </c>
      <c r="L100" s="16" t="n">
        <f aca="false">SUMPRODUCT(C100:J100,Returns!B104:I104)/K100</f>
        <v>0.26155481613456</v>
      </c>
      <c r="M100" s="16" t="n">
        <v>0</v>
      </c>
      <c r="N100" s="16" t="n">
        <v>0</v>
      </c>
      <c r="O100" s="16" t="n">
        <f aca="false">L100+M100+N100</f>
        <v>0.26155481613456</v>
      </c>
      <c r="P100" s="21" t="n">
        <f aca="false">P99*(1+O100)</f>
        <v>4.14794869555791</v>
      </c>
      <c r="Q100" s="21" t="n">
        <f aca="false">MAX($P$5:P100)</f>
        <v>4.14794869555791</v>
      </c>
      <c r="R100" s="16" t="n">
        <f aca="false">P100/Q100-1</f>
        <v>0</v>
      </c>
      <c r="S100" s="16" t="n">
        <f aca="false">O100-Benchmark_RF!D100</f>
        <v>0.244224723180766</v>
      </c>
    </row>
    <row r="101" customFormat="false" ht="15" hidden="false" customHeight="true" outlineLevel="0" collapsed="false">
      <c r="A101" s="1" t="n">
        <v>104</v>
      </c>
      <c r="B101" s="13" t="n">
        <f aca="false">Returns!A105</f>
        <v>45139</v>
      </c>
      <c r="C101" s="17" t="n">
        <f aca="false">IF(Rankings!C107&lt;=2,1,0)</f>
        <v>0</v>
      </c>
      <c r="D101" s="17" t="n">
        <f aca="false">IF(Rankings!D107&lt;=2,1,0)</f>
        <v>0</v>
      </c>
      <c r="E101" s="17" t="n">
        <f aca="false">IF(Rankings!E107&lt;=2,1,0)</f>
        <v>0</v>
      </c>
      <c r="F101" s="17" t="n">
        <f aca="false">IF(Rankings!F107&lt;=2,1,0)</f>
        <v>1</v>
      </c>
      <c r="G101" s="17" t="n">
        <f aca="false">IF(Rankings!G107&lt;=2,1,0)</f>
        <v>0</v>
      </c>
      <c r="H101" s="17" t="n">
        <f aca="false">IF(Rankings!H107&lt;=2,1,0)</f>
        <v>1</v>
      </c>
      <c r="I101" s="17" t="n">
        <f aca="false">IF(Rankings!I107&lt;=2,1,0)</f>
        <v>0</v>
      </c>
      <c r="J101" s="17" t="n">
        <f aca="false">IF(Rankings!J107&lt;=2,1,0)</f>
        <v>0</v>
      </c>
      <c r="K101" s="20" t="n">
        <f aca="false">SUM(C101:J101)</f>
        <v>2</v>
      </c>
      <c r="L101" s="16" t="n">
        <f aca="false">SUMPRODUCT(C101:J101,Returns!B105:I105)/K101</f>
        <v>-0.0915816516094754</v>
      </c>
      <c r="M101" s="16" t="n">
        <f aca="false">-2*Assumptions!$B$13</f>
        <v>-0.007</v>
      </c>
      <c r="N101" s="16" t="n">
        <f aca="false">-Assumptions!$B$16*MAX(0,(1+O89)*(1+O90)*(1+O91)*(1+O92)*(1+O93)*(1+O94)*(1+O95)*(1+O96)*(1+O97)*(1+O98)*(1+O99)*(1+O100)-1)</f>
        <v>-0.0502688777034643</v>
      </c>
      <c r="O101" s="16" t="n">
        <f aca="false">L101+M101+N101</f>
        <v>-0.14885052931294</v>
      </c>
      <c r="P101" s="21" t="n">
        <f aca="false">P100*(1+O101)</f>
        <v>3.5305243366612</v>
      </c>
      <c r="Q101" s="21" t="n">
        <f aca="false">MAX($P$5:P101)</f>
        <v>4.14794869555791</v>
      </c>
      <c r="R101" s="16" t="n">
        <f aca="false">P101/Q101-1</f>
        <v>-0.14885052931294</v>
      </c>
      <c r="S101" s="16" t="n">
        <f aca="false">O101-Benchmark_RF!D101</f>
        <v>-0.166161719172664</v>
      </c>
    </row>
    <row r="102" customFormat="false" ht="15" hidden="false" customHeight="true" outlineLevel="0" collapsed="false">
      <c r="A102" s="1" t="n">
        <v>105</v>
      </c>
      <c r="B102" s="13" t="n">
        <f aca="false">Returns!A106</f>
        <v>45170</v>
      </c>
      <c r="C102" s="17" t="n">
        <f aca="false">IF(Rankings!C107&lt;=2,1,0)</f>
        <v>0</v>
      </c>
      <c r="D102" s="17" t="n">
        <f aca="false">IF(Rankings!D107&lt;=2,1,0)</f>
        <v>0</v>
      </c>
      <c r="E102" s="17" t="n">
        <f aca="false">IF(Rankings!E107&lt;=2,1,0)</f>
        <v>0</v>
      </c>
      <c r="F102" s="17" t="n">
        <f aca="false">IF(Rankings!F107&lt;=2,1,0)</f>
        <v>1</v>
      </c>
      <c r="G102" s="17" t="n">
        <f aca="false">IF(Rankings!G107&lt;=2,1,0)</f>
        <v>0</v>
      </c>
      <c r="H102" s="17" t="n">
        <f aca="false">IF(Rankings!H107&lt;=2,1,0)</f>
        <v>1</v>
      </c>
      <c r="I102" s="17" t="n">
        <f aca="false">IF(Rankings!I107&lt;=2,1,0)</f>
        <v>0</v>
      </c>
      <c r="J102" s="17" t="n">
        <f aca="false">IF(Rankings!J107&lt;=2,1,0)</f>
        <v>0</v>
      </c>
      <c r="K102" s="20" t="n">
        <f aca="false">SUM(C102:J102)</f>
        <v>2</v>
      </c>
      <c r="L102" s="16" t="n">
        <f aca="false">SUMPRODUCT(C102:J102,Returns!B106:I106)/K102</f>
        <v>-0.00962572826770775</v>
      </c>
      <c r="M102" s="16" t="n">
        <v>0</v>
      </c>
      <c r="N102" s="16" t="n">
        <v>0</v>
      </c>
      <c r="O102" s="16" t="n">
        <f aca="false">L102+M102+N102</f>
        <v>-0.00962572826770775</v>
      </c>
      <c r="P102" s="21" t="n">
        <f aca="false">P101*(1+O102)</f>
        <v>3.49654046875397</v>
      </c>
      <c r="Q102" s="21" t="n">
        <f aca="false">MAX($P$5:P102)</f>
        <v>4.14794869555791</v>
      </c>
      <c r="R102" s="16" t="n">
        <f aca="false">P102/Q102-1</f>
        <v>-0.157043462832977</v>
      </c>
      <c r="S102" s="16" t="n">
        <f aca="false">O102-Benchmark_RF!D102</f>
        <v>-0.0268585049319715</v>
      </c>
    </row>
    <row r="103" customFormat="false" ht="15" hidden="false" customHeight="true" outlineLevel="0" collapsed="false">
      <c r="A103" s="1" t="n">
        <v>106</v>
      </c>
      <c r="B103" s="13" t="n">
        <f aca="false">Returns!A107</f>
        <v>45200</v>
      </c>
      <c r="C103" s="17" t="n">
        <f aca="false">IF(Rankings!C107&lt;=2,1,0)</f>
        <v>0</v>
      </c>
      <c r="D103" s="17" t="n">
        <f aca="false">IF(Rankings!D107&lt;=2,1,0)</f>
        <v>0</v>
      </c>
      <c r="E103" s="17" t="n">
        <f aca="false">IF(Rankings!E107&lt;=2,1,0)</f>
        <v>0</v>
      </c>
      <c r="F103" s="17" t="n">
        <f aca="false">IF(Rankings!F107&lt;=2,1,0)</f>
        <v>1</v>
      </c>
      <c r="G103" s="17" t="n">
        <f aca="false">IF(Rankings!G107&lt;=2,1,0)</f>
        <v>0</v>
      </c>
      <c r="H103" s="17" t="n">
        <f aca="false">IF(Rankings!H107&lt;=2,1,0)</f>
        <v>1</v>
      </c>
      <c r="I103" s="17" t="n">
        <f aca="false">IF(Rankings!I107&lt;=2,1,0)</f>
        <v>0</v>
      </c>
      <c r="J103" s="17" t="n">
        <f aca="false">IF(Rankings!J107&lt;=2,1,0)</f>
        <v>0</v>
      </c>
      <c r="K103" s="20" t="n">
        <f aca="false">SUM(C103:J103)</f>
        <v>2</v>
      </c>
      <c r="L103" s="16" t="n">
        <f aca="false">SUMPRODUCT(C103:J103,Returns!B107:I107)/K103</f>
        <v>0.145368252349384</v>
      </c>
      <c r="M103" s="16" t="n">
        <v>0</v>
      </c>
      <c r="N103" s="16" t="n">
        <v>0</v>
      </c>
      <c r="O103" s="16" t="n">
        <f aca="false">L103+M103+N103</f>
        <v>0.145368252349384</v>
      </c>
      <c r="P103" s="21" t="n">
        <f aca="false">P102*(1+O103)</f>
        <v>4.00482644596563</v>
      </c>
      <c r="Q103" s="21" t="n">
        <f aca="false">MAX($P$5:P103)</f>
        <v>4.14794869555791</v>
      </c>
      <c r="R103" s="16" t="n">
        <f aca="false">P103/Q103-1</f>
        <v>-0.0345043442185176</v>
      </c>
      <c r="S103" s="16" t="n">
        <f aca="false">O103-Benchmark_RF!D103</f>
        <v>0.128562113308526</v>
      </c>
    </row>
    <row r="104" customFormat="false" ht="15" hidden="false" customHeight="true" outlineLevel="0" collapsed="false">
      <c r="A104" s="1" t="n">
        <v>107</v>
      </c>
      <c r="B104" s="13" t="n">
        <f aca="false">Returns!A108</f>
        <v>45231</v>
      </c>
      <c r="C104" s="17" t="n">
        <f aca="false">IF(Rankings!C107&lt;=2,1,0)</f>
        <v>0</v>
      </c>
      <c r="D104" s="17" t="n">
        <f aca="false">IF(Rankings!D107&lt;=2,1,0)</f>
        <v>0</v>
      </c>
      <c r="E104" s="17" t="n">
        <f aca="false">IF(Rankings!E107&lt;=2,1,0)</f>
        <v>0</v>
      </c>
      <c r="F104" s="17" t="n">
        <f aca="false">IF(Rankings!F107&lt;=2,1,0)</f>
        <v>1</v>
      </c>
      <c r="G104" s="17" t="n">
        <f aca="false">IF(Rankings!G107&lt;=2,1,0)</f>
        <v>0</v>
      </c>
      <c r="H104" s="17" t="n">
        <f aca="false">IF(Rankings!H107&lt;=2,1,0)</f>
        <v>1</v>
      </c>
      <c r="I104" s="17" t="n">
        <f aca="false">IF(Rankings!I107&lt;=2,1,0)</f>
        <v>0</v>
      </c>
      <c r="J104" s="17" t="n">
        <f aca="false">IF(Rankings!J107&lt;=2,1,0)</f>
        <v>0</v>
      </c>
      <c r="K104" s="20" t="n">
        <f aca="false">SUM(C104:J104)</f>
        <v>2</v>
      </c>
      <c r="L104" s="16" t="n">
        <f aca="false">SUMPRODUCT(C104:J104,Returns!B108:I108)/K104</f>
        <v>0.0918313541617543</v>
      </c>
      <c r="M104" s="16" t="n">
        <v>0</v>
      </c>
      <c r="N104" s="16" t="n">
        <v>0</v>
      </c>
      <c r="O104" s="16" t="n">
        <f aca="false">L104+M104+N104</f>
        <v>0.0918313541617543</v>
      </c>
      <c r="P104" s="21" t="n">
        <f aca="false">P103*(1+O104)</f>
        <v>4.37259508168146</v>
      </c>
      <c r="Q104" s="21" t="n">
        <f aca="false">MAX($P$5:P104)</f>
        <v>4.37259508168146</v>
      </c>
      <c r="R104" s="16" t="n">
        <f aca="false">P104/Q104-1</f>
        <v>0</v>
      </c>
      <c r="S104" s="16" t="n">
        <f aca="false">O104-Benchmark_RF!D104</f>
        <v>0.0755818831224971</v>
      </c>
    </row>
    <row r="105" customFormat="false" ht="15" hidden="false" customHeight="true" outlineLevel="0" collapsed="false">
      <c r="A105" s="1" t="n">
        <v>108</v>
      </c>
      <c r="B105" s="13" t="n">
        <f aca="false">Returns!A109</f>
        <v>45261</v>
      </c>
      <c r="C105" s="17" t="n">
        <f aca="false">IF(Rankings!C107&lt;=2,1,0)</f>
        <v>0</v>
      </c>
      <c r="D105" s="17" t="n">
        <f aca="false">IF(Rankings!D107&lt;=2,1,0)</f>
        <v>0</v>
      </c>
      <c r="E105" s="17" t="n">
        <f aca="false">IF(Rankings!E107&lt;=2,1,0)</f>
        <v>0</v>
      </c>
      <c r="F105" s="17" t="n">
        <f aca="false">IF(Rankings!F107&lt;=2,1,0)</f>
        <v>1</v>
      </c>
      <c r="G105" s="17" t="n">
        <f aca="false">IF(Rankings!G107&lt;=2,1,0)</f>
        <v>0</v>
      </c>
      <c r="H105" s="17" t="n">
        <f aca="false">IF(Rankings!H107&lt;=2,1,0)</f>
        <v>1</v>
      </c>
      <c r="I105" s="17" t="n">
        <f aca="false">IF(Rankings!I107&lt;=2,1,0)</f>
        <v>0</v>
      </c>
      <c r="J105" s="17" t="n">
        <f aca="false">IF(Rankings!J107&lt;=2,1,0)</f>
        <v>0</v>
      </c>
      <c r="K105" s="20" t="n">
        <f aca="false">SUM(C105:J105)</f>
        <v>2</v>
      </c>
      <c r="L105" s="16" t="n">
        <f aca="false">SUMPRODUCT(C105:J105,Returns!B109:I109)/K105</f>
        <v>0.0190107028445456</v>
      </c>
      <c r="M105" s="16" t="n">
        <v>0</v>
      </c>
      <c r="N105" s="16" t="n">
        <v>0</v>
      </c>
      <c r="O105" s="16" t="n">
        <f aca="false">L105+M105+N105</f>
        <v>0.0190107028445456</v>
      </c>
      <c r="P105" s="21" t="n">
        <f aca="false">P104*(1+O105)</f>
        <v>4.45572118743883</v>
      </c>
      <c r="Q105" s="21" t="n">
        <f aca="false">MAX($P$5:P105)</f>
        <v>4.45572118743883</v>
      </c>
      <c r="R105" s="16" t="n">
        <f aca="false">P105/Q105-1</f>
        <v>0</v>
      </c>
      <c r="S105" s="16" t="n">
        <f aca="false">O105-Benchmark_RF!D105</f>
        <v>0.00277519156370842</v>
      </c>
    </row>
    <row r="106" customFormat="false" ht="15" hidden="false" customHeight="true" outlineLevel="0" collapsed="false">
      <c r="A106" s="1" t="n">
        <v>109</v>
      </c>
      <c r="B106" s="13" t="n">
        <f aca="false">Returns!A110</f>
        <v>45292</v>
      </c>
      <c r="C106" s="17" t="n">
        <f aca="false">IF(Rankings!C107&lt;=2,1,0)</f>
        <v>0</v>
      </c>
      <c r="D106" s="17" t="n">
        <f aca="false">IF(Rankings!D107&lt;=2,1,0)</f>
        <v>0</v>
      </c>
      <c r="E106" s="17" t="n">
        <f aca="false">IF(Rankings!E107&lt;=2,1,0)</f>
        <v>0</v>
      </c>
      <c r="F106" s="17" t="n">
        <f aca="false">IF(Rankings!F107&lt;=2,1,0)</f>
        <v>1</v>
      </c>
      <c r="G106" s="17" t="n">
        <f aca="false">IF(Rankings!G107&lt;=2,1,0)</f>
        <v>0</v>
      </c>
      <c r="H106" s="17" t="n">
        <f aca="false">IF(Rankings!H107&lt;=2,1,0)</f>
        <v>1</v>
      </c>
      <c r="I106" s="17" t="n">
        <f aca="false">IF(Rankings!I107&lt;=2,1,0)</f>
        <v>0</v>
      </c>
      <c r="J106" s="17" t="n">
        <f aca="false">IF(Rankings!J107&lt;=2,1,0)</f>
        <v>0</v>
      </c>
      <c r="K106" s="20" t="n">
        <f aca="false">SUM(C106:J106)</f>
        <v>2</v>
      </c>
      <c r="L106" s="16" t="n">
        <f aca="false">SUMPRODUCT(C106:J106,Returns!B110:I110)/K106</f>
        <v>0.020769104456167</v>
      </c>
      <c r="M106" s="16" t="n">
        <v>0</v>
      </c>
      <c r="N106" s="16" t="n">
        <v>0</v>
      </c>
      <c r="O106" s="16" t="n">
        <f aca="false">L106+M106+N106</f>
        <v>0.020769104456167</v>
      </c>
      <c r="P106" s="21" t="n">
        <f aca="false">P105*(1+O106)</f>
        <v>4.5482625262083</v>
      </c>
      <c r="Q106" s="21" t="n">
        <f aca="false">MAX($P$5:P106)</f>
        <v>4.5482625262083</v>
      </c>
      <c r="R106" s="16" t="n">
        <f aca="false">P106/Q106-1</f>
        <v>0</v>
      </c>
      <c r="S106" s="16" t="n">
        <f aca="false">O106-Benchmark_RF!D106</f>
        <v>0.00478019076706521</v>
      </c>
    </row>
    <row r="107" customFormat="false" ht="15" hidden="false" customHeight="true" outlineLevel="0" collapsed="false">
      <c r="A107" s="1" t="n">
        <v>110</v>
      </c>
      <c r="B107" s="13" t="n">
        <f aca="false">Returns!A111</f>
        <v>45323</v>
      </c>
      <c r="C107" s="17" t="n">
        <f aca="false">IF(Rankings!C107&lt;=2,1,0)</f>
        <v>0</v>
      </c>
      <c r="D107" s="17" t="n">
        <f aca="false">IF(Rankings!D107&lt;=2,1,0)</f>
        <v>0</v>
      </c>
      <c r="E107" s="17" t="n">
        <f aca="false">IF(Rankings!E107&lt;=2,1,0)</f>
        <v>0</v>
      </c>
      <c r="F107" s="17" t="n">
        <f aca="false">IF(Rankings!F107&lt;=2,1,0)</f>
        <v>1</v>
      </c>
      <c r="G107" s="17" t="n">
        <f aca="false">IF(Rankings!G107&lt;=2,1,0)</f>
        <v>0</v>
      </c>
      <c r="H107" s="17" t="n">
        <f aca="false">IF(Rankings!H107&lt;=2,1,0)</f>
        <v>1</v>
      </c>
      <c r="I107" s="17" t="n">
        <f aca="false">IF(Rankings!I107&lt;=2,1,0)</f>
        <v>0</v>
      </c>
      <c r="J107" s="17" t="n">
        <f aca="false">IF(Rankings!J107&lt;=2,1,0)</f>
        <v>0</v>
      </c>
      <c r="K107" s="20" t="n">
        <f aca="false">SUM(C107:J107)</f>
        <v>2</v>
      </c>
      <c r="L107" s="16" t="n">
        <f aca="false">SUMPRODUCT(C107:J107,Returns!B111:I111)/K107</f>
        <v>0.0823274927567653</v>
      </c>
      <c r="M107" s="16" t="n">
        <v>0</v>
      </c>
      <c r="N107" s="16" t="n">
        <v>0</v>
      </c>
      <c r="O107" s="16" t="n">
        <f aca="false">L107+M107+N107</f>
        <v>0.0823274927567653</v>
      </c>
      <c r="P107" s="21" t="n">
        <f aca="false">P106*(1+O107)</f>
        <v>4.92270957639058</v>
      </c>
      <c r="Q107" s="21" t="n">
        <f aca="false">MAX($P$5:P107)</f>
        <v>4.92270957639058</v>
      </c>
      <c r="R107" s="16" t="n">
        <f aca="false">P107/Q107-1</f>
        <v>0</v>
      </c>
      <c r="S107" s="16" t="n">
        <f aca="false">O107-Benchmark_RF!D107</f>
        <v>0.0660989621462321</v>
      </c>
    </row>
    <row r="108" customFormat="false" ht="15" hidden="false" customHeight="true" outlineLevel="0" collapsed="false">
      <c r="A108" s="1" t="n">
        <v>111</v>
      </c>
      <c r="B108" s="13" t="n">
        <f aca="false">Returns!A112</f>
        <v>45352</v>
      </c>
      <c r="C108" s="17" t="n">
        <f aca="false">IF(Rankings!C107&lt;=2,1,0)</f>
        <v>0</v>
      </c>
      <c r="D108" s="17" t="n">
        <f aca="false">IF(Rankings!D107&lt;=2,1,0)</f>
        <v>0</v>
      </c>
      <c r="E108" s="17" t="n">
        <f aca="false">IF(Rankings!E107&lt;=2,1,0)</f>
        <v>0</v>
      </c>
      <c r="F108" s="17" t="n">
        <f aca="false">IF(Rankings!F107&lt;=2,1,0)</f>
        <v>1</v>
      </c>
      <c r="G108" s="17" t="n">
        <f aca="false">IF(Rankings!G107&lt;=2,1,0)</f>
        <v>0</v>
      </c>
      <c r="H108" s="17" t="n">
        <f aca="false">IF(Rankings!H107&lt;=2,1,0)</f>
        <v>1</v>
      </c>
      <c r="I108" s="17" t="n">
        <f aca="false">IF(Rankings!I107&lt;=2,1,0)</f>
        <v>0</v>
      </c>
      <c r="J108" s="17" t="n">
        <f aca="false">IF(Rankings!J107&lt;=2,1,0)</f>
        <v>0</v>
      </c>
      <c r="K108" s="20" t="n">
        <f aca="false">SUM(C108:J108)</f>
        <v>2</v>
      </c>
      <c r="L108" s="16" t="n">
        <f aca="false">SUMPRODUCT(C108:J108,Returns!B112:I112)/K108</f>
        <v>0.0397822445561139</v>
      </c>
      <c r="M108" s="16" t="n">
        <v>0</v>
      </c>
      <c r="N108" s="16" t="n">
        <v>0</v>
      </c>
      <c r="O108" s="16" t="n">
        <f aca="false">L108+M108+N108</f>
        <v>0.0397822445561139</v>
      </c>
      <c r="P108" s="21" t="n">
        <f aca="false">P107*(1+O108)</f>
        <v>5.11854601263728</v>
      </c>
      <c r="Q108" s="21" t="n">
        <f aca="false">MAX($P$5:P108)</f>
        <v>5.11854601263728</v>
      </c>
      <c r="R108" s="16" t="n">
        <f aca="false">P108/Q108-1</f>
        <v>0</v>
      </c>
      <c r="S108" s="16" t="n">
        <f aca="false">O108-Benchmark_RF!D108</f>
        <v>0.0234699806935869</v>
      </c>
    </row>
    <row r="109" customFormat="false" ht="15" hidden="false" customHeight="true" outlineLevel="0" collapsed="false">
      <c r="A109" s="1" t="n">
        <v>112</v>
      </c>
      <c r="B109" s="13" t="n">
        <f aca="false">Returns!A113</f>
        <v>45383</v>
      </c>
      <c r="C109" s="17" t="n">
        <f aca="false">IF(Rankings!C107&lt;=2,1,0)</f>
        <v>0</v>
      </c>
      <c r="D109" s="17" t="n">
        <f aca="false">IF(Rankings!D107&lt;=2,1,0)</f>
        <v>0</v>
      </c>
      <c r="E109" s="17" t="n">
        <f aca="false">IF(Rankings!E107&lt;=2,1,0)</f>
        <v>0</v>
      </c>
      <c r="F109" s="17" t="n">
        <f aca="false">IF(Rankings!F107&lt;=2,1,0)</f>
        <v>1</v>
      </c>
      <c r="G109" s="17" t="n">
        <f aca="false">IF(Rankings!G107&lt;=2,1,0)</f>
        <v>0</v>
      </c>
      <c r="H109" s="17" t="n">
        <f aca="false">IF(Rankings!H107&lt;=2,1,0)</f>
        <v>1</v>
      </c>
      <c r="I109" s="17" t="n">
        <f aca="false">IF(Rankings!I107&lt;=2,1,0)</f>
        <v>0</v>
      </c>
      <c r="J109" s="17" t="n">
        <f aca="false">IF(Rankings!J107&lt;=2,1,0)</f>
        <v>0</v>
      </c>
      <c r="K109" s="20" t="n">
        <f aca="false">SUM(C109:J109)</f>
        <v>2</v>
      </c>
      <c r="L109" s="16" t="n">
        <f aca="false">SUMPRODUCT(C109:J109,Returns!B113:I113)/K109</f>
        <v>0.0912071886134854</v>
      </c>
      <c r="M109" s="16" t="n">
        <v>0</v>
      </c>
      <c r="N109" s="16" t="n">
        <v>0</v>
      </c>
      <c r="O109" s="16" t="n">
        <f aca="false">L109+M109+N109</f>
        <v>0.0912071886134854</v>
      </c>
      <c r="P109" s="21" t="n">
        <f aca="false">P108*(1+O109)</f>
        <v>5.58539420423869</v>
      </c>
      <c r="Q109" s="21" t="n">
        <f aca="false">MAX($P$5:P109)</f>
        <v>5.58539420423869</v>
      </c>
      <c r="R109" s="16" t="n">
        <f aca="false">P109/Q109-1</f>
        <v>0</v>
      </c>
      <c r="S109" s="16" t="n">
        <f aca="false">O109-Benchmark_RF!D109</f>
        <v>0.0747833983281226</v>
      </c>
    </row>
    <row r="110" customFormat="false" ht="15" hidden="false" customHeight="true" outlineLevel="0" collapsed="false">
      <c r="A110" s="1" t="n">
        <v>113</v>
      </c>
      <c r="B110" s="13" t="n">
        <f aca="false">Returns!A114</f>
        <v>45413</v>
      </c>
      <c r="C110" s="17" t="n">
        <f aca="false">IF(Rankings!C107&lt;=2,1,0)</f>
        <v>0</v>
      </c>
      <c r="D110" s="17" t="n">
        <f aca="false">IF(Rankings!D107&lt;=2,1,0)</f>
        <v>0</v>
      </c>
      <c r="E110" s="17" t="n">
        <f aca="false">IF(Rankings!E107&lt;=2,1,0)</f>
        <v>0</v>
      </c>
      <c r="F110" s="17" t="n">
        <f aca="false">IF(Rankings!F107&lt;=2,1,0)</f>
        <v>1</v>
      </c>
      <c r="G110" s="17" t="n">
        <f aca="false">IF(Rankings!G107&lt;=2,1,0)</f>
        <v>0</v>
      </c>
      <c r="H110" s="17" t="n">
        <f aca="false">IF(Rankings!H107&lt;=2,1,0)</f>
        <v>1</v>
      </c>
      <c r="I110" s="17" t="n">
        <f aca="false">IF(Rankings!I107&lt;=2,1,0)</f>
        <v>0</v>
      </c>
      <c r="J110" s="17" t="n">
        <f aca="false">IF(Rankings!J107&lt;=2,1,0)</f>
        <v>0</v>
      </c>
      <c r="K110" s="20" t="n">
        <f aca="false">SUM(C110:J110)</f>
        <v>2</v>
      </c>
      <c r="L110" s="16" t="n">
        <f aca="false">SUMPRODUCT(C110:J110,Returns!B114:I114)/K110</f>
        <v>-0.0180883867033892</v>
      </c>
      <c r="M110" s="16" t="n">
        <v>0</v>
      </c>
      <c r="N110" s="16" t="n">
        <v>0</v>
      </c>
      <c r="O110" s="16" t="n">
        <f aca="false">L110+M110+N110</f>
        <v>-0.0180883867033892</v>
      </c>
      <c r="P110" s="21" t="n">
        <f aca="false">P109*(1+O110)</f>
        <v>5.48436343398155</v>
      </c>
      <c r="Q110" s="21" t="n">
        <f aca="false">MAX($P$5:P110)</f>
        <v>5.58539420423869</v>
      </c>
      <c r="R110" s="16" t="n">
        <f aca="false">P110/Q110-1</f>
        <v>-0.0180883867033891</v>
      </c>
      <c r="S110" s="16" t="n">
        <f aca="false">O110-Benchmark_RF!D110</f>
        <v>-0.034058260970465</v>
      </c>
    </row>
    <row r="111" customFormat="false" ht="15" hidden="false" customHeight="true" outlineLevel="0" collapsed="false">
      <c r="A111" s="1" t="n">
        <v>114</v>
      </c>
      <c r="B111" s="13" t="n">
        <f aca="false">Returns!A115</f>
        <v>45444</v>
      </c>
      <c r="C111" s="17" t="n">
        <f aca="false">IF(Rankings!C107&lt;=2,1,0)</f>
        <v>0</v>
      </c>
      <c r="D111" s="17" t="n">
        <f aca="false">IF(Rankings!D107&lt;=2,1,0)</f>
        <v>0</v>
      </c>
      <c r="E111" s="17" t="n">
        <f aca="false">IF(Rankings!E107&lt;=2,1,0)</f>
        <v>0</v>
      </c>
      <c r="F111" s="17" t="n">
        <f aca="false">IF(Rankings!F107&lt;=2,1,0)</f>
        <v>1</v>
      </c>
      <c r="G111" s="17" t="n">
        <f aca="false">IF(Rankings!G107&lt;=2,1,0)</f>
        <v>0</v>
      </c>
      <c r="H111" s="17" t="n">
        <f aca="false">IF(Rankings!H107&lt;=2,1,0)</f>
        <v>1</v>
      </c>
      <c r="I111" s="17" t="n">
        <f aca="false">IF(Rankings!I107&lt;=2,1,0)</f>
        <v>0</v>
      </c>
      <c r="J111" s="17" t="n">
        <f aca="false">IF(Rankings!J107&lt;=2,1,0)</f>
        <v>0</v>
      </c>
      <c r="K111" s="20" t="n">
        <f aca="false">SUM(C111:J111)</f>
        <v>2</v>
      </c>
      <c r="L111" s="16" t="n">
        <f aca="false">SUMPRODUCT(C111:J111,Returns!B115:I115)/K111</f>
        <v>0.122957066067905</v>
      </c>
      <c r="M111" s="16" t="n">
        <v>0</v>
      </c>
      <c r="N111" s="16" t="n">
        <v>0</v>
      </c>
      <c r="O111" s="16" t="n">
        <f aca="false">L111+M111+N111</f>
        <v>0.122957066067905</v>
      </c>
      <c r="P111" s="21" t="n">
        <f aca="false">P110*(1+O111)</f>
        <v>6.15870467107402</v>
      </c>
      <c r="Q111" s="21" t="n">
        <f aca="false">MAX($P$5:P111)</f>
        <v>6.15870467107402</v>
      </c>
      <c r="R111" s="16" t="n">
        <f aca="false">P111/Q111-1</f>
        <v>0</v>
      </c>
      <c r="S111" s="16" t="n">
        <f aca="false">O111-Benchmark_RF!D111</f>
        <v>0.107637372532026</v>
      </c>
    </row>
    <row r="112" customFormat="false" ht="15" hidden="false" customHeight="true" outlineLevel="0" collapsed="false">
      <c r="A112" s="1" t="n">
        <v>115</v>
      </c>
      <c r="B112" s="13" t="n">
        <f aca="false">Returns!A116</f>
        <v>45474</v>
      </c>
      <c r="C112" s="17" t="n">
        <f aca="false">IF(Rankings!C107&lt;=2,1,0)</f>
        <v>0</v>
      </c>
      <c r="D112" s="17" t="n">
        <f aca="false">IF(Rankings!D107&lt;=2,1,0)</f>
        <v>0</v>
      </c>
      <c r="E112" s="17" t="n">
        <f aca="false">IF(Rankings!E107&lt;=2,1,0)</f>
        <v>0</v>
      </c>
      <c r="F112" s="17" t="n">
        <f aca="false">IF(Rankings!F107&lt;=2,1,0)</f>
        <v>1</v>
      </c>
      <c r="G112" s="17" t="n">
        <f aca="false">IF(Rankings!G107&lt;=2,1,0)</f>
        <v>0</v>
      </c>
      <c r="H112" s="17" t="n">
        <f aca="false">IF(Rankings!H107&lt;=2,1,0)</f>
        <v>1</v>
      </c>
      <c r="I112" s="17" t="n">
        <f aca="false">IF(Rankings!I107&lt;=2,1,0)</f>
        <v>0</v>
      </c>
      <c r="J112" s="17" t="n">
        <f aca="false">IF(Rankings!J107&lt;=2,1,0)</f>
        <v>0</v>
      </c>
      <c r="K112" s="20" t="n">
        <f aca="false">SUM(C112:J112)</f>
        <v>2</v>
      </c>
      <c r="L112" s="16" t="n">
        <f aca="false">SUMPRODUCT(C112:J112,Returns!B116:I116)/K112</f>
        <v>0.0558509058909907</v>
      </c>
      <c r="M112" s="16" t="n">
        <v>0</v>
      </c>
      <c r="N112" s="16" t="n">
        <v>0</v>
      </c>
      <c r="O112" s="16" t="n">
        <f aca="false">L112+M112+N112</f>
        <v>0.0558509058909907</v>
      </c>
      <c r="P112" s="21" t="n">
        <f aca="false">P111*(1+O112)</f>
        <v>6.50267390606858</v>
      </c>
      <c r="Q112" s="21" t="n">
        <f aca="false">MAX($P$5:P112)</f>
        <v>6.50267390606858</v>
      </c>
      <c r="R112" s="16" t="n">
        <f aca="false">P112/Q112-1</f>
        <v>0</v>
      </c>
      <c r="S112" s="16" t="n">
        <f aca="false">O112-Benchmark_RF!D112</f>
        <v>0.0409017265188484</v>
      </c>
    </row>
    <row r="113" customFormat="false" ht="15" hidden="false" customHeight="true" outlineLevel="0" collapsed="false">
      <c r="A113" s="1" t="n">
        <v>116</v>
      </c>
      <c r="B113" s="13" t="n">
        <f aca="false">Returns!A117</f>
        <v>45505</v>
      </c>
      <c r="C113" s="17" t="n">
        <f aca="false">IF(Rankings!C119&lt;=2,1,0)</f>
        <v>0</v>
      </c>
      <c r="D113" s="17" t="n">
        <f aca="false">IF(Rankings!D119&lt;=2,1,0)</f>
        <v>0</v>
      </c>
      <c r="E113" s="17" t="n">
        <f aca="false">IF(Rankings!E119&lt;=2,1,0)</f>
        <v>0</v>
      </c>
      <c r="F113" s="17" t="n">
        <f aca="false">IF(Rankings!F119&lt;=2,1,0)</f>
        <v>0</v>
      </c>
      <c r="G113" s="17" t="n">
        <f aca="false">IF(Rankings!G119&lt;=2,1,0)</f>
        <v>1</v>
      </c>
      <c r="H113" s="17" t="n">
        <f aca="false">IF(Rankings!H119&lt;=2,1,0)</f>
        <v>1</v>
      </c>
      <c r="I113" s="17" t="n">
        <f aca="false">IF(Rankings!I119&lt;=2,1,0)</f>
        <v>0</v>
      </c>
      <c r="J113" s="17" t="n">
        <f aca="false">IF(Rankings!J119&lt;=2,1,0)</f>
        <v>0</v>
      </c>
      <c r="K113" s="20" t="n">
        <f aca="false">SUM(C113:J113)</f>
        <v>2</v>
      </c>
      <c r="L113" s="16" t="n">
        <f aca="false">SUMPRODUCT(C113:J113,Returns!B117:I117)/K113</f>
        <v>-0.024226415691237</v>
      </c>
      <c r="M113" s="16" t="n">
        <f aca="false">-2*Assumptions!$B$13</f>
        <v>-0.007</v>
      </c>
      <c r="N113" s="16" t="n">
        <f aca="false">-Assumptions!$B$16*MAX(0,(1+O101)*(1+O102)*(1+O103)*(1+O104)*(1+O105)*(1+O106)*(1+O107)*(1+O108)*(1+O109)*(1+O110)*(1+O111)*(1+O112)-1)</f>
        <v>-0.0851526398951983</v>
      </c>
      <c r="O113" s="16" t="n">
        <f aca="false">L113+M113+N113</f>
        <v>-0.116379055586435</v>
      </c>
      <c r="P113" s="21" t="n">
        <f aca="false">P112*(1+O113)</f>
        <v>5.74589885809376</v>
      </c>
      <c r="Q113" s="21" t="n">
        <f aca="false">MAX($P$5:P113)</f>
        <v>6.50267390606858</v>
      </c>
      <c r="R113" s="16" t="n">
        <f aca="false">P113/Q113-1</f>
        <v>-0.116379055586435</v>
      </c>
      <c r="S113" s="16" t="n">
        <f aca="false">O113-Benchmark_RF!D113</f>
        <v>-0.129887210318678</v>
      </c>
    </row>
    <row r="114" customFormat="false" ht="15" hidden="false" customHeight="true" outlineLevel="0" collapsed="false">
      <c r="A114" s="1" t="n">
        <v>117</v>
      </c>
      <c r="B114" s="13" t="n">
        <f aca="false">Returns!A118</f>
        <v>45536</v>
      </c>
      <c r="C114" s="17" t="n">
        <f aca="false">IF(Rankings!C119&lt;=2,1,0)</f>
        <v>0</v>
      </c>
      <c r="D114" s="17" t="n">
        <f aca="false">IF(Rankings!D119&lt;=2,1,0)</f>
        <v>0</v>
      </c>
      <c r="E114" s="17" t="n">
        <f aca="false">IF(Rankings!E119&lt;=2,1,0)</f>
        <v>0</v>
      </c>
      <c r="F114" s="17" t="n">
        <f aca="false">IF(Rankings!F119&lt;=2,1,0)</f>
        <v>0</v>
      </c>
      <c r="G114" s="17" t="n">
        <f aca="false">IF(Rankings!G119&lt;=2,1,0)</f>
        <v>1</v>
      </c>
      <c r="H114" s="17" t="n">
        <f aca="false">IF(Rankings!H119&lt;=2,1,0)</f>
        <v>1</v>
      </c>
      <c r="I114" s="17" t="n">
        <f aca="false">IF(Rankings!I119&lt;=2,1,0)</f>
        <v>0</v>
      </c>
      <c r="J114" s="17" t="n">
        <f aca="false">IF(Rankings!J119&lt;=2,1,0)</f>
        <v>0</v>
      </c>
      <c r="K114" s="20" t="n">
        <f aca="false">SUM(C114:J114)</f>
        <v>2</v>
      </c>
      <c r="L114" s="16" t="n">
        <f aca="false">SUMPRODUCT(C114:J114,Returns!B118:I118)/K114</f>
        <v>0.146450072136343</v>
      </c>
      <c r="M114" s="16" t="n">
        <v>0</v>
      </c>
      <c r="N114" s="16" t="n">
        <v>0</v>
      </c>
      <c r="O114" s="16" t="n">
        <f aca="false">L114+M114+N114</f>
        <v>0.146450072136343</v>
      </c>
      <c r="P114" s="21" t="n">
        <f aca="false">P113*(1+O114)</f>
        <v>6.58738616034973</v>
      </c>
      <c r="Q114" s="21" t="n">
        <f aca="false">MAX($P$5:P114)</f>
        <v>6.58738616034973</v>
      </c>
      <c r="R114" s="16" t="n">
        <f aca="false">P114/Q114-1</f>
        <v>0</v>
      </c>
      <c r="S114" s="16" t="n">
        <f aca="false">O114-Benchmark_RF!D114</f>
        <v>0.132985066527144</v>
      </c>
    </row>
    <row r="115" customFormat="false" ht="15" hidden="false" customHeight="true" outlineLevel="0" collapsed="false">
      <c r="A115" s="1" t="n">
        <v>118</v>
      </c>
      <c r="B115" s="13" t="n">
        <f aca="false">Returns!A119</f>
        <v>45566</v>
      </c>
      <c r="C115" s="17" t="n">
        <f aca="false">IF(Rankings!C119&lt;=2,1,0)</f>
        <v>0</v>
      </c>
      <c r="D115" s="17" t="n">
        <f aca="false">IF(Rankings!D119&lt;=2,1,0)</f>
        <v>0</v>
      </c>
      <c r="E115" s="17" t="n">
        <f aca="false">IF(Rankings!E119&lt;=2,1,0)</f>
        <v>0</v>
      </c>
      <c r="F115" s="17" t="n">
        <f aca="false">IF(Rankings!F119&lt;=2,1,0)</f>
        <v>0</v>
      </c>
      <c r="G115" s="17" t="n">
        <f aca="false">IF(Rankings!G119&lt;=2,1,0)</f>
        <v>1</v>
      </c>
      <c r="H115" s="17" t="n">
        <f aca="false">IF(Rankings!H119&lt;=2,1,0)</f>
        <v>1</v>
      </c>
      <c r="I115" s="17" t="n">
        <f aca="false">IF(Rankings!I119&lt;=2,1,0)</f>
        <v>0</v>
      </c>
      <c r="J115" s="17" t="n">
        <f aca="false">IF(Rankings!J119&lt;=2,1,0)</f>
        <v>0</v>
      </c>
      <c r="K115" s="20" t="n">
        <f aca="false">SUM(C115:J115)</f>
        <v>2</v>
      </c>
      <c r="L115" s="16" t="n">
        <f aca="false">SUMPRODUCT(C115:J115,Returns!B119:I119)/K115</f>
        <v>0.132049071108385</v>
      </c>
      <c r="M115" s="16" t="n">
        <v>0</v>
      </c>
      <c r="N115" s="16" t="n">
        <v>0</v>
      </c>
      <c r="O115" s="16" t="n">
        <f aca="false">L115+M115+N115</f>
        <v>0.132049071108385</v>
      </c>
      <c r="P115" s="21" t="n">
        <f aca="false">P114*(1+O115)</f>
        <v>7.45724438385614</v>
      </c>
      <c r="Q115" s="21" t="n">
        <f aca="false">MAX($P$5:P115)</f>
        <v>7.45724438385614</v>
      </c>
      <c r="R115" s="16" t="n">
        <f aca="false">P115/Q115-1</f>
        <v>0</v>
      </c>
      <c r="S115" s="16" t="n">
        <f aca="false">O115-Benchmark_RF!D115</f>
        <v>0.121166341959905</v>
      </c>
    </row>
    <row r="116" customFormat="false" ht="15" hidden="false" customHeight="true" outlineLevel="0" collapsed="false">
      <c r="A116" s="1" t="n">
        <v>119</v>
      </c>
      <c r="B116" s="13" t="n">
        <f aca="false">Returns!A120</f>
        <v>45597</v>
      </c>
      <c r="C116" s="17" t="n">
        <f aca="false">IF(Rankings!C119&lt;=2,1,0)</f>
        <v>0</v>
      </c>
      <c r="D116" s="17" t="n">
        <f aca="false">IF(Rankings!D119&lt;=2,1,0)</f>
        <v>0</v>
      </c>
      <c r="E116" s="17" t="n">
        <f aca="false">IF(Rankings!E119&lt;=2,1,0)</f>
        <v>0</v>
      </c>
      <c r="F116" s="17" t="n">
        <f aca="false">IF(Rankings!F119&lt;=2,1,0)</f>
        <v>0</v>
      </c>
      <c r="G116" s="17" t="n">
        <f aca="false">IF(Rankings!G119&lt;=2,1,0)</f>
        <v>1</v>
      </c>
      <c r="H116" s="17" t="n">
        <f aca="false">IF(Rankings!H119&lt;=2,1,0)</f>
        <v>1</v>
      </c>
      <c r="I116" s="17" t="n">
        <f aca="false">IF(Rankings!I119&lt;=2,1,0)</f>
        <v>0</v>
      </c>
      <c r="J116" s="17" t="n">
        <f aca="false">IF(Rankings!J119&lt;=2,1,0)</f>
        <v>0</v>
      </c>
      <c r="K116" s="20" t="n">
        <f aca="false">SUM(C116:J116)</f>
        <v>2</v>
      </c>
      <c r="L116" s="16" t="n">
        <f aca="false">SUMPRODUCT(C116:J116,Returns!B120:I120)/K116</f>
        <v>0.154444725672004</v>
      </c>
      <c r="M116" s="16" t="n">
        <v>0</v>
      </c>
      <c r="N116" s="16" t="n">
        <v>0</v>
      </c>
      <c r="O116" s="16" t="n">
        <f aca="false">L116+M116+N116</f>
        <v>0.154444725672004</v>
      </c>
      <c r="P116" s="21" t="n">
        <f aca="false">P115*(1+O116)</f>
        <v>8.60897644698989</v>
      </c>
      <c r="Q116" s="21" t="n">
        <f aca="false">MAX($P$5:P116)</f>
        <v>8.60897644698989</v>
      </c>
      <c r="R116" s="16" t="n">
        <f aca="false">P116/Q116-1</f>
        <v>0</v>
      </c>
      <c r="S116" s="16" t="n">
        <f aca="false">O116-Benchmark_RF!D116</f>
        <v>0.143561996523523</v>
      </c>
    </row>
    <row r="117" customFormat="false" ht="15" hidden="false" customHeight="true" outlineLevel="0" collapsed="false">
      <c r="A117" s="1" t="n">
        <v>120</v>
      </c>
      <c r="B117" s="13" t="n">
        <f aca="false">Returns!A121</f>
        <v>45627</v>
      </c>
      <c r="C117" s="17" t="n">
        <f aca="false">IF(Rankings!C119&lt;=2,1,0)</f>
        <v>0</v>
      </c>
      <c r="D117" s="17" t="n">
        <f aca="false">IF(Rankings!D119&lt;=2,1,0)</f>
        <v>0</v>
      </c>
      <c r="E117" s="17" t="n">
        <f aca="false">IF(Rankings!E119&lt;=2,1,0)</f>
        <v>0</v>
      </c>
      <c r="F117" s="17" t="n">
        <f aca="false">IF(Rankings!F119&lt;=2,1,0)</f>
        <v>0</v>
      </c>
      <c r="G117" s="17" t="n">
        <f aca="false">IF(Rankings!G119&lt;=2,1,0)</f>
        <v>1</v>
      </c>
      <c r="H117" s="17" t="n">
        <f aca="false">IF(Rankings!H119&lt;=2,1,0)</f>
        <v>1</v>
      </c>
      <c r="I117" s="17" t="n">
        <f aca="false">IF(Rankings!I119&lt;=2,1,0)</f>
        <v>0</v>
      </c>
      <c r="J117" s="17" t="n">
        <f aca="false">IF(Rankings!J119&lt;=2,1,0)</f>
        <v>0</v>
      </c>
      <c r="K117" s="20" t="n">
        <f aca="false">SUM(C117:J117)</f>
        <v>2</v>
      </c>
      <c r="L117" s="16" t="n">
        <f aca="false">SUMPRODUCT(C117:J117,Returns!B121:I121)/K117</f>
        <v>0.103454024499722</v>
      </c>
      <c r="M117" s="16" t="n">
        <v>0</v>
      </c>
      <c r="N117" s="16" t="n">
        <v>0</v>
      </c>
      <c r="O117" s="16" t="n">
        <f aca="false">L117+M117+N117</f>
        <v>0.103454024499722</v>
      </c>
      <c r="P117" s="21" t="n">
        <f aca="false">P116*(1+O117)</f>
        <v>9.49960970725431</v>
      </c>
      <c r="Q117" s="21" t="n">
        <f aca="false">MAX($P$5:P117)</f>
        <v>9.49960970725431</v>
      </c>
      <c r="R117" s="16" t="n">
        <f aca="false">P117/Q117-1</f>
        <v>0</v>
      </c>
      <c r="S117" s="16" t="n">
        <f aca="false">O117-Benchmark_RF!D117</f>
        <v>0.0940779669432136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10" min="3" style="1" width="8"/>
    <col collapsed="false" customWidth="true" hidden="false" outlineLevel="0" max="16" min="11" style="1" width="11"/>
    <col collapsed="false" customWidth="true" hidden="false" outlineLevel="0" max="17" min="17" style="1" width="12"/>
    <col collapsed="false" customWidth="true" hidden="false" outlineLevel="0" max="18" min="18" style="1" width="11"/>
    <col collapsed="false" customWidth="true" hidden="false" outlineLevel="0" max="19" min="19" style="1" width="13"/>
  </cols>
  <sheetData>
    <row r="1" customFormat="false" ht="15.75" hidden="false" customHeight="true" outlineLevel="0" collapsed="false">
      <c r="A1" s="18" t="s">
        <v>80</v>
      </c>
    </row>
    <row r="2" customFormat="false" ht="15" hidden="false" customHeight="true" outlineLevel="0" collapsed="false">
      <c r="A2" s="5" t="s">
        <v>69</v>
      </c>
    </row>
    <row r="4" customFormat="false" ht="15" hidden="false" customHeight="true" outlineLevel="0" collapsed="false">
      <c r="A4" s="12" t="s">
        <v>70</v>
      </c>
      <c r="B4" s="12" t="s">
        <v>51</v>
      </c>
      <c r="C4" s="12" t="s">
        <v>52</v>
      </c>
      <c r="D4" s="12" t="s">
        <v>53</v>
      </c>
      <c r="E4" s="12" t="s">
        <v>54</v>
      </c>
      <c r="F4" s="12" t="s">
        <v>55</v>
      </c>
      <c r="G4" s="12" t="s">
        <v>56</v>
      </c>
      <c r="H4" s="12" t="s">
        <v>57</v>
      </c>
      <c r="I4" s="12" t="s">
        <v>58</v>
      </c>
      <c r="J4" s="12" t="s">
        <v>59</v>
      </c>
      <c r="K4" s="12" t="s">
        <v>71</v>
      </c>
      <c r="L4" s="12" t="s">
        <v>72</v>
      </c>
      <c r="M4" s="12" t="s">
        <v>73</v>
      </c>
      <c r="N4" s="12" t="s">
        <v>74</v>
      </c>
      <c r="O4" s="12" t="s">
        <v>75</v>
      </c>
      <c r="P4" s="12" t="s">
        <v>76</v>
      </c>
      <c r="Q4" s="19" t="s">
        <v>77</v>
      </c>
      <c r="R4" s="19" t="s">
        <v>78</v>
      </c>
      <c r="S4" s="19" t="s">
        <v>79</v>
      </c>
    </row>
    <row r="5" customFormat="false" ht="15" hidden="false" customHeight="true" outlineLevel="0" collapsed="false">
      <c r="A5" s="1" t="n">
        <v>8</v>
      </c>
      <c r="B5" s="13" t="n">
        <f aca="false">Returns!A9</f>
        <v>42217</v>
      </c>
      <c r="C5" s="17" t="n">
        <f aca="false">IF(Rankings!C11&lt;=2,1,0)</f>
        <v>0</v>
      </c>
      <c r="D5" s="17" t="n">
        <f aca="false">IF(Rankings!D11&lt;=2,1,0)</f>
        <v>0</v>
      </c>
      <c r="E5" s="17" t="n">
        <f aca="false">IF(Rankings!E11&lt;=2,1,0)</f>
        <v>0</v>
      </c>
      <c r="F5" s="17" t="n">
        <f aca="false">IF(Rankings!F11&lt;=2,1,0)</f>
        <v>0</v>
      </c>
      <c r="G5" s="17" t="n">
        <f aca="false">IF(Rankings!G11&lt;=2,1,0)</f>
        <v>1</v>
      </c>
      <c r="H5" s="17" t="n">
        <f aca="false">IF(Rankings!H11&lt;=2,1,0)</f>
        <v>1</v>
      </c>
      <c r="I5" s="17" t="n">
        <f aca="false">IF(Rankings!I11&lt;=2,1,0)</f>
        <v>0</v>
      </c>
      <c r="J5" s="17" t="n">
        <f aca="false">IF(Rankings!J11&lt;=2,1,0)</f>
        <v>0</v>
      </c>
      <c r="K5" s="20" t="n">
        <f aca="false">SUM(C5:J5)</f>
        <v>2</v>
      </c>
      <c r="L5" s="16" t="n">
        <f aca="false">SUMPRODUCT(C5:J5,Returns!B9:I9)/K5</f>
        <v>-0.0566811293424257</v>
      </c>
      <c r="M5" s="16" t="n">
        <f aca="false">-2*Assumptions!$B$13</f>
        <v>-0.007</v>
      </c>
      <c r="N5" s="16" t="n">
        <v>0</v>
      </c>
      <c r="O5" s="16" t="n">
        <f aca="false">L5+M5+N5</f>
        <v>-0.0636811293424257</v>
      </c>
      <c r="P5" s="21" t="n">
        <f aca="false">1*(1+O5)</f>
        <v>0.936318870657574</v>
      </c>
      <c r="Q5" s="21" t="n">
        <f aca="false">MAX($P$5:P5)</f>
        <v>0.936318870657574</v>
      </c>
      <c r="R5" s="16" t="n">
        <f aca="false">P5/Q5-1</f>
        <v>0</v>
      </c>
      <c r="S5" s="16" t="n">
        <f aca="false">O5-Benchmark_RF!D5</f>
        <v>-0.0692810598517519</v>
      </c>
    </row>
    <row r="6" customFormat="false" ht="15" hidden="false" customHeight="true" outlineLevel="0" collapsed="false">
      <c r="A6" s="1" t="n">
        <v>9</v>
      </c>
      <c r="B6" s="13" t="n">
        <f aca="false">Returns!A10</f>
        <v>42248</v>
      </c>
      <c r="C6" s="17" t="n">
        <f aca="false">IF(Rankings!C11&lt;=2,1,0)</f>
        <v>0</v>
      </c>
      <c r="D6" s="17" t="n">
        <f aca="false">IF(Rankings!D11&lt;=2,1,0)</f>
        <v>0</v>
      </c>
      <c r="E6" s="17" t="n">
        <f aca="false">IF(Rankings!E11&lt;=2,1,0)</f>
        <v>0</v>
      </c>
      <c r="F6" s="17" t="n">
        <f aca="false">IF(Rankings!F11&lt;=2,1,0)</f>
        <v>0</v>
      </c>
      <c r="G6" s="17" t="n">
        <f aca="false">IF(Rankings!G11&lt;=2,1,0)</f>
        <v>1</v>
      </c>
      <c r="H6" s="17" t="n">
        <f aca="false">IF(Rankings!H11&lt;=2,1,0)</f>
        <v>1</v>
      </c>
      <c r="I6" s="17" t="n">
        <f aca="false">IF(Rankings!I11&lt;=2,1,0)</f>
        <v>0</v>
      </c>
      <c r="J6" s="17" t="n">
        <f aca="false">IF(Rankings!J11&lt;=2,1,0)</f>
        <v>0</v>
      </c>
      <c r="K6" s="20" t="n">
        <f aca="false">SUM(C6:J6)</f>
        <v>2</v>
      </c>
      <c r="L6" s="16" t="n">
        <f aca="false">SUMPRODUCT(C6:J6,Returns!B10:I10)/K6</f>
        <v>-0.0508737794276119</v>
      </c>
      <c r="M6" s="16" t="n">
        <v>0</v>
      </c>
      <c r="N6" s="16" t="n">
        <v>0</v>
      </c>
      <c r="O6" s="16" t="n">
        <f aca="false">L6+M6+N6</f>
        <v>-0.0508737794276119</v>
      </c>
      <c r="P6" s="21" t="n">
        <f aca="false">P5*(1+O6)</f>
        <v>0.88868479095783</v>
      </c>
      <c r="Q6" s="21" t="n">
        <f aca="false">MAX($P$5:P6)</f>
        <v>0.936318870657574</v>
      </c>
      <c r="R6" s="16" t="n">
        <f aca="false">P6/Q6-1</f>
        <v>-0.050873779427612</v>
      </c>
      <c r="S6" s="16" t="n">
        <f aca="false">O6-Benchmark_RF!D6</f>
        <v>-0.0561089617847709</v>
      </c>
    </row>
    <row r="7" customFormat="false" ht="15" hidden="false" customHeight="true" outlineLevel="0" collapsed="false">
      <c r="A7" s="1" t="n">
        <v>10</v>
      </c>
      <c r="B7" s="13" t="n">
        <f aca="false">Returns!A11</f>
        <v>42278</v>
      </c>
      <c r="C7" s="17" t="n">
        <f aca="false">IF(Rankings!C11&lt;=2,1,0)</f>
        <v>0</v>
      </c>
      <c r="D7" s="17" t="n">
        <f aca="false">IF(Rankings!D11&lt;=2,1,0)</f>
        <v>0</v>
      </c>
      <c r="E7" s="17" t="n">
        <f aca="false">IF(Rankings!E11&lt;=2,1,0)</f>
        <v>0</v>
      </c>
      <c r="F7" s="17" t="n">
        <f aca="false">IF(Rankings!F11&lt;=2,1,0)</f>
        <v>0</v>
      </c>
      <c r="G7" s="17" t="n">
        <f aca="false">IF(Rankings!G11&lt;=2,1,0)</f>
        <v>1</v>
      </c>
      <c r="H7" s="17" t="n">
        <f aca="false">IF(Rankings!H11&lt;=2,1,0)</f>
        <v>1</v>
      </c>
      <c r="I7" s="17" t="n">
        <f aca="false">IF(Rankings!I11&lt;=2,1,0)</f>
        <v>0</v>
      </c>
      <c r="J7" s="17" t="n">
        <f aca="false">IF(Rankings!J11&lt;=2,1,0)</f>
        <v>0</v>
      </c>
      <c r="K7" s="20" t="n">
        <f aca="false">SUM(C7:J7)</f>
        <v>2</v>
      </c>
      <c r="L7" s="16" t="n">
        <f aca="false">SUMPRODUCT(C7:J7,Returns!B11:I11)/K7</f>
        <v>0.0197648699383213</v>
      </c>
      <c r="M7" s="16" t="n">
        <v>0</v>
      </c>
      <c r="N7" s="16" t="n">
        <v>0</v>
      </c>
      <c r="O7" s="16" t="n">
        <f aca="false">L7+M7+N7</f>
        <v>0.0197648699383213</v>
      </c>
      <c r="P7" s="21" t="n">
        <f aca="false">P6*(1+O7)</f>
        <v>0.906249530267276</v>
      </c>
      <c r="Q7" s="21" t="n">
        <f aca="false">MAX($P$5:P7)</f>
        <v>0.936318870657574</v>
      </c>
      <c r="R7" s="16" t="n">
        <f aca="false">P7/Q7-1</f>
        <v>-0.0321144231229484</v>
      </c>
      <c r="S7" s="16" t="n">
        <f aca="false">O7-Benchmark_RF!D7</f>
        <v>0.014657635033162</v>
      </c>
    </row>
    <row r="8" customFormat="false" ht="15" hidden="false" customHeight="true" outlineLevel="0" collapsed="false">
      <c r="A8" s="1" t="n">
        <v>11</v>
      </c>
      <c r="B8" s="13" t="n">
        <f aca="false">Returns!A12</f>
        <v>42309</v>
      </c>
      <c r="C8" s="17" t="n">
        <f aca="false">IF(Rankings!C11&lt;=2,1,0)</f>
        <v>0</v>
      </c>
      <c r="D8" s="17" t="n">
        <f aca="false">IF(Rankings!D11&lt;=2,1,0)</f>
        <v>0</v>
      </c>
      <c r="E8" s="17" t="n">
        <f aca="false">IF(Rankings!E11&lt;=2,1,0)</f>
        <v>0</v>
      </c>
      <c r="F8" s="17" t="n">
        <f aca="false">IF(Rankings!F11&lt;=2,1,0)</f>
        <v>0</v>
      </c>
      <c r="G8" s="17" t="n">
        <f aca="false">IF(Rankings!G11&lt;=2,1,0)</f>
        <v>1</v>
      </c>
      <c r="H8" s="17" t="n">
        <f aca="false">IF(Rankings!H11&lt;=2,1,0)</f>
        <v>1</v>
      </c>
      <c r="I8" s="17" t="n">
        <f aca="false">IF(Rankings!I11&lt;=2,1,0)</f>
        <v>0</v>
      </c>
      <c r="J8" s="17" t="n">
        <f aca="false">IF(Rankings!J11&lt;=2,1,0)</f>
        <v>0</v>
      </c>
      <c r="K8" s="20" t="n">
        <f aca="false">SUM(C8:J8)</f>
        <v>2</v>
      </c>
      <c r="L8" s="16" t="n">
        <f aca="false">SUMPRODUCT(C8:J8,Returns!B12:I12)/K8</f>
        <v>-0.0766393289458111</v>
      </c>
      <c r="M8" s="16" t="n">
        <v>0</v>
      </c>
      <c r="N8" s="16" t="n">
        <v>0</v>
      </c>
      <c r="O8" s="16" t="n">
        <f aca="false">L8+M8+N8</f>
        <v>-0.0766393289458111</v>
      </c>
      <c r="P8" s="21" t="n">
        <f aca="false">P7*(1+O8)</f>
        <v>0.836795174410135</v>
      </c>
      <c r="Q8" s="21" t="n">
        <f aca="false">MAX($P$5:P8)</f>
        <v>0.936318870657574</v>
      </c>
      <c r="R8" s="16" t="n">
        <f aca="false">P8/Q8-1</f>
        <v>-0.106292524231135</v>
      </c>
      <c r="S8" s="16" t="n">
        <f aca="false">O8-Benchmark_RF!D8</f>
        <v>-0.0817980005752362</v>
      </c>
    </row>
    <row r="9" customFormat="false" ht="15" hidden="false" customHeight="true" outlineLevel="0" collapsed="false">
      <c r="A9" s="1" t="n">
        <v>12</v>
      </c>
      <c r="B9" s="13" t="n">
        <f aca="false">Returns!A13</f>
        <v>42339</v>
      </c>
      <c r="C9" s="17" t="n">
        <f aca="false">IF(Rankings!C11&lt;=2,1,0)</f>
        <v>0</v>
      </c>
      <c r="D9" s="17" t="n">
        <f aca="false">IF(Rankings!D11&lt;=2,1,0)</f>
        <v>0</v>
      </c>
      <c r="E9" s="17" t="n">
        <f aca="false">IF(Rankings!E11&lt;=2,1,0)</f>
        <v>0</v>
      </c>
      <c r="F9" s="17" t="n">
        <f aca="false">IF(Rankings!F11&lt;=2,1,0)</f>
        <v>0</v>
      </c>
      <c r="G9" s="17" t="n">
        <f aca="false">IF(Rankings!G11&lt;=2,1,0)</f>
        <v>1</v>
      </c>
      <c r="H9" s="17" t="n">
        <f aca="false">IF(Rankings!H11&lt;=2,1,0)</f>
        <v>1</v>
      </c>
      <c r="I9" s="17" t="n">
        <f aca="false">IF(Rankings!I11&lt;=2,1,0)</f>
        <v>0</v>
      </c>
      <c r="J9" s="17" t="n">
        <f aca="false">IF(Rankings!J11&lt;=2,1,0)</f>
        <v>0</v>
      </c>
      <c r="K9" s="20" t="n">
        <f aca="false">SUM(C9:J9)</f>
        <v>2</v>
      </c>
      <c r="L9" s="16" t="n">
        <f aca="false">SUMPRODUCT(C9:J9,Returns!B13:I13)/K9</f>
        <v>0.00365177472357492</v>
      </c>
      <c r="M9" s="16" t="n">
        <v>0</v>
      </c>
      <c r="N9" s="16" t="n">
        <v>0</v>
      </c>
      <c r="O9" s="16" t="n">
        <f aca="false">L9+M9+N9</f>
        <v>0.00365177472357492</v>
      </c>
      <c r="P9" s="21" t="n">
        <f aca="false">P8*(1+O9)</f>
        <v>0.839850961876856</v>
      </c>
      <c r="Q9" s="21" t="n">
        <f aca="false">MAX($P$5:P9)</f>
        <v>0.936318870657574</v>
      </c>
      <c r="R9" s="16" t="n">
        <f aca="false">P9/Q9-1</f>
        <v>-0.103028905860852</v>
      </c>
      <c r="S9" s="16" t="n">
        <f aca="false">O9-Benchmark_RF!D9</f>
        <v>-0.00148193047369527</v>
      </c>
    </row>
    <row r="10" customFormat="false" ht="15" hidden="false" customHeight="true" outlineLevel="0" collapsed="false">
      <c r="A10" s="1" t="n">
        <v>13</v>
      </c>
      <c r="B10" s="13" t="n">
        <f aca="false">Returns!A14</f>
        <v>42370</v>
      </c>
      <c r="C10" s="17" t="n">
        <f aca="false">IF(Rankings!C11&lt;=2,1,0)</f>
        <v>0</v>
      </c>
      <c r="D10" s="17" t="n">
        <f aca="false">IF(Rankings!D11&lt;=2,1,0)</f>
        <v>0</v>
      </c>
      <c r="E10" s="17" t="n">
        <f aca="false">IF(Rankings!E11&lt;=2,1,0)</f>
        <v>0</v>
      </c>
      <c r="F10" s="17" t="n">
        <f aca="false">IF(Rankings!F11&lt;=2,1,0)</f>
        <v>0</v>
      </c>
      <c r="G10" s="17" t="n">
        <f aca="false">IF(Rankings!G11&lt;=2,1,0)</f>
        <v>1</v>
      </c>
      <c r="H10" s="17" t="n">
        <f aca="false">IF(Rankings!H11&lt;=2,1,0)</f>
        <v>1</v>
      </c>
      <c r="I10" s="17" t="n">
        <f aca="false">IF(Rankings!I11&lt;=2,1,0)</f>
        <v>0</v>
      </c>
      <c r="J10" s="17" t="n">
        <f aca="false">IF(Rankings!J11&lt;=2,1,0)</f>
        <v>0</v>
      </c>
      <c r="K10" s="20" t="n">
        <f aca="false">SUM(C10:J10)</f>
        <v>2</v>
      </c>
      <c r="L10" s="16" t="n">
        <f aca="false">SUMPRODUCT(C10:J10,Returns!B14:I14)/K10</f>
        <v>-0.0393267610960223</v>
      </c>
      <c r="M10" s="16" t="n">
        <v>0</v>
      </c>
      <c r="N10" s="16" t="n">
        <v>0</v>
      </c>
      <c r="O10" s="16" t="n">
        <f aca="false">L10+M10+N10</f>
        <v>-0.0393267610960223</v>
      </c>
      <c r="P10" s="21" t="n">
        <f aca="false">P9*(1+O10)</f>
        <v>0.80682234374286</v>
      </c>
      <c r="Q10" s="21" t="n">
        <f aca="false">MAX($P$5:P10)</f>
        <v>0.936318870657574</v>
      </c>
      <c r="R10" s="16" t="n">
        <f aca="false">P10/Q10-1</f>
        <v>-0.1383038737901</v>
      </c>
      <c r="S10" s="16" t="n">
        <f aca="false">O10-Benchmark_RF!D10</f>
        <v>-0.044321963852164</v>
      </c>
    </row>
    <row r="11" customFormat="false" ht="15" hidden="false" customHeight="true" outlineLevel="0" collapsed="false">
      <c r="A11" s="1" t="n">
        <v>14</v>
      </c>
      <c r="B11" s="13" t="n">
        <f aca="false">Returns!A15</f>
        <v>42401</v>
      </c>
      <c r="C11" s="17" t="n">
        <f aca="false">IF(Rankings!C17&lt;=2,1,0)</f>
        <v>1</v>
      </c>
      <c r="D11" s="17" t="n">
        <f aca="false">IF(Rankings!D17&lt;=2,1,0)</f>
        <v>0</v>
      </c>
      <c r="E11" s="17" t="n">
        <f aca="false">IF(Rankings!E17&lt;=2,1,0)</f>
        <v>0</v>
      </c>
      <c r="F11" s="17" t="n">
        <f aca="false">IF(Rankings!F17&lt;=2,1,0)</f>
        <v>0</v>
      </c>
      <c r="G11" s="17" t="n">
        <f aca="false">IF(Rankings!G17&lt;=2,1,0)</f>
        <v>0</v>
      </c>
      <c r="H11" s="17" t="n">
        <f aca="false">IF(Rankings!H17&lt;=2,1,0)</f>
        <v>0</v>
      </c>
      <c r="I11" s="17" t="n">
        <f aca="false">IF(Rankings!I17&lt;=2,1,0)</f>
        <v>1</v>
      </c>
      <c r="J11" s="17" t="n">
        <f aca="false">IF(Rankings!J17&lt;=2,1,0)</f>
        <v>0</v>
      </c>
      <c r="K11" s="20" t="n">
        <f aca="false">SUM(C11:J11)</f>
        <v>2</v>
      </c>
      <c r="L11" s="16" t="n">
        <f aca="false">SUMPRODUCT(C11:J11,Returns!B15:I15)/K11</f>
        <v>-0.0253934226102397</v>
      </c>
      <c r="M11" s="16" t="n">
        <f aca="false">-2*Assumptions!$B$13</f>
        <v>-0.007</v>
      </c>
      <c r="N11" s="16" t="n">
        <f aca="false">-Assumptions!$B$16*MAX(0,(1+O5)*(1+O6)*(1+O7)*(1+O8)*(1+O9)*(1+O10)-1)</f>
        <v>-0</v>
      </c>
      <c r="O11" s="16" t="n">
        <f aca="false">L11+M11+N11</f>
        <v>-0.0323934226102397</v>
      </c>
      <c r="P11" s="21" t="n">
        <f aca="false">P10*(1+O11)</f>
        <v>0.780686606590614</v>
      </c>
      <c r="Q11" s="21" t="n">
        <f aca="false">MAX($P$5:P11)</f>
        <v>0.936318870657574</v>
      </c>
      <c r="R11" s="16" t="n">
        <f aca="false">P11/Q11-1</f>
        <v>-0.166217160568024</v>
      </c>
      <c r="S11" s="16" t="n">
        <f aca="false">O11-Benchmark_RF!D11</f>
        <v>-0.0374299537039228</v>
      </c>
    </row>
    <row r="12" customFormat="false" ht="15" hidden="false" customHeight="true" outlineLevel="0" collapsed="false">
      <c r="A12" s="1" t="n">
        <v>15</v>
      </c>
      <c r="B12" s="13" t="n">
        <f aca="false">Returns!A16</f>
        <v>42430</v>
      </c>
      <c r="C12" s="17" t="n">
        <f aca="false">IF(Rankings!C17&lt;=2,1,0)</f>
        <v>1</v>
      </c>
      <c r="D12" s="17" t="n">
        <f aca="false">IF(Rankings!D17&lt;=2,1,0)</f>
        <v>0</v>
      </c>
      <c r="E12" s="17" t="n">
        <f aca="false">IF(Rankings!E17&lt;=2,1,0)</f>
        <v>0</v>
      </c>
      <c r="F12" s="17" t="n">
        <f aca="false">IF(Rankings!F17&lt;=2,1,0)</f>
        <v>0</v>
      </c>
      <c r="G12" s="17" t="n">
        <f aca="false">IF(Rankings!G17&lt;=2,1,0)</f>
        <v>0</v>
      </c>
      <c r="H12" s="17" t="n">
        <f aca="false">IF(Rankings!H17&lt;=2,1,0)</f>
        <v>0</v>
      </c>
      <c r="I12" s="17" t="n">
        <f aca="false">IF(Rankings!I17&lt;=2,1,0)</f>
        <v>1</v>
      </c>
      <c r="J12" s="17" t="n">
        <f aca="false">IF(Rankings!J17&lt;=2,1,0)</f>
        <v>0</v>
      </c>
      <c r="K12" s="20" t="n">
        <f aca="false">SUM(C12:J12)</f>
        <v>2</v>
      </c>
      <c r="L12" s="16" t="n">
        <f aca="false">SUMPRODUCT(C12:J12,Returns!B16:I16)/K12</f>
        <v>0.0740937763004029</v>
      </c>
      <c r="M12" s="16" t="n">
        <v>0</v>
      </c>
      <c r="N12" s="16" t="n">
        <v>0</v>
      </c>
      <c r="O12" s="16" t="n">
        <f aca="false">L12+M12+N12</f>
        <v>0.0740937763004029</v>
      </c>
      <c r="P12" s="21" t="n">
        <f aca="false">P11*(1+O12)</f>
        <v>0.838530625380059</v>
      </c>
      <c r="Q12" s="21" t="n">
        <f aca="false">MAX($P$5:P12)</f>
        <v>0.936318870657574</v>
      </c>
      <c r="R12" s="16" t="n">
        <f aca="false">P12/Q12-1</f>
        <v>-0.104439041380036</v>
      </c>
      <c r="S12" s="16" t="n">
        <f aca="false">O12-Benchmark_RF!D12</f>
        <v>0.0690922626650811</v>
      </c>
    </row>
    <row r="13" customFormat="false" ht="15" hidden="false" customHeight="true" outlineLevel="0" collapsed="false">
      <c r="A13" s="1" t="n">
        <v>16</v>
      </c>
      <c r="B13" s="13" t="n">
        <f aca="false">Returns!A17</f>
        <v>42461</v>
      </c>
      <c r="C13" s="17" t="n">
        <f aca="false">IF(Rankings!C17&lt;=2,1,0)</f>
        <v>1</v>
      </c>
      <c r="D13" s="17" t="n">
        <f aca="false">IF(Rankings!D17&lt;=2,1,0)</f>
        <v>0</v>
      </c>
      <c r="E13" s="17" t="n">
        <f aca="false">IF(Rankings!E17&lt;=2,1,0)</f>
        <v>0</v>
      </c>
      <c r="F13" s="17" t="n">
        <f aca="false">IF(Rankings!F17&lt;=2,1,0)</f>
        <v>0</v>
      </c>
      <c r="G13" s="17" t="n">
        <f aca="false">IF(Rankings!G17&lt;=2,1,0)</f>
        <v>0</v>
      </c>
      <c r="H13" s="17" t="n">
        <f aca="false">IF(Rankings!H17&lt;=2,1,0)</f>
        <v>0</v>
      </c>
      <c r="I13" s="17" t="n">
        <f aca="false">IF(Rankings!I17&lt;=2,1,0)</f>
        <v>1</v>
      </c>
      <c r="J13" s="17" t="n">
        <f aca="false">IF(Rankings!J17&lt;=2,1,0)</f>
        <v>0</v>
      </c>
      <c r="K13" s="20" t="n">
        <f aca="false">SUM(C13:J13)</f>
        <v>2</v>
      </c>
      <c r="L13" s="16" t="n">
        <f aca="false">SUMPRODUCT(C13:J13,Returns!B17:I17)/K13</f>
        <v>0.126575556973016</v>
      </c>
      <c r="M13" s="16" t="n">
        <v>0</v>
      </c>
      <c r="N13" s="16" t="n">
        <v>0</v>
      </c>
      <c r="O13" s="16" t="n">
        <f aca="false">L13+M13+N13</f>
        <v>0.126575556973016</v>
      </c>
      <c r="P13" s="21" t="n">
        <f aca="false">P12*(1+O13)</f>
        <v>0.944668106326472</v>
      </c>
      <c r="Q13" s="21" t="n">
        <f aca="false">MAX($P$5:P13)</f>
        <v>0.944668106326472</v>
      </c>
      <c r="R13" s="16" t="n">
        <f aca="false">P13/Q13-1</f>
        <v>0</v>
      </c>
      <c r="S13" s="16" t="n">
        <f aca="false">O13-Benchmark_RF!D13</f>
        <v>0.121574043337695</v>
      </c>
    </row>
    <row r="14" customFormat="false" ht="15" hidden="false" customHeight="true" outlineLevel="0" collapsed="false">
      <c r="A14" s="1" t="n">
        <v>17</v>
      </c>
      <c r="B14" s="13" t="n">
        <f aca="false">Returns!A18</f>
        <v>42491</v>
      </c>
      <c r="C14" s="17" t="n">
        <f aca="false">IF(Rankings!C17&lt;=2,1,0)</f>
        <v>1</v>
      </c>
      <c r="D14" s="17" t="n">
        <f aca="false">IF(Rankings!D17&lt;=2,1,0)</f>
        <v>0</v>
      </c>
      <c r="E14" s="17" t="n">
        <f aca="false">IF(Rankings!E17&lt;=2,1,0)</f>
        <v>0</v>
      </c>
      <c r="F14" s="17" t="n">
        <f aca="false">IF(Rankings!F17&lt;=2,1,0)</f>
        <v>0</v>
      </c>
      <c r="G14" s="17" t="n">
        <f aca="false">IF(Rankings!G17&lt;=2,1,0)</f>
        <v>0</v>
      </c>
      <c r="H14" s="17" t="n">
        <f aca="false">IF(Rankings!H17&lt;=2,1,0)</f>
        <v>0</v>
      </c>
      <c r="I14" s="17" t="n">
        <f aca="false">IF(Rankings!I17&lt;=2,1,0)</f>
        <v>1</v>
      </c>
      <c r="J14" s="17" t="n">
        <f aca="false">IF(Rankings!J17&lt;=2,1,0)</f>
        <v>0</v>
      </c>
      <c r="K14" s="20" t="n">
        <f aca="false">SUM(C14:J14)</f>
        <v>2</v>
      </c>
      <c r="L14" s="16" t="n">
        <f aca="false">SUMPRODUCT(C14:J14,Returns!B18:I18)/K14</f>
        <v>-0.00807668359038216</v>
      </c>
      <c r="M14" s="16" t="n">
        <v>0</v>
      </c>
      <c r="N14" s="16" t="n">
        <v>0</v>
      </c>
      <c r="O14" s="16" t="n">
        <f aca="false">L14+M14+N14</f>
        <v>-0.00807668359038216</v>
      </c>
      <c r="P14" s="21" t="n">
        <f aca="false">P13*(1+O14)</f>
        <v>0.937038320933748</v>
      </c>
      <c r="Q14" s="21" t="n">
        <f aca="false">MAX($P$5:P14)</f>
        <v>0.944668106326472</v>
      </c>
      <c r="R14" s="16" t="n">
        <f aca="false">P14/Q14-1</f>
        <v>-0.00807668359038216</v>
      </c>
      <c r="S14" s="16" t="n">
        <f aca="false">O14-Benchmark_RF!D14</f>
        <v>-0.0129343587443015</v>
      </c>
    </row>
    <row r="15" customFormat="false" ht="15" hidden="false" customHeight="true" outlineLevel="0" collapsed="false">
      <c r="A15" s="1" t="n">
        <v>18</v>
      </c>
      <c r="B15" s="13" t="n">
        <f aca="false">Returns!A19</f>
        <v>42522</v>
      </c>
      <c r="C15" s="17" t="n">
        <f aca="false">IF(Rankings!C17&lt;=2,1,0)</f>
        <v>1</v>
      </c>
      <c r="D15" s="17" t="n">
        <f aca="false">IF(Rankings!D17&lt;=2,1,0)</f>
        <v>0</v>
      </c>
      <c r="E15" s="17" t="n">
        <f aca="false">IF(Rankings!E17&lt;=2,1,0)</f>
        <v>0</v>
      </c>
      <c r="F15" s="17" t="n">
        <f aca="false">IF(Rankings!F17&lt;=2,1,0)</f>
        <v>0</v>
      </c>
      <c r="G15" s="17" t="n">
        <f aca="false">IF(Rankings!G17&lt;=2,1,0)</f>
        <v>0</v>
      </c>
      <c r="H15" s="17" t="n">
        <f aca="false">IF(Rankings!H17&lt;=2,1,0)</f>
        <v>0</v>
      </c>
      <c r="I15" s="17" t="n">
        <f aca="false">IF(Rankings!I17&lt;=2,1,0)</f>
        <v>1</v>
      </c>
      <c r="J15" s="17" t="n">
        <f aca="false">IF(Rankings!J17&lt;=2,1,0)</f>
        <v>0</v>
      </c>
      <c r="K15" s="20" t="n">
        <f aca="false">SUM(C15:J15)</f>
        <v>2</v>
      </c>
      <c r="L15" s="16" t="n">
        <f aca="false">SUMPRODUCT(C15:J15,Returns!B19:I19)/K15</f>
        <v>-0.0054799639878374</v>
      </c>
      <c r="M15" s="16" t="n">
        <v>0</v>
      </c>
      <c r="N15" s="16" t="n">
        <v>0</v>
      </c>
      <c r="O15" s="16" t="n">
        <f aca="false">L15+M15+N15</f>
        <v>-0.0054799639878374</v>
      </c>
      <c r="P15" s="21" t="n">
        <f aca="false">P14*(1+O15)</f>
        <v>0.931903384679807</v>
      </c>
      <c r="Q15" s="21" t="n">
        <f aca="false">MAX($P$5:P15)</f>
        <v>0.944668106326472</v>
      </c>
      <c r="R15" s="16" t="n">
        <f aca="false">P15/Q15-1</f>
        <v>-0.013512387643003</v>
      </c>
      <c r="S15" s="16" t="n">
        <f aca="false">O15-Benchmark_RF!D15</f>
        <v>-0.0102683232179888</v>
      </c>
    </row>
    <row r="16" customFormat="false" ht="15" hidden="false" customHeight="true" outlineLevel="0" collapsed="false">
      <c r="A16" s="1" t="n">
        <v>19</v>
      </c>
      <c r="B16" s="13" t="n">
        <f aca="false">Returns!A20</f>
        <v>42552</v>
      </c>
      <c r="C16" s="17" t="n">
        <f aca="false">IF(Rankings!C17&lt;=2,1,0)</f>
        <v>1</v>
      </c>
      <c r="D16" s="17" t="n">
        <f aca="false">IF(Rankings!D17&lt;=2,1,0)</f>
        <v>0</v>
      </c>
      <c r="E16" s="17" t="n">
        <f aca="false">IF(Rankings!E17&lt;=2,1,0)</f>
        <v>0</v>
      </c>
      <c r="F16" s="17" t="n">
        <f aca="false">IF(Rankings!F17&lt;=2,1,0)</f>
        <v>0</v>
      </c>
      <c r="G16" s="17" t="n">
        <f aca="false">IF(Rankings!G17&lt;=2,1,0)</f>
        <v>0</v>
      </c>
      <c r="H16" s="17" t="n">
        <f aca="false">IF(Rankings!H17&lt;=2,1,0)</f>
        <v>0</v>
      </c>
      <c r="I16" s="17" t="n">
        <f aca="false">IF(Rankings!I17&lt;=2,1,0)</f>
        <v>1</v>
      </c>
      <c r="J16" s="17" t="n">
        <f aca="false">IF(Rankings!J17&lt;=2,1,0)</f>
        <v>0</v>
      </c>
      <c r="K16" s="20" t="n">
        <f aca="false">SUM(C16:J16)</f>
        <v>2</v>
      </c>
      <c r="L16" s="16" t="n">
        <f aca="false">SUMPRODUCT(C16:J16,Returns!B20:I20)/K16</f>
        <v>0.0221118274842251</v>
      </c>
      <c r="M16" s="16" t="n">
        <v>0</v>
      </c>
      <c r="N16" s="16" t="n">
        <v>0</v>
      </c>
      <c r="O16" s="16" t="n">
        <f aca="false">L16+M16+N16</f>
        <v>0.0221118274842251</v>
      </c>
      <c r="P16" s="21" t="n">
        <f aca="false">P15*(1+O16)</f>
        <v>0.952509471553813</v>
      </c>
      <c r="Q16" s="21" t="n">
        <f aca="false">MAX($P$5:P16)</f>
        <v>0.952509471553813</v>
      </c>
      <c r="R16" s="16" t="n">
        <f aca="false">P16/Q16-1</f>
        <v>0</v>
      </c>
      <c r="S16" s="16" t="n">
        <f aca="false">O16-Benchmark_RF!D16</f>
        <v>0.0174124625724572</v>
      </c>
    </row>
    <row r="17" customFormat="false" ht="15" hidden="false" customHeight="true" outlineLevel="0" collapsed="false">
      <c r="A17" s="1" t="n">
        <v>20</v>
      </c>
      <c r="B17" s="13" t="n">
        <f aca="false">Returns!A21</f>
        <v>42583</v>
      </c>
      <c r="C17" s="17" t="n">
        <f aca="false">IF(Rankings!C23&lt;=2,1,0)</f>
        <v>0</v>
      </c>
      <c r="D17" s="17" t="n">
        <f aca="false">IF(Rankings!D23&lt;=2,1,0)</f>
        <v>0</v>
      </c>
      <c r="E17" s="17" t="n">
        <f aca="false">IF(Rankings!E23&lt;=2,1,0)</f>
        <v>0</v>
      </c>
      <c r="F17" s="17" t="n">
        <f aca="false">IF(Rankings!F23&lt;=2,1,0)</f>
        <v>1</v>
      </c>
      <c r="G17" s="17" t="n">
        <f aca="false">IF(Rankings!G23&lt;=2,1,0)</f>
        <v>0</v>
      </c>
      <c r="H17" s="17" t="n">
        <f aca="false">IF(Rankings!H23&lt;=2,1,0)</f>
        <v>0</v>
      </c>
      <c r="I17" s="17" t="n">
        <f aca="false">IF(Rankings!I23&lt;=2,1,0)</f>
        <v>1</v>
      </c>
      <c r="J17" s="17" t="n">
        <f aca="false">IF(Rankings!J23&lt;=2,1,0)</f>
        <v>0</v>
      </c>
      <c r="K17" s="20" t="n">
        <f aca="false">SUM(C17:J17)</f>
        <v>2</v>
      </c>
      <c r="L17" s="16" t="n">
        <f aca="false">SUMPRODUCT(C17:J17,Returns!B21:I21)/K17</f>
        <v>0.042663683182296</v>
      </c>
      <c r="M17" s="16" t="n">
        <f aca="false">-2*Assumptions!$B$13</f>
        <v>-0.007</v>
      </c>
      <c r="N17" s="16" t="n">
        <f aca="false">-Assumptions!$B$16*MAX(0,(1+O11)*(1+O12)*(1+O13)*(1+O14)*(1+O15)*(1+O16)-1)</f>
        <v>-0.0270853544663453</v>
      </c>
      <c r="O17" s="16" t="n">
        <f aca="false">L17+M17+N17</f>
        <v>0.00857832871595067</v>
      </c>
      <c r="P17" s="21" t="n">
        <f aca="false">P16*(1+O17)</f>
        <v>0.960680410905858</v>
      </c>
      <c r="Q17" s="21" t="n">
        <f aca="false">MAX($P$5:P17)</f>
        <v>0.960680410905858</v>
      </c>
      <c r="R17" s="16" t="n">
        <f aca="false">P17/Q17-1</f>
        <v>0</v>
      </c>
      <c r="S17" s="16" t="n">
        <f aca="false">O17-Benchmark_RF!D17</f>
        <v>0.00382144378736362</v>
      </c>
    </row>
    <row r="18" customFormat="false" ht="15" hidden="false" customHeight="true" outlineLevel="0" collapsed="false">
      <c r="A18" s="1" t="n">
        <v>21</v>
      </c>
      <c r="B18" s="13" t="n">
        <f aca="false">Returns!A22</f>
        <v>42614</v>
      </c>
      <c r="C18" s="17" t="n">
        <f aca="false">IF(Rankings!C23&lt;=2,1,0)</f>
        <v>0</v>
      </c>
      <c r="D18" s="17" t="n">
        <f aca="false">IF(Rankings!D23&lt;=2,1,0)</f>
        <v>0</v>
      </c>
      <c r="E18" s="17" t="n">
        <f aca="false">IF(Rankings!E23&lt;=2,1,0)</f>
        <v>0</v>
      </c>
      <c r="F18" s="17" t="n">
        <f aca="false">IF(Rankings!F23&lt;=2,1,0)</f>
        <v>1</v>
      </c>
      <c r="G18" s="17" t="n">
        <f aca="false">IF(Rankings!G23&lt;=2,1,0)</f>
        <v>0</v>
      </c>
      <c r="H18" s="17" t="n">
        <f aca="false">IF(Rankings!H23&lt;=2,1,0)</f>
        <v>0</v>
      </c>
      <c r="I18" s="17" t="n">
        <f aca="false">IF(Rankings!I23&lt;=2,1,0)</f>
        <v>1</v>
      </c>
      <c r="J18" s="17" t="n">
        <f aca="false">IF(Rankings!J23&lt;=2,1,0)</f>
        <v>0</v>
      </c>
      <c r="K18" s="20" t="n">
        <f aca="false">SUM(C18:J18)</f>
        <v>2</v>
      </c>
      <c r="L18" s="16" t="n">
        <f aca="false">SUMPRODUCT(C18:J18,Returns!B22:I22)/K18</f>
        <v>0.30210014775338</v>
      </c>
      <c r="M18" s="16" t="n">
        <v>0</v>
      </c>
      <c r="N18" s="16" t="n">
        <v>0</v>
      </c>
      <c r="O18" s="16" t="n">
        <f aca="false">L18+M18+N18</f>
        <v>0.30210014775338</v>
      </c>
      <c r="P18" s="21" t="n">
        <f aca="false">P17*(1+O18)</f>
        <v>1.2509021049843</v>
      </c>
      <c r="Q18" s="21" t="n">
        <f aca="false">MAX($P$5:P18)</f>
        <v>1.2509021049843</v>
      </c>
      <c r="R18" s="16" t="n">
        <f aca="false">P18/Q18-1</f>
        <v>0</v>
      </c>
      <c r="S18" s="16" t="n">
        <f aca="false">O18-Benchmark_RF!D18</f>
        <v>0.297343262824793</v>
      </c>
    </row>
    <row r="19" customFormat="false" ht="15" hidden="false" customHeight="true" outlineLevel="0" collapsed="false">
      <c r="A19" s="1" t="n">
        <v>22</v>
      </c>
      <c r="B19" s="13" t="n">
        <f aca="false">Returns!A23</f>
        <v>42644</v>
      </c>
      <c r="C19" s="17" t="n">
        <f aca="false">IF(Rankings!C23&lt;=2,1,0)</f>
        <v>0</v>
      </c>
      <c r="D19" s="17" t="n">
        <f aca="false">IF(Rankings!D23&lt;=2,1,0)</f>
        <v>0</v>
      </c>
      <c r="E19" s="17" t="n">
        <f aca="false">IF(Rankings!E23&lt;=2,1,0)</f>
        <v>0</v>
      </c>
      <c r="F19" s="17" t="n">
        <f aca="false">IF(Rankings!F23&lt;=2,1,0)</f>
        <v>1</v>
      </c>
      <c r="G19" s="17" t="n">
        <f aca="false">IF(Rankings!G23&lt;=2,1,0)</f>
        <v>0</v>
      </c>
      <c r="H19" s="17" t="n">
        <f aca="false">IF(Rankings!H23&lt;=2,1,0)</f>
        <v>0</v>
      </c>
      <c r="I19" s="17" t="n">
        <f aca="false">IF(Rankings!I23&lt;=2,1,0)</f>
        <v>1</v>
      </c>
      <c r="J19" s="17" t="n">
        <f aca="false">IF(Rankings!J23&lt;=2,1,0)</f>
        <v>0</v>
      </c>
      <c r="K19" s="20" t="n">
        <f aca="false">SUM(C19:J19)</f>
        <v>2</v>
      </c>
      <c r="L19" s="16" t="n">
        <f aca="false">SUMPRODUCT(C19:J19,Returns!B23:I23)/K19</f>
        <v>0.104222426675588</v>
      </c>
      <c r="M19" s="16" t="n">
        <v>0</v>
      </c>
      <c r="N19" s="16" t="n">
        <v>0</v>
      </c>
      <c r="O19" s="16" t="n">
        <f aca="false">L19+M19+N19</f>
        <v>0.104222426675588</v>
      </c>
      <c r="P19" s="21" t="n">
        <f aca="false">P18*(1+O19)</f>
        <v>1.38127415789936</v>
      </c>
      <c r="Q19" s="21" t="n">
        <f aca="false">MAX($P$5:P19)</f>
        <v>1.38127415789936</v>
      </c>
      <c r="R19" s="16" t="n">
        <f aca="false">P19/Q19-1</f>
        <v>0</v>
      </c>
      <c r="S19" s="16" t="n">
        <f aca="false">O19-Benchmark_RF!D19</f>
        <v>0.0994497241594458</v>
      </c>
    </row>
    <row r="20" customFormat="false" ht="15" hidden="false" customHeight="true" outlineLevel="0" collapsed="false">
      <c r="A20" s="1" t="n">
        <v>23</v>
      </c>
      <c r="B20" s="13" t="n">
        <f aca="false">Returns!A24</f>
        <v>42675</v>
      </c>
      <c r="C20" s="17" t="n">
        <f aca="false">IF(Rankings!C23&lt;=2,1,0)</f>
        <v>0</v>
      </c>
      <c r="D20" s="17" t="n">
        <f aca="false">IF(Rankings!D23&lt;=2,1,0)</f>
        <v>0</v>
      </c>
      <c r="E20" s="17" t="n">
        <f aca="false">IF(Rankings!E23&lt;=2,1,0)</f>
        <v>0</v>
      </c>
      <c r="F20" s="17" t="n">
        <f aca="false">IF(Rankings!F23&lt;=2,1,0)</f>
        <v>1</v>
      </c>
      <c r="G20" s="17" t="n">
        <f aca="false">IF(Rankings!G23&lt;=2,1,0)</f>
        <v>0</v>
      </c>
      <c r="H20" s="17" t="n">
        <f aca="false">IF(Rankings!H23&lt;=2,1,0)</f>
        <v>0</v>
      </c>
      <c r="I20" s="17" t="n">
        <f aca="false">IF(Rankings!I23&lt;=2,1,0)</f>
        <v>1</v>
      </c>
      <c r="J20" s="17" t="n">
        <f aca="false">IF(Rankings!J23&lt;=2,1,0)</f>
        <v>0</v>
      </c>
      <c r="K20" s="20" t="n">
        <f aca="false">SUM(C20:J20)</f>
        <v>2</v>
      </c>
      <c r="L20" s="16" t="n">
        <f aca="false">SUMPRODUCT(C20:J20,Returns!B24:I24)/K20</f>
        <v>0.222006227603243</v>
      </c>
      <c r="M20" s="16" t="n">
        <v>0</v>
      </c>
      <c r="N20" s="16" t="n">
        <v>0</v>
      </c>
      <c r="O20" s="16" t="n">
        <f aca="false">L20+M20+N20</f>
        <v>0.222006227603243</v>
      </c>
      <c r="P20" s="21" t="n">
        <f aca="false">P19*(1+O20)</f>
        <v>1.68792562298044</v>
      </c>
      <c r="Q20" s="21" t="n">
        <f aca="false">MAX($P$5:P20)</f>
        <v>1.68792562298044</v>
      </c>
      <c r="R20" s="16" t="n">
        <f aca="false">P20/Q20-1</f>
        <v>0</v>
      </c>
      <c r="S20" s="16" t="n">
        <f aca="false">O20-Benchmark_RF!D20</f>
        <v>0.217178185090705</v>
      </c>
    </row>
    <row r="21" customFormat="false" ht="15" hidden="false" customHeight="true" outlineLevel="0" collapsed="false">
      <c r="A21" s="1" t="n">
        <v>24</v>
      </c>
      <c r="B21" s="13" t="n">
        <f aca="false">Returns!A25</f>
        <v>42705</v>
      </c>
      <c r="C21" s="17" t="n">
        <f aca="false">IF(Rankings!C23&lt;=2,1,0)</f>
        <v>0</v>
      </c>
      <c r="D21" s="17" t="n">
        <f aca="false">IF(Rankings!D23&lt;=2,1,0)</f>
        <v>0</v>
      </c>
      <c r="E21" s="17" t="n">
        <f aca="false">IF(Rankings!E23&lt;=2,1,0)</f>
        <v>0</v>
      </c>
      <c r="F21" s="17" t="n">
        <f aca="false">IF(Rankings!F23&lt;=2,1,0)</f>
        <v>1</v>
      </c>
      <c r="G21" s="17" t="n">
        <f aca="false">IF(Rankings!G23&lt;=2,1,0)</f>
        <v>0</v>
      </c>
      <c r="H21" s="17" t="n">
        <f aca="false">IF(Rankings!H23&lt;=2,1,0)</f>
        <v>0</v>
      </c>
      <c r="I21" s="17" t="n">
        <f aca="false">IF(Rankings!I23&lt;=2,1,0)</f>
        <v>1</v>
      </c>
      <c r="J21" s="17" t="n">
        <f aca="false">IF(Rankings!J23&lt;=2,1,0)</f>
        <v>0</v>
      </c>
      <c r="K21" s="20" t="n">
        <f aca="false">SUM(C21:J21)</f>
        <v>2</v>
      </c>
      <c r="L21" s="16" t="n">
        <f aca="false">SUMPRODUCT(C21:J21,Returns!B25:I25)/K21</f>
        <v>0.00855345274640124</v>
      </c>
      <c r="M21" s="16" t="n">
        <v>0</v>
      </c>
      <c r="N21" s="16" t="n">
        <v>0</v>
      </c>
      <c r="O21" s="16" t="n">
        <f aca="false">L21+M21+N21</f>
        <v>0.00855345274640124</v>
      </c>
      <c r="P21" s="21" t="n">
        <f aca="false">P20*(1+O21)</f>
        <v>1.70236321503605</v>
      </c>
      <c r="Q21" s="21" t="n">
        <f aca="false">MAX($P$5:P21)</f>
        <v>1.70236321503605</v>
      </c>
      <c r="R21" s="16" t="n">
        <f aca="false">P21/Q21-1</f>
        <v>0</v>
      </c>
      <c r="S21" s="16" t="n">
        <f aca="false">O21-Benchmark_RF!D21</f>
        <v>0.00371363504676164</v>
      </c>
    </row>
    <row r="22" customFormat="false" ht="15" hidden="false" customHeight="true" outlineLevel="0" collapsed="false">
      <c r="A22" s="1" t="n">
        <v>25</v>
      </c>
      <c r="B22" s="13" t="n">
        <f aca="false">Returns!A26</f>
        <v>42736</v>
      </c>
      <c r="C22" s="17" t="n">
        <f aca="false">IF(Rankings!C23&lt;=2,1,0)</f>
        <v>0</v>
      </c>
      <c r="D22" s="17" t="n">
        <f aca="false">IF(Rankings!D23&lt;=2,1,0)</f>
        <v>0</v>
      </c>
      <c r="E22" s="17" t="n">
        <f aca="false">IF(Rankings!E23&lt;=2,1,0)</f>
        <v>0</v>
      </c>
      <c r="F22" s="17" t="n">
        <f aca="false">IF(Rankings!F23&lt;=2,1,0)</f>
        <v>1</v>
      </c>
      <c r="G22" s="17" t="n">
        <f aca="false">IF(Rankings!G23&lt;=2,1,0)</f>
        <v>0</v>
      </c>
      <c r="H22" s="17" t="n">
        <f aca="false">IF(Rankings!H23&lt;=2,1,0)</f>
        <v>0</v>
      </c>
      <c r="I22" s="17" t="n">
        <f aca="false">IF(Rankings!I23&lt;=2,1,0)</f>
        <v>1</v>
      </c>
      <c r="J22" s="17" t="n">
        <f aca="false">IF(Rankings!J23&lt;=2,1,0)</f>
        <v>0</v>
      </c>
      <c r="K22" s="20" t="n">
        <f aca="false">SUM(C22:J22)</f>
        <v>2</v>
      </c>
      <c r="L22" s="16" t="n">
        <f aca="false">SUMPRODUCT(C22:J22,Returns!B26:I26)/K22</f>
        <v>-0.0048449545147809</v>
      </c>
      <c r="M22" s="16" t="n">
        <v>0</v>
      </c>
      <c r="N22" s="16" t="n">
        <v>0</v>
      </c>
      <c r="O22" s="16" t="n">
        <f aca="false">L22+M22+N22</f>
        <v>-0.0048449545147809</v>
      </c>
      <c r="P22" s="21" t="n">
        <f aca="false">P21*(1+O22)</f>
        <v>1.69411534269156</v>
      </c>
      <c r="Q22" s="21" t="n">
        <f aca="false">MAX($P$5:P22)</f>
        <v>1.70236321503605</v>
      </c>
      <c r="R22" s="16" t="n">
        <f aca="false">P22/Q22-1</f>
        <v>-0.00484495451478084</v>
      </c>
      <c r="S22" s="16" t="n">
        <f aca="false">O22-Benchmark_RF!D22</f>
        <v>-0.00961931771872587</v>
      </c>
    </row>
    <row r="23" customFormat="false" ht="15" hidden="false" customHeight="true" outlineLevel="0" collapsed="false">
      <c r="A23" s="1" t="n">
        <v>26</v>
      </c>
      <c r="B23" s="13" t="n">
        <f aca="false">Returns!A27</f>
        <v>42767</v>
      </c>
      <c r="C23" s="17" t="n">
        <f aca="false">IF(Rankings!C29&lt;=2,1,0)</f>
        <v>1</v>
      </c>
      <c r="D23" s="17" t="n">
        <f aca="false">IF(Rankings!D29&lt;=2,1,0)</f>
        <v>0</v>
      </c>
      <c r="E23" s="17" t="n">
        <f aca="false">IF(Rankings!E29&lt;=2,1,0)</f>
        <v>0</v>
      </c>
      <c r="F23" s="17" t="n">
        <f aca="false">IF(Rankings!F29&lt;=2,1,0)</f>
        <v>0</v>
      </c>
      <c r="G23" s="17" t="n">
        <f aca="false">IF(Rankings!G29&lt;=2,1,0)</f>
        <v>0</v>
      </c>
      <c r="H23" s="17" t="n">
        <f aca="false">IF(Rankings!H29&lt;=2,1,0)</f>
        <v>1</v>
      </c>
      <c r="I23" s="17" t="n">
        <f aca="false">IF(Rankings!I29&lt;=2,1,0)</f>
        <v>0</v>
      </c>
      <c r="J23" s="17" t="n">
        <f aca="false">IF(Rankings!J29&lt;=2,1,0)</f>
        <v>0</v>
      </c>
      <c r="K23" s="20" t="n">
        <f aca="false">SUM(C23:J23)</f>
        <v>2</v>
      </c>
      <c r="L23" s="16" t="n">
        <f aca="false">SUMPRODUCT(C23:J23,Returns!B27:I27)/K23</f>
        <v>-0.0446224493281912</v>
      </c>
      <c r="M23" s="16" t="n">
        <f aca="false">-2*Assumptions!$B$13</f>
        <v>-0.007</v>
      </c>
      <c r="N23" s="16" t="n">
        <f aca="false">-Assumptions!$B$16*MAX(0,(1+O17)*(1+O18)*(1+O19)*(1+O20)*(1+O21)*(1+O22)-1)</f>
        <v>-0.116787164844877</v>
      </c>
      <c r="O23" s="16" t="n">
        <f aca="false">L23+M23+N23</f>
        <v>-0.168409614173068</v>
      </c>
      <c r="P23" s="21" t="n">
        <f aca="false">P22*(1+O23)</f>
        <v>1.4088100314642</v>
      </c>
      <c r="Q23" s="21" t="n">
        <f aca="false">MAX($P$5:P23)</f>
        <v>1.70236321503605</v>
      </c>
      <c r="R23" s="16" t="n">
        <f aca="false">P23/Q23-1</f>
        <v>-0.172438631767329</v>
      </c>
      <c r="S23" s="16" t="n">
        <f aca="false">O23-Benchmark_RF!D23</f>
        <v>-0.173231096694871</v>
      </c>
    </row>
    <row r="24" customFormat="false" ht="15" hidden="false" customHeight="true" outlineLevel="0" collapsed="false">
      <c r="A24" s="1" t="n">
        <v>27</v>
      </c>
      <c r="B24" s="13" t="n">
        <f aca="false">Returns!A28</f>
        <v>42795</v>
      </c>
      <c r="C24" s="17" t="n">
        <f aca="false">IF(Rankings!C29&lt;=2,1,0)</f>
        <v>1</v>
      </c>
      <c r="D24" s="17" t="n">
        <f aca="false">IF(Rankings!D29&lt;=2,1,0)</f>
        <v>0</v>
      </c>
      <c r="E24" s="17" t="n">
        <f aca="false">IF(Rankings!E29&lt;=2,1,0)</f>
        <v>0</v>
      </c>
      <c r="F24" s="17" t="n">
        <f aca="false">IF(Rankings!F29&lt;=2,1,0)</f>
        <v>0</v>
      </c>
      <c r="G24" s="17" t="n">
        <f aca="false">IF(Rankings!G29&lt;=2,1,0)</f>
        <v>0</v>
      </c>
      <c r="H24" s="17" t="n">
        <f aca="false">IF(Rankings!H29&lt;=2,1,0)</f>
        <v>1</v>
      </c>
      <c r="I24" s="17" t="n">
        <f aca="false">IF(Rankings!I29&lt;=2,1,0)</f>
        <v>0</v>
      </c>
      <c r="J24" s="17" t="n">
        <f aca="false">IF(Rankings!J29&lt;=2,1,0)</f>
        <v>0</v>
      </c>
      <c r="K24" s="20" t="n">
        <f aca="false">SUM(C24:J24)</f>
        <v>2</v>
      </c>
      <c r="L24" s="16" t="n">
        <f aca="false">SUMPRODUCT(C24:J24,Returns!B28:I28)/K24</f>
        <v>-0.0455738381693795</v>
      </c>
      <c r="M24" s="16" t="n">
        <v>0</v>
      </c>
      <c r="N24" s="16" t="n">
        <v>0</v>
      </c>
      <c r="O24" s="16" t="n">
        <f aca="false">L24+M24+N24</f>
        <v>-0.0455738381693795</v>
      </c>
      <c r="P24" s="21" t="n">
        <f aca="false">P23*(1+O24)</f>
        <v>1.34460515107885</v>
      </c>
      <c r="Q24" s="21" t="n">
        <f aca="false">MAX($P$5:P24)</f>
        <v>1.70236321503605</v>
      </c>
      <c r="R24" s="16" t="n">
        <f aca="false">P24/Q24-1</f>
        <v>-0.210153779638395</v>
      </c>
      <c r="S24" s="16" t="n">
        <f aca="false">O24-Benchmark_RF!D24</f>
        <v>-0.0504191082938512</v>
      </c>
    </row>
    <row r="25" customFormat="false" ht="15" hidden="false" customHeight="true" outlineLevel="0" collapsed="false">
      <c r="A25" s="1" t="n">
        <v>28</v>
      </c>
      <c r="B25" s="13" t="n">
        <f aca="false">Returns!A29</f>
        <v>42826</v>
      </c>
      <c r="C25" s="17" t="n">
        <f aca="false">IF(Rankings!C29&lt;=2,1,0)</f>
        <v>1</v>
      </c>
      <c r="D25" s="17" t="n">
        <f aca="false">IF(Rankings!D29&lt;=2,1,0)</f>
        <v>0</v>
      </c>
      <c r="E25" s="17" t="n">
        <f aca="false">IF(Rankings!E29&lt;=2,1,0)</f>
        <v>0</v>
      </c>
      <c r="F25" s="17" t="n">
        <f aca="false">IF(Rankings!F29&lt;=2,1,0)</f>
        <v>0</v>
      </c>
      <c r="G25" s="17" t="n">
        <f aca="false">IF(Rankings!G29&lt;=2,1,0)</f>
        <v>0</v>
      </c>
      <c r="H25" s="17" t="n">
        <f aca="false">IF(Rankings!H29&lt;=2,1,0)</f>
        <v>1</v>
      </c>
      <c r="I25" s="17" t="n">
        <f aca="false">IF(Rankings!I29&lt;=2,1,0)</f>
        <v>0</v>
      </c>
      <c r="J25" s="17" t="n">
        <f aca="false">IF(Rankings!J29&lt;=2,1,0)</f>
        <v>0</v>
      </c>
      <c r="K25" s="20" t="n">
        <f aca="false">SUM(C25:J25)</f>
        <v>2</v>
      </c>
      <c r="L25" s="16" t="n">
        <f aca="false">SUMPRODUCT(C25:J25,Returns!B29:I29)/K25</f>
        <v>-0.0166584276130345</v>
      </c>
      <c r="M25" s="16" t="n">
        <v>0</v>
      </c>
      <c r="N25" s="16" t="n">
        <v>0</v>
      </c>
      <c r="O25" s="16" t="n">
        <f aca="false">L25+M25+N25</f>
        <v>-0.0166584276130345</v>
      </c>
      <c r="P25" s="21" t="n">
        <f aca="false">P24*(1+O25)</f>
        <v>1.32220614350149</v>
      </c>
      <c r="Q25" s="21" t="n">
        <f aca="false">MAX($P$5:P25)</f>
        <v>1.70236321503605</v>
      </c>
      <c r="R25" s="16" t="n">
        <f aca="false">P25/Q25-1</f>
        <v>-0.223311375725718</v>
      </c>
      <c r="S25" s="16" t="n">
        <f aca="false">O25-Benchmark_RF!D25</f>
        <v>-0.0215142065657897</v>
      </c>
    </row>
    <row r="26" customFormat="false" ht="15" hidden="false" customHeight="true" outlineLevel="0" collapsed="false">
      <c r="A26" s="1" t="n">
        <v>29</v>
      </c>
      <c r="B26" s="13" t="n">
        <f aca="false">Returns!A30</f>
        <v>42856</v>
      </c>
      <c r="C26" s="17" t="n">
        <f aca="false">IF(Rankings!C29&lt;=2,1,0)</f>
        <v>1</v>
      </c>
      <c r="D26" s="17" t="n">
        <f aca="false">IF(Rankings!D29&lt;=2,1,0)</f>
        <v>0</v>
      </c>
      <c r="E26" s="17" t="n">
        <f aca="false">IF(Rankings!E29&lt;=2,1,0)</f>
        <v>0</v>
      </c>
      <c r="F26" s="17" t="n">
        <f aca="false">IF(Rankings!F29&lt;=2,1,0)</f>
        <v>0</v>
      </c>
      <c r="G26" s="17" t="n">
        <f aca="false">IF(Rankings!G29&lt;=2,1,0)</f>
        <v>0</v>
      </c>
      <c r="H26" s="17" t="n">
        <f aca="false">IF(Rankings!H29&lt;=2,1,0)</f>
        <v>1</v>
      </c>
      <c r="I26" s="17" t="n">
        <f aca="false">IF(Rankings!I29&lt;=2,1,0)</f>
        <v>0</v>
      </c>
      <c r="J26" s="17" t="n">
        <f aca="false">IF(Rankings!J29&lt;=2,1,0)</f>
        <v>0</v>
      </c>
      <c r="K26" s="20" t="n">
        <f aca="false">SUM(C26:J26)</f>
        <v>2</v>
      </c>
      <c r="L26" s="16" t="n">
        <f aca="false">SUMPRODUCT(C26:J26,Returns!B30:I30)/K26</f>
        <v>0.0718776881720431</v>
      </c>
      <c r="M26" s="16" t="n">
        <v>0</v>
      </c>
      <c r="N26" s="16" t="n">
        <v>0</v>
      </c>
      <c r="O26" s="16" t="n">
        <f aca="false">L26+M26+N26</f>
        <v>0.0718776881720431</v>
      </c>
      <c r="P26" s="21" t="n">
        <f aca="false">P25*(1+O26)</f>
        <v>1.41724326438325</v>
      </c>
      <c r="Q26" s="21" t="n">
        <f aca="false">MAX($P$5:P26)</f>
        <v>1.70236321503605</v>
      </c>
      <c r="R26" s="16" t="n">
        <f aca="false">P26/Q26-1</f>
        <v>-0.167484792983358</v>
      </c>
      <c r="S26" s="16" t="n">
        <f aca="false">O26-Benchmark_RF!D26</f>
        <v>0.0670219092192879</v>
      </c>
    </row>
    <row r="27" customFormat="false" ht="15" hidden="false" customHeight="true" outlineLevel="0" collapsed="false">
      <c r="A27" s="1" t="n">
        <v>30</v>
      </c>
      <c r="B27" s="13" t="n">
        <f aca="false">Returns!A31</f>
        <v>42887</v>
      </c>
      <c r="C27" s="17" t="n">
        <f aca="false">IF(Rankings!C29&lt;=2,1,0)</f>
        <v>1</v>
      </c>
      <c r="D27" s="17" t="n">
        <f aca="false">IF(Rankings!D29&lt;=2,1,0)</f>
        <v>0</v>
      </c>
      <c r="E27" s="17" t="n">
        <f aca="false">IF(Rankings!E29&lt;=2,1,0)</f>
        <v>0</v>
      </c>
      <c r="F27" s="17" t="n">
        <f aca="false">IF(Rankings!F29&lt;=2,1,0)</f>
        <v>0</v>
      </c>
      <c r="G27" s="17" t="n">
        <f aca="false">IF(Rankings!G29&lt;=2,1,0)</f>
        <v>0</v>
      </c>
      <c r="H27" s="17" t="n">
        <f aca="false">IF(Rankings!H29&lt;=2,1,0)</f>
        <v>1</v>
      </c>
      <c r="I27" s="17" t="n">
        <f aca="false">IF(Rankings!I29&lt;=2,1,0)</f>
        <v>0</v>
      </c>
      <c r="J27" s="17" t="n">
        <f aca="false">IF(Rankings!J29&lt;=2,1,0)</f>
        <v>0</v>
      </c>
      <c r="K27" s="20" t="n">
        <f aca="false">SUM(C27:J27)</f>
        <v>2</v>
      </c>
      <c r="L27" s="16" t="n">
        <f aca="false">SUMPRODUCT(C27:J27,Returns!B31:I31)/K27</f>
        <v>-0.173750653179109</v>
      </c>
      <c r="M27" s="16" t="n">
        <v>0</v>
      </c>
      <c r="N27" s="16" t="n">
        <v>0</v>
      </c>
      <c r="O27" s="16" t="n">
        <f aca="false">L27+M27+N27</f>
        <v>-0.173750653179109</v>
      </c>
      <c r="P27" s="21" t="n">
        <f aca="false">P26*(1+O27)</f>
        <v>1.17099632148297</v>
      </c>
      <c r="Q27" s="21" t="n">
        <f aca="false">MAX($P$5:P27)</f>
        <v>1.70236321503605</v>
      </c>
      <c r="R27" s="16" t="n">
        <f aca="false">P27/Q27-1</f>
        <v>-0.31213485398404</v>
      </c>
      <c r="S27" s="16" t="n">
        <f aca="false">O27-Benchmark_RF!D27</f>
        <v>-0.17861109355584</v>
      </c>
    </row>
    <row r="28" customFormat="false" ht="15" hidden="false" customHeight="true" outlineLevel="0" collapsed="false">
      <c r="A28" s="1" t="n">
        <v>31</v>
      </c>
      <c r="B28" s="13" t="n">
        <f aca="false">Returns!A32</f>
        <v>42917</v>
      </c>
      <c r="C28" s="17" t="n">
        <f aca="false">IF(Rankings!C29&lt;=2,1,0)</f>
        <v>1</v>
      </c>
      <c r="D28" s="17" t="n">
        <f aca="false">IF(Rankings!D29&lt;=2,1,0)</f>
        <v>0</v>
      </c>
      <c r="E28" s="17" t="n">
        <f aca="false">IF(Rankings!E29&lt;=2,1,0)</f>
        <v>0</v>
      </c>
      <c r="F28" s="17" t="n">
        <f aca="false">IF(Rankings!F29&lt;=2,1,0)</f>
        <v>0</v>
      </c>
      <c r="G28" s="17" t="n">
        <f aca="false">IF(Rankings!G29&lt;=2,1,0)</f>
        <v>0</v>
      </c>
      <c r="H28" s="17" t="n">
        <f aca="false">IF(Rankings!H29&lt;=2,1,0)</f>
        <v>1</v>
      </c>
      <c r="I28" s="17" t="n">
        <f aca="false">IF(Rankings!I29&lt;=2,1,0)</f>
        <v>0</v>
      </c>
      <c r="J28" s="17" t="n">
        <f aca="false">IF(Rankings!J29&lt;=2,1,0)</f>
        <v>0</v>
      </c>
      <c r="K28" s="20" t="n">
        <f aca="false">SUM(C28:J28)</f>
        <v>2</v>
      </c>
      <c r="L28" s="16" t="n">
        <f aca="false">SUMPRODUCT(C28:J28,Returns!B32:I32)/K28</f>
        <v>0.0418192716847916</v>
      </c>
      <c r="M28" s="16" t="n">
        <v>0</v>
      </c>
      <c r="N28" s="16" t="n">
        <v>0</v>
      </c>
      <c r="O28" s="16" t="n">
        <f aca="false">L28+M28+N28</f>
        <v>0.0418192716847916</v>
      </c>
      <c r="P28" s="21" t="n">
        <f aca="false">P27*(1+O28)</f>
        <v>1.21996653479296</v>
      </c>
      <c r="Q28" s="21" t="n">
        <f aca="false">MAX($P$5:P28)</f>
        <v>1.70236321503605</v>
      </c>
      <c r="R28" s="16" t="n">
        <f aca="false">P28/Q28-1</f>
        <v>-0.2833688345603</v>
      </c>
      <c r="S28" s="16" t="n">
        <f aca="false">O28-Benchmark_RF!D28</f>
        <v>0.0369589103132652</v>
      </c>
    </row>
    <row r="29" customFormat="false" ht="15" hidden="false" customHeight="true" outlineLevel="0" collapsed="false">
      <c r="A29" s="1" t="n">
        <v>32</v>
      </c>
      <c r="B29" s="13" t="n">
        <f aca="false">Returns!A33</f>
        <v>42948</v>
      </c>
      <c r="C29" s="17" t="n">
        <f aca="false">IF(Rankings!C35&lt;=2,1,0)</f>
        <v>0</v>
      </c>
      <c r="D29" s="17" t="n">
        <f aca="false">IF(Rankings!D35&lt;=2,1,0)</f>
        <v>0</v>
      </c>
      <c r="E29" s="17" t="n">
        <f aca="false">IF(Rankings!E35&lt;=2,1,0)</f>
        <v>0</v>
      </c>
      <c r="F29" s="17" t="n">
        <f aca="false">IF(Rankings!F35&lt;=2,1,0)</f>
        <v>0</v>
      </c>
      <c r="G29" s="17" t="n">
        <f aca="false">IF(Rankings!G35&lt;=2,1,0)</f>
        <v>0</v>
      </c>
      <c r="H29" s="17" t="n">
        <f aca="false">IF(Rankings!H35&lt;=2,1,0)</f>
        <v>1</v>
      </c>
      <c r="I29" s="17" t="n">
        <f aca="false">IF(Rankings!I35&lt;=2,1,0)</f>
        <v>1</v>
      </c>
      <c r="J29" s="17" t="n">
        <f aca="false">IF(Rankings!J35&lt;=2,1,0)</f>
        <v>0</v>
      </c>
      <c r="K29" s="20" t="n">
        <f aca="false">SUM(C29:J29)</f>
        <v>2</v>
      </c>
      <c r="L29" s="16" t="n">
        <f aca="false">SUMPRODUCT(C29:J29,Returns!B33:I33)/K29</f>
        <v>-0.213194828142044</v>
      </c>
      <c r="M29" s="16" t="n">
        <f aca="false">-2*Assumptions!$B$13</f>
        <v>-0.007</v>
      </c>
      <c r="N29" s="16" t="n">
        <f aca="false">-Assumptions!$B$16*MAX(0,(1+O23)*(1+O24)*(1+O25)*(1+O26)*(1+O27)*(1+O28)-1)</f>
        <v>-0</v>
      </c>
      <c r="O29" s="16" t="n">
        <f aca="false">L29+M29+N29</f>
        <v>-0.220194828142044</v>
      </c>
      <c r="P29" s="21" t="n">
        <f aca="false">P28*(1+O29)</f>
        <v>0.951336213325176</v>
      </c>
      <c r="Q29" s="21" t="n">
        <f aca="false">MAX($P$5:P29)</f>
        <v>1.70236321503605</v>
      </c>
      <c r="R29" s="16" t="n">
        <f aca="false">P29/Q29-1</f>
        <v>-0.441167310875527</v>
      </c>
      <c r="S29" s="16" t="n">
        <f aca="false">O29-Benchmark_RF!D29</f>
        <v>-0.225054636475226</v>
      </c>
    </row>
    <row r="30" customFormat="false" ht="15" hidden="false" customHeight="true" outlineLevel="0" collapsed="false">
      <c r="A30" s="1" t="n">
        <v>33</v>
      </c>
      <c r="B30" s="13" t="n">
        <f aca="false">Returns!A34</f>
        <v>42979</v>
      </c>
      <c r="C30" s="17" t="n">
        <f aca="false">IF(Rankings!C35&lt;=2,1,0)</f>
        <v>0</v>
      </c>
      <c r="D30" s="17" t="n">
        <f aca="false">IF(Rankings!D35&lt;=2,1,0)</f>
        <v>0</v>
      </c>
      <c r="E30" s="17" t="n">
        <f aca="false">IF(Rankings!E35&lt;=2,1,0)</f>
        <v>0</v>
      </c>
      <c r="F30" s="17" t="n">
        <f aca="false">IF(Rankings!F35&lt;=2,1,0)</f>
        <v>0</v>
      </c>
      <c r="G30" s="17" t="n">
        <f aca="false">IF(Rankings!G35&lt;=2,1,0)</f>
        <v>0</v>
      </c>
      <c r="H30" s="17" t="n">
        <f aca="false">IF(Rankings!H35&lt;=2,1,0)</f>
        <v>1</v>
      </c>
      <c r="I30" s="17" t="n">
        <f aca="false">IF(Rankings!I35&lt;=2,1,0)</f>
        <v>1</v>
      </c>
      <c r="J30" s="17" t="n">
        <f aca="false">IF(Rankings!J35&lt;=2,1,0)</f>
        <v>0</v>
      </c>
      <c r="K30" s="20" t="n">
        <f aca="false">SUM(C30:J30)</f>
        <v>2</v>
      </c>
      <c r="L30" s="16" t="n">
        <f aca="false">SUMPRODUCT(C30:J30,Returns!B34:I34)/K30</f>
        <v>0.102652780065308</v>
      </c>
      <c r="M30" s="16" t="n">
        <v>0</v>
      </c>
      <c r="N30" s="16" t="n">
        <v>0</v>
      </c>
      <c r="O30" s="16" t="n">
        <f aca="false">L30+M30+N30</f>
        <v>0.102652780065308</v>
      </c>
      <c r="P30" s="21" t="n">
        <f aca="false">P29*(1+O30)</f>
        <v>1.04899352039981</v>
      </c>
      <c r="Q30" s="21" t="n">
        <f aca="false">MAX($P$5:P30)</f>
        <v>1.70236321503605</v>
      </c>
      <c r="R30" s="16" t="n">
        <f aca="false">P30/Q30-1</f>
        <v>-0.383801581745528</v>
      </c>
      <c r="S30" s="16" t="n">
        <f aca="false">O30-Benchmark_RF!D30</f>
        <v>0.0977923396885769</v>
      </c>
    </row>
    <row r="31" customFormat="false" ht="15" hidden="false" customHeight="true" outlineLevel="0" collapsed="false">
      <c r="A31" s="1" t="n">
        <v>34</v>
      </c>
      <c r="B31" s="13" t="n">
        <f aca="false">Returns!A35</f>
        <v>43009</v>
      </c>
      <c r="C31" s="17" t="n">
        <f aca="false">IF(Rankings!C35&lt;=2,1,0)</f>
        <v>0</v>
      </c>
      <c r="D31" s="17" t="n">
        <f aca="false">IF(Rankings!D35&lt;=2,1,0)</f>
        <v>0</v>
      </c>
      <c r="E31" s="17" t="n">
        <f aca="false">IF(Rankings!E35&lt;=2,1,0)</f>
        <v>0</v>
      </c>
      <c r="F31" s="17" t="n">
        <f aca="false">IF(Rankings!F35&lt;=2,1,0)</f>
        <v>0</v>
      </c>
      <c r="G31" s="17" t="n">
        <f aca="false">IF(Rankings!G35&lt;=2,1,0)</f>
        <v>0</v>
      </c>
      <c r="H31" s="17" t="n">
        <f aca="false">IF(Rankings!H35&lt;=2,1,0)</f>
        <v>1</v>
      </c>
      <c r="I31" s="17" t="n">
        <f aca="false">IF(Rankings!I35&lt;=2,1,0)</f>
        <v>1</v>
      </c>
      <c r="J31" s="17" t="n">
        <f aca="false">IF(Rankings!J35&lt;=2,1,0)</f>
        <v>0</v>
      </c>
      <c r="K31" s="20" t="n">
        <f aca="false">SUM(C31:J31)</f>
        <v>2</v>
      </c>
      <c r="L31" s="16" t="n">
        <f aca="false">SUMPRODUCT(C31:J31,Returns!B35:I35)/K31</f>
        <v>-0.0456513939735423</v>
      </c>
      <c r="M31" s="16" t="n">
        <v>0</v>
      </c>
      <c r="N31" s="16" t="n">
        <v>0</v>
      </c>
      <c r="O31" s="16" t="n">
        <f aca="false">L31+M31+N31</f>
        <v>-0.0456513939735423</v>
      </c>
      <c r="P31" s="21" t="n">
        <f aca="false">P30*(1+O31)</f>
        <v>1.00110550392434</v>
      </c>
      <c r="Q31" s="21" t="n">
        <f aca="false">MAX($P$5:P31)</f>
        <v>1.70236321503605</v>
      </c>
      <c r="R31" s="16" t="n">
        <f aca="false">P31/Q31-1</f>
        <v>-0.411931898503137</v>
      </c>
      <c r="S31" s="16" t="n">
        <f aca="false">O31-Benchmark_RF!D31</f>
        <v>-0.0505118343502731</v>
      </c>
    </row>
    <row r="32" customFormat="false" ht="15" hidden="false" customHeight="true" outlineLevel="0" collapsed="false">
      <c r="A32" s="1" t="n">
        <v>35</v>
      </c>
      <c r="B32" s="13" t="n">
        <f aca="false">Returns!A36</f>
        <v>43040</v>
      </c>
      <c r="C32" s="17" t="n">
        <f aca="false">IF(Rankings!C35&lt;=2,1,0)</f>
        <v>0</v>
      </c>
      <c r="D32" s="17" t="n">
        <f aca="false">IF(Rankings!D35&lt;=2,1,0)</f>
        <v>0</v>
      </c>
      <c r="E32" s="17" t="n">
        <f aca="false">IF(Rankings!E35&lt;=2,1,0)</f>
        <v>0</v>
      </c>
      <c r="F32" s="17" t="n">
        <f aca="false">IF(Rankings!F35&lt;=2,1,0)</f>
        <v>0</v>
      </c>
      <c r="G32" s="17" t="n">
        <f aca="false">IF(Rankings!G35&lt;=2,1,0)</f>
        <v>0</v>
      </c>
      <c r="H32" s="17" t="n">
        <f aca="false">IF(Rankings!H35&lt;=2,1,0)</f>
        <v>1</v>
      </c>
      <c r="I32" s="17" t="n">
        <f aca="false">IF(Rankings!I35&lt;=2,1,0)</f>
        <v>1</v>
      </c>
      <c r="J32" s="17" t="n">
        <f aca="false">IF(Rankings!J35&lt;=2,1,0)</f>
        <v>0</v>
      </c>
      <c r="K32" s="20" t="n">
        <f aca="false">SUM(C32:J32)</f>
        <v>2</v>
      </c>
      <c r="L32" s="16" t="n">
        <f aca="false">SUMPRODUCT(C32:J32,Returns!B36:I36)/K32</f>
        <v>0.255273417690657</v>
      </c>
      <c r="M32" s="16" t="n">
        <v>0</v>
      </c>
      <c r="N32" s="16" t="n">
        <v>0</v>
      </c>
      <c r="O32" s="16" t="n">
        <f aca="false">L32+M32+N32</f>
        <v>0.255273417690657</v>
      </c>
      <c r="P32" s="21" t="n">
        <f aca="false">P31*(1+O32)</f>
        <v>1.25666112738004</v>
      </c>
      <c r="Q32" s="21" t="n">
        <f aca="false">MAX($P$5:P32)</f>
        <v>1.70236321503605</v>
      </c>
      <c r="R32" s="16" t="n">
        <f aca="false">P32/Q32-1</f>
        <v>-0.261813744399176</v>
      </c>
      <c r="S32" s="16" t="n">
        <f aca="false">O32-Benchmark_RF!D32</f>
        <v>0.250413056319131</v>
      </c>
    </row>
    <row r="33" customFormat="false" ht="15" hidden="false" customHeight="true" outlineLevel="0" collapsed="false">
      <c r="A33" s="1" t="n">
        <v>36</v>
      </c>
      <c r="B33" s="13" t="n">
        <f aca="false">Returns!A37</f>
        <v>43070</v>
      </c>
      <c r="C33" s="17" t="n">
        <f aca="false">IF(Rankings!C35&lt;=2,1,0)</f>
        <v>0</v>
      </c>
      <c r="D33" s="17" t="n">
        <f aca="false">IF(Rankings!D35&lt;=2,1,0)</f>
        <v>0</v>
      </c>
      <c r="E33" s="17" t="n">
        <f aca="false">IF(Rankings!E35&lt;=2,1,0)</f>
        <v>0</v>
      </c>
      <c r="F33" s="17" t="n">
        <f aca="false">IF(Rankings!F35&lt;=2,1,0)</f>
        <v>0</v>
      </c>
      <c r="G33" s="17" t="n">
        <f aca="false">IF(Rankings!G35&lt;=2,1,0)</f>
        <v>0</v>
      </c>
      <c r="H33" s="17" t="n">
        <f aca="false">IF(Rankings!H35&lt;=2,1,0)</f>
        <v>1</v>
      </c>
      <c r="I33" s="17" t="n">
        <f aca="false">IF(Rankings!I35&lt;=2,1,0)</f>
        <v>1</v>
      </c>
      <c r="J33" s="17" t="n">
        <f aca="false">IF(Rankings!J35&lt;=2,1,0)</f>
        <v>0</v>
      </c>
      <c r="K33" s="20" t="n">
        <f aca="false">SUM(C33:J33)</f>
        <v>2</v>
      </c>
      <c r="L33" s="16" t="n">
        <f aca="false">SUMPRODUCT(C33:J33,Returns!B37:I37)/K33</f>
        <v>-0.0290512679776154</v>
      </c>
      <c r="M33" s="16" t="n">
        <v>0</v>
      </c>
      <c r="N33" s="16" t="n">
        <v>0</v>
      </c>
      <c r="O33" s="16" t="n">
        <f aca="false">L33+M33+N33</f>
        <v>-0.0290512679776154</v>
      </c>
      <c r="P33" s="21" t="n">
        <f aca="false">P32*(1+O33)</f>
        <v>1.22015352821147</v>
      </c>
      <c r="Q33" s="21" t="n">
        <f aca="false">MAX($P$5:P33)</f>
        <v>1.70236321503605</v>
      </c>
      <c r="R33" s="16" t="n">
        <f aca="false">P33/Q33-1</f>
        <v>-0.283258991128028</v>
      </c>
      <c r="S33" s="16" t="n">
        <f aca="false">O33-Benchmark_RF!D33</f>
        <v>-0.0339117083543461</v>
      </c>
    </row>
    <row r="34" customFormat="false" ht="15" hidden="false" customHeight="true" outlineLevel="0" collapsed="false">
      <c r="A34" s="1" t="n">
        <v>37</v>
      </c>
      <c r="B34" s="13" t="n">
        <f aca="false">Returns!A38</f>
        <v>43101</v>
      </c>
      <c r="C34" s="17" t="n">
        <f aca="false">IF(Rankings!C35&lt;=2,1,0)</f>
        <v>0</v>
      </c>
      <c r="D34" s="17" t="n">
        <f aca="false">IF(Rankings!D35&lt;=2,1,0)</f>
        <v>0</v>
      </c>
      <c r="E34" s="17" t="n">
        <f aca="false">IF(Rankings!E35&lt;=2,1,0)</f>
        <v>0</v>
      </c>
      <c r="F34" s="17" t="n">
        <f aca="false">IF(Rankings!F35&lt;=2,1,0)</f>
        <v>0</v>
      </c>
      <c r="G34" s="17" t="n">
        <f aca="false">IF(Rankings!G35&lt;=2,1,0)</f>
        <v>0</v>
      </c>
      <c r="H34" s="17" t="n">
        <f aca="false">IF(Rankings!H35&lt;=2,1,0)</f>
        <v>1</v>
      </c>
      <c r="I34" s="17" t="n">
        <f aca="false">IF(Rankings!I35&lt;=2,1,0)</f>
        <v>1</v>
      </c>
      <c r="J34" s="17" t="n">
        <f aca="false">IF(Rankings!J35&lt;=2,1,0)</f>
        <v>0</v>
      </c>
      <c r="K34" s="20" t="n">
        <f aca="false">SUM(C34:J34)</f>
        <v>2</v>
      </c>
      <c r="L34" s="16" t="n">
        <f aca="false">SUMPRODUCT(C34:J34,Returns!B38:I38)/K34</f>
        <v>0.0588607594936708</v>
      </c>
      <c r="M34" s="16" t="n">
        <v>0</v>
      </c>
      <c r="N34" s="16" t="n">
        <v>0</v>
      </c>
      <c r="O34" s="16" t="n">
        <f aca="false">L34+M34+N34</f>
        <v>0.0588607594936708</v>
      </c>
      <c r="P34" s="21" t="n">
        <f aca="false">P33*(1+O34)</f>
        <v>1.29197269158088</v>
      </c>
      <c r="Q34" s="21" t="n">
        <f aca="false">MAX($P$5:P34)</f>
        <v>1.70236321503605</v>
      </c>
      <c r="R34" s="16" t="n">
        <f aca="false">P34/Q34-1</f>
        <v>-0.241071070985564</v>
      </c>
      <c r="S34" s="16" t="n">
        <f aca="false">O34-Benchmark_RF!D34</f>
        <v>0.0538353473548345</v>
      </c>
    </row>
    <row r="35" customFormat="false" ht="15" hidden="false" customHeight="true" outlineLevel="0" collapsed="false">
      <c r="A35" s="1" t="n">
        <v>38</v>
      </c>
      <c r="B35" s="13" t="n">
        <f aca="false">Returns!A39</f>
        <v>43132</v>
      </c>
      <c r="C35" s="17" t="n">
        <f aca="false">IF(Rankings!C41&lt;=2,1,0)</f>
        <v>0</v>
      </c>
      <c r="D35" s="17" t="n">
        <f aca="false">IF(Rankings!D41&lt;=2,1,0)</f>
        <v>1</v>
      </c>
      <c r="E35" s="17" t="n">
        <f aca="false">IF(Rankings!E41&lt;=2,1,0)</f>
        <v>0</v>
      </c>
      <c r="F35" s="17" t="n">
        <f aca="false">IF(Rankings!F41&lt;=2,1,0)</f>
        <v>0</v>
      </c>
      <c r="G35" s="17" t="n">
        <f aca="false">IF(Rankings!G41&lt;=2,1,0)</f>
        <v>1</v>
      </c>
      <c r="H35" s="17" t="n">
        <f aca="false">IF(Rankings!H41&lt;=2,1,0)</f>
        <v>0</v>
      </c>
      <c r="I35" s="17" t="n">
        <f aca="false">IF(Rankings!I41&lt;=2,1,0)</f>
        <v>0</v>
      </c>
      <c r="J35" s="17" t="n">
        <f aca="false">IF(Rankings!J41&lt;=2,1,0)</f>
        <v>0</v>
      </c>
      <c r="K35" s="20" t="n">
        <f aca="false">SUM(C35:J35)</f>
        <v>2</v>
      </c>
      <c r="L35" s="16" t="n">
        <f aca="false">SUMPRODUCT(C35:J35,Returns!B39:I39)/K35</f>
        <v>-0.0247632370703775</v>
      </c>
      <c r="M35" s="16" t="n">
        <f aca="false">-2*Assumptions!$B$13</f>
        <v>-0.007</v>
      </c>
      <c r="N35" s="16" t="n">
        <f aca="false">-Assumptions!$B$16*MAX(0,(1+O29)*(1+O30)*(1+O31)*(1+O32)*(1+O33)*(1+O34)-1)</f>
        <v>-0.00885345885329664</v>
      </c>
      <c r="O35" s="16" t="n">
        <f aca="false">L35+M35+N35</f>
        <v>-0.0406166959236741</v>
      </c>
      <c r="P35" s="21" t="n">
        <f aca="false">P34*(1+O35)</f>
        <v>1.23949702962525</v>
      </c>
      <c r="Q35" s="21" t="n">
        <f aca="false">MAX($P$5:P35)</f>
        <v>1.70236321503605</v>
      </c>
      <c r="R35" s="16" t="n">
        <f aca="false">P35/Q35-1</f>
        <v>-0.271896256523023</v>
      </c>
      <c r="S35" s="16" t="n">
        <f aca="false">O35-Benchmark_RF!D35</f>
        <v>-0.045667498302549</v>
      </c>
    </row>
    <row r="36" customFormat="false" ht="15" hidden="false" customHeight="true" outlineLevel="0" collapsed="false">
      <c r="A36" s="1" t="n">
        <v>39</v>
      </c>
      <c r="B36" s="13" t="n">
        <f aca="false">Returns!A40</f>
        <v>43160</v>
      </c>
      <c r="C36" s="17" t="n">
        <f aca="false">IF(Rankings!C41&lt;=2,1,0)</f>
        <v>0</v>
      </c>
      <c r="D36" s="17" t="n">
        <f aca="false">IF(Rankings!D41&lt;=2,1,0)</f>
        <v>1</v>
      </c>
      <c r="E36" s="17" t="n">
        <f aca="false">IF(Rankings!E41&lt;=2,1,0)</f>
        <v>0</v>
      </c>
      <c r="F36" s="17" t="n">
        <f aca="false">IF(Rankings!F41&lt;=2,1,0)</f>
        <v>0</v>
      </c>
      <c r="G36" s="17" t="n">
        <f aca="false">IF(Rankings!G41&lt;=2,1,0)</f>
        <v>1</v>
      </c>
      <c r="H36" s="17" t="n">
        <f aca="false">IF(Rankings!H41&lt;=2,1,0)</f>
        <v>0</v>
      </c>
      <c r="I36" s="17" t="n">
        <f aca="false">IF(Rankings!I41&lt;=2,1,0)</f>
        <v>0</v>
      </c>
      <c r="J36" s="17" t="n">
        <f aca="false">IF(Rankings!J41&lt;=2,1,0)</f>
        <v>0</v>
      </c>
      <c r="K36" s="20" t="n">
        <f aca="false">SUM(C36:J36)</f>
        <v>2</v>
      </c>
      <c r="L36" s="16" t="n">
        <f aca="false">SUMPRODUCT(C36:J36,Returns!B40:I40)/K36</f>
        <v>0.10337764069423</v>
      </c>
      <c r="M36" s="16" t="n">
        <v>0</v>
      </c>
      <c r="N36" s="16" t="n">
        <v>0</v>
      </c>
      <c r="O36" s="16" t="n">
        <f aca="false">L36+M36+N36</f>
        <v>0.10337764069423</v>
      </c>
      <c r="P36" s="21" t="n">
        <f aca="false">P35*(1+O36)</f>
        <v>1.36763330819541</v>
      </c>
      <c r="Q36" s="21" t="n">
        <f aca="false">MAX($P$5:P36)</f>
        <v>1.70236321503605</v>
      </c>
      <c r="R36" s="16" t="n">
        <f aca="false">P36/Q36-1</f>
        <v>-0.196626609341736</v>
      </c>
      <c r="S36" s="16" t="n">
        <f aca="false">O36-Benchmark_RF!D36</f>
        <v>0.0983056326221151</v>
      </c>
    </row>
    <row r="37" customFormat="false" ht="15" hidden="false" customHeight="true" outlineLevel="0" collapsed="false">
      <c r="A37" s="1" t="n">
        <v>40</v>
      </c>
      <c r="B37" s="13" t="n">
        <f aca="false">Returns!A41</f>
        <v>43191</v>
      </c>
      <c r="C37" s="17" t="n">
        <f aca="false">IF(Rankings!C41&lt;=2,1,0)</f>
        <v>0</v>
      </c>
      <c r="D37" s="17" t="n">
        <f aca="false">IF(Rankings!D41&lt;=2,1,0)</f>
        <v>1</v>
      </c>
      <c r="E37" s="17" t="n">
        <f aca="false">IF(Rankings!E41&lt;=2,1,0)</f>
        <v>0</v>
      </c>
      <c r="F37" s="17" t="n">
        <f aca="false">IF(Rankings!F41&lt;=2,1,0)</f>
        <v>0</v>
      </c>
      <c r="G37" s="17" t="n">
        <f aca="false">IF(Rankings!G41&lt;=2,1,0)</f>
        <v>1</v>
      </c>
      <c r="H37" s="17" t="n">
        <f aca="false">IF(Rankings!H41&lt;=2,1,0)</f>
        <v>0</v>
      </c>
      <c r="I37" s="17" t="n">
        <f aca="false">IF(Rankings!I41&lt;=2,1,0)</f>
        <v>0</v>
      </c>
      <c r="J37" s="17" t="n">
        <f aca="false">IF(Rankings!J41&lt;=2,1,0)</f>
        <v>0</v>
      </c>
      <c r="K37" s="20" t="n">
        <f aca="false">SUM(C37:J37)</f>
        <v>2</v>
      </c>
      <c r="L37" s="16" t="n">
        <f aca="false">SUMPRODUCT(C37:J37,Returns!B41:I41)/K37</f>
        <v>-0.0269202724249878</v>
      </c>
      <c r="M37" s="16" t="n">
        <v>0</v>
      </c>
      <c r="N37" s="16" t="n">
        <v>0</v>
      </c>
      <c r="O37" s="16" t="n">
        <f aca="false">L37+M37+N37</f>
        <v>-0.0269202724249878</v>
      </c>
      <c r="P37" s="21" t="n">
        <f aca="false">P36*(1+O37)</f>
        <v>1.3308162469613</v>
      </c>
      <c r="Q37" s="21" t="n">
        <f aca="false">MAX($P$5:P37)</f>
        <v>1.70236321503605</v>
      </c>
      <c r="R37" s="16" t="n">
        <f aca="false">P37/Q37-1</f>
        <v>-0.218253639877243</v>
      </c>
      <c r="S37" s="16" t="n">
        <f aca="false">O37-Benchmark_RF!D37</f>
        <v>-0.0319747802426612</v>
      </c>
    </row>
    <row r="38" customFormat="false" ht="15" hidden="false" customHeight="true" outlineLevel="0" collapsed="false">
      <c r="A38" s="1" t="n">
        <v>41</v>
      </c>
      <c r="B38" s="13" t="n">
        <f aca="false">Returns!A42</f>
        <v>43221</v>
      </c>
      <c r="C38" s="17" t="n">
        <f aca="false">IF(Rankings!C41&lt;=2,1,0)</f>
        <v>0</v>
      </c>
      <c r="D38" s="17" t="n">
        <f aca="false">IF(Rankings!D41&lt;=2,1,0)</f>
        <v>1</v>
      </c>
      <c r="E38" s="17" t="n">
        <f aca="false">IF(Rankings!E41&lt;=2,1,0)</f>
        <v>0</v>
      </c>
      <c r="F38" s="17" t="n">
        <f aca="false">IF(Rankings!F41&lt;=2,1,0)</f>
        <v>0</v>
      </c>
      <c r="G38" s="17" t="n">
        <f aca="false">IF(Rankings!G41&lt;=2,1,0)</f>
        <v>1</v>
      </c>
      <c r="H38" s="17" t="n">
        <f aca="false">IF(Rankings!H41&lt;=2,1,0)</f>
        <v>0</v>
      </c>
      <c r="I38" s="17" t="n">
        <f aca="false">IF(Rankings!I41&lt;=2,1,0)</f>
        <v>0</v>
      </c>
      <c r="J38" s="17" t="n">
        <f aca="false">IF(Rankings!J41&lt;=2,1,0)</f>
        <v>0</v>
      </c>
      <c r="K38" s="20" t="n">
        <f aca="false">SUM(C38:J38)</f>
        <v>2</v>
      </c>
      <c r="L38" s="16" t="n">
        <f aca="false">SUMPRODUCT(C38:J38,Returns!B42:I42)/K38</f>
        <v>-0.108441587133263</v>
      </c>
      <c r="M38" s="16" t="n">
        <v>0</v>
      </c>
      <c r="N38" s="16" t="n">
        <v>0</v>
      </c>
      <c r="O38" s="16" t="n">
        <f aca="false">L38+M38+N38</f>
        <v>-0.108441587133263</v>
      </c>
      <c r="P38" s="21" t="n">
        <f aca="false">P37*(1+O38)</f>
        <v>1.18650042095809</v>
      </c>
      <c r="Q38" s="21" t="n">
        <f aca="false">MAX($P$5:P38)</f>
        <v>1.70236321503605</v>
      </c>
      <c r="R38" s="16" t="n">
        <f aca="false">P38/Q38-1</f>
        <v>-0.303027455904606</v>
      </c>
      <c r="S38" s="16" t="n">
        <f aca="false">O38-Benchmark_RF!D38</f>
        <v>-0.113513122269597</v>
      </c>
    </row>
    <row r="39" customFormat="false" ht="15" hidden="false" customHeight="true" outlineLevel="0" collapsed="false">
      <c r="A39" s="1" t="n">
        <v>42</v>
      </c>
      <c r="B39" s="13" t="n">
        <f aca="false">Returns!A43</f>
        <v>43252</v>
      </c>
      <c r="C39" s="17" t="n">
        <f aca="false">IF(Rankings!C41&lt;=2,1,0)</f>
        <v>0</v>
      </c>
      <c r="D39" s="17" t="n">
        <f aca="false">IF(Rankings!D41&lt;=2,1,0)</f>
        <v>1</v>
      </c>
      <c r="E39" s="17" t="n">
        <f aca="false">IF(Rankings!E41&lt;=2,1,0)</f>
        <v>0</v>
      </c>
      <c r="F39" s="17" t="n">
        <f aca="false">IF(Rankings!F41&lt;=2,1,0)</f>
        <v>0</v>
      </c>
      <c r="G39" s="17" t="n">
        <f aca="false">IF(Rankings!G41&lt;=2,1,0)</f>
        <v>1</v>
      </c>
      <c r="H39" s="17" t="n">
        <f aca="false">IF(Rankings!H41&lt;=2,1,0)</f>
        <v>0</v>
      </c>
      <c r="I39" s="17" t="n">
        <f aca="false">IF(Rankings!I41&lt;=2,1,0)</f>
        <v>0</v>
      </c>
      <c r="J39" s="17" t="n">
        <f aca="false">IF(Rankings!J41&lt;=2,1,0)</f>
        <v>0</v>
      </c>
      <c r="K39" s="20" t="n">
        <f aca="false">SUM(C39:J39)</f>
        <v>2</v>
      </c>
      <c r="L39" s="16" t="n">
        <f aca="false">SUMPRODUCT(C39:J39,Returns!B43:I43)/K39</f>
        <v>0.00919047767592179</v>
      </c>
      <c r="M39" s="16" t="n">
        <v>0</v>
      </c>
      <c r="N39" s="16" t="n">
        <v>0</v>
      </c>
      <c r="O39" s="16" t="n">
        <f aca="false">L39+M39+N39</f>
        <v>0.00919047767592179</v>
      </c>
      <c r="P39" s="21" t="n">
        <f aca="false">P38*(1+O39)</f>
        <v>1.19740492658937</v>
      </c>
      <c r="Q39" s="21" t="n">
        <f aca="false">MAX($P$5:P39)</f>
        <v>1.70236321503605</v>
      </c>
      <c r="R39" s="16" t="n">
        <f aca="false">P39/Q39-1</f>
        <v>-0.296621945297367</v>
      </c>
      <c r="S39" s="16" t="n">
        <f aca="false">O39-Benchmark_RF!D39</f>
        <v>0.00372489096397405</v>
      </c>
    </row>
    <row r="40" customFormat="false" ht="15" hidden="false" customHeight="true" outlineLevel="0" collapsed="false">
      <c r="A40" s="1" t="n">
        <v>43</v>
      </c>
      <c r="B40" s="13" t="n">
        <f aca="false">Returns!A44</f>
        <v>43282</v>
      </c>
      <c r="C40" s="17" t="n">
        <f aca="false">IF(Rankings!C41&lt;=2,1,0)</f>
        <v>0</v>
      </c>
      <c r="D40" s="17" t="n">
        <f aca="false">IF(Rankings!D41&lt;=2,1,0)</f>
        <v>1</v>
      </c>
      <c r="E40" s="17" t="n">
        <f aca="false">IF(Rankings!E41&lt;=2,1,0)</f>
        <v>0</v>
      </c>
      <c r="F40" s="17" t="n">
        <f aca="false">IF(Rankings!F41&lt;=2,1,0)</f>
        <v>0</v>
      </c>
      <c r="G40" s="17" t="n">
        <f aca="false">IF(Rankings!G41&lt;=2,1,0)</f>
        <v>1</v>
      </c>
      <c r="H40" s="17" t="n">
        <f aca="false">IF(Rankings!H41&lt;=2,1,0)</f>
        <v>0</v>
      </c>
      <c r="I40" s="17" t="n">
        <f aca="false">IF(Rankings!I41&lt;=2,1,0)</f>
        <v>0</v>
      </c>
      <c r="J40" s="17" t="n">
        <f aca="false">IF(Rankings!J41&lt;=2,1,0)</f>
        <v>0</v>
      </c>
      <c r="K40" s="20" t="n">
        <f aca="false">SUM(C40:J40)</f>
        <v>2</v>
      </c>
      <c r="L40" s="16" t="n">
        <f aca="false">SUMPRODUCT(C40:J40,Returns!B44:I44)/K40</f>
        <v>0.0912035974706908</v>
      </c>
      <c r="M40" s="16" t="n">
        <v>0</v>
      </c>
      <c r="N40" s="16" t="n">
        <v>0</v>
      </c>
      <c r="O40" s="16" t="n">
        <f aca="false">L40+M40+N40</f>
        <v>0.0912035974706908</v>
      </c>
      <c r="P40" s="21" t="n">
        <f aca="false">P39*(1+O40)</f>
        <v>1.30661256352345</v>
      </c>
      <c r="Q40" s="21" t="n">
        <f aca="false">MAX($P$5:P40)</f>
        <v>1.70236321503605</v>
      </c>
      <c r="R40" s="16" t="n">
        <f aca="false">P40/Q40-1</f>
        <v>-0.23247133632655</v>
      </c>
      <c r="S40" s="16" t="n">
        <f aca="false">O40-Benchmark_RF!D40</f>
        <v>0.0849862536776407</v>
      </c>
    </row>
    <row r="41" customFormat="false" ht="15" hidden="false" customHeight="true" outlineLevel="0" collapsed="false">
      <c r="A41" s="1" t="n">
        <v>44</v>
      </c>
      <c r="B41" s="13" t="n">
        <f aca="false">Returns!A45</f>
        <v>43313</v>
      </c>
      <c r="C41" s="17" t="n">
        <f aca="false">IF(Rankings!C47&lt;=2,1,0)</f>
        <v>1</v>
      </c>
      <c r="D41" s="17" t="n">
        <f aca="false">IF(Rankings!D47&lt;=2,1,0)</f>
        <v>0</v>
      </c>
      <c r="E41" s="17" t="n">
        <f aca="false">IF(Rankings!E47&lt;=2,1,0)</f>
        <v>0</v>
      </c>
      <c r="F41" s="17" t="n">
        <f aca="false">IF(Rankings!F47&lt;=2,1,0)</f>
        <v>0</v>
      </c>
      <c r="G41" s="17" t="n">
        <f aca="false">IF(Rankings!G47&lt;=2,1,0)</f>
        <v>0</v>
      </c>
      <c r="H41" s="17" t="n">
        <f aca="false">IF(Rankings!H47&lt;=2,1,0)</f>
        <v>1</v>
      </c>
      <c r="I41" s="17" t="n">
        <f aca="false">IF(Rankings!I47&lt;=2,1,0)</f>
        <v>0</v>
      </c>
      <c r="J41" s="17" t="n">
        <f aca="false">IF(Rankings!J47&lt;=2,1,0)</f>
        <v>0</v>
      </c>
      <c r="K41" s="20" t="n">
        <f aca="false">SUM(C41:J41)</f>
        <v>2</v>
      </c>
      <c r="L41" s="16" t="n">
        <f aca="false">SUMPRODUCT(C41:J41,Returns!B45:I45)/K41</f>
        <v>-0.00442573525835394</v>
      </c>
      <c r="M41" s="16" t="n">
        <f aca="false">-2*Assumptions!$B$13</f>
        <v>-0.007</v>
      </c>
      <c r="N41" s="16" t="n">
        <f aca="false">-Assumptions!$B$16*MAX(0,(1+O35)*(1+O36)*(1+O37)*(1+O38)*(1+O39)*(1+O40)-1)</f>
        <v>-0.00169971146116052</v>
      </c>
      <c r="O41" s="16" t="n">
        <f aca="false">L41+M41+N41</f>
        <v>-0.0131254467195145</v>
      </c>
      <c r="P41" s="21" t="n">
        <f aca="false">P40*(1+O41)</f>
        <v>1.28946268993788</v>
      </c>
      <c r="Q41" s="21" t="n">
        <f aca="false">MAX($P$5:P41)</f>
        <v>1.70236321503605</v>
      </c>
      <c r="R41" s="16" t="n">
        <f aca="false">P41/Q41-1</f>
        <v>-0.242545492907296</v>
      </c>
      <c r="S41" s="16" t="n">
        <f aca="false">O41-Benchmark_RF!D41</f>
        <v>-0.0193651281808002</v>
      </c>
    </row>
    <row r="42" customFormat="false" ht="15" hidden="false" customHeight="true" outlineLevel="0" collapsed="false">
      <c r="A42" s="1" t="n">
        <v>45</v>
      </c>
      <c r="B42" s="13" t="n">
        <f aca="false">Returns!A46</f>
        <v>43344</v>
      </c>
      <c r="C42" s="17" t="n">
        <f aca="false">IF(Rankings!C47&lt;=2,1,0)</f>
        <v>1</v>
      </c>
      <c r="D42" s="17" t="n">
        <f aca="false">IF(Rankings!D47&lt;=2,1,0)</f>
        <v>0</v>
      </c>
      <c r="E42" s="17" t="n">
        <f aca="false">IF(Rankings!E47&lt;=2,1,0)</f>
        <v>0</v>
      </c>
      <c r="F42" s="17" t="n">
        <f aca="false">IF(Rankings!F47&lt;=2,1,0)</f>
        <v>0</v>
      </c>
      <c r="G42" s="17" t="n">
        <f aca="false">IF(Rankings!G47&lt;=2,1,0)</f>
        <v>0</v>
      </c>
      <c r="H42" s="17" t="n">
        <f aca="false">IF(Rankings!H47&lt;=2,1,0)</f>
        <v>1</v>
      </c>
      <c r="I42" s="17" t="n">
        <f aca="false">IF(Rankings!I47&lt;=2,1,0)</f>
        <v>0</v>
      </c>
      <c r="J42" s="17" t="n">
        <f aca="false">IF(Rankings!J47&lt;=2,1,0)</f>
        <v>0</v>
      </c>
      <c r="K42" s="20" t="n">
        <f aca="false">SUM(C42:J42)</f>
        <v>2</v>
      </c>
      <c r="L42" s="16" t="n">
        <f aca="false">SUMPRODUCT(C42:J42,Returns!B46:I46)/K42</f>
        <v>0.00276332551027464</v>
      </c>
      <c r="M42" s="16" t="n">
        <v>0</v>
      </c>
      <c r="N42" s="16" t="n">
        <v>0</v>
      </c>
      <c r="O42" s="16" t="n">
        <f aca="false">L42+M42+N42</f>
        <v>0.00276332551027464</v>
      </c>
      <c r="P42" s="21" t="n">
        <f aca="false">P41*(1+O42)</f>
        <v>1.29302589508353</v>
      </c>
      <c r="Q42" s="21" t="n">
        <f aca="false">MAX($P$5:P42)</f>
        <v>1.70236321503605</v>
      </c>
      <c r="R42" s="16" t="n">
        <f aca="false">P42/Q42-1</f>
        <v>-0.240452399544974</v>
      </c>
      <c r="S42" s="16" t="n">
        <f aca="false">O42-Benchmark_RF!D42</f>
        <v>-0.00347635595101109</v>
      </c>
    </row>
    <row r="43" customFormat="false" ht="15" hidden="false" customHeight="true" outlineLevel="0" collapsed="false">
      <c r="A43" s="1" t="n">
        <v>46</v>
      </c>
      <c r="B43" s="13" t="n">
        <f aca="false">Returns!A47</f>
        <v>43374</v>
      </c>
      <c r="C43" s="17" t="n">
        <f aca="false">IF(Rankings!C47&lt;=2,1,0)</f>
        <v>1</v>
      </c>
      <c r="D43" s="17" t="n">
        <f aca="false">IF(Rankings!D47&lt;=2,1,0)</f>
        <v>0</v>
      </c>
      <c r="E43" s="17" t="n">
        <f aca="false">IF(Rankings!E47&lt;=2,1,0)</f>
        <v>0</v>
      </c>
      <c r="F43" s="17" t="n">
        <f aca="false">IF(Rankings!F47&lt;=2,1,0)</f>
        <v>0</v>
      </c>
      <c r="G43" s="17" t="n">
        <f aca="false">IF(Rankings!G47&lt;=2,1,0)</f>
        <v>0</v>
      </c>
      <c r="H43" s="17" t="n">
        <f aca="false">IF(Rankings!H47&lt;=2,1,0)</f>
        <v>1</v>
      </c>
      <c r="I43" s="17" t="n">
        <f aca="false">IF(Rankings!I47&lt;=2,1,0)</f>
        <v>0</v>
      </c>
      <c r="J43" s="17" t="n">
        <f aca="false">IF(Rankings!J47&lt;=2,1,0)</f>
        <v>0</v>
      </c>
      <c r="K43" s="20" t="n">
        <f aca="false">SUM(C43:J43)</f>
        <v>2</v>
      </c>
      <c r="L43" s="16" t="n">
        <f aca="false">SUMPRODUCT(C43:J43,Returns!B47:I47)/K43</f>
        <v>0.0202088661551577</v>
      </c>
      <c r="M43" s="16" t="n">
        <v>0</v>
      </c>
      <c r="N43" s="16" t="n">
        <v>0</v>
      </c>
      <c r="O43" s="16" t="n">
        <f aca="false">L43+M43+N43</f>
        <v>0.0202088661551577</v>
      </c>
      <c r="P43" s="21" t="n">
        <f aca="false">P42*(1+O43)</f>
        <v>1.31915648233243</v>
      </c>
      <c r="Q43" s="21" t="n">
        <f aca="false">MAX($P$5:P43)</f>
        <v>1.70236321503605</v>
      </c>
      <c r="R43" s="16" t="n">
        <f aca="false">P43/Q43-1</f>
        <v>-0.225102803748908</v>
      </c>
      <c r="S43" s="16" t="n">
        <f aca="false">O43-Benchmark_RF!D43</f>
        <v>0.0131619277594198</v>
      </c>
    </row>
    <row r="44" customFormat="false" ht="15" hidden="false" customHeight="true" outlineLevel="0" collapsed="false">
      <c r="A44" s="1" t="n">
        <v>47</v>
      </c>
      <c r="B44" s="13" t="n">
        <f aca="false">Returns!A48</f>
        <v>43405</v>
      </c>
      <c r="C44" s="17" t="n">
        <f aca="false">IF(Rankings!C47&lt;=2,1,0)</f>
        <v>1</v>
      </c>
      <c r="D44" s="17" t="n">
        <f aca="false">IF(Rankings!D47&lt;=2,1,0)</f>
        <v>0</v>
      </c>
      <c r="E44" s="17" t="n">
        <f aca="false">IF(Rankings!E47&lt;=2,1,0)</f>
        <v>0</v>
      </c>
      <c r="F44" s="17" t="n">
        <f aca="false">IF(Rankings!F47&lt;=2,1,0)</f>
        <v>0</v>
      </c>
      <c r="G44" s="17" t="n">
        <f aca="false">IF(Rankings!G47&lt;=2,1,0)</f>
        <v>0</v>
      </c>
      <c r="H44" s="17" t="n">
        <f aca="false">IF(Rankings!H47&lt;=2,1,0)</f>
        <v>1</v>
      </c>
      <c r="I44" s="17" t="n">
        <f aca="false">IF(Rankings!I47&lt;=2,1,0)</f>
        <v>0</v>
      </c>
      <c r="J44" s="17" t="n">
        <f aca="false">IF(Rankings!J47&lt;=2,1,0)</f>
        <v>0</v>
      </c>
      <c r="K44" s="20" t="n">
        <f aca="false">SUM(C44:J44)</f>
        <v>2</v>
      </c>
      <c r="L44" s="16" t="n">
        <f aca="false">SUMPRODUCT(C44:J44,Returns!B48:I48)/K44</f>
        <v>-0.0318617789724161</v>
      </c>
      <c r="M44" s="16" t="n">
        <v>0</v>
      </c>
      <c r="N44" s="16" t="n">
        <v>0</v>
      </c>
      <c r="O44" s="16" t="n">
        <f aca="false">L44+M44+N44</f>
        <v>-0.0318617789724161</v>
      </c>
      <c r="P44" s="21" t="n">
        <f aca="false">P43*(1+O44)</f>
        <v>1.27712581006232</v>
      </c>
      <c r="Q44" s="21" t="n">
        <f aca="false">MAX($P$5:P44)</f>
        <v>1.70236321503605</v>
      </c>
      <c r="R44" s="16" t="n">
        <f aca="false">P44/Q44-1</f>
        <v>-0.249792406942205</v>
      </c>
      <c r="S44" s="16" t="n">
        <f aca="false">O44-Benchmark_RF!D44</f>
        <v>-0.0389134998381247</v>
      </c>
    </row>
    <row r="45" customFormat="false" ht="15" hidden="false" customHeight="true" outlineLevel="0" collapsed="false">
      <c r="A45" s="1" t="n">
        <v>48</v>
      </c>
      <c r="B45" s="13" t="n">
        <f aca="false">Returns!A49</f>
        <v>43435</v>
      </c>
      <c r="C45" s="17" t="n">
        <f aca="false">IF(Rankings!C47&lt;=2,1,0)</f>
        <v>1</v>
      </c>
      <c r="D45" s="17" t="n">
        <f aca="false">IF(Rankings!D47&lt;=2,1,0)</f>
        <v>0</v>
      </c>
      <c r="E45" s="17" t="n">
        <f aca="false">IF(Rankings!E47&lt;=2,1,0)</f>
        <v>0</v>
      </c>
      <c r="F45" s="17" t="n">
        <f aca="false">IF(Rankings!F47&lt;=2,1,0)</f>
        <v>0</v>
      </c>
      <c r="G45" s="17" t="n">
        <f aca="false">IF(Rankings!G47&lt;=2,1,0)</f>
        <v>0</v>
      </c>
      <c r="H45" s="17" t="n">
        <f aca="false">IF(Rankings!H47&lt;=2,1,0)</f>
        <v>1</v>
      </c>
      <c r="I45" s="17" t="n">
        <f aca="false">IF(Rankings!I47&lt;=2,1,0)</f>
        <v>0</v>
      </c>
      <c r="J45" s="17" t="n">
        <f aca="false">IF(Rankings!J47&lt;=2,1,0)</f>
        <v>0</v>
      </c>
      <c r="K45" s="20" t="n">
        <f aca="false">SUM(C45:J45)</f>
        <v>2</v>
      </c>
      <c r="L45" s="16" t="n">
        <f aca="false">SUMPRODUCT(C45:J45,Returns!B49:I49)/K45</f>
        <v>-0.0951638088276425</v>
      </c>
      <c r="M45" s="16" t="n">
        <v>0</v>
      </c>
      <c r="N45" s="16" t="n">
        <v>0</v>
      </c>
      <c r="O45" s="16" t="n">
        <f aca="false">L45+M45+N45</f>
        <v>-0.0951638088276425</v>
      </c>
      <c r="P45" s="21" t="n">
        <f aca="false">P44*(1+O45)</f>
        <v>1.1555896536247</v>
      </c>
      <c r="Q45" s="21" t="n">
        <f aca="false">MAX($P$5:P45)</f>
        <v>1.70236321503605</v>
      </c>
      <c r="R45" s="16" t="n">
        <f aca="false">P45/Q45-1</f>
        <v>-0.321185018909003</v>
      </c>
      <c r="S45" s="16" t="n">
        <f aca="false">O45-Benchmark_RF!D45</f>
        <v>-0.103364158570341</v>
      </c>
    </row>
    <row r="46" customFormat="false" ht="15" hidden="false" customHeight="true" outlineLevel="0" collapsed="false">
      <c r="A46" s="1" t="n">
        <v>49</v>
      </c>
      <c r="B46" s="13" t="n">
        <f aca="false">Returns!A50</f>
        <v>43466</v>
      </c>
      <c r="C46" s="17" t="n">
        <f aca="false">IF(Rankings!C47&lt;=2,1,0)</f>
        <v>1</v>
      </c>
      <c r="D46" s="17" t="n">
        <f aca="false">IF(Rankings!D47&lt;=2,1,0)</f>
        <v>0</v>
      </c>
      <c r="E46" s="17" t="n">
        <f aca="false">IF(Rankings!E47&lt;=2,1,0)</f>
        <v>0</v>
      </c>
      <c r="F46" s="17" t="n">
        <f aca="false">IF(Rankings!F47&lt;=2,1,0)</f>
        <v>0</v>
      </c>
      <c r="G46" s="17" t="n">
        <f aca="false">IF(Rankings!G47&lt;=2,1,0)</f>
        <v>0</v>
      </c>
      <c r="H46" s="17" t="n">
        <f aca="false">IF(Rankings!H47&lt;=2,1,0)</f>
        <v>1</v>
      </c>
      <c r="I46" s="17" t="n">
        <f aca="false">IF(Rankings!I47&lt;=2,1,0)</f>
        <v>0</v>
      </c>
      <c r="J46" s="17" t="n">
        <f aca="false">IF(Rankings!J47&lt;=2,1,0)</f>
        <v>0</v>
      </c>
      <c r="K46" s="20" t="n">
        <f aca="false">SUM(C46:J46)</f>
        <v>2</v>
      </c>
      <c r="L46" s="16" t="n">
        <f aca="false">SUMPRODUCT(C46:J46,Returns!B50:I50)/K46</f>
        <v>0.160007431572848</v>
      </c>
      <c r="M46" s="16" t="n">
        <v>0</v>
      </c>
      <c r="N46" s="16" t="n">
        <v>0</v>
      </c>
      <c r="O46" s="16" t="n">
        <f aca="false">L46+M46+N46</f>
        <v>0.160007431572848</v>
      </c>
      <c r="P46" s="21" t="n">
        <f aca="false">P45*(1+O46)</f>
        <v>1.34049258605335</v>
      </c>
      <c r="Q46" s="21" t="n">
        <f aca="false">MAX($P$5:P46)</f>
        <v>1.70236321503605</v>
      </c>
      <c r="R46" s="16" t="n">
        <f aca="false">P46/Q46-1</f>
        <v>-0.212569577271461</v>
      </c>
      <c r="S46" s="16" t="n">
        <f aca="false">O46-Benchmark_RF!D46</f>
        <v>0.151803730260813</v>
      </c>
    </row>
    <row r="47" customFormat="false" ht="15" hidden="false" customHeight="true" outlineLevel="0" collapsed="false">
      <c r="A47" s="1" t="n">
        <v>50</v>
      </c>
      <c r="B47" s="13" t="n">
        <f aca="false">Returns!A51</f>
        <v>43497</v>
      </c>
      <c r="C47" s="17" t="n">
        <f aca="false">IF(Rankings!C53&lt;=2,1,0)</f>
        <v>1</v>
      </c>
      <c r="D47" s="17" t="n">
        <f aca="false">IF(Rankings!D53&lt;=2,1,0)</f>
        <v>0</v>
      </c>
      <c r="E47" s="17" t="n">
        <f aca="false">IF(Rankings!E53&lt;=2,1,0)</f>
        <v>0</v>
      </c>
      <c r="F47" s="17" t="n">
        <f aca="false">IF(Rankings!F53&lt;=2,1,0)</f>
        <v>0</v>
      </c>
      <c r="G47" s="17" t="n">
        <f aca="false">IF(Rankings!G53&lt;=2,1,0)</f>
        <v>1</v>
      </c>
      <c r="H47" s="17" t="n">
        <f aca="false">IF(Rankings!H53&lt;=2,1,0)</f>
        <v>0</v>
      </c>
      <c r="I47" s="17" t="n">
        <f aca="false">IF(Rankings!I53&lt;=2,1,0)</f>
        <v>0</v>
      </c>
      <c r="J47" s="17" t="n">
        <f aca="false">IF(Rankings!J53&lt;=2,1,0)</f>
        <v>0</v>
      </c>
      <c r="K47" s="20" t="n">
        <f aca="false">SUM(C47:J47)</f>
        <v>2</v>
      </c>
      <c r="L47" s="16" t="n">
        <f aca="false">SUMPRODUCT(C47:J47,Returns!B51:I51)/K47</f>
        <v>-0.00585308120862521</v>
      </c>
      <c r="M47" s="16" t="n">
        <f aca="false">-2*Assumptions!$B$13</f>
        <v>-0.007</v>
      </c>
      <c r="N47" s="16" t="n">
        <f aca="false">-Assumptions!$B$16*MAX(0,(1+O41)*(1+O42)*(1+O43)*(1+O44)*(1+O45)*(1+O46)-1)</f>
        <v>-0.0038894493450912</v>
      </c>
      <c r="O47" s="16" t="n">
        <f aca="false">L47+M47+N47</f>
        <v>-0.0167425305537164</v>
      </c>
      <c r="P47" s="21" t="n">
        <f aca="false">P46*(1+O47)</f>
        <v>1.31804934797432</v>
      </c>
      <c r="Q47" s="21" t="n">
        <f aca="false">MAX($P$5:P47)</f>
        <v>1.70236321503605</v>
      </c>
      <c r="R47" s="16" t="n">
        <f aca="false">P47/Q47-1</f>
        <v>-0.225753155182919</v>
      </c>
      <c r="S47" s="16" t="n">
        <f aca="false">O47-Benchmark_RF!D47</f>
        <v>-0.0251355487690629</v>
      </c>
    </row>
    <row r="48" customFormat="false" ht="15" hidden="false" customHeight="true" outlineLevel="0" collapsed="false">
      <c r="A48" s="1" t="n">
        <v>51</v>
      </c>
      <c r="B48" s="13" t="n">
        <f aca="false">Returns!A52</f>
        <v>43525</v>
      </c>
      <c r="C48" s="17" t="n">
        <f aca="false">IF(Rankings!C53&lt;=2,1,0)</f>
        <v>1</v>
      </c>
      <c r="D48" s="17" t="n">
        <f aca="false">IF(Rankings!D53&lt;=2,1,0)</f>
        <v>0</v>
      </c>
      <c r="E48" s="17" t="n">
        <f aca="false">IF(Rankings!E53&lt;=2,1,0)</f>
        <v>0</v>
      </c>
      <c r="F48" s="17" t="n">
        <f aca="false">IF(Rankings!F53&lt;=2,1,0)</f>
        <v>0</v>
      </c>
      <c r="G48" s="17" t="n">
        <f aca="false">IF(Rankings!G53&lt;=2,1,0)</f>
        <v>1</v>
      </c>
      <c r="H48" s="17" t="n">
        <f aca="false">IF(Rankings!H53&lt;=2,1,0)</f>
        <v>0</v>
      </c>
      <c r="I48" s="17" t="n">
        <f aca="false">IF(Rankings!I53&lt;=2,1,0)</f>
        <v>0</v>
      </c>
      <c r="J48" s="17" t="n">
        <f aca="false">IF(Rankings!J53&lt;=2,1,0)</f>
        <v>0</v>
      </c>
      <c r="K48" s="20" t="n">
        <f aca="false">SUM(C48:J48)</f>
        <v>2</v>
      </c>
      <c r="L48" s="16" t="n">
        <f aca="false">SUMPRODUCT(C48:J48,Returns!B52:I52)/K48</f>
        <v>-0.0473977766854922</v>
      </c>
      <c r="M48" s="16" t="n">
        <v>0</v>
      </c>
      <c r="N48" s="16" t="n">
        <v>0</v>
      </c>
      <c r="O48" s="16" t="n">
        <f aca="false">L48+M48+N48</f>
        <v>-0.0473977766854922</v>
      </c>
      <c r="P48" s="21" t="n">
        <f aca="false">P47*(1+O48)</f>
        <v>1.25557673931857</v>
      </c>
      <c r="Q48" s="21" t="n">
        <f aca="false">MAX($P$5:P48)</f>
        <v>1.70236321503605</v>
      </c>
      <c r="R48" s="16" t="n">
        <f aca="false">P48/Q48-1</f>
        <v>-0.262450734233006</v>
      </c>
      <c r="S48" s="16" t="n">
        <f aca="false">O48-Benchmark_RF!D48</f>
        <v>-0.0557854738027212</v>
      </c>
    </row>
    <row r="49" customFormat="false" ht="15" hidden="false" customHeight="true" outlineLevel="0" collapsed="false">
      <c r="A49" s="1" t="n">
        <v>52</v>
      </c>
      <c r="B49" s="13" t="n">
        <f aca="false">Returns!A53</f>
        <v>43556</v>
      </c>
      <c r="C49" s="17" t="n">
        <f aca="false">IF(Rankings!C53&lt;=2,1,0)</f>
        <v>1</v>
      </c>
      <c r="D49" s="17" t="n">
        <f aca="false">IF(Rankings!D53&lt;=2,1,0)</f>
        <v>0</v>
      </c>
      <c r="E49" s="17" t="n">
        <f aca="false">IF(Rankings!E53&lt;=2,1,0)</f>
        <v>0</v>
      </c>
      <c r="F49" s="17" t="n">
        <f aca="false">IF(Rankings!F53&lt;=2,1,0)</f>
        <v>0</v>
      </c>
      <c r="G49" s="17" t="n">
        <f aca="false">IF(Rankings!G53&lt;=2,1,0)</f>
        <v>1</v>
      </c>
      <c r="H49" s="17" t="n">
        <f aca="false">IF(Rankings!H53&lt;=2,1,0)</f>
        <v>0</v>
      </c>
      <c r="I49" s="17" t="n">
        <f aca="false">IF(Rankings!I53&lt;=2,1,0)</f>
        <v>0</v>
      </c>
      <c r="J49" s="17" t="n">
        <f aca="false">IF(Rankings!J53&lt;=2,1,0)</f>
        <v>0</v>
      </c>
      <c r="K49" s="20" t="n">
        <f aca="false">SUM(C49:J49)</f>
        <v>2</v>
      </c>
      <c r="L49" s="16" t="n">
        <f aca="false">SUMPRODUCT(C49:J49,Returns!B53:I53)/K49</f>
        <v>-0.0742897246791046</v>
      </c>
      <c r="M49" s="16" t="n">
        <v>0</v>
      </c>
      <c r="N49" s="16" t="n">
        <v>0</v>
      </c>
      <c r="O49" s="16" t="n">
        <f aca="false">L49+M49+N49</f>
        <v>-0.0742897246791046</v>
      </c>
      <c r="P49" s="21" t="n">
        <f aca="false">P48*(1+O49)</f>
        <v>1.16230028904111</v>
      </c>
      <c r="Q49" s="21" t="n">
        <f aca="false">MAX($P$5:P49)</f>
        <v>1.70236321503605</v>
      </c>
      <c r="R49" s="16" t="n">
        <f aca="false">P49/Q49-1</f>
        <v>-0.317243066124112</v>
      </c>
      <c r="S49" s="16" t="n">
        <f aca="false">O49-Benchmark_RF!D49</f>
        <v>-0.0829866725562117</v>
      </c>
    </row>
    <row r="50" customFormat="false" ht="15" hidden="false" customHeight="true" outlineLevel="0" collapsed="false">
      <c r="A50" s="1" t="n">
        <v>53</v>
      </c>
      <c r="B50" s="13" t="n">
        <f aca="false">Returns!A54</f>
        <v>43586</v>
      </c>
      <c r="C50" s="17" t="n">
        <f aca="false">IF(Rankings!C53&lt;=2,1,0)</f>
        <v>1</v>
      </c>
      <c r="D50" s="17" t="n">
        <f aca="false">IF(Rankings!D53&lt;=2,1,0)</f>
        <v>0</v>
      </c>
      <c r="E50" s="17" t="n">
        <f aca="false">IF(Rankings!E53&lt;=2,1,0)</f>
        <v>0</v>
      </c>
      <c r="F50" s="17" t="n">
        <f aca="false">IF(Rankings!F53&lt;=2,1,0)</f>
        <v>0</v>
      </c>
      <c r="G50" s="17" t="n">
        <f aca="false">IF(Rankings!G53&lt;=2,1,0)</f>
        <v>1</v>
      </c>
      <c r="H50" s="17" t="n">
        <f aca="false">IF(Rankings!H53&lt;=2,1,0)</f>
        <v>0</v>
      </c>
      <c r="I50" s="17" t="n">
        <f aca="false">IF(Rankings!I53&lt;=2,1,0)</f>
        <v>0</v>
      </c>
      <c r="J50" s="17" t="n">
        <f aca="false">IF(Rankings!J53&lt;=2,1,0)</f>
        <v>0</v>
      </c>
      <c r="K50" s="20" t="n">
        <f aca="false">SUM(C50:J50)</f>
        <v>2</v>
      </c>
      <c r="L50" s="16" t="n">
        <f aca="false">SUMPRODUCT(C50:J50,Returns!B54:I54)/K50</f>
        <v>0.0357033976137605</v>
      </c>
      <c r="M50" s="16" t="n">
        <v>0</v>
      </c>
      <c r="N50" s="16" t="n">
        <v>0</v>
      </c>
      <c r="O50" s="16" t="n">
        <f aca="false">L50+M50+N50</f>
        <v>0.0357033976137605</v>
      </c>
      <c r="P50" s="21" t="n">
        <f aca="false">P49*(1+O50)</f>
        <v>1.20379835840733</v>
      </c>
      <c r="Q50" s="21" t="n">
        <f aca="false">MAX($P$5:P50)</f>
        <v>1.70236321503605</v>
      </c>
      <c r="R50" s="16" t="n">
        <f aca="false">P50/Q50-1</f>
        <v>-0.292866323840389</v>
      </c>
      <c r="S50" s="16" t="n">
        <f aca="false">O50-Benchmark_RF!D50</f>
        <v>0.0257839549410924</v>
      </c>
    </row>
    <row r="51" customFormat="false" ht="15" hidden="false" customHeight="true" outlineLevel="0" collapsed="false">
      <c r="A51" s="1" t="n">
        <v>54</v>
      </c>
      <c r="B51" s="13" t="n">
        <f aca="false">Returns!A55</f>
        <v>43617</v>
      </c>
      <c r="C51" s="17" t="n">
        <f aca="false">IF(Rankings!C53&lt;=2,1,0)</f>
        <v>1</v>
      </c>
      <c r="D51" s="17" t="n">
        <f aca="false">IF(Rankings!D53&lt;=2,1,0)</f>
        <v>0</v>
      </c>
      <c r="E51" s="17" t="n">
        <f aca="false">IF(Rankings!E53&lt;=2,1,0)</f>
        <v>0</v>
      </c>
      <c r="F51" s="17" t="n">
        <f aca="false">IF(Rankings!F53&lt;=2,1,0)</f>
        <v>0</v>
      </c>
      <c r="G51" s="17" t="n">
        <f aca="false">IF(Rankings!G53&lt;=2,1,0)</f>
        <v>1</v>
      </c>
      <c r="H51" s="17" t="n">
        <f aca="false">IF(Rankings!H53&lt;=2,1,0)</f>
        <v>0</v>
      </c>
      <c r="I51" s="17" t="n">
        <f aca="false">IF(Rankings!I53&lt;=2,1,0)</f>
        <v>0</v>
      </c>
      <c r="J51" s="17" t="n">
        <f aca="false">IF(Rankings!J53&lt;=2,1,0)</f>
        <v>0</v>
      </c>
      <c r="K51" s="20" t="n">
        <f aca="false">SUM(C51:J51)</f>
        <v>2</v>
      </c>
      <c r="L51" s="16" t="n">
        <f aca="false">SUMPRODUCT(C51:J51,Returns!B55:I55)/K51</f>
        <v>-0.0730222632307535</v>
      </c>
      <c r="M51" s="16" t="n">
        <v>0</v>
      </c>
      <c r="N51" s="16" t="n">
        <v>0</v>
      </c>
      <c r="O51" s="16" t="n">
        <f aca="false">L51+M51+N51</f>
        <v>-0.0730222632307535</v>
      </c>
      <c r="P51" s="21" t="n">
        <f aca="false">P50*(1+O51)</f>
        <v>1.11589427780296</v>
      </c>
      <c r="Q51" s="21" t="n">
        <f aca="false">MAX($P$5:P51)</f>
        <v>1.70236321503605</v>
      </c>
      <c r="R51" s="16" t="n">
        <f aca="false">P51/Q51-1</f>
        <v>-0.344502825280246</v>
      </c>
      <c r="S51" s="16" t="n">
        <f aca="false">O51-Benchmark_RF!D51</f>
        <v>-0.0830637812576401</v>
      </c>
    </row>
    <row r="52" customFormat="false" ht="15" hidden="false" customHeight="true" outlineLevel="0" collapsed="false">
      <c r="A52" s="1" t="n">
        <v>55</v>
      </c>
      <c r="B52" s="13" t="n">
        <f aca="false">Returns!A56</f>
        <v>43647</v>
      </c>
      <c r="C52" s="17" t="n">
        <f aca="false">IF(Rankings!C53&lt;=2,1,0)</f>
        <v>1</v>
      </c>
      <c r="D52" s="17" t="n">
        <f aca="false">IF(Rankings!D53&lt;=2,1,0)</f>
        <v>0</v>
      </c>
      <c r="E52" s="17" t="n">
        <f aca="false">IF(Rankings!E53&lt;=2,1,0)</f>
        <v>0</v>
      </c>
      <c r="F52" s="17" t="n">
        <f aca="false">IF(Rankings!F53&lt;=2,1,0)</f>
        <v>0</v>
      </c>
      <c r="G52" s="17" t="n">
        <f aca="false">IF(Rankings!G53&lt;=2,1,0)</f>
        <v>1</v>
      </c>
      <c r="H52" s="17" t="n">
        <f aca="false">IF(Rankings!H53&lt;=2,1,0)</f>
        <v>0</v>
      </c>
      <c r="I52" s="17" t="n">
        <f aca="false">IF(Rankings!I53&lt;=2,1,0)</f>
        <v>0</v>
      </c>
      <c r="J52" s="17" t="n">
        <f aca="false">IF(Rankings!J53&lt;=2,1,0)</f>
        <v>0</v>
      </c>
      <c r="K52" s="20" t="n">
        <f aca="false">SUM(C52:J52)</f>
        <v>2</v>
      </c>
      <c r="L52" s="16" t="n">
        <f aca="false">SUMPRODUCT(C52:J52,Returns!B56:I56)/K52</f>
        <v>-0.0160374293817323</v>
      </c>
      <c r="M52" s="16" t="n">
        <v>0</v>
      </c>
      <c r="N52" s="16" t="n">
        <v>0</v>
      </c>
      <c r="O52" s="16" t="n">
        <f aca="false">L52+M52+N52</f>
        <v>-0.0160374293817323</v>
      </c>
      <c r="P52" s="21" t="n">
        <f aca="false">P51*(1+O52)</f>
        <v>1.09799820212522</v>
      </c>
      <c r="Q52" s="21" t="n">
        <f aca="false">MAX($P$5:P52)</f>
        <v>1.70236321503605</v>
      </c>
      <c r="R52" s="16" t="n">
        <f aca="false">P52/Q52-1</f>
        <v>-0.35501531492974</v>
      </c>
      <c r="S52" s="16" t="n">
        <f aca="false">O52-Benchmark_RF!D52</f>
        <v>-0.0268281562227469</v>
      </c>
    </row>
    <row r="53" customFormat="false" ht="15" hidden="false" customHeight="true" outlineLevel="0" collapsed="false">
      <c r="A53" s="1" t="n">
        <v>56</v>
      </c>
      <c r="B53" s="13" t="n">
        <f aca="false">Returns!A57</f>
        <v>43678</v>
      </c>
      <c r="C53" s="17" t="n">
        <f aca="false">IF(Rankings!C59&lt;=2,1,0)</f>
        <v>1</v>
      </c>
      <c r="D53" s="17" t="n">
        <f aca="false">IF(Rankings!D59&lt;=2,1,0)</f>
        <v>0</v>
      </c>
      <c r="E53" s="17" t="n">
        <f aca="false">IF(Rankings!E59&lt;=2,1,0)</f>
        <v>0</v>
      </c>
      <c r="F53" s="17" t="n">
        <f aca="false">IF(Rankings!F59&lt;=2,1,0)</f>
        <v>0</v>
      </c>
      <c r="G53" s="17" t="n">
        <f aca="false">IF(Rankings!G59&lt;=2,1,0)</f>
        <v>1</v>
      </c>
      <c r="H53" s="17" t="n">
        <f aca="false">IF(Rankings!H59&lt;=2,1,0)</f>
        <v>0</v>
      </c>
      <c r="I53" s="17" t="n">
        <f aca="false">IF(Rankings!I59&lt;=2,1,0)</f>
        <v>0</v>
      </c>
      <c r="J53" s="17" t="n">
        <f aca="false">IF(Rankings!J59&lt;=2,1,0)</f>
        <v>0</v>
      </c>
      <c r="K53" s="20" t="n">
        <f aca="false">SUM(C53:J53)</f>
        <v>2</v>
      </c>
      <c r="L53" s="16" t="n">
        <f aca="false">SUMPRODUCT(C53:J53,Returns!B57:I57)/K53</f>
        <v>-0.125753514126764</v>
      </c>
      <c r="M53" s="16" t="n">
        <f aca="false">-2*Assumptions!$B$13</f>
        <v>-0.007</v>
      </c>
      <c r="N53" s="16" t="n">
        <f aca="false">-Assumptions!$B$16*MAX(0,(1+O47)*(1+O48)*(1+O49)*(1+O50)*(1+O51)*(1+O52)-1)</f>
        <v>-0</v>
      </c>
      <c r="O53" s="16" t="n">
        <f aca="false">L53+M53+N53</f>
        <v>-0.132753514126764</v>
      </c>
      <c r="P53" s="21" t="n">
        <f aca="false">P52*(1+O53)</f>
        <v>0.952235082288229</v>
      </c>
      <c r="Q53" s="21" t="n">
        <f aca="false">MAX($P$5:P53)</f>
        <v>1.70236321503605</v>
      </c>
      <c r="R53" s="16" t="n">
        <f aca="false">P53/Q53-1</f>
        <v>-0.44063929843076</v>
      </c>
      <c r="S53" s="16" t="n">
        <f aca="false">O53-Benchmark_RF!D53</f>
        <v>-0.143546684697552</v>
      </c>
    </row>
    <row r="54" customFormat="false" ht="15" hidden="false" customHeight="true" outlineLevel="0" collapsed="false">
      <c r="A54" s="1" t="n">
        <v>57</v>
      </c>
      <c r="B54" s="13" t="n">
        <f aca="false">Returns!A58</f>
        <v>43709</v>
      </c>
      <c r="C54" s="17" t="n">
        <f aca="false">IF(Rankings!C59&lt;=2,1,0)</f>
        <v>1</v>
      </c>
      <c r="D54" s="17" t="n">
        <f aca="false">IF(Rankings!D59&lt;=2,1,0)</f>
        <v>0</v>
      </c>
      <c r="E54" s="17" t="n">
        <f aca="false">IF(Rankings!E59&lt;=2,1,0)</f>
        <v>0</v>
      </c>
      <c r="F54" s="17" t="n">
        <f aca="false">IF(Rankings!F59&lt;=2,1,0)</f>
        <v>0</v>
      </c>
      <c r="G54" s="17" t="n">
        <f aca="false">IF(Rankings!G59&lt;=2,1,0)</f>
        <v>1</v>
      </c>
      <c r="H54" s="17" t="n">
        <f aca="false">IF(Rankings!H59&lt;=2,1,0)</f>
        <v>0</v>
      </c>
      <c r="I54" s="17" t="n">
        <f aca="false">IF(Rankings!I59&lt;=2,1,0)</f>
        <v>0</v>
      </c>
      <c r="J54" s="17" t="n">
        <f aca="false">IF(Rankings!J59&lt;=2,1,0)</f>
        <v>0</v>
      </c>
      <c r="K54" s="20" t="n">
        <f aca="false">SUM(C54:J54)</f>
        <v>2</v>
      </c>
      <c r="L54" s="16" t="n">
        <f aca="false">SUMPRODUCT(C54:J54,Returns!B58:I58)/K54</f>
        <v>0.081285585128882</v>
      </c>
      <c r="M54" s="16" t="n">
        <v>0</v>
      </c>
      <c r="N54" s="16" t="n">
        <v>0</v>
      </c>
      <c r="O54" s="16" t="n">
        <f aca="false">L54+M54+N54</f>
        <v>0.081285585128882</v>
      </c>
      <c r="P54" s="21" t="n">
        <f aca="false">P53*(1+O54)</f>
        <v>1.02963806813228</v>
      </c>
      <c r="Q54" s="21" t="n">
        <f aca="false">MAX($P$5:P54)</f>
        <v>1.70236321503605</v>
      </c>
      <c r="R54" s="16" t="n">
        <f aca="false">P54/Q54-1</f>
        <v>-0.395171336505603</v>
      </c>
      <c r="S54" s="16" t="n">
        <f aca="false">O54-Benchmark_RF!D54</f>
        <v>0.0705154474401215</v>
      </c>
    </row>
    <row r="55" customFormat="false" ht="15" hidden="false" customHeight="true" outlineLevel="0" collapsed="false">
      <c r="A55" s="1" t="n">
        <v>58</v>
      </c>
      <c r="B55" s="13" t="n">
        <f aca="false">Returns!A59</f>
        <v>43739</v>
      </c>
      <c r="C55" s="17" t="n">
        <f aca="false">IF(Rankings!C59&lt;=2,1,0)</f>
        <v>1</v>
      </c>
      <c r="D55" s="17" t="n">
        <f aca="false">IF(Rankings!D59&lt;=2,1,0)</f>
        <v>0</v>
      </c>
      <c r="E55" s="17" t="n">
        <f aca="false">IF(Rankings!E59&lt;=2,1,0)</f>
        <v>0</v>
      </c>
      <c r="F55" s="17" t="n">
        <f aca="false">IF(Rankings!F59&lt;=2,1,0)</f>
        <v>0</v>
      </c>
      <c r="G55" s="17" t="n">
        <f aca="false">IF(Rankings!G59&lt;=2,1,0)</f>
        <v>1</v>
      </c>
      <c r="H55" s="17" t="n">
        <f aca="false">IF(Rankings!H59&lt;=2,1,0)</f>
        <v>0</v>
      </c>
      <c r="I55" s="17" t="n">
        <f aca="false">IF(Rankings!I59&lt;=2,1,0)</f>
        <v>0</v>
      </c>
      <c r="J55" s="17" t="n">
        <f aca="false">IF(Rankings!J59&lt;=2,1,0)</f>
        <v>0</v>
      </c>
      <c r="K55" s="20" t="n">
        <f aca="false">SUM(C55:J55)</f>
        <v>2</v>
      </c>
      <c r="L55" s="16" t="n">
        <f aca="false">SUMPRODUCT(C55:J55,Returns!B59:I59)/K55</f>
        <v>0.0302491196639181</v>
      </c>
      <c r="M55" s="16" t="n">
        <v>0</v>
      </c>
      <c r="N55" s="16" t="n">
        <v>0</v>
      </c>
      <c r="O55" s="16" t="n">
        <f aca="false">L55+M55+N55</f>
        <v>0.0302491196639181</v>
      </c>
      <c r="P55" s="21" t="n">
        <f aca="false">P54*(1+O55)</f>
        <v>1.06078371326574</v>
      </c>
      <c r="Q55" s="21" t="n">
        <f aca="false">MAX($P$5:P55)</f>
        <v>1.70236321503605</v>
      </c>
      <c r="R55" s="16" t="n">
        <f aca="false">P55/Q55-1</f>
        <v>-0.376875801887393</v>
      </c>
      <c r="S55" s="16" t="n">
        <f aca="false">O55-Benchmark_RF!D55</f>
        <v>0.019825913395138</v>
      </c>
    </row>
    <row r="56" customFormat="false" ht="15" hidden="false" customHeight="true" outlineLevel="0" collapsed="false">
      <c r="A56" s="1" t="n">
        <v>59</v>
      </c>
      <c r="B56" s="13" t="n">
        <f aca="false">Returns!A60</f>
        <v>43770</v>
      </c>
      <c r="C56" s="17" t="n">
        <f aca="false">IF(Rankings!C59&lt;=2,1,0)</f>
        <v>1</v>
      </c>
      <c r="D56" s="17" t="n">
        <f aca="false">IF(Rankings!D59&lt;=2,1,0)</f>
        <v>0</v>
      </c>
      <c r="E56" s="17" t="n">
        <f aca="false">IF(Rankings!E59&lt;=2,1,0)</f>
        <v>0</v>
      </c>
      <c r="F56" s="17" t="n">
        <f aca="false">IF(Rankings!F59&lt;=2,1,0)</f>
        <v>0</v>
      </c>
      <c r="G56" s="17" t="n">
        <f aca="false">IF(Rankings!G59&lt;=2,1,0)</f>
        <v>1</v>
      </c>
      <c r="H56" s="17" t="n">
        <f aca="false">IF(Rankings!H59&lt;=2,1,0)</f>
        <v>0</v>
      </c>
      <c r="I56" s="17" t="n">
        <f aca="false">IF(Rankings!I59&lt;=2,1,0)</f>
        <v>0</v>
      </c>
      <c r="J56" s="17" t="n">
        <f aca="false">IF(Rankings!J59&lt;=2,1,0)</f>
        <v>0</v>
      </c>
      <c r="K56" s="20" t="n">
        <f aca="false">SUM(C56:J56)</f>
        <v>2</v>
      </c>
      <c r="L56" s="16" t="n">
        <f aca="false">SUMPRODUCT(C56:J56,Returns!B60:I60)/K56</f>
        <v>0.112860804578541</v>
      </c>
      <c r="M56" s="16" t="n">
        <v>0</v>
      </c>
      <c r="N56" s="16" t="n">
        <v>0</v>
      </c>
      <c r="O56" s="16" t="n">
        <f aca="false">L56+M56+N56</f>
        <v>0.112860804578541</v>
      </c>
      <c r="P56" s="21" t="n">
        <f aca="false">P55*(1+O56)</f>
        <v>1.18050461662872</v>
      </c>
      <c r="Q56" s="21" t="n">
        <f aca="false">MAX($P$5:P56)</f>
        <v>1.70236321503605</v>
      </c>
      <c r="R56" s="16" t="n">
        <f aca="false">P56/Q56-1</f>
        <v>-0.306549503536046</v>
      </c>
      <c r="S56" s="16" t="n">
        <f aca="false">O56-Benchmark_RF!D56</f>
        <v>0.102281298469584</v>
      </c>
    </row>
    <row r="57" customFormat="false" ht="15" hidden="false" customHeight="true" outlineLevel="0" collapsed="false">
      <c r="A57" s="1" t="n">
        <v>60</v>
      </c>
      <c r="B57" s="13" t="n">
        <f aca="false">Returns!A61</f>
        <v>43800</v>
      </c>
      <c r="C57" s="17" t="n">
        <f aca="false">IF(Rankings!C59&lt;=2,1,0)</f>
        <v>1</v>
      </c>
      <c r="D57" s="17" t="n">
        <f aca="false">IF(Rankings!D59&lt;=2,1,0)</f>
        <v>0</v>
      </c>
      <c r="E57" s="17" t="n">
        <f aca="false">IF(Rankings!E59&lt;=2,1,0)</f>
        <v>0</v>
      </c>
      <c r="F57" s="17" t="n">
        <f aca="false">IF(Rankings!F59&lt;=2,1,0)</f>
        <v>0</v>
      </c>
      <c r="G57" s="17" t="n">
        <f aca="false">IF(Rankings!G59&lt;=2,1,0)</f>
        <v>1</v>
      </c>
      <c r="H57" s="17" t="n">
        <f aca="false">IF(Rankings!H59&lt;=2,1,0)</f>
        <v>0</v>
      </c>
      <c r="I57" s="17" t="n">
        <f aca="false">IF(Rankings!I59&lt;=2,1,0)</f>
        <v>0</v>
      </c>
      <c r="J57" s="17" t="n">
        <f aca="false">IF(Rankings!J59&lt;=2,1,0)</f>
        <v>0</v>
      </c>
      <c r="K57" s="20" t="n">
        <f aca="false">SUM(C57:J57)</f>
        <v>2</v>
      </c>
      <c r="L57" s="16" t="n">
        <f aca="false">SUMPRODUCT(C57:J57,Returns!B61:I61)/K57</f>
        <v>0.0467606829530327</v>
      </c>
      <c r="M57" s="16" t="n">
        <v>0</v>
      </c>
      <c r="N57" s="16" t="n">
        <v>0</v>
      </c>
      <c r="O57" s="16" t="n">
        <f aca="false">L57+M57+N57</f>
        <v>0.0467606829530327</v>
      </c>
      <c r="P57" s="21" t="n">
        <f aca="false">P56*(1+O57)</f>
        <v>1.23570581873148</v>
      </c>
      <c r="Q57" s="21" t="n">
        <f aca="false">MAX($P$5:P57)</f>
        <v>1.70236321503605</v>
      </c>
      <c r="R57" s="16" t="n">
        <f aca="false">P57/Q57-1</f>
        <v>-0.274123284727272</v>
      </c>
      <c r="S57" s="16" t="n">
        <f aca="false">O57-Benchmark_RF!D57</f>
        <v>0.0361920141634016</v>
      </c>
    </row>
    <row r="58" customFormat="false" ht="15" hidden="false" customHeight="true" outlineLevel="0" collapsed="false">
      <c r="A58" s="1" t="n">
        <v>61</v>
      </c>
      <c r="B58" s="13" t="n">
        <f aca="false">Returns!A62</f>
        <v>43831</v>
      </c>
      <c r="C58" s="17" t="n">
        <f aca="false">IF(Rankings!C59&lt;=2,1,0)</f>
        <v>1</v>
      </c>
      <c r="D58" s="17" t="n">
        <f aca="false">IF(Rankings!D59&lt;=2,1,0)</f>
        <v>0</v>
      </c>
      <c r="E58" s="17" t="n">
        <f aca="false">IF(Rankings!E59&lt;=2,1,0)</f>
        <v>0</v>
      </c>
      <c r="F58" s="17" t="n">
        <f aca="false">IF(Rankings!F59&lt;=2,1,0)</f>
        <v>0</v>
      </c>
      <c r="G58" s="17" t="n">
        <f aca="false">IF(Rankings!G59&lt;=2,1,0)</f>
        <v>1</v>
      </c>
      <c r="H58" s="17" t="n">
        <f aca="false">IF(Rankings!H59&lt;=2,1,0)</f>
        <v>0</v>
      </c>
      <c r="I58" s="17" t="n">
        <f aca="false">IF(Rankings!I59&lt;=2,1,0)</f>
        <v>0</v>
      </c>
      <c r="J58" s="17" t="n">
        <f aca="false">IF(Rankings!J59&lt;=2,1,0)</f>
        <v>0</v>
      </c>
      <c r="K58" s="20" t="n">
        <f aca="false">SUM(C58:J58)</f>
        <v>2</v>
      </c>
      <c r="L58" s="16" t="n">
        <f aca="false">SUMPRODUCT(C58:J58,Returns!B62:I62)/K58</f>
        <v>0.0435064162882569</v>
      </c>
      <c r="M58" s="16" t="n">
        <v>0</v>
      </c>
      <c r="N58" s="16" t="n">
        <v>0</v>
      </c>
      <c r="O58" s="16" t="n">
        <f aca="false">L58+M58+N58</f>
        <v>0.0435064162882569</v>
      </c>
      <c r="P58" s="21" t="n">
        <f aca="false">P57*(1+O58)</f>
        <v>1.28946695049104</v>
      </c>
      <c r="Q58" s="21" t="n">
        <f aca="false">MAX($P$5:P58)</f>
        <v>1.70236321503605</v>
      </c>
      <c r="R58" s="16" t="n">
        <f aca="false">P58/Q58-1</f>
        <v>-0.242542990178664</v>
      </c>
      <c r="S58" s="16" t="n">
        <f aca="false">O58-Benchmark_RF!D58</f>
        <v>0.0329805896926996</v>
      </c>
    </row>
    <row r="59" customFormat="false" ht="15" hidden="false" customHeight="true" outlineLevel="0" collapsed="false">
      <c r="A59" s="1" t="n">
        <v>62</v>
      </c>
      <c r="B59" s="13" t="n">
        <f aca="false">Returns!A63</f>
        <v>43862</v>
      </c>
      <c r="C59" s="17" t="n">
        <f aca="false">IF(Rankings!C65&lt;=2,1,0)</f>
        <v>0</v>
      </c>
      <c r="D59" s="17" t="n">
        <f aca="false">IF(Rankings!D65&lt;=2,1,0)</f>
        <v>0</v>
      </c>
      <c r="E59" s="17" t="n">
        <f aca="false">IF(Rankings!E65&lt;=2,1,0)</f>
        <v>0</v>
      </c>
      <c r="F59" s="17" t="n">
        <f aca="false">IF(Rankings!F65&lt;=2,1,0)</f>
        <v>0</v>
      </c>
      <c r="G59" s="17" t="n">
        <f aca="false">IF(Rankings!G65&lt;=2,1,0)</f>
        <v>0</v>
      </c>
      <c r="H59" s="17" t="n">
        <f aca="false">IF(Rankings!H65&lt;=2,1,0)</f>
        <v>0</v>
      </c>
      <c r="I59" s="17" t="n">
        <f aca="false">IF(Rankings!I65&lt;=2,1,0)</f>
        <v>1</v>
      </c>
      <c r="J59" s="17" t="n">
        <f aca="false">IF(Rankings!J65&lt;=2,1,0)</f>
        <v>1</v>
      </c>
      <c r="K59" s="20" t="n">
        <f aca="false">SUM(C59:J59)</f>
        <v>2</v>
      </c>
      <c r="L59" s="16" t="n">
        <f aca="false">SUMPRODUCT(C59:J59,Returns!B63:I63)/K59</f>
        <v>-0.0103818287098987</v>
      </c>
      <c r="M59" s="16" t="n">
        <f aca="false">-2*Assumptions!$B$13</f>
        <v>-0.007</v>
      </c>
      <c r="N59" s="16" t="n">
        <f aca="false">-Assumptions!$B$16*MAX(0,(1+O53)*(1+O54)*(1+O55)*(1+O56)*(1+O57)*(1+O58)-1)</f>
        <v>-0.0261569756665206</v>
      </c>
      <c r="O59" s="16" t="n">
        <f aca="false">L59+M59+N59</f>
        <v>-0.0435388043764192</v>
      </c>
      <c r="P59" s="21" t="n">
        <f aca="false">P58*(1+O59)</f>
        <v>1.23332510118375</v>
      </c>
      <c r="Q59" s="21" t="n">
        <f aca="false">MAX($P$5:P59)</f>
        <v>1.70236321503605</v>
      </c>
      <c r="R59" s="16" t="n">
        <f aca="false">P59/Q59-1</f>
        <v>-0.275521762752823</v>
      </c>
      <c r="S59" s="16" t="n">
        <f aca="false">O59-Benchmark_RF!D59</f>
        <v>-0.0540591350333787</v>
      </c>
    </row>
    <row r="60" customFormat="false" ht="15" hidden="false" customHeight="true" outlineLevel="0" collapsed="false">
      <c r="A60" s="1" t="n">
        <v>63</v>
      </c>
      <c r="B60" s="13" t="n">
        <f aca="false">Returns!A64</f>
        <v>43891</v>
      </c>
      <c r="C60" s="17" t="n">
        <f aca="false">IF(Rankings!C65&lt;=2,1,0)</f>
        <v>0</v>
      </c>
      <c r="D60" s="17" t="n">
        <f aca="false">IF(Rankings!D65&lt;=2,1,0)</f>
        <v>0</v>
      </c>
      <c r="E60" s="17" t="n">
        <f aca="false">IF(Rankings!E65&lt;=2,1,0)</f>
        <v>0</v>
      </c>
      <c r="F60" s="17" t="n">
        <f aca="false">IF(Rankings!F65&lt;=2,1,0)</f>
        <v>0</v>
      </c>
      <c r="G60" s="17" t="n">
        <f aca="false">IF(Rankings!G65&lt;=2,1,0)</f>
        <v>0</v>
      </c>
      <c r="H60" s="17" t="n">
        <f aca="false">IF(Rankings!H65&lt;=2,1,0)</f>
        <v>0</v>
      </c>
      <c r="I60" s="17" t="n">
        <f aca="false">IF(Rankings!I65&lt;=2,1,0)</f>
        <v>1</v>
      </c>
      <c r="J60" s="17" t="n">
        <f aca="false">IF(Rankings!J65&lt;=2,1,0)</f>
        <v>1</v>
      </c>
      <c r="K60" s="20" t="n">
        <f aca="false">SUM(C60:J60)</f>
        <v>2</v>
      </c>
      <c r="L60" s="16" t="n">
        <f aca="false">SUMPRODUCT(C60:J60,Returns!B64:I64)/K60</f>
        <v>-0.348758908634964</v>
      </c>
      <c r="M60" s="16" t="n">
        <v>0</v>
      </c>
      <c r="N60" s="16" t="n">
        <v>0</v>
      </c>
      <c r="O60" s="16" t="n">
        <f aca="false">L60+M60+N60</f>
        <v>-0.348758908634964</v>
      </c>
      <c r="P60" s="21" t="n">
        <f aca="false">P59*(1+O60)</f>
        <v>0.8031919849028</v>
      </c>
      <c r="Q60" s="21" t="n">
        <f aca="false">MAX($P$5:P60)</f>
        <v>1.70236321503605</v>
      </c>
      <c r="R60" s="16" t="n">
        <f aca="false">P60/Q60-1</f>
        <v>-0.528190002104931</v>
      </c>
      <c r="S60" s="16" t="n">
        <f aca="false">O60-Benchmark_RF!D60</f>
        <v>-0.357657993665757</v>
      </c>
    </row>
    <row r="61" customFormat="false" ht="15" hidden="false" customHeight="true" outlineLevel="0" collapsed="false">
      <c r="A61" s="1" t="n">
        <v>64</v>
      </c>
      <c r="B61" s="13" t="n">
        <f aca="false">Returns!A65</f>
        <v>43922</v>
      </c>
      <c r="C61" s="17" t="n">
        <f aca="false">IF(Rankings!C65&lt;=2,1,0)</f>
        <v>0</v>
      </c>
      <c r="D61" s="17" t="n">
        <f aca="false">IF(Rankings!D65&lt;=2,1,0)</f>
        <v>0</v>
      </c>
      <c r="E61" s="17" t="n">
        <f aca="false">IF(Rankings!E65&lt;=2,1,0)</f>
        <v>0</v>
      </c>
      <c r="F61" s="17" t="n">
        <f aca="false">IF(Rankings!F65&lt;=2,1,0)</f>
        <v>0</v>
      </c>
      <c r="G61" s="17" t="n">
        <f aca="false">IF(Rankings!G65&lt;=2,1,0)</f>
        <v>0</v>
      </c>
      <c r="H61" s="17" t="n">
        <f aca="false">IF(Rankings!H65&lt;=2,1,0)</f>
        <v>0</v>
      </c>
      <c r="I61" s="17" t="n">
        <f aca="false">IF(Rankings!I65&lt;=2,1,0)</f>
        <v>1</v>
      </c>
      <c r="J61" s="17" t="n">
        <f aca="false">IF(Rankings!J65&lt;=2,1,0)</f>
        <v>1</v>
      </c>
      <c r="K61" s="20" t="n">
        <f aca="false">SUM(C61:J61)</f>
        <v>2</v>
      </c>
      <c r="L61" s="16" t="n">
        <f aca="false">SUMPRODUCT(C61:J61,Returns!B65:I65)/K61</f>
        <v>0.0744387855043401</v>
      </c>
      <c r="M61" s="16" t="n">
        <v>0</v>
      </c>
      <c r="N61" s="16" t="n">
        <v>0</v>
      </c>
      <c r="O61" s="16" t="n">
        <f aca="false">L61+M61+N61</f>
        <v>0.0744387855043401</v>
      </c>
      <c r="P61" s="21" t="n">
        <f aca="false">P60*(1+O61)</f>
        <v>0.862980620785785</v>
      </c>
      <c r="Q61" s="21" t="n">
        <f aca="false">MAX($P$5:P61)</f>
        <v>1.70236321503605</v>
      </c>
      <c r="R61" s="16" t="n">
        <f aca="false">P61/Q61-1</f>
        <v>-0.493069038872817</v>
      </c>
      <c r="S61" s="16" t="n">
        <f aca="false">O61-Benchmark_RF!D61</f>
        <v>0.0678387202639801</v>
      </c>
    </row>
    <row r="62" customFormat="false" ht="15" hidden="false" customHeight="true" outlineLevel="0" collapsed="false">
      <c r="A62" s="1" t="n">
        <v>65</v>
      </c>
      <c r="B62" s="13" t="n">
        <f aca="false">Returns!A66</f>
        <v>43952</v>
      </c>
      <c r="C62" s="17" t="n">
        <f aca="false">IF(Rankings!C65&lt;=2,1,0)</f>
        <v>0</v>
      </c>
      <c r="D62" s="17" t="n">
        <f aca="false">IF(Rankings!D65&lt;=2,1,0)</f>
        <v>0</v>
      </c>
      <c r="E62" s="17" t="n">
        <f aca="false">IF(Rankings!E65&lt;=2,1,0)</f>
        <v>0</v>
      </c>
      <c r="F62" s="17" t="n">
        <f aca="false">IF(Rankings!F65&lt;=2,1,0)</f>
        <v>0</v>
      </c>
      <c r="G62" s="17" t="n">
        <f aca="false">IF(Rankings!G65&lt;=2,1,0)</f>
        <v>0</v>
      </c>
      <c r="H62" s="17" t="n">
        <f aca="false">IF(Rankings!H65&lt;=2,1,0)</f>
        <v>0</v>
      </c>
      <c r="I62" s="17" t="n">
        <f aca="false">IF(Rankings!I65&lt;=2,1,0)</f>
        <v>1</v>
      </c>
      <c r="J62" s="17" t="n">
        <f aca="false">IF(Rankings!J65&lt;=2,1,0)</f>
        <v>1</v>
      </c>
      <c r="K62" s="20" t="n">
        <f aca="false">SUM(C62:J62)</f>
        <v>2</v>
      </c>
      <c r="L62" s="16" t="n">
        <f aca="false">SUMPRODUCT(C62:J62,Returns!B66:I66)/K62</f>
        <v>0.205837692140621</v>
      </c>
      <c r="M62" s="16" t="n">
        <v>0</v>
      </c>
      <c r="N62" s="16" t="n">
        <v>0</v>
      </c>
      <c r="O62" s="16" t="n">
        <f aca="false">L62+M62+N62</f>
        <v>0.205837692140621</v>
      </c>
      <c r="P62" s="21" t="n">
        <f aca="false">P61*(1+O62)</f>
        <v>1.04061456013041</v>
      </c>
      <c r="Q62" s="21" t="n">
        <f aca="false">MAX($P$5:P62)</f>
        <v>1.70236321503605</v>
      </c>
      <c r="R62" s="16" t="n">
        <f aca="false">P62/Q62-1</f>
        <v>-0.38872353975977</v>
      </c>
      <c r="S62" s="16" t="n">
        <f aca="false">O62-Benchmark_RF!D62</f>
        <v>0.199309978073918</v>
      </c>
    </row>
    <row r="63" customFormat="false" ht="15" hidden="false" customHeight="true" outlineLevel="0" collapsed="false">
      <c r="A63" s="1" t="n">
        <v>66</v>
      </c>
      <c r="B63" s="13" t="n">
        <f aca="false">Returns!A67</f>
        <v>43983</v>
      </c>
      <c r="C63" s="17" t="n">
        <f aca="false">IF(Rankings!C65&lt;=2,1,0)</f>
        <v>0</v>
      </c>
      <c r="D63" s="17" t="n">
        <f aca="false">IF(Rankings!D65&lt;=2,1,0)</f>
        <v>0</v>
      </c>
      <c r="E63" s="17" t="n">
        <f aca="false">IF(Rankings!E65&lt;=2,1,0)</f>
        <v>0</v>
      </c>
      <c r="F63" s="17" t="n">
        <f aca="false">IF(Rankings!F65&lt;=2,1,0)</f>
        <v>0</v>
      </c>
      <c r="G63" s="17" t="n">
        <f aca="false">IF(Rankings!G65&lt;=2,1,0)</f>
        <v>0</v>
      </c>
      <c r="H63" s="17" t="n">
        <f aca="false">IF(Rankings!H65&lt;=2,1,0)</f>
        <v>0</v>
      </c>
      <c r="I63" s="17" t="n">
        <f aca="false">IF(Rankings!I65&lt;=2,1,0)</f>
        <v>1</v>
      </c>
      <c r="J63" s="17" t="n">
        <f aca="false">IF(Rankings!J65&lt;=2,1,0)</f>
        <v>1</v>
      </c>
      <c r="K63" s="20" t="n">
        <f aca="false">SUM(C63:J63)</f>
        <v>2</v>
      </c>
      <c r="L63" s="16" t="n">
        <f aca="false">SUMPRODUCT(C63:J63,Returns!B67:I67)/K63</f>
        <v>0.0640541078613571</v>
      </c>
      <c r="M63" s="16" t="n">
        <v>0</v>
      </c>
      <c r="N63" s="16" t="n">
        <v>0</v>
      </c>
      <c r="O63" s="16" t="n">
        <f aca="false">L63+M63+N63</f>
        <v>0.0640541078613571</v>
      </c>
      <c r="P63" s="21" t="n">
        <f aca="false">P62*(1+O63)</f>
        <v>1.1072701974071</v>
      </c>
      <c r="Q63" s="21" t="n">
        <f aca="false">MAX($P$5:P63)</f>
        <v>1.70236321503605</v>
      </c>
      <c r="R63" s="16" t="n">
        <f aca="false">P63/Q63-1</f>
        <v>-0.349568771442434</v>
      </c>
      <c r="S63" s="16" t="n">
        <f aca="false">O63-Benchmark_RF!D63</f>
        <v>0.0585184620660107</v>
      </c>
    </row>
    <row r="64" customFormat="false" ht="15" hidden="false" customHeight="true" outlineLevel="0" collapsed="false">
      <c r="A64" s="1" t="n">
        <v>67</v>
      </c>
      <c r="B64" s="13" t="n">
        <f aca="false">Returns!A68</f>
        <v>44013</v>
      </c>
      <c r="C64" s="17" t="n">
        <f aca="false">IF(Rankings!C65&lt;=2,1,0)</f>
        <v>0</v>
      </c>
      <c r="D64" s="17" t="n">
        <f aca="false">IF(Rankings!D65&lt;=2,1,0)</f>
        <v>0</v>
      </c>
      <c r="E64" s="17" t="n">
        <f aca="false">IF(Rankings!E65&lt;=2,1,0)</f>
        <v>0</v>
      </c>
      <c r="F64" s="17" t="n">
        <f aca="false">IF(Rankings!F65&lt;=2,1,0)</f>
        <v>0</v>
      </c>
      <c r="G64" s="17" t="n">
        <f aca="false">IF(Rankings!G65&lt;=2,1,0)</f>
        <v>0</v>
      </c>
      <c r="H64" s="17" t="n">
        <f aca="false">IF(Rankings!H65&lt;=2,1,0)</f>
        <v>0</v>
      </c>
      <c r="I64" s="17" t="n">
        <f aca="false">IF(Rankings!I65&lt;=2,1,0)</f>
        <v>1</v>
      </c>
      <c r="J64" s="17" t="n">
        <f aca="false">IF(Rankings!J65&lt;=2,1,0)</f>
        <v>1</v>
      </c>
      <c r="K64" s="20" t="n">
        <f aca="false">SUM(C64:J64)</f>
        <v>2</v>
      </c>
      <c r="L64" s="16" t="n">
        <f aca="false">SUMPRODUCT(C64:J64,Returns!B68:I68)/K64</f>
        <v>0.13962736927502</v>
      </c>
      <c r="M64" s="16" t="n">
        <v>0</v>
      </c>
      <c r="N64" s="16" t="n">
        <v>0</v>
      </c>
      <c r="O64" s="16" t="n">
        <f aca="false">L64+M64+N64</f>
        <v>0.13962736927502</v>
      </c>
      <c r="P64" s="21" t="n">
        <f aca="false">P63*(1+O64)</f>
        <v>1.26187542214769</v>
      </c>
      <c r="Q64" s="21" t="n">
        <f aca="false">MAX($P$5:P64)</f>
        <v>1.70236321503605</v>
      </c>
      <c r="R64" s="16" t="n">
        <f aca="false">P64/Q64-1</f>
        <v>-0.258750770104622</v>
      </c>
      <c r="S64" s="16" t="n">
        <f aca="false">O64-Benchmark_RF!D64</f>
        <v>0.134072433318377</v>
      </c>
    </row>
    <row r="65" customFormat="false" ht="15" hidden="false" customHeight="true" outlineLevel="0" collapsed="false">
      <c r="A65" s="1" t="n">
        <v>68</v>
      </c>
      <c r="B65" s="13" t="n">
        <f aca="false">Returns!A69</f>
        <v>44044</v>
      </c>
      <c r="C65" s="17" t="n">
        <f aca="false">IF(Rankings!C71&lt;=2,1,0)</f>
        <v>0</v>
      </c>
      <c r="D65" s="17" t="n">
        <f aca="false">IF(Rankings!D71&lt;=2,1,0)</f>
        <v>0</v>
      </c>
      <c r="E65" s="17" t="n">
        <f aca="false">IF(Rankings!E71&lt;=2,1,0)</f>
        <v>0</v>
      </c>
      <c r="F65" s="17" t="n">
        <f aca="false">IF(Rankings!F71&lt;=2,1,0)</f>
        <v>1</v>
      </c>
      <c r="G65" s="17" t="n">
        <f aca="false">IF(Rankings!G71&lt;=2,1,0)</f>
        <v>1</v>
      </c>
      <c r="H65" s="17" t="n">
        <f aca="false">IF(Rankings!H71&lt;=2,1,0)</f>
        <v>0</v>
      </c>
      <c r="I65" s="17" t="n">
        <f aca="false">IF(Rankings!I71&lt;=2,1,0)</f>
        <v>0</v>
      </c>
      <c r="J65" s="17" t="n">
        <f aca="false">IF(Rankings!J71&lt;=2,1,0)</f>
        <v>0</v>
      </c>
      <c r="K65" s="20" t="n">
        <f aca="false">SUM(C65:J65)</f>
        <v>2</v>
      </c>
      <c r="L65" s="16" t="n">
        <f aca="false">SUMPRODUCT(C65:J65,Returns!B69:I69)/K65</f>
        <v>0.00914431749514982</v>
      </c>
      <c r="M65" s="16" t="n">
        <f aca="false">-2*Assumptions!$B$13</f>
        <v>-0.007</v>
      </c>
      <c r="N65" s="16" t="n">
        <f aca="false">-Assumptions!$B$16*MAX(0,(1+O59)*(1+O60)*(1+O61)*(1+O62)*(1+O63)*(1+O64)-1)</f>
        <v>-0</v>
      </c>
      <c r="O65" s="16" t="n">
        <f aca="false">L65+M65+N65</f>
        <v>0.00214431749514982</v>
      </c>
      <c r="P65" s="21" t="n">
        <f aca="false">P64*(1+O65)</f>
        <v>1.2645812836921</v>
      </c>
      <c r="Q65" s="21" t="n">
        <f aca="false">MAX($P$5:P65)</f>
        <v>1.70236321503605</v>
      </c>
      <c r="R65" s="16" t="n">
        <f aca="false">P65/Q65-1</f>
        <v>-0.257161296412691</v>
      </c>
      <c r="S65" s="16" t="n">
        <f aca="false">O65-Benchmark_RF!D65</f>
        <v>-0.00358154268617011</v>
      </c>
    </row>
    <row r="66" customFormat="false" ht="15" hidden="false" customHeight="true" outlineLevel="0" collapsed="false">
      <c r="A66" s="1" t="n">
        <v>69</v>
      </c>
      <c r="B66" s="13" t="n">
        <f aca="false">Returns!A70</f>
        <v>44075</v>
      </c>
      <c r="C66" s="17" t="n">
        <f aca="false">IF(Rankings!C71&lt;=2,1,0)</f>
        <v>0</v>
      </c>
      <c r="D66" s="17" t="n">
        <f aca="false">IF(Rankings!D71&lt;=2,1,0)</f>
        <v>0</v>
      </c>
      <c r="E66" s="17" t="n">
        <f aca="false">IF(Rankings!E71&lt;=2,1,0)</f>
        <v>0</v>
      </c>
      <c r="F66" s="17" t="n">
        <f aca="false">IF(Rankings!F71&lt;=2,1,0)</f>
        <v>1</v>
      </c>
      <c r="G66" s="17" t="n">
        <f aca="false">IF(Rankings!G71&lt;=2,1,0)</f>
        <v>1</v>
      </c>
      <c r="H66" s="17" t="n">
        <f aca="false">IF(Rankings!H71&lt;=2,1,0)</f>
        <v>0</v>
      </c>
      <c r="I66" s="17" t="n">
        <f aca="false">IF(Rankings!I71&lt;=2,1,0)</f>
        <v>0</v>
      </c>
      <c r="J66" s="17" t="n">
        <f aca="false">IF(Rankings!J71&lt;=2,1,0)</f>
        <v>0</v>
      </c>
      <c r="K66" s="20" t="n">
        <f aca="false">SUM(C66:J66)</f>
        <v>2</v>
      </c>
      <c r="L66" s="16" t="n">
        <f aca="false">SUMPRODUCT(C66:J66,Returns!B70:I70)/K66</f>
        <v>0.0365182222020717</v>
      </c>
      <c r="M66" s="16" t="n">
        <v>0</v>
      </c>
      <c r="N66" s="16" t="n">
        <v>0</v>
      </c>
      <c r="O66" s="16" t="n">
        <f aca="false">L66+M66+N66</f>
        <v>0.0365182222020717</v>
      </c>
      <c r="P66" s="21" t="n">
        <f aca="false">P65*(1+O66)</f>
        <v>1.31076154400255</v>
      </c>
      <c r="Q66" s="21" t="n">
        <f aca="false">MAX($P$5:P66)</f>
        <v>1.70236321503605</v>
      </c>
      <c r="R66" s="16" t="n">
        <f aca="false">P66/Q66-1</f>
        <v>-0.23003414757479</v>
      </c>
      <c r="S66" s="16" t="n">
        <f aca="false">O66-Benchmark_RF!D66</f>
        <v>0.0307871187134261</v>
      </c>
    </row>
    <row r="67" customFormat="false" ht="15" hidden="false" customHeight="true" outlineLevel="0" collapsed="false">
      <c r="A67" s="1" t="n">
        <v>70</v>
      </c>
      <c r="B67" s="13" t="n">
        <f aca="false">Returns!A71</f>
        <v>44105</v>
      </c>
      <c r="C67" s="17" t="n">
        <f aca="false">IF(Rankings!C71&lt;=2,1,0)</f>
        <v>0</v>
      </c>
      <c r="D67" s="17" t="n">
        <f aca="false">IF(Rankings!D71&lt;=2,1,0)</f>
        <v>0</v>
      </c>
      <c r="E67" s="17" t="n">
        <f aca="false">IF(Rankings!E71&lt;=2,1,0)</f>
        <v>0</v>
      </c>
      <c r="F67" s="17" t="n">
        <f aca="false">IF(Rankings!F71&lt;=2,1,0)</f>
        <v>1</v>
      </c>
      <c r="G67" s="17" t="n">
        <f aca="false">IF(Rankings!G71&lt;=2,1,0)</f>
        <v>1</v>
      </c>
      <c r="H67" s="17" t="n">
        <f aca="false">IF(Rankings!H71&lt;=2,1,0)</f>
        <v>0</v>
      </c>
      <c r="I67" s="17" t="n">
        <f aca="false">IF(Rankings!I71&lt;=2,1,0)</f>
        <v>0</v>
      </c>
      <c r="J67" s="17" t="n">
        <f aca="false">IF(Rankings!J71&lt;=2,1,0)</f>
        <v>0</v>
      </c>
      <c r="K67" s="20" t="n">
        <f aca="false">SUM(C67:J67)</f>
        <v>2</v>
      </c>
      <c r="L67" s="16" t="n">
        <f aca="false">SUMPRODUCT(C67:J67,Returns!B71:I71)/K67</f>
        <v>-0.00513376022805556</v>
      </c>
      <c r="M67" s="16" t="n">
        <v>0</v>
      </c>
      <c r="N67" s="16" t="n">
        <v>0</v>
      </c>
      <c r="O67" s="16" t="n">
        <f aca="false">L67+M67+N67</f>
        <v>-0.00513376022805556</v>
      </c>
      <c r="P67" s="21" t="n">
        <f aca="false">P66*(1+O67)</f>
        <v>1.30403240851948</v>
      </c>
      <c r="Q67" s="21" t="n">
        <f aca="false">MAX($P$5:P67)</f>
        <v>1.70236321503605</v>
      </c>
      <c r="R67" s="16" t="n">
        <f aca="false">P67/Q67-1</f>
        <v>-0.233986967644932</v>
      </c>
      <c r="S67" s="16" t="n">
        <f aca="false">O67-Benchmark_RF!D67</f>
        <v>-0.0109115706611594</v>
      </c>
    </row>
    <row r="68" customFormat="false" ht="15" hidden="false" customHeight="true" outlineLevel="0" collapsed="false">
      <c r="A68" s="1" t="n">
        <v>71</v>
      </c>
      <c r="B68" s="13" t="n">
        <f aca="false">Returns!A72</f>
        <v>44136</v>
      </c>
      <c r="C68" s="17" t="n">
        <f aca="false">IF(Rankings!C71&lt;=2,1,0)</f>
        <v>0</v>
      </c>
      <c r="D68" s="17" t="n">
        <f aca="false">IF(Rankings!D71&lt;=2,1,0)</f>
        <v>0</v>
      </c>
      <c r="E68" s="17" t="n">
        <f aca="false">IF(Rankings!E71&lt;=2,1,0)</f>
        <v>0</v>
      </c>
      <c r="F68" s="17" t="n">
        <f aca="false">IF(Rankings!F71&lt;=2,1,0)</f>
        <v>1</v>
      </c>
      <c r="G68" s="17" t="n">
        <f aca="false">IF(Rankings!G71&lt;=2,1,0)</f>
        <v>1</v>
      </c>
      <c r="H68" s="17" t="n">
        <f aca="false">IF(Rankings!H71&lt;=2,1,0)</f>
        <v>0</v>
      </c>
      <c r="I68" s="17" t="n">
        <f aca="false">IF(Rankings!I71&lt;=2,1,0)</f>
        <v>0</v>
      </c>
      <c r="J68" s="17" t="n">
        <f aca="false">IF(Rankings!J71&lt;=2,1,0)</f>
        <v>0</v>
      </c>
      <c r="K68" s="20" t="n">
        <f aca="false">SUM(C68:J68)</f>
        <v>2</v>
      </c>
      <c r="L68" s="16" t="n">
        <f aca="false">SUMPRODUCT(C68:J68,Returns!B72:I72)/K68</f>
        <v>0.0180153167888564</v>
      </c>
      <c r="M68" s="16" t="n">
        <v>0</v>
      </c>
      <c r="N68" s="16" t="n">
        <v>0</v>
      </c>
      <c r="O68" s="16" t="n">
        <f aca="false">L68+M68+N68</f>
        <v>0.0180153167888564</v>
      </c>
      <c r="P68" s="21" t="n">
        <f aca="false">P67*(1+O68)</f>
        <v>1.3275249654619</v>
      </c>
      <c r="Q68" s="21" t="n">
        <f aca="false">MAX($P$5:P68)</f>
        <v>1.70236321503605</v>
      </c>
      <c r="R68" s="16" t="n">
        <f aca="false">P68/Q68-1</f>
        <v>-0.220187000202663</v>
      </c>
      <c r="S68" s="16" t="n">
        <f aca="false">O68-Benchmark_RF!D68</f>
        <v>0.0122514298831449</v>
      </c>
    </row>
    <row r="69" customFormat="false" ht="15" hidden="false" customHeight="true" outlineLevel="0" collapsed="false">
      <c r="A69" s="1" t="n">
        <v>72</v>
      </c>
      <c r="B69" s="13" t="n">
        <f aca="false">Returns!A73</f>
        <v>44166</v>
      </c>
      <c r="C69" s="17" t="n">
        <f aca="false">IF(Rankings!C71&lt;=2,1,0)</f>
        <v>0</v>
      </c>
      <c r="D69" s="17" t="n">
        <f aca="false">IF(Rankings!D71&lt;=2,1,0)</f>
        <v>0</v>
      </c>
      <c r="E69" s="17" t="n">
        <f aca="false">IF(Rankings!E71&lt;=2,1,0)</f>
        <v>0</v>
      </c>
      <c r="F69" s="17" t="n">
        <f aca="false">IF(Rankings!F71&lt;=2,1,0)</f>
        <v>1</v>
      </c>
      <c r="G69" s="17" t="n">
        <f aca="false">IF(Rankings!G71&lt;=2,1,0)</f>
        <v>1</v>
      </c>
      <c r="H69" s="17" t="n">
        <f aca="false">IF(Rankings!H71&lt;=2,1,0)</f>
        <v>0</v>
      </c>
      <c r="I69" s="17" t="n">
        <f aca="false">IF(Rankings!I71&lt;=2,1,0)</f>
        <v>0</v>
      </c>
      <c r="J69" s="17" t="n">
        <f aca="false">IF(Rankings!J71&lt;=2,1,0)</f>
        <v>0</v>
      </c>
      <c r="K69" s="20" t="n">
        <f aca="false">SUM(C69:J69)</f>
        <v>2</v>
      </c>
      <c r="L69" s="16" t="n">
        <f aca="false">SUMPRODUCT(C69:J69,Returns!B73:I73)/K69</f>
        <v>0.0648823880790932</v>
      </c>
      <c r="M69" s="16" t="n">
        <v>0</v>
      </c>
      <c r="N69" s="16" t="n">
        <v>0</v>
      </c>
      <c r="O69" s="16" t="n">
        <f aca="false">L69+M69+N69</f>
        <v>0.0648823880790932</v>
      </c>
      <c r="P69" s="21" t="n">
        <f aca="false">P68*(1+O69)</f>
        <v>1.41365795545568</v>
      </c>
      <c r="Q69" s="21" t="n">
        <f aca="false">MAX($P$5:P69)</f>
        <v>1.70236321503605</v>
      </c>
      <c r="R69" s="16" t="n">
        <f aca="false">P69/Q69-1</f>
        <v>-0.16959087052069</v>
      </c>
      <c r="S69" s="16" t="n">
        <f aca="false">O69-Benchmark_RF!D69</f>
        <v>0.0591429115738946</v>
      </c>
    </row>
    <row r="70" customFormat="false" ht="15" hidden="false" customHeight="true" outlineLevel="0" collapsed="false">
      <c r="A70" s="1" t="n">
        <v>73</v>
      </c>
      <c r="B70" s="13" t="n">
        <f aca="false">Returns!A74</f>
        <v>44197</v>
      </c>
      <c r="C70" s="17" t="n">
        <f aca="false">IF(Rankings!C71&lt;=2,1,0)</f>
        <v>0</v>
      </c>
      <c r="D70" s="17" t="n">
        <f aca="false">IF(Rankings!D71&lt;=2,1,0)</f>
        <v>0</v>
      </c>
      <c r="E70" s="17" t="n">
        <f aca="false">IF(Rankings!E71&lt;=2,1,0)</f>
        <v>0</v>
      </c>
      <c r="F70" s="17" t="n">
        <f aca="false">IF(Rankings!F71&lt;=2,1,0)</f>
        <v>1</v>
      </c>
      <c r="G70" s="17" t="n">
        <f aca="false">IF(Rankings!G71&lt;=2,1,0)</f>
        <v>1</v>
      </c>
      <c r="H70" s="17" t="n">
        <f aca="false">IF(Rankings!H71&lt;=2,1,0)</f>
        <v>0</v>
      </c>
      <c r="I70" s="17" t="n">
        <f aca="false">IF(Rankings!I71&lt;=2,1,0)</f>
        <v>0</v>
      </c>
      <c r="J70" s="17" t="n">
        <f aca="false">IF(Rankings!J71&lt;=2,1,0)</f>
        <v>0</v>
      </c>
      <c r="K70" s="20" t="n">
        <f aca="false">SUM(C70:J70)</f>
        <v>2</v>
      </c>
      <c r="L70" s="16" t="n">
        <f aca="false">SUMPRODUCT(C70:J70,Returns!B74:I74)/K70</f>
        <v>0.0354512772582809</v>
      </c>
      <c r="M70" s="16" t="n">
        <v>0</v>
      </c>
      <c r="N70" s="16" t="n">
        <v>0</v>
      </c>
      <c r="O70" s="16" t="n">
        <f aca="false">L70+M70+N70</f>
        <v>0.0354512772582809</v>
      </c>
      <c r="P70" s="21" t="n">
        <f aca="false">P69*(1+O70)</f>
        <v>1.46377393558292</v>
      </c>
      <c r="Q70" s="21" t="n">
        <f aca="false">MAX($P$5:P70)</f>
        <v>1.70236321503605</v>
      </c>
      <c r="R70" s="16" t="n">
        <f aca="false">P70/Q70-1</f>
        <v>-0.140151806233711</v>
      </c>
      <c r="S70" s="16" t="n">
        <f aca="false">O70-Benchmark_RF!D70</f>
        <v>0.0296783945727972</v>
      </c>
    </row>
    <row r="71" customFormat="false" ht="15" hidden="false" customHeight="true" outlineLevel="0" collapsed="false">
      <c r="A71" s="1" t="n">
        <v>74</v>
      </c>
      <c r="B71" s="13" t="n">
        <f aca="false">Returns!A75</f>
        <v>44228</v>
      </c>
      <c r="C71" s="17" t="n">
        <f aca="false">IF(Rankings!C77&lt;=2,1,0)</f>
        <v>1</v>
      </c>
      <c r="D71" s="17" t="n">
        <f aca="false">IF(Rankings!D77&lt;=2,1,0)</f>
        <v>0</v>
      </c>
      <c r="E71" s="17" t="n">
        <f aca="false">IF(Rankings!E77&lt;=2,1,0)</f>
        <v>0</v>
      </c>
      <c r="F71" s="17" t="n">
        <f aca="false">IF(Rankings!F77&lt;=2,1,0)</f>
        <v>0</v>
      </c>
      <c r="G71" s="17" t="n">
        <f aca="false">IF(Rankings!G77&lt;=2,1,0)</f>
        <v>0</v>
      </c>
      <c r="H71" s="17" t="n">
        <f aca="false">IF(Rankings!H77&lt;=2,1,0)</f>
        <v>1</v>
      </c>
      <c r="I71" s="17" t="n">
        <f aca="false">IF(Rankings!I77&lt;=2,1,0)</f>
        <v>0</v>
      </c>
      <c r="J71" s="17" t="n">
        <f aca="false">IF(Rankings!J77&lt;=2,1,0)</f>
        <v>0</v>
      </c>
      <c r="K71" s="20" t="n">
        <f aca="false">SUM(C71:J71)</f>
        <v>2</v>
      </c>
      <c r="L71" s="16" t="n">
        <f aca="false">SUMPRODUCT(C71:J71,Returns!B75:I75)/K71</f>
        <v>-0.00660201199694493</v>
      </c>
      <c r="M71" s="16" t="n">
        <f aca="false">-2*Assumptions!$B$13</f>
        <v>-0.007</v>
      </c>
      <c r="N71" s="16" t="n">
        <f aca="false">-Assumptions!$B$16*MAX(0,(1+O65)*(1+O66)*(1+O67)*(1+O68)*(1+O69)*(1+O70)-1)</f>
        <v>-0.0239998152620644</v>
      </c>
      <c r="O71" s="16" t="n">
        <f aca="false">L71+M71+N71</f>
        <v>-0.0376018272590093</v>
      </c>
      <c r="P71" s="21" t="n">
        <f aca="false">P70*(1+O71)</f>
        <v>1.40873336091089</v>
      </c>
      <c r="Q71" s="21" t="n">
        <f aca="false">MAX($P$5:P71)</f>
        <v>1.70236321503605</v>
      </c>
      <c r="R71" s="16" t="n">
        <f aca="false">P71/Q71-1</f>
        <v>-0.172483669484683</v>
      </c>
      <c r="S71" s="16" t="n">
        <f aca="false">O71-Benchmark_RF!D71</f>
        <v>-0.0434051325887739</v>
      </c>
    </row>
    <row r="72" customFormat="false" ht="15" hidden="false" customHeight="true" outlineLevel="0" collapsed="false">
      <c r="A72" s="1" t="n">
        <v>75</v>
      </c>
      <c r="B72" s="13" t="n">
        <f aca="false">Returns!A76</f>
        <v>44256</v>
      </c>
      <c r="C72" s="17" t="n">
        <f aca="false">IF(Rankings!C77&lt;=2,1,0)</f>
        <v>1</v>
      </c>
      <c r="D72" s="17" t="n">
        <f aca="false">IF(Rankings!D77&lt;=2,1,0)</f>
        <v>0</v>
      </c>
      <c r="E72" s="17" t="n">
        <f aca="false">IF(Rankings!E77&lt;=2,1,0)</f>
        <v>0</v>
      </c>
      <c r="F72" s="17" t="n">
        <f aca="false">IF(Rankings!F77&lt;=2,1,0)</f>
        <v>0</v>
      </c>
      <c r="G72" s="17" t="n">
        <f aca="false">IF(Rankings!G77&lt;=2,1,0)</f>
        <v>0</v>
      </c>
      <c r="H72" s="17" t="n">
        <f aca="false">IF(Rankings!H77&lt;=2,1,0)</f>
        <v>1</v>
      </c>
      <c r="I72" s="17" t="n">
        <f aca="false">IF(Rankings!I77&lt;=2,1,0)</f>
        <v>0</v>
      </c>
      <c r="J72" s="17" t="n">
        <f aca="false">IF(Rankings!J77&lt;=2,1,0)</f>
        <v>0</v>
      </c>
      <c r="K72" s="20" t="n">
        <f aca="false">SUM(C72:J72)</f>
        <v>2</v>
      </c>
      <c r="L72" s="16" t="n">
        <f aca="false">SUMPRODUCT(C72:J72,Returns!B76:I76)/K72</f>
        <v>-0.0458483721828563</v>
      </c>
      <c r="M72" s="16" t="n">
        <v>0</v>
      </c>
      <c r="N72" s="16" t="n">
        <v>0</v>
      </c>
      <c r="O72" s="16" t="n">
        <f aca="false">L72+M72+N72</f>
        <v>-0.0458483721828563</v>
      </c>
      <c r="P72" s="21" t="n">
        <f aca="false">P71*(1+O72)</f>
        <v>1.34414522947344</v>
      </c>
      <c r="Q72" s="21" t="n">
        <f aca="false">MAX($P$5:P72)</f>
        <v>1.70236321503605</v>
      </c>
      <c r="R72" s="16" t="n">
        <f aca="false">P72/Q72-1</f>
        <v>-0.21042394619354</v>
      </c>
      <c r="S72" s="16" t="n">
        <f aca="false">O72-Benchmark_RF!D72</f>
        <v>-0.0518385272535263</v>
      </c>
    </row>
    <row r="73" customFormat="false" ht="15" hidden="false" customHeight="true" outlineLevel="0" collapsed="false">
      <c r="A73" s="1" t="n">
        <v>76</v>
      </c>
      <c r="B73" s="13" t="n">
        <f aca="false">Returns!A77</f>
        <v>44287</v>
      </c>
      <c r="C73" s="17" t="n">
        <f aca="false">IF(Rankings!C77&lt;=2,1,0)</f>
        <v>1</v>
      </c>
      <c r="D73" s="17" t="n">
        <f aca="false">IF(Rankings!D77&lt;=2,1,0)</f>
        <v>0</v>
      </c>
      <c r="E73" s="17" t="n">
        <f aca="false">IF(Rankings!E77&lt;=2,1,0)</f>
        <v>0</v>
      </c>
      <c r="F73" s="17" t="n">
        <f aca="false">IF(Rankings!F77&lt;=2,1,0)</f>
        <v>0</v>
      </c>
      <c r="G73" s="17" t="n">
        <f aca="false">IF(Rankings!G77&lt;=2,1,0)</f>
        <v>0</v>
      </c>
      <c r="H73" s="17" t="n">
        <f aca="false">IF(Rankings!H77&lt;=2,1,0)</f>
        <v>1</v>
      </c>
      <c r="I73" s="17" t="n">
        <f aca="false">IF(Rankings!I77&lt;=2,1,0)</f>
        <v>0</v>
      </c>
      <c r="J73" s="17" t="n">
        <f aca="false">IF(Rankings!J77&lt;=2,1,0)</f>
        <v>0</v>
      </c>
      <c r="K73" s="20" t="n">
        <f aca="false">SUM(C73:J73)</f>
        <v>2</v>
      </c>
      <c r="L73" s="16" t="n">
        <f aca="false">SUMPRODUCT(C73:J73,Returns!B77:I77)/K73</f>
        <v>-0.0469164456233422</v>
      </c>
      <c r="M73" s="16" t="n">
        <v>0</v>
      </c>
      <c r="N73" s="16" t="n">
        <v>0</v>
      </c>
      <c r="O73" s="16" t="n">
        <f aca="false">L73+M73+N73</f>
        <v>-0.0469164456233422</v>
      </c>
      <c r="P73" s="21" t="n">
        <f aca="false">P72*(1+O73)</f>
        <v>1.28108271290497</v>
      </c>
      <c r="Q73" s="21" t="n">
        <f aca="false">MAX($P$5:P73)</f>
        <v>1.70236321503605</v>
      </c>
      <c r="R73" s="16" t="n">
        <f aca="false">P73/Q73-1</f>
        <v>-0.247468048187444</v>
      </c>
      <c r="S73" s="16" t="n">
        <f aca="false">O73-Benchmark_RF!D73</f>
        <v>-0.0528648426019682</v>
      </c>
    </row>
    <row r="74" customFormat="false" ht="15" hidden="false" customHeight="true" outlineLevel="0" collapsed="false">
      <c r="A74" s="1" t="n">
        <v>77</v>
      </c>
      <c r="B74" s="13" t="n">
        <f aca="false">Returns!A78</f>
        <v>44317</v>
      </c>
      <c r="C74" s="17" t="n">
        <f aca="false">IF(Rankings!C77&lt;=2,1,0)</f>
        <v>1</v>
      </c>
      <c r="D74" s="17" t="n">
        <f aca="false">IF(Rankings!D77&lt;=2,1,0)</f>
        <v>0</v>
      </c>
      <c r="E74" s="17" t="n">
        <f aca="false">IF(Rankings!E77&lt;=2,1,0)</f>
        <v>0</v>
      </c>
      <c r="F74" s="17" t="n">
        <f aca="false">IF(Rankings!F77&lt;=2,1,0)</f>
        <v>0</v>
      </c>
      <c r="G74" s="17" t="n">
        <f aca="false">IF(Rankings!G77&lt;=2,1,0)</f>
        <v>0</v>
      </c>
      <c r="H74" s="17" t="n">
        <f aca="false">IF(Rankings!H77&lt;=2,1,0)</f>
        <v>1</v>
      </c>
      <c r="I74" s="17" t="n">
        <f aca="false">IF(Rankings!I77&lt;=2,1,0)</f>
        <v>0</v>
      </c>
      <c r="J74" s="17" t="n">
        <f aca="false">IF(Rankings!J77&lt;=2,1,0)</f>
        <v>0</v>
      </c>
      <c r="K74" s="20" t="n">
        <f aca="false">SUM(C74:J74)</f>
        <v>2</v>
      </c>
      <c r="L74" s="16" t="n">
        <f aca="false">SUMPRODUCT(C74:J74,Returns!B78:I78)/K74</f>
        <v>0.0465457875457875</v>
      </c>
      <c r="M74" s="16" t="n">
        <v>0</v>
      </c>
      <c r="N74" s="16" t="n">
        <v>0</v>
      </c>
      <c r="O74" s="16" t="n">
        <f aca="false">L74+M74+N74</f>
        <v>0.0465457875457875</v>
      </c>
      <c r="P74" s="21" t="n">
        <f aca="false">P73*(1+O74)</f>
        <v>1.34071171668843</v>
      </c>
      <c r="Q74" s="21" t="n">
        <f aca="false">MAX($P$5:P74)</f>
        <v>1.70236321503605</v>
      </c>
      <c r="R74" s="16" t="n">
        <f aca="false">P74/Q74-1</f>
        <v>-0.21244085583696</v>
      </c>
      <c r="S74" s="16" t="n">
        <f aca="false">O74-Benchmark_RF!D74</f>
        <v>0.040624172612129</v>
      </c>
    </row>
    <row r="75" customFormat="false" ht="15" hidden="false" customHeight="true" outlineLevel="0" collapsed="false">
      <c r="A75" s="1" t="n">
        <v>78</v>
      </c>
      <c r="B75" s="13" t="n">
        <f aca="false">Returns!A79</f>
        <v>44348</v>
      </c>
      <c r="C75" s="17" t="n">
        <f aca="false">IF(Rankings!C77&lt;=2,1,0)</f>
        <v>1</v>
      </c>
      <c r="D75" s="17" t="n">
        <f aca="false">IF(Rankings!D77&lt;=2,1,0)</f>
        <v>0</v>
      </c>
      <c r="E75" s="17" t="n">
        <f aca="false">IF(Rankings!E77&lt;=2,1,0)</f>
        <v>0</v>
      </c>
      <c r="F75" s="17" t="n">
        <f aca="false">IF(Rankings!F77&lt;=2,1,0)</f>
        <v>0</v>
      </c>
      <c r="G75" s="17" t="n">
        <f aca="false">IF(Rankings!G77&lt;=2,1,0)</f>
        <v>0</v>
      </c>
      <c r="H75" s="17" t="n">
        <f aca="false">IF(Rankings!H77&lt;=2,1,0)</f>
        <v>1</v>
      </c>
      <c r="I75" s="17" t="n">
        <f aca="false">IF(Rankings!I77&lt;=2,1,0)</f>
        <v>0</v>
      </c>
      <c r="J75" s="17" t="n">
        <f aca="false">IF(Rankings!J77&lt;=2,1,0)</f>
        <v>0</v>
      </c>
      <c r="K75" s="20" t="n">
        <f aca="false">SUM(C75:J75)</f>
        <v>2</v>
      </c>
      <c r="L75" s="16" t="n">
        <f aca="false">SUMPRODUCT(C75:J75,Returns!B79:I79)/K75</f>
        <v>-0.0173690216989143</v>
      </c>
      <c r="M75" s="16" t="n">
        <v>0</v>
      </c>
      <c r="N75" s="16" t="n">
        <v>0</v>
      </c>
      <c r="O75" s="16" t="n">
        <f aca="false">L75+M75+N75</f>
        <v>-0.0173690216989143</v>
      </c>
      <c r="P75" s="21" t="n">
        <f aca="false">P74*(1+O75)</f>
        <v>1.31742486578928</v>
      </c>
      <c r="Q75" s="21" t="n">
        <f aca="false">MAX($P$5:P75)</f>
        <v>1.70236321503605</v>
      </c>
      <c r="R75" s="16" t="n">
        <f aca="false">P75/Q75-1</f>
        <v>-0.226119987701106</v>
      </c>
      <c r="S75" s="16" t="n">
        <f aca="false">O75-Benchmark_RF!D75</f>
        <v>-0.0232541598347219</v>
      </c>
    </row>
    <row r="76" customFormat="false" ht="15" hidden="false" customHeight="true" outlineLevel="0" collapsed="false">
      <c r="A76" s="1" t="n">
        <v>79</v>
      </c>
      <c r="B76" s="13" t="n">
        <f aca="false">Returns!A80</f>
        <v>44378</v>
      </c>
      <c r="C76" s="17" t="n">
        <f aca="false">IF(Rankings!C77&lt;=2,1,0)</f>
        <v>1</v>
      </c>
      <c r="D76" s="17" t="n">
        <f aca="false">IF(Rankings!D77&lt;=2,1,0)</f>
        <v>0</v>
      </c>
      <c r="E76" s="17" t="n">
        <f aca="false">IF(Rankings!E77&lt;=2,1,0)</f>
        <v>0</v>
      </c>
      <c r="F76" s="17" t="n">
        <f aca="false">IF(Rankings!F77&lt;=2,1,0)</f>
        <v>0</v>
      </c>
      <c r="G76" s="17" t="n">
        <f aca="false">IF(Rankings!G77&lt;=2,1,0)</f>
        <v>0</v>
      </c>
      <c r="H76" s="17" t="n">
        <f aca="false">IF(Rankings!H77&lt;=2,1,0)</f>
        <v>1</v>
      </c>
      <c r="I76" s="17" t="n">
        <f aca="false">IF(Rankings!I77&lt;=2,1,0)</f>
        <v>0</v>
      </c>
      <c r="J76" s="17" t="n">
        <f aca="false">IF(Rankings!J77&lt;=2,1,0)</f>
        <v>0</v>
      </c>
      <c r="K76" s="20" t="n">
        <f aca="false">SUM(C76:J76)</f>
        <v>2</v>
      </c>
      <c r="L76" s="16" t="n">
        <f aca="false">SUMPRODUCT(C76:J76,Returns!B80:I80)/K76</f>
        <v>-0.00754742566544453</v>
      </c>
      <c r="M76" s="16" t="n">
        <v>0</v>
      </c>
      <c r="N76" s="16" t="n">
        <v>0</v>
      </c>
      <c r="O76" s="16" t="n">
        <f aca="false">L76+M76+N76</f>
        <v>-0.00754742566544453</v>
      </c>
      <c r="P76" s="21" t="n">
        <f aca="false">P75*(1+O76)</f>
        <v>1.30748169954493</v>
      </c>
      <c r="Q76" s="21" t="n">
        <f aca="false">MAX($P$5:P76)</f>
        <v>1.70236321503605</v>
      </c>
      <c r="R76" s="16" t="n">
        <f aca="false">P76/Q76-1</f>
        <v>-0.231960789567906</v>
      </c>
      <c r="S76" s="16" t="n">
        <f aca="false">O76-Benchmark_RF!D76</f>
        <v>-0.0133834885395973</v>
      </c>
    </row>
    <row r="77" customFormat="false" ht="15" hidden="false" customHeight="true" outlineLevel="0" collapsed="false">
      <c r="A77" s="1" t="n">
        <v>80</v>
      </c>
      <c r="B77" s="13" t="n">
        <f aca="false">Returns!A81</f>
        <v>44409</v>
      </c>
      <c r="C77" s="17" t="n">
        <f aca="false">IF(Rankings!C83&lt;=2,1,0)</f>
        <v>0</v>
      </c>
      <c r="D77" s="17" t="n">
        <f aca="false">IF(Rankings!D83&lt;=2,1,0)</f>
        <v>1</v>
      </c>
      <c r="E77" s="17" t="n">
        <f aca="false">IF(Rankings!E83&lt;=2,1,0)</f>
        <v>0</v>
      </c>
      <c r="F77" s="17" t="n">
        <f aca="false">IF(Rankings!F83&lt;=2,1,0)</f>
        <v>1</v>
      </c>
      <c r="G77" s="17" t="n">
        <f aca="false">IF(Rankings!G83&lt;=2,1,0)</f>
        <v>0</v>
      </c>
      <c r="H77" s="17" t="n">
        <f aca="false">IF(Rankings!H83&lt;=2,1,0)</f>
        <v>0</v>
      </c>
      <c r="I77" s="17" t="n">
        <f aca="false">IF(Rankings!I83&lt;=2,1,0)</f>
        <v>0</v>
      </c>
      <c r="J77" s="17" t="n">
        <f aca="false">IF(Rankings!J83&lt;=2,1,0)</f>
        <v>0</v>
      </c>
      <c r="K77" s="20" t="n">
        <f aca="false">SUM(C77:J77)</f>
        <v>2</v>
      </c>
      <c r="L77" s="16" t="n">
        <f aca="false">SUMPRODUCT(C77:J77,Returns!B81:I81)/K77</f>
        <v>0.126598821780837</v>
      </c>
      <c r="M77" s="16" t="n">
        <f aca="false">-2*Assumptions!$B$13</f>
        <v>-0.007</v>
      </c>
      <c r="N77" s="16" t="n">
        <f aca="false">-Assumptions!$B$16*MAX(0,(1+O71)*(1+O72)*(1+O73)*(1+O74)*(1+O75)*(1+O76)-1)</f>
        <v>-0</v>
      </c>
      <c r="O77" s="16" t="n">
        <f aca="false">L77+M77+N77</f>
        <v>0.119598821780837</v>
      </c>
      <c r="P77" s="21" t="n">
        <f aca="false">P76*(1+O77)</f>
        <v>1.46385497031051</v>
      </c>
      <c r="Q77" s="21" t="n">
        <f aca="false">MAX($P$5:P77)</f>
        <v>1.70236321503605</v>
      </c>
      <c r="R77" s="16" t="n">
        <f aca="false">P77/Q77-1</f>
        <v>-0.140104204918743</v>
      </c>
      <c r="S77" s="16" t="n">
        <f aca="false">O77-Benchmark_RF!D77</f>
        <v>0.113765260262325</v>
      </c>
    </row>
    <row r="78" customFormat="false" ht="15" hidden="false" customHeight="true" outlineLevel="0" collapsed="false">
      <c r="A78" s="1" t="n">
        <v>81</v>
      </c>
      <c r="B78" s="13" t="n">
        <f aca="false">Returns!A82</f>
        <v>44440</v>
      </c>
      <c r="C78" s="17" t="n">
        <f aca="false">IF(Rankings!C83&lt;=2,1,0)</f>
        <v>0</v>
      </c>
      <c r="D78" s="17" t="n">
        <f aca="false">IF(Rankings!D83&lt;=2,1,0)</f>
        <v>1</v>
      </c>
      <c r="E78" s="17" t="n">
        <f aca="false">IF(Rankings!E83&lt;=2,1,0)</f>
        <v>0</v>
      </c>
      <c r="F78" s="17" t="n">
        <f aca="false">IF(Rankings!F83&lt;=2,1,0)</f>
        <v>1</v>
      </c>
      <c r="G78" s="17" t="n">
        <f aca="false">IF(Rankings!G83&lt;=2,1,0)</f>
        <v>0</v>
      </c>
      <c r="H78" s="17" t="n">
        <f aca="false">IF(Rankings!H83&lt;=2,1,0)</f>
        <v>0</v>
      </c>
      <c r="I78" s="17" t="n">
        <f aca="false">IF(Rankings!I83&lt;=2,1,0)</f>
        <v>0</v>
      </c>
      <c r="J78" s="17" t="n">
        <f aca="false">IF(Rankings!J83&lt;=2,1,0)</f>
        <v>0</v>
      </c>
      <c r="K78" s="20" t="n">
        <f aca="false">SUM(C78:J78)</f>
        <v>2</v>
      </c>
      <c r="L78" s="16" t="n">
        <f aca="false">SUMPRODUCT(C78:J78,Returns!B82:I82)/K78</f>
        <v>-0.0142434579757816</v>
      </c>
      <c r="M78" s="16" t="n">
        <v>0</v>
      </c>
      <c r="N78" s="16" t="n">
        <v>0</v>
      </c>
      <c r="O78" s="16" t="n">
        <f aca="false">L78+M78+N78</f>
        <v>-0.0142434579757816</v>
      </c>
      <c r="P78" s="21" t="n">
        <f aca="false">P77*(1+O78)</f>
        <v>1.44300461355825</v>
      </c>
      <c r="Q78" s="21" t="n">
        <f aca="false">MAX($P$5:P78)</f>
        <v>1.70236321503605</v>
      </c>
      <c r="R78" s="16" t="n">
        <f aca="false">P78/Q78-1</f>
        <v>-0.152352094539534</v>
      </c>
      <c r="S78" s="16" t="n">
        <f aca="false">O78-Benchmark_RF!D78</f>
        <v>-0.0203438096507649</v>
      </c>
    </row>
    <row r="79" customFormat="false" ht="15" hidden="false" customHeight="true" outlineLevel="0" collapsed="false">
      <c r="A79" s="1" t="n">
        <v>82</v>
      </c>
      <c r="B79" s="13" t="n">
        <f aca="false">Returns!A83</f>
        <v>44470</v>
      </c>
      <c r="C79" s="17" t="n">
        <f aca="false">IF(Rankings!C83&lt;=2,1,0)</f>
        <v>0</v>
      </c>
      <c r="D79" s="17" t="n">
        <f aca="false">IF(Rankings!D83&lt;=2,1,0)</f>
        <v>1</v>
      </c>
      <c r="E79" s="17" t="n">
        <f aca="false">IF(Rankings!E83&lt;=2,1,0)</f>
        <v>0</v>
      </c>
      <c r="F79" s="17" t="n">
        <f aca="false">IF(Rankings!F83&lt;=2,1,0)</f>
        <v>1</v>
      </c>
      <c r="G79" s="17" t="n">
        <f aca="false">IF(Rankings!G83&lt;=2,1,0)</f>
        <v>0</v>
      </c>
      <c r="H79" s="17" t="n">
        <f aca="false">IF(Rankings!H83&lt;=2,1,0)</f>
        <v>0</v>
      </c>
      <c r="I79" s="17" t="n">
        <f aca="false">IF(Rankings!I83&lt;=2,1,0)</f>
        <v>0</v>
      </c>
      <c r="J79" s="17" t="n">
        <f aca="false">IF(Rankings!J83&lt;=2,1,0)</f>
        <v>0</v>
      </c>
      <c r="K79" s="20" t="n">
        <f aca="false">SUM(C79:J79)</f>
        <v>2</v>
      </c>
      <c r="L79" s="16" t="n">
        <f aca="false">SUMPRODUCT(C79:J79,Returns!B83:I83)/K79</f>
        <v>0.0113119844346098</v>
      </c>
      <c r="M79" s="16" t="n">
        <v>0</v>
      </c>
      <c r="N79" s="16" t="n">
        <v>0</v>
      </c>
      <c r="O79" s="16" t="n">
        <f aca="false">L79+M79+N79</f>
        <v>0.0113119844346098</v>
      </c>
      <c r="P79" s="21" t="n">
        <f aca="false">P78*(1+O79)</f>
        <v>1.45932785928589</v>
      </c>
      <c r="Q79" s="21" t="n">
        <f aca="false">MAX($P$5:P79)</f>
        <v>1.70236321503605</v>
      </c>
      <c r="R79" s="16" t="n">
        <f aca="false">P79/Q79-1</f>
        <v>-0.142763514626936</v>
      </c>
      <c r="S79" s="16" t="n">
        <f aca="false">O79-Benchmark_RF!D79</f>
        <v>0.0047423105756545</v>
      </c>
    </row>
    <row r="80" customFormat="false" ht="15" hidden="false" customHeight="true" outlineLevel="0" collapsed="false">
      <c r="A80" s="1" t="n">
        <v>83</v>
      </c>
      <c r="B80" s="13" t="n">
        <f aca="false">Returns!A84</f>
        <v>44501</v>
      </c>
      <c r="C80" s="17" t="n">
        <f aca="false">IF(Rankings!C83&lt;=2,1,0)</f>
        <v>0</v>
      </c>
      <c r="D80" s="17" t="n">
        <f aca="false">IF(Rankings!D83&lt;=2,1,0)</f>
        <v>1</v>
      </c>
      <c r="E80" s="17" t="n">
        <f aca="false">IF(Rankings!E83&lt;=2,1,0)</f>
        <v>0</v>
      </c>
      <c r="F80" s="17" t="n">
        <f aca="false">IF(Rankings!F83&lt;=2,1,0)</f>
        <v>1</v>
      </c>
      <c r="G80" s="17" t="n">
        <f aca="false">IF(Rankings!G83&lt;=2,1,0)</f>
        <v>0</v>
      </c>
      <c r="H80" s="17" t="n">
        <f aca="false">IF(Rankings!H83&lt;=2,1,0)</f>
        <v>0</v>
      </c>
      <c r="I80" s="17" t="n">
        <f aca="false">IF(Rankings!I83&lt;=2,1,0)</f>
        <v>0</v>
      </c>
      <c r="J80" s="17" t="n">
        <f aca="false">IF(Rankings!J83&lt;=2,1,0)</f>
        <v>0</v>
      </c>
      <c r="K80" s="20" t="n">
        <f aca="false">SUM(C80:J80)</f>
        <v>2</v>
      </c>
      <c r="L80" s="16" t="n">
        <f aca="false">SUMPRODUCT(C80:J80,Returns!B84:I84)/K80</f>
        <v>0.0387859040487684</v>
      </c>
      <c r="M80" s="16" t="n">
        <v>0</v>
      </c>
      <c r="N80" s="16" t="n">
        <v>0</v>
      </c>
      <c r="O80" s="16" t="n">
        <f aca="false">L80+M80+N80</f>
        <v>0.0387859040487684</v>
      </c>
      <c r="P80" s="21" t="n">
        <f aca="false">P79*(1+O80)</f>
        <v>1.51592920961185</v>
      </c>
      <c r="Q80" s="21" t="n">
        <f aca="false">MAX($P$5:P80)</f>
        <v>1.70236321503605</v>
      </c>
      <c r="R80" s="16" t="n">
        <f aca="false">P80/Q80-1</f>
        <v>-0.109514822558153</v>
      </c>
      <c r="S80" s="16" t="n">
        <f aca="false">O80-Benchmark_RF!D80</f>
        <v>0.031964178696581</v>
      </c>
    </row>
    <row r="81" customFormat="false" ht="15" hidden="false" customHeight="true" outlineLevel="0" collapsed="false">
      <c r="A81" s="1" t="n">
        <v>84</v>
      </c>
      <c r="B81" s="13" t="n">
        <f aca="false">Returns!A85</f>
        <v>44531</v>
      </c>
      <c r="C81" s="17" t="n">
        <f aca="false">IF(Rankings!C83&lt;=2,1,0)</f>
        <v>0</v>
      </c>
      <c r="D81" s="17" t="n">
        <f aca="false">IF(Rankings!D83&lt;=2,1,0)</f>
        <v>1</v>
      </c>
      <c r="E81" s="17" t="n">
        <f aca="false">IF(Rankings!E83&lt;=2,1,0)</f>
        <v>0</v>
      </c>
      <c r="F81" s="17" t="n">
        <f aca="false">IF(Rankings!F83&lt;=2,1,0)</f>
        <v>1</v>
      </c>
      <c r="G81" s="17" t="n">
        <f aca="false">IF(Rankings!G83&lt;=2,1,0)</f>
        <v>0</v>
      </c>
      <c r="H81" s="17" t="n">
        <f aca="false">IF(Rankings!H83&lt;=2,1,0)</f>
        <v>0</v>
      </c>
      <c r="I81" s="17" t="n">
        <f aca="false">IF(Rankings!I83&lt;=2,1,0)</f>
        <v>0</v>
      </c>
      <c r="J81" s="17" t="n">
        <f aca="false">IF(Rankings!J83&lt;=2,1,0)</f>
        <v>0</v>
      </c>
      <c r="K81" s="20" t="n">
        <f aca="false">SUM(C81:J81)</f>
        <v>2</v>
      </c>
      <c r="L81" s="16" t="n">
        <f aca="false">SUMPRODUCT(C81:J81,Returns!B85:I85)/K81</f>
        <v>-0.0615688328360525</v>
      </c>
      <c r="M81" s="16" t="n">
        <v>0</v>
      </c>
      <c r="N81" s="16" t="n">
        <v>0</v>
      </c>
      <c r="O81" s="16" t="n">
        <f aca="false">L81+M81+N81</f>
        <v>-0.0615688328360525</v>
      </c>
      <c r="P81" s="21" t="n">
        <f aca="false">P80*(1+O81)</f>
        <v>1.42259521751397</v>
      </c>
      <c r="Q81" s="21" t="n">
        <f aca="false">MAX($P$5:P81)</f>
        <v>1.70236321503605</v>
      </c>
      <c r="R81" s="16" t="n">
        <f aca="false">P81/Q81-1</f>
        <v>-0.164340955591052</v>
      </c>
      <c r="S81" s="16" t="n">
        <f aca="false">O81-Benchmark_RF!D81</f>
        <v>-0.0698382458474152</v>
      </c>
    </row>
    <row r="82" customFormat="false" ht="15" hidden="false" customHeight="true" outlineLevel="0" collapsed="false">
      <c r="A82" s="1" t="n">
        <v>85</v>
      </c>
      <c r="B82" s="13" t="n">
        <f aca="false">Returns!A86</f>
        <v>44562</v>
      </c>
      <c r="C82" s="17" t="n">
        <f aca="false">IF(Rankings!C83&lt;=2,1,0)</f>
        <v>0</v>
      </c>
      <c r="D82" s="17" t="n">
        <f aca="false">IF(Rankings!D83&lt;=2,1,0)</f>
        <v>1</v>
      </c>
      <c r="E82" s="17" t="n">
        <f aca="false">IF(Rankings!E83&lt;=2,1,0)</f>
        <v>0</v>
      </c>
      <c r="F82" s="17" t="n">
        <f aca="false">IF(Rankings!F83&lt;=2,1,0)</f>
        <v>1</v>
      </c>
      <c r="G82" s="17" t="n">
        <f aca="false">IF(Rankings!G83&lt;=2,1,0)</f>
        <v>0</v>
      </c>
      <c r="H82" s="17" t="n">
        <f aca="false">IF(Rankings!H83&lt;=2,1,0)</f>
        <v>0</v>
      </c>
      <c r="I82" s="17" t="n">
        <f aca="false">IF(Rankings!I83&lt;=2,1,0)</f>
        <v>0</v>
      </c>
      <c r="J82" s="17" t="n">
        <f aca="false">IF(Rankings!J83&lt;=2,1,0)</f>
        <v>0</v>
      </c>
      <c r="K82" s="20" t="n">
        <f aca="false">SUM(C82:J82)</f>
        <v>2</v>
      </c>
      <c r="L82" s="16" t="n">
        <f aca="false">SUMPRODUCT(C82:J82,Returns!B86:I86)/K82</f>
        <v>0.0363397946731227</v>
      </c>
      <c r="M82" s="16" t="n">
        <v>0</v>
      </c>
      <c r="N82" s="16" t="n">
        <v>0</v>
      </c>
      <c r="O82" s="16" t="n">
        <f aca="false">L82+M82+N82</f>
        <v>0.0363397946731227</v>
      </c>
      <c r="P82" s="21" t="n">
        <f aca="false">P81*(1+O82)</f>
        <v>1.47429203562139</v>
      </c>
      <c r="Q82" s="21" t="n">
        <f aca="false">MAX($P$5:P82)</f>
        <v>1.70236321503605</v>
      </c>
      <c r="R82" s="16" t="n">
        <f aca="false">P82/Q82-1</f>
        <v>-0.133973277500493</v>
      </c>
      <c r="S82" s="16" t="n">
        <f aca="false">O82-Benchmark_RF!D82</f>
        <v>0.0282107710010874</v>
      </c>
    </row>
    <row r="83" customFormat="false" ht="15" hidden="false" customHeight="true" outlineLevel="0" collapsed="false">
      <c r="A83" s="1" t="n">
        <v>86</v>
      </c>
      <c r="B83" s="13" t="n">
        <f aca="false">Returns!A87</f>
        <v>44593</v>
      </c>
      <c r="C83" s="17" t="n">
        <f aca="false">IF(Rankings!C89&lt;=2,1,0)</f>
        <v>1</v>
      </c>
      <c r="D83" s="17" t="n">
        <f aca="false">IF(Rankings!D89&lt;=2,1,0)</f>
        <v>0</v>
      </c>
      <c r="E83" s="17" t="n">
        <f aca="false">IF(Rankings!E89&lt;=2,1,0)</f>
        <v>0</v>
      </c>
      <c r="F83" s="17" t="n">
        <f aca="false">IF(Rankings!F89&lt;=2,1,0)</f>
        <v>0</v>
      </c>
      <c r="G83" s="17" t="n">
        <f aca="false">IF(Rankings!G89&lt;=2,1,0)</f>
        <v>0</v>
      </c>
      <c r="H83" s="17" t="n">
        <f aca="false">IF(Rankings!H89&lt;=2,1,0)</f>
        <v>0</v>
      </c>
      <c r="I83" s="17" t="n">
        <f aca="false">IF(Rankings!I89&lt;=2,1,0)</f>
        <v>1</v>
      </c>
      <c r="J83" s="17" t="n">
        <f aca="false">IF(Rankings!J89&lt;=2,1,0)</f>
        <v>0</v>
      </c>
      <c r="K83" s="20" t="n">
        <f aca="false">SUM(C83:J83)</f>
        <v>2</v>
      </c>
      <c r="L83" s="16" t="n">
        <f aca="false">SUMPRODUCT(C83:J83,Returns!B87:I87)/K83</f>
        <v>-0.0352723449392411</v>
      </c>
      <c r="M83" s="16" t="n">
        <f aca="false">-2*Assumptions!$B$13</f>
        <v>-0.007</v>
      </c>
      <c r="N83" s="16" t="n">
        <f aca="false">-Assumptions!$B$16*MAX(0,(1+O77)*(1+O78)*(1+O79)*(1+O80)*(1+O81)*(1+O82)-1)</f>
        <v>-0.0191372088956797</v>
      </c>
      <c r="O83" s="16" t="n">
        <f aca="false">L83+M83+N83</f>
        <v>-0.0614095538349208</v>
      </c>
      <c r="P83" s="21" t="n">
        <f aca="false">P82*(1+O83)</f>
        <v>1.3837564194915</v>
      </c>
      <c r="Q83" s="21" t="n">
        <f aca="false">MAX($P$5:P83)</f>
        <v>1.70236321503605</v>
      </c>
      <c r="R83" s="16" t="n">
        <f aca="false">P83/Q83-1</f>
        <v>-0.187155592138306</v>
      </c>
      <c r="S83" s="16" t="n">
        <f aca="false">O83-Benchmark_RF!D83</f>
        <v>-0.0696761505092134</v>
      </c>
    </row>
    <row r="84" customFormat="false" ht="15" hidden="false" customHeight="true" outlineLevel="0" collapsed="false">
      <c r="A84" s="1" t="n">
        <v>87</v>
      </c>
      <c r="B84" s="13" t="n">
        <f aca="false">Returns!A88</f>
        <v>44621</v>
      </c>
      <c r="C84" s="17" t="n">
        <f aca="false">IF(Rankings!C89&lt;=2,1,0)</f>
        <v>1</v>
      </c>
      <c r="D84" s="17" t="n">
        <f aca="false">IF(Rankings!D89&lt;=2,1,0)</f>
        <v>0</v>
      </c>
      <c r="E84" s="17" t="n">
        <f aca="false">IF(Rankings!E89&lt;=2,1,0)</f>
        <v>0</v>
      </c>
      <c r="F84" s="17" t="n">
        <f aca="false">IF(Rankings!F89&lt;=2,1,0)</f>
        <v>0</v>
      </c>
      <c r="G84" s="17" t="n">
        <f aca="false">IF(Rankings!G89&lt;=2,1,0)</f>
        <v>0</v>
      </c>
      <c r="H84" s="17" t="n">
        <f aca="false">IF(Rankings!H89&lt;=2,1,0)</f>
        <v>0</v>
      </c>
      <c r="I84" s="17" t="n">
        <f aca="false">IF(Rankings!I89&lt;=2,1,0)</f>
        <v>1</v>
      </c>
      <c r="J84" s="17" t="n">
        <f aca="false">IF(Rankings!J89&lt;=2,1,0)</f>
        <v>0</v>
      </c>
      <c r="K84" s="20" t="n">
        <f aca="false">SUM(C84:J84)</f>
        <v>2</v>
      </c>
      <c r="L84" s="16" t="n">
        <f aca="false">SUMPRODUCT(C84:J84,Returns!B88:I88)/K84</f>
        <v>-0.0808352997680369</v>
      </c>
      <c r="M84" s="16" t="n">
        <v>0</v>
      </c>
      <c r="N84" s="16" t="n">
        <v>0</v>
      </c>
      <c r="O84" s="16" t="n">
        <f aca="false">L84+M84+N84</f>
        <v>-0.0808352997680369</v>
      </c>
      <c r="P84" s="21" t="n">
        <f aca="false">P83*(1+O84)</f>
        <v>1.27190005451596</v>
      </c>
      <c r="Q84" s="21" t="n">
        <f aca="false">MAX($P$5:P84)</f>
        <v>1.70236321503605</v>
      </c>
      <c r="R84" s="16" t="n">
        <f aca="false">P84/Q84-1</f>
        <v>-0.252862113512579</v>
      </c>
      <c r="S84" s="16" t="n">
        <f aca="false">O84-Benchmark_RF!D84</f>
        <v>-0.0901365749745265</v>
      </c>
    </row>
    <row r="85" customFormat="false" ht="15" hidden="false" customHeight="true" outlineLevel="0" collapsed="false">
      <c r="A85" s="1" t="n">
        <v>88</v>
      </c>
      <c r="B85" s="13" t="n">
        <f aca="false">Returns!A89</f>
        <v>44652</v>
      </c>
      <c r="C85" s="17" t="n">
        <f aca="false">IF(Rankings!C89&lt;=2,1,0)</f>
        <v>1</v>
      </c>
      <c r="D85" s="17" t="n">
        <f aca="false">IF(Rankings!D89&lt;=2,1,0)</f>
        <v>0</v>
      </c>
      <c r="E85" s="17" t="n">
        <f aca="false">IF(Rankings!E89&lt;=2,1,0)</f>
        <v>0</v>
      </c>
      <c r="F85" s="17" t="n">
        <f aca="false">IF(Rankings!F89&lt;=2,1,0)</f>
        <v>0</v>
      </c>
      <c r="G85" s="17" t="n">
        <f aca="false">IF(Rankings!G89&lt;=2,1,0)</f>
        <v>0</v>
      </c>
      <c r="H85" s="17" t="n">
        <f aca="false">IF(Rankings!H89&lt;=2,1,0)</f>
        <v>0</v>
      </c>
      <c r="I85" s="17" t="n">
        <f aca="false">IF(Rankings!I89&lt;=2,1,0)</f>
        <v>1</v>
      </c>
      <c r="J85" s="17" t="n">
        <f aca="false">IF(Rankings!J89&lt;=2,1,0)</f>
        <v>0</v>
      </c>
      <c r="K85" s="20" t="n">
        <f aca="false">SUM(C85:J85)</f>
        <v>2</v>
      </c>
      <c r="L85" s="16" t="n">
        <f aca="false">SUMPRODUCT(C85:J85,Returns!B89:I89)/K85</f>
        <v>0.0109468365970864</v>
      </c>
      <c r="M85" s="16" t="n">
        <v>0</v>
      </c>
      <c r="N85" s="16" t="n">
        <v>0</v>
      </c>
      <c r="O85" s="16" t="n">
        <f aca="false">L85+M85+N85</f>
        <v>0.0109468365970864</v>
      </c>
      <c r="P85" s="21" t="n">
        <f aca="false">P84*(1+O85)</f>
        <v>1.28582333658057</v>
      </c>
      <c r="Q85" s="21" t="n">
        <f aca="false">MAX($P$5:P85)</f>
        <v>1.70236321503605</v>
      </c>
      <c r="R85" s="16" t="n">
        <f aca="false">P85/Q85-1</f>
        <v>-0.244683317153709</v>
      </c>
      <c r="S85" s="16" t="n">
        <f aca="false">O85-Benchmark_RF!D85</f>
        <v>-0.000174978310264251</v>
      </c>
    </row>
    <row r="86" customFormat="false" ht="15" hidden="false" customHeight="true" outlineLevel="0" collapsed="false">
      <c r="A86" s="1" t="n">
        <v>89</v>
      </c>
      <c r="B86" s="13" t="n">
        <f aca="false">Returns!A90</f>
        <v>44682</v>
      </c>
      <c r="C86" s="17" t="n">
        <f aca="false">IF(Rankings!C89&lt;=2,1,0)</f>
        <v>1</v>
      </c>
      <c r="D86" s="17" t="n">
        <f aca="false">IF(Rankings!D89&lt;=2,1,0)</f>
        <v>0</v>
      </c>
      <c r="E86" s="17" t="n">
        <f aca="false">IF(Rankings!E89&lt;=2,1,0)</f>
        <v>0</v>
      </c>
      <c r="F86" s="17" t="n">
        <f aca="false">IF(Rankings!F89&lt;=2,1,0)</f>
        <v>0</v>
      </c>
      <c r="G86" s="17" t="n">
        <f aca="false">IF(Rankings!G89&lt;=2,1,0)</f>
        <v>0</v>
      </c>
      <c r="H86" s="17" t="n">
        <f aca="false">IF(Rankings!H89&lt;=2,1,0)</f>
        <v>0</v>
      </c>
      <c r="I86" s="17" t="n">
        <f aca="false">IF(Rankings!I89&lt;=2,1,0)</f>
        <v>1</v>
      </c>
      <c r="J86" s="17" t="n">
        <f aca="false">IF(Rankings!J89&lt;=2,1,0)</f>
        <v>0</v>
      </c>
      <c r="K86" s="20" t="n">
        <f aca="false">SUM(C86:J86)</f>
        <v>2</v>
      </c>
      <c r="L86" s="16" t="n">
        <f aca="false">SUMPRODUCT(C86:J86,Returns!B90:I90)/K86</f>
        <v>-0.0813375373567062</v>
      </c>
      <c r="M86" s="16" t="n">
        <v>0</v>
      </c>
      <c r="N86" s="16" t="n">
        <v>0</v>
      </c>
      <c r="O86" s="16" t="n">
        <f aca="false">L86+M86+N86</f>
        <v>-0.0813375373567062</v>
      </c>
      <c r="P86" s="21" t="n">
        <f aca="false">P85*(1+O86)</f>
        <v>1.18123763290733</v>
      </c>
      <c r="Q86" s="21" t="n">
        <f aca="false">MAX($P$5:P86)</f>
        <v>1.70236321503605</v>
      </c>
      <c r="R86" s="16" t="n">
        <f aca="false">P86/Q86-1</f>
        <v>-0.306118916060862</v>
      </c>
      <c r="S86" s="16" t="n">
        <f aca="false">O86-Benchmark_RF!D86</f>
        <v>-0.0926280959738244</v>
      </c>
    </row>
    <row r="87" customFormat="false" ht="15" hidden="false" customHeight="true" outlineLevel="0" collapsed="false">
      <c r="A87" s="1" t="n">
        <v>90</v>
      </c>
      <c r="B87" s="13" t="n">
        <f aca="false">Returns!A91</f>
        <v>44713</v>
      </c>
      <c r="C87" s="17" t="n">
        <f aca="false">IF(Rankings!C89&lt;=2,1,0)</f>
        <v>1</v>
      </c>
      <c r="D87" s="17" t="n">
        <f aca="false">IF(Rankings!D89&lt;=2,1,0)</f>
        <v>0</v>
      </c>
      <c r="E87" s="17" t="n">
        <f aca="false">IF(Rankings!E89&lt;=2,1,0)</f>
        <v>0</v>
      </c>
      <c r="F87" s="17" t="n">
        <f aca="false">IF(Rankings!F89&lt;=2,1,0)</f>
        <v>0</v>
      </c>
      <c r="G87" s="17" t="n">
        <f aca="false">IF(Rankings!G89&lt;=2,1,0)</f>
        <v>0</v>
      </c>
      <c r="H87" s="17" t="n">
        <f aca="false">IF(Rankings!H89&lt;=2,1,0)</f>
        <v>0</v>
      </c>
      <c r="I87" s="17" t="n">
        <f aca="false">IF(Rankings!I89&lt;=2,1,0)</f>
        <v>1</v>
      </c>
      <c r="J87" s="17" t="n">
        <f aca="false">IF(Rankings!J89&lt;=2,1,0)</f>
        <v>0</v>
      </c>
      <c r="K87" s="20" t="n">
        <f aca="false">SUM(C87:J87)</f>
        <v>2</v>
      </c>
      <c r="L87" s="16" t="n">
        <f aca="false">SUMPRODUCT(C87:J87,Returns!B91:I91)/K87</f>
        <v>-0.0513709175646547</v>
      </c>
      <c r="M87" s="16" t="n">
        <v>0</v>
      </c>
      <c r="N87" s="16" t="n">
        <v>0</v>
      </c>
      <c r="O87" s="16" t="n">
        <f aca="false">L87+M87+N87</f>
        <v>-0.0513709175646547</v>
      </c>
      <c r="P87" s="21" t="n">
        <f aca="false">P86*(1+O87)</f>
        <v>1.12055637184298</v>
      </c>
      <c r="Q87" s="21" t="n">
        <f aca="false">MAX($P$5:P87)</f>
        <v>1.70236321503605</v>
      </c>
      <c r="R87" s="16" t="n">
        <f aca="false">P87/Q87-1</f>
        <v>-0.341764224023573</v>
      </c>
      <c r="S87" s="16" t="n">
        <f aca="false">O87-Benchmark_RF!D87</f>
        <v>-0.0631444659328816</v>
      </c>
    </row>
    <row r="88" customFormat="false" ht="15" hidden="false" customHeight="true" outlineLevel="0" collapsed="false">
      <c r="A88" s="1" t="n">
        <v>91</v>
      </c>
      <c r="B88" s="13" t="n">
        <f aca="false">Returns!A92</f>
        <v>44743</v>
      </c>
      <c r="C88" s="17" t="n">
        <f aca="false">IF(Rankings!C89&lt;=2,1,0)</f>
        <v>1</v>
      </c>
      <c r="D88" s="17" t="n">
        <f aca="false">IF(Rankings!D89&lt;=2,1,0)</f>
        <v>0</v>
      </c>
      <c r="E88" s="17" t="n">
        <f aca="false">IF(Rankings!E89&lt;=2,1,0)</f>
        <v>0</v>
      </c>
      <c r="F88" s="17" t="n">
        <f aca="false">IF(Rankings!F89&lt;=2,1,0)</f>
        <v>0</v>
      </c>
      <c r="G88" s="17" t="n">
        <f aca="false">IF(Rankings!G89&lt;=2,1,0)</f>
        <v>0</v>
      </c>
      <c r="H88" s="17" t="n">
        <f aca="false">IF(Rankings!H89&lt;=2,1,0)</f>
        <v>0</v>
      </c>
      <c r="I88" s="17" t="n">
        <f aca="false">IF(Rankings!I89&lt;=2,1,0)</f>
        <v>1</v>
      </c>
      <c r="J88" s="17" t="n">
        <f aca="false">IF(Rankings!J89&lt;=2,1,0)</f>
        <v>0</v>
      </c>
      <c r="K88" s="20" t="n">
        <f aca="false">SUM(C88:J88)</f>
        <v>2</v>
      </c>
      <c r="L88" s="16" t="n">
        <f aca="false">SUMPRODUCT(C88:J88,Returns!B92:I92)/K88</f>
        <v>-0.00246432805920116</v>
      </c>
      <c r="M88" s="16" t="n">
        <v>0</v>
      </c>
      <c r="N88" s="16" t="n">
        <v>0</v>
      </c>
      <c r="O88" s="16" t="n">
        <f aca="false">L88+M88+N88</f>
        <v>-0.00246432805920116</v>
      </c>
      <c r="P88" s="21" t="n">
        <f aca="false">P87*(1+O88)</f>
        <v>1.11779495333393</v>
      </c>
      <c r="Q88" s="21" t="n">
        <f aca="false">MAX($P$5:P88)</f>
        <v>1.70236321503605</v>
      </c>
      <c r="R88" s="16" t="n">
        <f aca="false">P88/Q88-1</f>
        <v>-0.343386332915882</v>
      </c>
      <c r="S88" s="16" t="n">
        <f aca="false">O88-Benchmark_RF!D88</f>
        <v>-0.0146399591802608</v>
      </c>
    </row>
    <row r="89" customFormat="false" ht="15" hidden="false" customHeight="true" outlineLevel="0" collapsed="false">
      <c r="A89" s="1" t="n">
        <v>92</v>
      </c>
      <c r="B89" s="13" t="n">
        <f aca="false">Returns!A93</f>
        <v>44774</v>
      </c>
      <c r="C89" s="17" t="n">
        <f aca="false">IF(Rankings!C95&lt;=2,1,0)</f>
        <v>0</v>
      </c>
      <c r="D89" s="17" t="n">
        <f aca="false">IF(Rankings!D95&lt;=2,1,0)</f>
        <v>0</v>
      </c>
      <c r="E89" s="17" t="n">
        <f aca="false">IF(Rankings!E95&lt;=2,1,0)</f>
        <v>0</v>
      </c>
      <c r="F89" s="17" t="n">
        <f aca="false">IF(Rankings!F95&lt;=2,1,0)</f>
        <v>0</v>
      </c>
      <c r="G89" s="17" t="n">
        <f aca="false">IF(Rankings!G95&lt;=2,1,0)</f>
        <v>1</v>
      </c>
      <c r="H89" s="17" t="n">
        <f aca="false">IF(Rankings!H95&lt;=2,1,0)</f>
        <v>0</v>
      </c>
      <c r="I89" s="17" t="n">
        <f aca="false">IF(Rankings!I95&lt;=2,1,0)</f>
        <v>1</v>
      </c>
      <c r="J89" s="17" t="n">
        <f aca="false">IF(Rankings!J95&lt;=2,1,0)</f>
        <v>0</v>
      </c>
      <c r="K89" s="20" t="n">
        <f aca="false">SUM(C89:J89)</f>
        <v>2</v>
      </c>
      <c r="L89" s="16" t="n">
        <f aca="false">SUMPRODUCT(C89:J89,Returns!B93:I93)/K89</f>
        <v>0.16547020445783</v>
      </c>
      <c r="M89" s="16" t="n">
        <f aca="false">-2*Assumptions!$B$13</f>
        <v>-0.007</v>
      </c>
      <c r="N89" s="16" t="n">
        <f aca="false">-Assumptions!$B$16*MAX(0,(1+O83)*(1+O84)*(1+O85)*(1+O86)*(1+O87)*(1+O88)-1)</f>
        <v>-0</v>
      </c>
      <c r="O89" s="16" t="n">
        <f aca="false">L89+M89+N89</f>
        <v>0.15847020445783</v>
      </c>
      <c r="P89" s="21" t="n">
        <f aca="false">P88*(1+O89)</f>
        <v>1.29493214813069</v>
      </c>
      <c r="Q89" s="21" t="n">
        <f aca="false">MAX($P$5:P89)</f>
        <v>1.70236321503605</v>
      </c>
      <c r="R89" s="16" t="n">
        <f aca="false">P89/Q89-1</f>
        <v>-0.239332630843256</v>
      </c>
      <c r="S89" s="16" t="n">
        <f aca="false">O89-Benchmark_RF!D89</f>
        <v>0.146221655794666</v>
      </c>
    </row>
    <row r="90" customFormat="false" ht="15" hidden="false" customHeight="true" outlineLevel="0" collapsed="false">
      <c r="A90" s="1" t="n">
        <v>93</v>
      </c>
      <c r="B90" s="13" t="n">
        <f aca="false">Returns!A94</f>
        <v>44805</v>
      </c>
      <c r="C90" s="17" t="n">
        <f aca="false">IF(Rankings!C95&lt;=2,1,0)</f>
        <v>0</v>
      </c>
      <c r="D90" s="17" t="n">
        <f aca="false">IF(Rankings!D95&lt;=2,1,0)</f>
        <v>0</v>
      </c>
      <c r="E90" s="17" t="n">
        <f aca="false">IF(Rankings!E95&lt;=2,1,0)</f>
        <v>0</v>
      </c>
      <c r="F90" s="17" t="n">
        <f aca="false">IF(Rankings!F95&lt;=2,1,0)</f>
        <v>0</v>
      </c>
      <c r="G90" s="17" t="n">
        <f aca="false">IF(Rankings!G95&lt;=2,1,0)</f>
        <v>1</v>
      </c>
      <c r="H90" s="17" t="n">
        <f aca="false">IF(Rankings!H95&lt;=2,1,0)</f>
        <v>0</v>
      </c>
      <c r="I90" s="17" t="n">
        <f aca="false">IF(Rankings!I95&lt;=2,1,0)</f>
        <v>1</v>
      </c>
      <c r="J90" s="17" t="n">
        <f aca="false">IF(Rankings!J95&lt;=2,1,0)</f>
        <v>0</v>
      </c>
      <c r="K90" s="20" t="n">
        <f aca="false">SUM(C90:J90)</f>
        <v>2</v>
      </c>
      <c r="L90" s="16" t="n">
        <f aca="false">SUMPRODUCT(C90:J90,Returns!B94:I94)/K90</f>
        <v>-0.0625476574393502</v>
      </c>
      <c r="M90" s="16" t="n">
        <v>0</v>
      </c>
      <c r="N90" s="16" t="n">
        <v>0</v>
      </c>
      <c r="O90" s="16" t="n">
        <f aca="false">L90+M90+N90</f>
        <v>-0.0625476574393502</v>
      </c>
      <c r="P90" s="21" t="n">
        <f aca="false">P89*(1+O90)</f>
        <v>1.21393717572221</v>
      </c>
      <c r="Q90" s="21" t="n">
        <f aca="false">MAX($P$5:P90)</f>
        <v>1.70236321503605</v>
      </c>
      <c r="R90" s="16" t="n">
        <f aca="false">P90/Q90-1</f>
        <v>-0.286910592874563</v>
      </c>
      <c r="S90" s="16" t="n">
        <f aca="false">O90-Benchmark_RF!D90</f>
        <v>-0.0749709728339039</v>
      </c>
    </row>
    <row r="91" customFormat="false" ht="15" hidden="false" customHeight="true" outlineLevel="0" collapsed="false">
      <c r="A91" s="1" t="n">
        <v>94</v>
      </c>
      <c r="B91" s="13" t="n">
        <f aca="false">Returns!A95</f>
        <v>44835</v>
      </c>
      <c r="C91" s="17" t="n">
        <f aca="false">IF(Rankings!C95&lt;=2,1,0)</f>
        <v>0</v>
      </c>
      <c r="D91" s="17" t="n">
        <f aca="false">IF(Rankings!D95&lt;=2,1,0)</f>
        <v>0</v>
      </c>
      <c r="E91" s="17" t="n">
        <f aca="false">IF(Rankings!E95&lt;=2,1,0)</f>
        <v>0</v>
      </c>
      <c r="F91" s="17" t="n">
        <f aca="false">IF(Rankings!F95&lt;=2,1,0)</f>
        <v>0</v>
      </c>
      <c r="G91" s="17" t="n">
        <f aca="false">IF(Rankings!G95&lt;=2,1,0)</f>
        <v>1</v>
      </c>
      <c r="H91" s="17" t="n">
        <f aca="false">IF(Rankings!H95&lt;=2,1,0)</f>
        <v>0</v>
      </c>
      <c r="I91" s="17" t="n">
        <f aca="false">IF(Rankings!I95&lt;=2,1,0)</f>
        <v>1</v>
      </c>
      <c r="J91" s="17" t="n">
        <f aca="false">IF(Rankings!J95&lt;=2,1,0)</f>
        <v>0</v>
      </c>
      <c r="K91" s="20" t="n">
        <f aca="false">SUM(C91:J91)</f>
        <v>2</v>
      </c>
      <c r="L91" s="16" t="n">
        <f aca="false">SUMPRODUCT(C91:J91,Returns!B95:I95)/K91</f>
        <v>-0.0774499480797636</v>
      </c>
      <c r="M91" s="16" t="n">
        <v>0</v>
      </c>
      <c r="N91" s="16" t="n">
        <v>0</v>
      </c>
      <c r="O91" s="16" t="n">
        <f aca="false">L91+M91+N91</f>
        <v>-0.0774499480797636</v>
      </c>
      <c r="P91" s="21" t="n">
        <f aca="false">P90*(1+O91)</f>
        <v>1.11991780449043</v>
      </c>
      <c r="Q91" s="21" t="n">
        <f aca="false">MAX($P$5:P91)</f>
        <v>1.70236321503605</v>
      </c>
      <c r="R91" s="16" t="n">
        <f aca="false">P91/Q91-1</f>
        <v>-0.342139330432658</v>
      </c>
      <c r="S91" s="16" t="n">
        <f aca="false">O91-Benchmark_RF!D91</f>
        <v>-0.0896547531517707</v>
      </c>
    </row>
    <row r="92" customFormat="false" ht="15" hidden="false" customHeight="true" outlineLevel="0" collapsed="false">
      <c r="A92" s="1" t="n">
        <v>95</v>
      </c>
      <c r="B92" s="13" t="n">
        <f aca="false">Returns!A96</f>
        <v>44866</v>
      </c>
      <c r="C92" s="17" t="n">
        <f aca="false">IF(Rankings!C95&lt;=2,1,0)</f>
        <v>0</v>
      </c>
      <c r="D92" s="17" t="n">
        <f aca="false">IF(Rankings!D95&lt;=2,1,0)</f>
        <v>0</v>
      </c>
      <c r="E92" s="17" t="n">
        <f aca="false">IF(Rankings!E95&lt;=2,1,0)</f>
        <v>0</v>
      </c>
      <c r="F92" s="17" t="n">
        <f aca="false">IF(Rankings!F95&lt;=2,1,0)</f>
        <v>0</v>
      </c>
      <c r="G92" s="17" t="n">
        <f aca="false">IF(Rankings!G95&lt;=2,1,0)</f>
        <v>1</v>
      </c>
      <c r="H92" s="17" t="n">
        <f aca="false">IF(Rankings!H95&lt;=2,1,0)</f>
        <v>0</v>
      </c>
      <c r="I92" s="17" t="n">
        <f aca="false">IF(Rankings!I95&lt;=2,1,0)</f>
        <v>1</v>
      </c>
      <c r="J92" s="17" t="n">
        <f aca="false">IF(Rankings!J95&lt;=2,1,0)</f>
        <v>0</v>
      </c>
      <c r="K92" s="20" t="n">
        <f aca="false">SUM(C92:J92)</f>
        <v>2</v>
      </c>
      <c r="L92" s="16" t="n">
        <f aca="false">SUMPRODUCT(C92:J92,Returns!B96:I96)/K92</f>
        <v>0.054530774812676</v>
      </c>
      <c r="M92" s="16" t="n">
        <v>0</v>
      </c>
      <c r="N92" s="16" t="n">
        <v>0</v>
      </c>
      <c r="O92" s="16" t="n">
        <f aca="false">L92+M92+N92</f>
        <v>0.054530774812676</v>
      </c>
      <c r="P92" s="21" t="n">
        <f aca="false">P91*(1+O92)</f>
        <v>1.1809877900958</v>
      </c>
      <c r="Q92" s="21" t="n">
        <f aca="false">MAX($P$5:P92)</f>
        <v>1.70236321503605</v>
      </c>
      <c r="R92" s="16" t="n">
        <f aca="false">P92/Q92-1</f>
        <v>-0.306265678402365</v>
      </c>
      <c r="S92" s="16" t="n">
        <f aca="false">O92-Benchmark_RF!D92</f>
        <v>0.0414478001085441</v>
      </c>
    </row>
    <row r="93" customFormat="false" ht="15" hidden="false" customHeight="true" outlineLevel="0" collapsed="false">
      <c r="A93" s="1" t="n">
        <v>96</v>
      </c>
      <c r="B93" s="13" t="n">
        <f aca="false">Returns!A97</f>
        <v>44896</v>
      </c>
      <c r="C93" s="17" t="n">
        <f aca="false">IF(Rankings!C95&lt;=2,1,0)</f>
        <v>0</v>
      </c>
      <c r="D93" s="17" t="n">
        <f aca="false">IF(Rankings!D95&lt;=2,1,0)</f>
        <v>0</v>
      </c>
      <c r="E93" s="17" t="n">
        <f aca="false">IF(Rankings!E95&lt;=2,1,0)</f>
        <v>0</v>
      </c>
      <c r="F93" s="17" t="n">
        <f aca="false">IF(Rankings!F95&lt;=2,1,0)</f>
        <v>0</v>
      </c>
      <c r="G93" s="17" t="n">
        <f aca="false">IF(Rankings!G95&lt;=2,1,0)</f>
        <v>1</v>
      </c>
      <c r="H93" s="17" t="n">
        <f aca="false">IF(Rankings!H95&lt;=2,1,0)</f>
        <v>0</v>
      </c>
      <c r="I93" s="17" t="n">
        <f aca="false">IF(Rankings!I95&lt;=2,1,0)</f>
        <v>1</v>
      </c>
      <c r="J93" s="17" t="n">
        <f aca="false">IF(Rankings!J95&lt;=2,1,0)</f>
        <v>0</v>
      </c>
      <c r="K93" s="20" t="n">
        <f aca="false">SUM(C93:J93)</f>
        <v>2</v>
      </c>
      <c r="L93" s="16" t="n">
        <f aca="false">SUMPRODUCT(C93:J93,Returns!B97:I97)/K93</f>
        <v>-0.115646264644338</v>
      </c>
      <c r="M93" s="16" t="n">
        <v>0</v>
      </c>
      <c r="N93" s="16" t="n">
        <v>0</v>
      </c>
      <c r="O93" s="16" t="n">
        <f aca="false">L93+M93+N93</f>
        <v>-0.115646264644338</v>
      </c>
      <c r="P93" s="21" t="n">
        <f aca="false">P92*(1+O93)</f>
        <v>1.04441096358065</v>
      </c>
      <c r="Q93" s="21" t="n">
        <f aca="false">MAX($P$5:P93)</f>
        <v>1.70236321503605</v>
      </c>
      <c r="R93" s="16" t="n">
        <f aca="false">P93/Q93-1</f>
        <v>-0.386493461350705</v>
      </c>
      <c r="S93" s="16" t="n">
        <f aca="false">O93-Benchmark_RF!D93</f>
        <v>-0.128787006020684</v>
      </c>
    </row>
    <row r="94" customFormat="false" ht="15" hidden="false" customHeight="true" outlineLevel="0" collapsed="false">
      <c r="A94" s="1" t="n">
        <v>97</v>
      </c>
      <c r="B94" s="13" t="n">
        <f aca="false">Returns!A98</f>
        <v>44927</v>
      </c>
      <c r="C94" s="17" t="n">
        <f aca="false">IF(Rankings!C95&lt;=2,1,0)</f>
        <v>0</v>
      </c>
      <c r="D94" s="17" t="n">
        <f aca="false">IF(Rankings!D95&lt;=2,1,0)</f>
        <v>0</v>
      </c>
      <c r="E94" s="17" t="n">
        <f aca="false">IF(Rankings!E95&lt;=2,1,0)</f>
        <v>0</v>
      </c>
      <c r="F94" s="17" t="n">
        <f aca="false">IF(Rankings!F95&lt;=2,1,0)</f>
        <v>0</v>
      </c>
      <c r="G94" s="17" t="n">
        <f aca="false">IF(Rankings!G95&lt;=2,1,0)</f>
        <v>1</v>
      </c>
      <c r="H94" s="17" t="n">
        <f aca="false">IF(Rankings!H95&lt;=2,1,0)</f>
        <v>0</v>
      </c>
      <c r="I94" s="17" t="n">
        <f aca="false">IF(Rankings!I95&lt;=2,1,0)</f>
        <v>1</v>
      </c>
      <c r="J94" s="17" t="n">
        <f aca="false">IF(Rankings!J95&lt;=2,1,0)</f>
        <v>0</v>
      </c>
      <c r="K94" s="20" t="n">
        <f aca="false">SUM(C94:J94)</f>
        <v>2</v>
      </c>
      <c r="L94" s="16" t="n">
        <f aca="false">SUMPRODUCT(C94:J94,Returns!B98:I98)/K94</f>
        <v>-0.0445821991179786</v>
      </c>
      <c r="M94" s="16" t="n">
        <v>0</v>
      </c>
      <c r="N94" s="16" t="n">
        <v>0</v>
      </c>
      <c r="O94" s="16" t="n">
        <f aca="false">L94+M94+N94</f>
        <v>-0.0445821991179786</v>
      </c>
      <c r="P94" s="21" t="n">
        <f aca="false">P93*(1+O94)</f>
        <v>0.997848826041297</v>
      </c>
      <c r="Q94" s="21" t="n">
        <f aca="false">MAX($P$5:P94)</f>
        <v>1.70236321503605</v>
      </c>
      <c r="R94" s="16" t="n">
        <f aca="false">P94/Q94-1</f>
        <v>-0.41384493201695</v>
      </c>
      <c r="S94" s="16" t="n">
        <f aca="false">O94-Benchmark_RF!D94</f>
        <v>-0.0583416551463082</v>
      </c>
    </row>
    <row r="95" customFormat="false" ht="15" hidden="false" customHeight="true" outlineLevel="0" collapsed="false">
      <c r="A95" s="1" t="n">
        <v>98</v>
      </c>
      <c r="B95" s="13" t="n">
        <f aca="false">Returns!A99</f>
        <v>44958</v>
      </c>
      <c r="C95" s="17" t="n">
        <f aca="false">IF(Rankings!C101&lt;=2,1,0)</f>
        <v>0</v>
      </c>
      <c r="D95" s="17" t="n">
        <f aca="false">IF(Rankings!D101&lt;=2,1,0)</f>
        <v>1</v>
      </c>
      <c r="E95" s="17" t="n">
        <f aca="false">IF(Rankings!E101&lt;=2,1,0)</f>
        <v>0</v>
      </c>
      <c r="F95" s="17" t="n">
        <f aca="false">IF(Rankings!F101&lt;=2,1,0)</f>
        <v>0</v>
      </c>
      <c r="G95" s="17" t="n">
        <f aca="false">IF(Rankings!G101&lt;=2,1,0)</f>
        <v>0</v>
      </c>
      <c r="H95" s="17" t="n">
        <f aca="false">IF(Rankings!H101&lt;=2,1,0)</f>
        <v>0</v>
      </c>
      <c r="I95" s="17" t="n">
        <f aca="false">IF(Rankings!I101&lt;=2,1,0)</f>
        <v>0</v>
      </c>
      <c r="J95" s="17" t="n">
        <f aca="false">IF(Rankings!J101&lt;=2,1,0)</f>
        <v>1</v>
      </c>
      <c r="K95" s="20" t="n">
        <f aca="false">SUM(C95:J95)</f>
        <v>2</v>
      </c>
      <c r="L95" s="16" t="n">
        <f aca="false">SUMPRODUCT(C95:J95,Returns!B99:I99)/K95</f>
        <v>-0.0136139334923943</v>
      </c>
      <c r="M95" s="16" t="n">
        <f aca="false">-2*Assumptions!$B$13</f>
        <v>-0.007</v>
      </c>
      <c r="N95" s="16" t="n">
        <f aca="false">-Assumptions!$B$16*MAX(0,(1+O89)*(1+O90)*(1+O91)*(1+O92)*(1+O93)*(1+O94)-1)</f>
        <v>-0</v>
      </c>
      <c r="O95" s="16" t="n">
        <f aca="false">L95+M95+N95</f>
        <v>-0.0206139334923943</v>
      </c>
      <c r="P95" s="21" t="n">
        <f aca="false">P94*(1+O95)</f>
        <v>0.977279236705818</v>
      </c>
      <c r="Q95" s="21" t="n">
        <f aca="false">MAX($P$5:P95)</f>
        <v>1.70236321503605</v>
      </c>
      <c r="R95" s="16" t="n">
        <f aca="false">P95/Q95-1</f>
        <v>-0.425927893604582</v>
      </c>
      <c r="S95" s="16" t="n">
        <f aca="false">O95-Benchmark_RF!D95</f>
        <v>-0.0354072577951828</v>
      </c>
    </row>
    <row r="96" customFormat="false" ht="15" hidden="false" customHeight="true" outlineLevel="0" collapsed="false">
      <c r="A96" s="1" t="n">
        <v>99</v>
      </c>
      <c r="B96" s="13" t="n">
        <f aca="false">Returns!A100</f>
        <v>44986</v>
      </c>
      <c r="C96" s="17" t="n">
        <f aca="false">IF(Rankings!C101&lt;=2,1,0)</f>
        <v>0</v>
      </c>
      <c r="D96" s="17" t="n">
        <f aca="false">IF(Rankings!D101&lt;=2,1,0)</f>
        <v>1</v>
      </c>
      <c r="E96" s="17" t="n">
        <f aca="false">IF(Rankings!E101&lt;=2,1,0)</f>
        <v>0</v>
      </c>
      <c r="F96" s="17" t="n">
        <f aca="false">IF(Rankings!F101&lt;=2,1,0)</f>
        <v>0</v>
      </c>
      <c r="G96" s="17" t="n">
        <f aca="false">IF(Rankings!G101&lt;=2,1,0)</f>
        <v>0</v>
      </c>
      <c r="H96" s="17" t="n">
        <f aca="false">IF(Rankings!H101&lt;=2,1,0)</f>
        <v>0</v>
      </c>
      <c r="I96" s="17" t="n">
        <f aca="false">IF(Rankings!I101&lt;=2,1,0)</f>
        <v>0</v>
      </c>
      <c r="J96" s="17" t="n">
        <f aca="false">IF(Rankings!J101&lt;=2,1,0)</f>
        <v>1</v>
      </c>
      <c r="K96" s="20" t="n">
        <f aca="false">SUM(C96:J96)</f>
        <v>2</v>
      </c>
      <c r="L96" s="16" t="n">
        <f aca="false">SUMPRODUCT(C96:J96,Returns!B100:I100)/K96</f>
        <v>0.0284629738119895</v>
      </c>
      <c r="M96" s="16" t="n">
        <v>0</v>
      </c>
      <c r="N96" s="16" t="n">
        <v>0</v>
      </c>
      <c r="O96" s="16" t="n">
        <f aca="false">L96+M96+N96</f>
        <v>0.0284629738119895</v>
      </c>
      <c r="P96" s="21" t="n">
        <f aca="false">P95*(1+O96)</f>
        <v>1.00509551002718</v>
      </c>
      <c r="Q96" s="21" t="n">
        <f aca="false">MAX($P$5:P96)</f>
        <v>1.70236321503605</v>
      </c>
      <c r="R96" s="16" t="n">
        <f aca="false">P96/Q96-1</f>
        <v>-0.409588094274056</v>
      </c>
      <c r="S96" s="16" t="n">
        <f aca="false">O96-Benchmark_RF!D96</f>
        <v>0.0124091316159117</v>
      </c>
    </row>
    <row r="97" customFormat="false" ht="15" hidden="false" customHeight="true" outlineLevel="0" collapsed="false">
      <c r="A97" s="1" t="n">
        <v>100</v>
      </c>
      <c r="B97" s="13" t="n">
        <f aca="false">Returns!A101</f>
        <v>45017</v>
      </c>
      <c r="C97" s="17" t="n">
        <f aca="false">IF(Rankings!C101&lt;=2,1,0)</f>
        <v>0</v>
      </c>
      <c r="D97" s="17" t="n">
        <f aca="false">IF(Rankings!D101&lt;=2,1,0)</f>
        <v>1</v>
      </c>
      <c r="E97" s="17" t="n">
        <f aca="false">IF(Rankings!E101&lt;=2,1,0)</f>
        <v>0</v>
      </c>
      <c r="F97" s="17" t="n">
        <f aca="false">IF(Rankings!F101&lt;=2,1,0)</f>
        <v>0</v>
      </c>
      <c r="G97" s="17" t="n">
        <f aca="false">IF(Rankings!G101&lt;=2,1,0)</f>
        <v>0</v>
      </c>
      <c r="H97" s="17" t="n">
        <f aca="false">IF(Rankings!H101&lt;=2,1,0)</f>
        <v>0</v>
      </c>
      <c r="I97" s="17" t="n">
        <f aca="false">IF(Rankings!I101&lt;=2,1,0)</f>
        <v>0</v>
      </c>
      <c r="J97" s="17" t="n">
        <f aca="false">IF(Rankings!J101&lt;=2,1,0)</f>
        <v>1</v>
      </c>
      <c r="K97" s="20" t="n">
        <f aca="false">SUM(C97:J97)</f>
        <v>2</v>
      </c>
      <c r="L97" s="16" t="n">
        <f aca="false">SUMPRODUCT(C97:J97,Returns!B101:I101)/K97</f>
        <v>0.0465493579348528</v>
      </c>
      <c r="M97" s="16" t="n">
        <v>0</v>
      </c>
      <c r="N97" s="16" t="n">
        <v>0</v>
      </c>
      <c r="O97" s="16" t="n">
        <f aca="false">L97+M97+N97</f>
        <v>0.0465493579348528</v>
      </c>
      <c r="P97" s="21" t="n">
        <f aca="false">P96*(1+O97)</f>
        <v>1.05188206068215</v>
      </c>
      <c r="Q97" s="21" t="n">
        <f aca="false">MAX($P$5:P97)</f>
        <v>1.70236321503605</v>
      </c>
      <c r="R97" s="16" t="n">
        <f aca="false">P97/Q97-1</f>
        <v>-0.38210479914542</v>
      </c>
      <c r="S97" s="16" t="n">
        <f aca="false">O97-Benchmark_RF!D97</f>
        <v>0.029854284572161</v>
      </c>
    </row>
    <row r="98" customFormat="false" ht="15" hidden="false" customHeight="true" outlineLevel="0" collapsed="false">
      <c r="A98" s="1" t="n">
        <v>101</v>
      </c>
      <c r="B98" s="13" t="n">
        <f aca="false">Returns!A102</f>
        <v>45047</v>
      </c>
      <c r="C98" s="17" t="n">
        <f aca="false">IF(Rankings!C101&lt;=2,1,0)</f>
        <v>0</v>
      </c>
      <c r="D98" s="17" t="n">
        <f aca="false">IF(Rankings!D101&lt;=2,1,0)</f>
        <v>1</v>
      </c>
      <c r="E98" s="17" t="n">
        <f aca="false">IF(Rankings!E101&lt;=2,1,0)</f>
        <v>0</v>
      </c>
      <c r="F98" s="17" t="n">
        <f aca="false">IF(Rankings!F101&lt;=2,1,0)</f>
        <v>0</v>
      </c>
      <c r="G98" s="17" t="n">
        <f aca="false">IF(Rankings!G101&lt;=2,1,0)</f>
        <v>0</v>
      </c>
      <c r="H98" s="17" t="n">
        <f aca="false">IF(Rankings!H101&lt;=2,1,0)</f>
        <v>0</v>
      </c>
      <c r="I98" s="17" t="n">
        <f aca="false">IF(Rankings!I101&lt;=2,1,0)</f>
        <v>0</v>
      </c>
      <c r="J98" s="17" t="n">
        <f aca="false">IF(Rankings!J101&lt;=2,1,0)</f>
        <v>1</v>
      </c>
      <c r="K98" s="20" t="n">
        <f aca="false">SUM(C98:J98)</f>
        <v>2</v>
      </c>
      <c r="L98" s="16" t="n">
        <f aca="false">SUMPRODUCT(C98:J98,Returns!B102:I102)/K98</f>
        <v>-0.0676617885031399</v>
      </c>
      <c r="M98" s="16" t="n">
        <v>0</v>
      </c>
      <c r="N98" s="16" t="n">
        <v>0</v>
      </c>
      <c r="O98" s="16" t="n">
        <f aca="false">L98+M98+N98</f>
        <v>-0.0676617885031399</v>
      </c>
      <c r="P98" s="21" t="n">
        <f aca="false">P97*(1+O98)</f>
        <v>0.980709839162023</v>
      </c>
      <c r="Q98" s="21" t="n">
        <f aca="false">MAX($P$5:P98)</f>
        <v>1.70236321503605</v>
      </c>
      <c r="R98" s="16" t="n">
        <f aca="false">P98/Q98-1</f>
        <v>-0.423912693542748</v>
      </c>
      <c r="S98" s="16" t="n">
        <f aca="false">O98-Benchmark_RF!D98</f>
        <v>-0.0843568618658317</v>
      </c>
    </row>
    <row r="99" customFormat="false" ht="15" hidden="false" customHeight="true" outlineLevel="0" collapsed="false">
      <c r="A99" s="1" t="n">
        <v>102</v>
      </c>
      <c r="B99" s="13" t="n">
        <f aca="false">Returns!A103</f>
        <v>45078</v>
      </c>
      <c r="C99" s="17" t="n">
        <f aca="false">IF(Rankings!C101&lt;=2,1,0)</f>
        <v>0</v>
      </c>
      <c r="D99" s="17" t="n">
        <f aca="false">IF(Rankings!D101&lt;=2,1,0)</f>
        <v>1</v>
      </c>
      <c r="E99" s="17" t="n">
        <f aca="false">IF(Rankings!E101&lt;=2,1,0)</f>
        <v>0</v>
      </c>
      <c r="F99" s="17" t="n">
        <f aca="false">IF(Rankings!F101&lt;=2,1,0)</f>
        <v>0</v>
      </c>
      <c r="G99" s="17" t="n">
        <f aca="false">IF(Rankings!G101&lt;=2,1,0)</f>
        <v>0</v>
      </c>
      <c r="H99" s="17" t="n">
        <f aca="false">IF(Rankings!H101&lt;=2,1,0)</f>
        <v>0</v>
      </c>
      <c r="I99" s="17" t="n">
        <f aca="false">IF(Rankings!I101&lt;=2,1,0)</f>
        <v>0</v>
      </c>
      <c r="J99" s="17" t="n">
        <f aca="false">IF(Rankings!J101&lt;=2,1,0)</f>
        <v>1</v>
      </c>
      <c r="K99" s="20" t="n">
        <f aca="false">SUM(C99:J99)</f>
        <v>2</v>
      </c>
      <c r="L99" s="16" t="n">
        <f aca="false">SUMPRODUCT(C99:J99,Returns!B103:I103)/K99</f>
        <v>-0.0264400541465404</v>
      </c>
      <c r="M99" s="16" t="n">
        <v>0</v>
      </c>
      <c r="N99" s="16" t="n">
        <v>0</v>
      </c>
      <c r="O99" s="16" t="n">
        <f aca="false">L99+M99+N99</f>
        <v>-0.0264400541465404</v>
      </c>
      <c r="P99" s="21" t="n">
        <f aca="false">P98*(1+O99)</f>
        <v>0.954779817912534</v>
      </c>
      <c r="Q99" s="21" t="n">
        <f aca="false">MAX($P$5:P99)</f>
        <v>1.70236321503605</v>
      </c>
      <c r="R99" s="16" t="n">
        <f aca="false">P99/Q99-1</f>
        <v>-0.439144473118613</v>
      </c>
      <c r="S99" s="16" t="n">
        <f aca="false">O99-Benchmark_RF!D99</f>
        <v>-0.0431420730253933</v>
      </c>
    </row>
    <row r="100" customFormat="false" ht="15" hidden="false" customHeight="true" outlineLevel="0" collapsed="false">
      <c r="A100" s="1" t="n">
        <v>103</v>
      </c>
      <c r="B100" s="13" t="n">
        <f aca="false">Returns!A104</f>
        <v>45108</v>
      </c>
      <c r="C100" s="17" t="n">
        <f aca="false">IF(Rankings!C101&lt;=2,1,0)</f>
        <v>0</v>
      </c>
      <c r="D100" s="17" t="n">
        <f aca="false">IF(Rankings!D101&lt;=2,1,0)</f>
        <v>1</v>
      </c>
      <c r="E100" s="17" t="n">
        <f aca="false">IF(Rankings!E101&lt;=2,1,0)</f>
        <v>0</v>
      </c>
      <c r="F100" s="17" t="n">
        <f aca="false">IF(Rankings!F101&lt;=2,1,0)</f>
        <v>0</v>
      </c>
      <c r="G100" s="17" t="n">
        <f aca="false">IF(Rankings!G101&lt;=2,1,0)</f>
        <v>0</v>
      </c>
      <c r="H100" s="17" t="n">
        <f aca="false">IF(Rankings!H101&lt;=2,1,0)</f>
        <v>0</v>
      </c>
      <c r="I100" s="17" t="n">
        <f aca="false">IF(Rankings!I101&lt;=2,1,0)</f>
        <v>0</v>
      </c>
      <c r="J100" s="17" t="n">
        <f aca="false">IF(Rankings!J101&lt;=2,1,0)</f>
        <v>1</v>
      </c>
      <c r="K100" s="20" t="n">
        <f aca="false">SUM(C100:J100)</f>
        <v>2</v>
      </c>
      <c r="L100" s="16" t="n">
        <f aca="false">SUMPRODUCT(C100:J100,Returns!B104:I104)/K100</f>
        <v>0.299463236741358</v>
      </c>
      <c r="M100" s="16" t="n">
        <v>0</v>
      </c>
      <c r="N100" s="16" t="n">
        <v>0</v>
      </c>
      <c r="O100" s="16" t="n">
        <f aca="false">L100+M100+N100</f>
        <v>0.299463236741358</v>
      </c>
      <c r="P100" s="21" t="n">
        <f aca="false">P99*(1+O100)</f>
        <v>1.24070127255995</v>
      </c>
      <c r="Q100" s="21" t="n">
        <f aca="false">MAX($P$5:P100)</f>
        <v>1.70236321503605</v>
      </c>
      <c r="R100" s="16" t="n">
        <f aca="false">P100/Q100-1</f>
        <v>-0.271188861694432</v>
      </c>
      <c r="S100" s="16" t="n">
        <f aca="false">O100-Benchmark_RF!D100</f>
        <v>0.282133143787564</v>
      </c>
    </row>
    <row r="101" customFormat="false" ht="15" hidden="false" customHeight="true" outlineLevel="0" collapsed="false">
      <c r="A101" s="1" t="n">
        <v>104</v>
      </c>
      <c r="B101" s="13" t="n">
        <f aca="false">Returns!A105</f>
        <v>45139</v>
      </c>
      <c r="C101" s="17" t="n">
        <f aca="false">IF(Rankings!C107&lt;=2,1,0)</f>
        <v>0</v>
      </c>
      <c r="D101" s="17" t="n">
        <f aca="false">IF(Rankings!D107&lt;=2,1,0)</f>
        <v>0</v>
      </c>
      <c r="E101" s="17" t="n">
        <f aca="false">IF(Rankings!E107&lt;=2,1,0)</f>
        <v>0</v>
      </c>
      <c r="F101" s="17" t="n">
        <f aca="false">IF(Rankings!F107&lt;=2,1,0)</f>
        <v>1</v>
      </c>
      <c r="G101" s="17" t="n">
        <f aca="false">IF(Rankings!G107&lt;=2,1,0)</f>
        <v>0</v>
      </c>
      <c r="H101" s="17" t="n">
        <f aca="false">IF(Rankings!H107&lt;=2,1,0)</f>
        <v>1</v>
      </c>
      <c r="I101" s="17" t="n">
        <f aca="false">IF(Rankings!I107&lt;=2,1,0)</f>
        <v>0</v>
      </c>
      <c r="J101" s="17" t="n">
        <f aca="false">IF(Rankings!J107&lt;=2,1,0)</f>
        <v>0</v>
      </c>
      <c r="K101" s="20" t="n">
        <f aca="false">SUM(C101:J101)</f>
        <v>2</v>
      </c>
      <c r="L101" s="16" t="n">
        <f aca="false">SUMPRODUCT(C101:J101,Returns!B105:I105)/K101</f>
        <v>-0.0915816516094754</v>
      </c>
      <c r="M101" s="16" t="n">
        <f aca="false">-2*Assumptions!$B$13</f>
        <v>-0.007</v>
      </c>
      <c r="N101" s="16" t="n">
        <f aca="false">-Assumptions!$B$16*MAX(0,(1+O95)*(1+O96)*(1+O97)*(1+O98)*(1+O99)*(1+O100)-1)</f>
        <v>-0.0365063985917741</v>
      </c>
      <c r="O101" s="16" t="n">
        <f aca="false">L101+M101+N101</f>
        <v>-0.135088050201249</v>
      </c>
      <c r="P101" s="21" t="n">
        <f aca="false">P100*(1+O101)</f>
        <v>1.07309735676761</v>
      </c>
      <c r="Q101" s="21" t="n">
        <f aca="false">MAX($P$5:P101)</f>
        <v>1.70236321503605</v>
      </c>
      <c r="R101" s="16" t="n">
        <f aca="false">P101/Q101-1</f>
        <v>-0.369642537333085</v>
      </c>
      <c r="S101" s="16" t="n">
        <f aca="false">O101-Benchmark_RF!D101</f>
        <v>-0.152399240060974</v>
      </c>
    </row>
    <row r="102" customFormat="false" ht="15" hidden="false" customHeight="true" outlineLevel="0" collapsed="false">
      <c r="A102" s="1" t="n">
        <v>105</v>
      </c>
      <c r="B102" s="13" t="n">
        <f aca="false">Returns!A106</f>
        <v>45170</v>
      </c>
      <c r="C102" s="17" t="n">
        <f aca="false">IF(Rankings!C107&lt;=2,1,0)</f>
        <v>0</v>
      </c>
      <c r="D102" s="17" t="n">
        <f aca="false">IF(Rankings!D107&lt;=2,1,0)</f>
        <v>0</v>
      </c>
      <c r="E102" s="17" t="n">
        <f aca="false">IF(Rankings!E107&lt;=2,1,0)</f>
        <v>0</v>
      </c>
      <c r="F102" s="17" t="n">
        <f aca="false">IF(Rankings!F107&lt;=2,1,0)</f>
        <v>1</v>
      </c>
      <c r="G102" s="17" t="n">
        <f aca="false">IF(Rankings!G107&lt;=2,1,0)</f>
        <v>0</v>
      </c>
      <c r="H102" s="17" t="n">
        <f aca="false">IF(Rankings!H107&lt;=2,1,0)</f>
        <v>1</v>
      </c>
      <c r="I102" s="17" t="n">
        <f aca="false">IF(Rankings!I107&lt;=2,1,0)</f>
        <v>0</v>
      </c>
      <c r="J102" s="17" t="n">
        <f aca="false">IF(Rankings!J107&lt;=2,1,0)</f>
        <v>0</v>
      </c>
      <c r="K102" s="20" t="n">
        <f aca="false">SUM(C102:J102)</f>
        <v>2</v>
      </c>
      <c r="L102" s="16" t="n">
        <f aca="false">SUMPRODUCT(C102:J102,Returns!B106:I106)/K102</f>
        <v>-0.00962572826770775</v>
      </c>
      <c r="M102" s="16" t="n">
        <v>0</v>
      </c>
      <c r="N102" s="16" t="n">
        <v>0</v>
      </c>
      <c r="O102" s="16" t="n">
        <f aca="false">L102+M102+N102</f>
        <v>-0.00962572826770775</v>
      </c>
      <c r="P102" s="21" t="n">
        <f aca="false">P101*(1+O102)</f>
        <v>1.06276801320657</v>
      </c>
      <c r="Q102" s="21" t="n">
        <f aca="false">MAX($P$5:P102)</f>
        <v>1.70236321503605</v>
      </c>
      <c r="R102" s="16" t="n">
        <f aca="false">P102/Q102-1</f>
        <v>-0.375710186980238</v>
      </c>
      <c r="S102" s="16" t="n">
        <f aca="false">O102-Benchmark_RF!D102</f>
        <v>-0.0268585049319715</v>
      </c>
    </row>
    <row r="103" customFormat="false" ht="15" hidden="false" customHeight="true" outlineLevel="0" collapsed="false">
      <c r="A103" s="1" t="n">
        <v>106</v>
      </c>
      <c r="B103" s="13" t="n">
        <f aca="false">Returns!A107</f>
        <v>45200</v>
      </c>
      <c r="C103" s="17" t="n">
        <f aca="false">IF(Rankings!C107&lt;=2,1,0)</f>
        <v>0</v>
      </c>
      <c r="D103" s="17" t="n">
        <f aca="false">IF(Rankings!D107&lt;=2,1,0)</f>
        <v>0</v>
      </c>
      <c r="E103" s="17" t="n">
        <f aca="false">IF(Rankings!E107&lt;=2,1,0)</f>
        <v>0</v>
      </c>
      <c r="F103" s="17" t="n">
        <f aca="false">IF(Rankings!F107&lt;=2,1,0)</f>
        <v>1</v>
      </c>
      <c r="G103" s="17" t="n">
        <f aca="false">IF(Rankings!G107&lt;=2,1,0)</f>
        <v>0</v>
      </c>
      <c r="H103" s="17" t="n">
        <f aca="false">IF(Rankings!H107&lt;=2,1,0)</f>
        <v>1</v>
      </c>
      <c r="I103" s="17" t="n">
        <f aca="false">IF(Rankings!I107&lt;=2,1,0)</f>
        <v>0</v>
      </c>
      <c r="J103" s="17" t="n">
        <f aca="false">IF(Rankings!J107&lt;=2,1,0)</f>
        <v>0</v>
      </c>
      <c r="K103" s="20" t="n">
        <f aca="false">SUM(C103:J103)</f>
        <v>2</v>
      </c>
      <c r="L103" s="16" t="n">
        <f aca="false">SUMPRODUCT(C103:J103,Returns!B107:I107)/K103</f>
        <v>0.145368252349384</v>
      </c>
      <c r="M103" s="16" t="n">
        <v>0</v>
      </c>
      <c r="N103" s="16" t="n">
        <v>0</v>
      </c>
      <c r="O103" s="16" t="n">
        <f aca="false">L103+M103+N103</f>
        <v>0.145368252349384</v>
      </c>
      <c r="P103" s="21" t="n">
        <f aca="false">P102*(1+O103)</f>
        <v>1.21726074193924</v>
      </c>
      <c r="Q103" s="21" t="n">
        <f aca="false">MAX($P$5:P103)</f>
        <v>1.70236321503605</v>
      </c>
      <c r="R103" s="16" t="n">
        <f aca="false">P103/Q103-1</f>
        <v>-0.284958267902031</v>
      </c>
      <c r="S103" s="16" t="n">
        <f aca="false">O103-Benchmark_RF!D103</f>
        <v>0.128562113308526</v>
      </c>
    </row>
    <row r="104" customFormat="false" ht="15" hidden="false" customHeight="true" outlineLevel="0" collapsed="false">
      <c r="A104" s="1" t="n">
        <v>107</v>
      </c>
      <c r="B104" s="13" t="n">
        <f aca="false">Returns!A108</f>
        <v>45231</v>
      </c>
      <c r="C104" s="17" t="n">
        <f aca="false">IF(Rankings!C107&lt;=2,1,0)</f>
        <v>0</v>
      </c>
      <c r="D104" s="17" t="n">
        <f aca="false">IF(Rankings!D107&lt;=2,1,0)</f>
        <v>0</v>
      </c>
      <c r="E104" s="17" t="n">
        <f aca="false">IF(Rankings!E107&lt;=2,1,0)</f>
        <v>0</v>
      </c>
      <c r="F104" s="17" t="n">
        <f aca="false">IF(Rankings!F107&lt;=2,1,0)</f>
        <v>1</v>
      </c>
      <c r="G104" s="17" t="n">
        <f aca="false">IF(Rankings!G107&lt;=2,1,0)</f>
        <v>0</v>
      </c>
      <c r="H104" s="17" t="n">
        <f aca="false">IF(Rankings!H107&lt;=2,1,0)</f>
        <v>1</v>
      </c>
      <c r="I104" s="17" t="n">
        <f aca="false">IF(Rankings!I107&lt;=2,1,0)</f>
        <v>0</v>
      </c>
      <c r="J104" s="17" t="n">
        <f aca="false">IF(Rankings!J107&lt;=2,1,0)</f>
        <v>0</v>
      </c>
      <c r="K104" s="20" t="n">
        <f aca="false">SUM(C104:J104)</f>
        <v>2</v>
      </c>
      <c r="L104" s="16" t="n">
        <f aca="false">SUMPRODUCT(C104:J104,Returns!B108:I108)/K104</f>
        <v>0.0918313541617543</v>
      </c>
      <c r="M104" s="16" t="n">
        <v>0</v>
      </c>
      <c r="N104" s="16" t="n">
        <v>0</v>
      </c>
      <c r="O104" s="16" t="n">
        <f aca="false">L104+M104+N104</f>
        <v>0.0918313541617543</v>
      </c>
      <c r="P104" s="21" t="n">
        <f aca="false">P103*(1+O104)</f>
        <v>1.32904344423946</v>
      </c>
      <c r="Q104" s="21" t="n">
        <f aca="false">MAX($P$5:P104)</f>
        <v>1.70236321503605</v>
      </c>
      <c r="R104" s="16" t="n">
        <f aca="false">P104/Q104-1</f>
        <v>-0.219295017361308</v>
      </c>
      <c r="S104" s="16" t="n">
        <f aca="false">O104-Benchmark_RF!D104</f>
        <v>0.0755818831224971</v>
      </c>
    </row>
    <row r="105" customFormat="false" ht="15" hidden="false" customHeight="true" outlineLevel="0" collapsed="false">
      <c r="A105" s="1" t="n">
        <v>108</v>
      </c>
      <c r="B105" s="13" t="n">
        <f aca="false">Returns!A109</f>
        <v>45261</v>
      </c>
      <c r="C105" s="17" t="n">
        <f aca="false">IF(Rankings!C107&lt;=2,1,0)</f>
        <v>0</v>
      </c>
      <c r="D105" s="17" t="n">
        <f aca="false">IF(Rankings!D107&lt;=2,1,0)</f>
        <v>0</v>
      </c>
      <c r="E105" s="17" t="n">
        <f aca="false">IF(Rankings!E107&lt;=2,1,0)</f>
        <v>0</v>
      </c>
      <c r="F105" s="17" t="n">
        <f aca="false">IF(Rankings!F107&lt;=2,1,0)</f>
        <v>1</v>
      </c>
      <c r="G105" s="17" t="n">
        <f aca="false">IF(Rankings!G107&lt;=2,1,0)</f>
        <v>0</v>
      </c>
      <c r="H105" s="17" t="n">
        <f aca="false">IF(Rankings!H107&lt;=2,1,0)</f>
        <v>1</v>
      </c>
      <c r="I105" s="17" t="n">
        <f aca="false">IF(Rankings!I107&lt;=2,1,0)</f>
        <v>0</v>
      </c>
      <c r="J105" s="17" t="n">
        <f aca="false">IF(Rankings!J107&lt;=2,1,0)</f>
        <v>0</v>
      </c>
      <c r="K105" s="20" t="n">
        <f aca="false">SUM(C105:J105)</f>
        <v>2</v>
      </c>
      <c r="L105" s="16" t="n">
        <f aca="false">SUMPRODUCT(C105:J105,Returns!B109:I109)/K105</f>
        <v>0.0190107028445456</v>
      </c>
      <c r="M105" s="16" t="n">
        <v>0</v>
      </c>
      <c r="N105" s="16" t="n">
        <v>0</v>
      </c>
      <c r="O105" s="16" t="n">
        <f aca="false">L105+M105+N105</f>
        <v>0.0190107028445456</v>
      </c>
      <c r="P105" s="21" t="n">
        <f aca="false">P104*(1+O105)</f>
        <v>1.35430949422539</v>
      </c>
      <c r="Q105" s="21" t="n">
        <f aca="false">MAX($P$5:P105)</f>
        <v>1.70236321503605</v>
      </c>
      <c r="R105" s="16" t="n">
        <f aca="false">P105/Q105-1</f>
        <v>-0.204453266927108</v>
      </c>
      <c r="S105" s="16" t="n">
        <f aca="false">O105-Benchmark_RF!D105</f>
        <v>0.00277519156370842</v>
      </c>
    </row>
    <row r="106" customFormat="false" ht="15" hidden="false" customHeight="true" outlineLevel="0" collapsed="false">
      <c r="A106" s="1" t="n">
        <v>109</v>
      </c>
      <c r="B106" s="13" t="n">
        <f aca="false">Returns!A110</f>
        <v>45292</v>
      </c>
      <c r="C106" s="17" t="n">
        <f aca="false">IF(Rankings!C107&lt;=2,1,0)</f>
        <v>0</v>
      </c>
      <c r="D106" s="17" t="n">
        <f aca="false">IF(Rankings!D107&lt;=2,1,0)</f>
        <v>0</v>
      </c>
      <c r="E106" s="17" t="n">
        <f aca="false">IF(Rankings!E107&lt;=2,1,0)</f>
        <v>0</v>
      </c>
      <c r="F106" s="17" t="n">
        <f aca="false">IF(Rankings!F107&lt;=2,1,0)</f>
        <v>1</v>
      </c>
      <c r="G106" s="17" t="n">
        <f aca="false">IF(Rankings!G107&lt;=2,1,0)</f>
        <v>0</v>
      </c>
      <c r="H106" s="17" t="n">
        <f aca="false">IF(Rankings!H107&lt;=2,1,0)</f>
        <v>1</v>
      </c>
      <c r="I106" s="17" t="n">
        <f aca="false">IF(Rankings!I107&lt;=2,1,0)</f>
        <v>0</v>
      </c>
      <c r="J106" s="17" t="n">
        <f aca="false">IF(Rankings!J107&lt;=2,1,0)</f>
        <v>0</v>
      </c>
      <c r="K106" s="20" t="n">
        <f aca="false">SUM(C106:J106)</f>
        <v>2</v>
      </c>
      <c r="L106" s="16" t="n">
        <f aca="false">SUMPRODUCT(C106:J106,Returns!B110:I110)/K106</f>
        <v>0.020769104456167</v>
      </c>
      <c r="M106" s="16" t="n">
        <v>0</v>
      </c>
      <c r="N106" s="16" t="n">
        <v>0</v>
      </c>
      <c r="O106" s="16" t="n">
        <f aca="false">L106+M106+N106</f>
        <v>0.020769104456167</v>
      </c>
      <c r="P106" s="21" t="n">
        <f aca="false">P105*(1+O106)</f>
        <v>1.38243728957694</v>
      </c>
      <c r="Q106" s="21" t="n">
        <f aca="false">MAX($P$5:P106)</f>
        <v>1.70236321503605</v>
      </c>
      <c r="R106" s="16" t="n">
        <f aca="false">P106/Q106-1</f>
        <v>-0.187930473728155</v>
      </c>
      <c r="S106" s="16" t="n">
        <f aca="false">O106-Benchmark_RF!D106</f>
        <v>0.00478019076706521</v>
      </c>
    </row>
    <row r="107" customFormat="false" ht="15" hidden="false" customHeight="true" outlineLevel="0" collapsed="false">
      <c r="A107" s="1" t="n">
        <v>110</v>
      </c>
      <c r="B107" s="13" t="n">
        <f aca="false">Returns!A111</f>
        <v>45323</v>
      </c>
      <c r="C107" s="17" t="n">
        <f aca="false">IF(Rankings!C113&lt;=2,1,0)</f>
        <v>0</v>
      </c>
      <c r="D107" s="17" t="n">
        <f aca="false">IF(Rankings!D113&lt;=2,1,0)</f>
        <v>1</v>
      </c>
      <c r="E107" s="17" t="n">
        <f aca="false">IF(Rankings!E113&lt;=2,1,0)</f>
        <v>0</v>
      </c>
      <c r="F107" s="17" t="n">
        <f aca="false">IF(Rankings!F113&lt;=2,1,0)</f>
        <v>0</v>
      </c>
      <c r="G107" s="17" t="n">
        <f aca="false">IF(Rankings!G113&lt;=2,1,0)</f>
        <v>0</v>
      </c>
      <c r="H107" s="17" t="n">
        <f aca="false">IF(Rankings!H113&lt;=2,1,0)</f>
        <v>1</v>
      </c>
      <c r="I107" s="17" t="n">
        <f aca="false">IF(Rankings!I113&lt;=2,1,0)</f>
        <v>0</v>
      </c>
      <c r="J107" s="17" t="n">
        <f aca="false">IF(Rankings!J113&lt;=2,1,0)</f>
        <v>0</v>
      </c>
      <c r="K107" s="20" t="n">
        <f aca="false">SUM(C107:J107)</f>
        <v>2</v>
      </c>
      <c r="L107" s="16" t="n">
        <f aca="false">SUMPRODUCT(C107:J107,Returns!B111:I111)/K107</f>
        <v>0.1070222877745</v>
      </c>
      <c r="M107" s="16" t="n">
        <f aca="false">-2*Assumptions!$B$13</f>
        <v>-0.007</v>
      </c>
      <c r="N107" s="16" t="n">
        <f aca="false">-Assumptions!$B$16*MAX(0,(1+O101)*(1+O102)*(1+O103)*(1+O104)*(1+O105)*(1+O106)-1)</f>
        <v>-0.0171357949111165</v>
      </c>
      <c r="O107" s="16" t="n">
        <f aca="false">L107+M107+N107</f>
        <v>0.0828864928633836</v>
      </c>
      <c r="P107" s="21" t="n">
        <f aca="false">P106*(1+O107)</f>
        <v>1.49702266811353</v>
      </c>
      <c r="Q107" s="21" t="n">
        <f aca="false">MAX($P$5:P107)</f>
        <v>1.70236321503605</v>
      </c>
      <c r="R107" s="16" t="n">
        <f aca="false">P107/Q107-1</f>
        <v>-0.120620878734252</v>
      </c>
      <c r="S107" s="16" t="n">
        <f aca="false">O107-Benchmark_RF!D107</f>
        <v>0.0666579622528504</v>
      </c>
    </row>
    <row r="108" customFormat="false" ht="15" hidden="false" customHeight="true" outlineLevel="0" collapsed="false">
      <c r="A108" s="1" t="n">
        <v>111</v>
      </c>
      <c r="B108" s="13" t="n">
        <f aca="false">Returns!A112</f>
        <v>45352</v>
      </c>
      <c r="C108" s="17" t="n">
        <f aca="false">IF(Rankings!C113&lt;=2,1,0)</f>
        <v>0</v>
      </c>
      <c r="D108" s="17" t="n">
        <f aca="false">IF(Rankings!D113&lt;=2,1,0)</f>
        <v>1</v>
      </c>
      <c r="E108" s="17" t="n">
        <f aca="false">IF(Rankings!E113&lt;=2,1,0)</f>
        <v>0</v>
      </c>
      <c r="F108" s="17" t="n">
        <f aca="false">IF(Rankings!F113&lt;=2,1,0)</f>
        <v>0</v>
      </c>
      <c r="G108" s="17" t="n">
        <f aca="false">IF(Rankings!G113&lt;=2,1,0)</f>
        <v>0</v>
      </c>
      <c r="H108" s="17" t="n">
        <f aca="false">IF(Rankings!H113&lt;=2,1,0)</f>
        <v>1</v>
      </c>
      <c r="I108" s="17" t="n">
        <f aca="false">IF(Rankings!I113&lt;=2,1,0)</f>
        <v>0</v>
      </c>
      <c r="J108" s="17" t="n">
        <f aca="false">IF(Rankings!J113&lt;=2,1,0)</f>
        <v>0</v>
      </c>
      <c r="K108" s="20" t="n">
        <f aca="false">SUM(C108:J108)</f>
        <v>2</v>
      </c>
      <c r="L108" s="16" t="n">
        <f aca="false">SUMPRODUCT(C108:J108,Returns!B112:I112)/K108</f>
        <v>0.101678659966499</v>
      </c>
      <c r="M108" s="16" t="n">
        <v>0</v>
      </c>
      <c r="N108" s="16" t="n">
        <v>0</v>
      </c>
      <c r="O108" s="16" t="n">
        <f aca="false">L108+M108+N108</f>
        <v>0.101678659966499</v>
      </c>
      <c r="P108" s="21" t="n">
        <f aca="false">P107*(1+O108)</f>
        <v>1.64923792694679</v>
      </c>
      <c r="Q108" s="21" t="n">
        <f aca="false">MAX($P$5:P108)</f>
        <v>1.70236321503605</v>
      </c>
      <c r="R108" s="16" t="n">
        <f aca="false">P108/Q108-1</f>
        <v>-0.0312067880814334</v>
      </c>
      <c r="S108" s="16" t="n">
        <f aca="false">O108-Benchmark_RF!D108</f>
        <v>0.085366396103972</v>
      </c>
    </row>
    <row r="109" customFormat="false" ht="15" hidden="false" customHeight="true" outlineLevel="0" collapsed="false">
      <c r="A109" s="1" t="n">
        <v>112</v>
      </c>
      <c r="B109" s="13" t="n">
        <f aca="false">Returns!A113</f>
        <v>45383</v>
      </c>
      <c r="C109" s="17" t="n">
        <f aca="false">IF(Rankings!C113&lt;=2,1,0)</f>
        <v>0</v>
      </c>
      <c r="D109" s="17" t="n">
        <f aca="false">IF(Rankings!D113&lt;=2,1,0)</f>
        <v>1</v>
      </c>
      <c r="E109" s="17" t="n">
        <f aca="false">IF(Rankings!E113&lt;=2,1,0)</f>
        <v>0</v>
      </c>
      <c r="F109" s="17" t="n">
        <f aca="false">IF(Rankings!F113&lt;=2,1,0)</f>
        <v>0</v>
      </c>
      <c r="G109" s="17" t="n">
        <f aca="false">IF(Rankings!G113&lt;=2,1,0)</f>
        <v>0</v>
      </c>
      <c r="H109" s="17" t="n">
        <f aca="false">IF(Rankings!H113&lt;=2,1,0)</f>
        <v>1</v>
      </c>
      <c r="I109" s="17" t="n">
        <f aca="false">IF(Rankings!I113&lt;=2,1,0)</f>
        <v>0</v>
      </c>
      <c r="J109" s="17" t="n">
        <f aca="false">IF(Rankings!J113&lt;=2,1,0)</f>
        <v>0</v>
      </c>
      <c r="K109" s="20" t="n">
        <f aca="false">SUM(C109:J109)</f>
        <v>2</v>
      </c>
      <c r="L109" s="16" t="n">
        <f aca="false">SUMPRODUCT(C109:J109,Returns!B113:I113)/K109</f>
        <v>0.0727909067320465</v>
      </c>
      <c r="M109" s="16" t="n">
        <v>0</v>
      </c>
      <c r="N109" s="16" t="n">
        <v>0</v>
      </c>
      <c r="O109" s="16" t="n">
        <f aca="false">L109+M109+N109</f>
        <v>0.0727909067320465</v>
      </c>
      <c r="P109" s="21" t="n">
        <f aca="false">P108*(1+O109)</f>
        <v>1.76928745106613</v>
      </c>
      <c r="Q109" s="21" t="n">
        <f aca="false">MAX($P$5:P109)</f>
        <v>1.76928745106613</v>
      </c>
      <c r="R109" s="16" t="n">
        <f aca="false">P109/Q109-1</f>
        <v>0</v>
      </c>
      <c r="S109" s="16" t="n">
        <f aca="false">O109-Benchmark_RF!D109</f>
        <v>0.0563671164466837</v>
      </c>
    </row>
    <row r="110" customFormat="false" ht="15" hidden="false" customHeight="true" outlineLevel="0" collapsed="false">
      <c r="A110" s="1" t="n">
        <v>113</v>
      </c>
      <c r="B110" s="13" t="n">
        <f aca="false">Returns!A114</f>
        <v>45413</v>
      </c>
      <c r="C110" s="17" t="n">
        <f aca="false">IF(Rankings!C113&lt;=2,1,0)</f>
        <v>0</v>
      </c>
      <c r="D110" s="17" t="n">
        <f aca="false">IF(Rankings!D113&lt;=2,1,0)</f>
        <v>1</v>
      </c>
      <c r="E110" s="17" t="n">
        <f aca="false">IF(Rankings!E113&lt;=2,1,0)</f>
        <v>0</v>
      </c>
      <c r="F110" s="17" t="n">
        <f aca="false">IF(Rankings!F113&lt;=2,1,0)</f>
        <v>0</v>
      </c>
      <c r="G110" s="17" t="n">
        <f aca="false">IF(Rankings!G113&lt;=2,1,0)</f>
        <v>0</v>
      </c>
      <c r="H110" s="17" t="n">
        <f aca="false">IF(Rankings!H113&lt;=2,1,0)</f>
        <v>1</v>
      </c>
      <c r="I110" s="17" t="n">
        <f aca="false">IF(Rankings!I113&lt;=2,1,0)</f>
        <v>0</v>
      </c>
      <c r="J110" s="17" t="n">
        <f aca="false">IF(Rankings!J113&lt;=2,1,0)</f>
        <v>0</v>
      </c>
      <c r="K110" s="20" t="n">
        <f aca="false">SUM(C110:J110)</f>
        <v>2</v>
      </c>
      <c r="L110" s="16" t="n">
        <f aca="false">SUMPRODUCT(C110:J110,Returns!B114:I114)/K110</f>
        <v>0.0657279069703804</v>
      </c>
      <c r="M110" s="16" t="n">
        <v>0</v>
      </c>
      <c r="N110" s="16" t="n">
        <v>0</v>
      </c>
      <c r="O110" s="16" t="n">
        <f aca="false">L110+M110+N110</f>
        <v>0.0657279069703804</v>
      </c>
      <c r="P110" s="21" t="n">
        <f aca="false">P109*(1+O110)</f>
        <v>1.88557901205366</v>
      </c>
      <c r="Q110" s="21" t="n">
        <f aca="false">MAX($P$5:P110)</f>
        <v>1.88557901205366</v>
      </c>
      <c r="R110" s="16" t="n">
        <f aca="false">P110/Q110-1</f>
        <v>0</v>
      </c>
      <c r="S110" s="16" t="n">
        <f aca="false">O110-Benchmark_RF!D110</f>
        <v>0.0497580327033046</v>
      </c>
    </row>
    <row r="111" customFormat="false" ht="15" hidden="false" customHeight="true" outlineLevel="0" collapsed="false">
      <c r="A111" s="1" t="n">
        <v>114</v>
      </c>
      <c r="B111" s="13" t="n">
        <f aca="false">Returns!A115</f>
        <v>45444</v>
      </c>
      <c r="C111" s="17" t="n">
        <f aca="false">IF(Rankings!C113&lt;=2,1,0)</f>
        <v>0</v>
      </c>
      <c r="D111" s="17" t="n">
        <f aca="false">IF(Rankings!D113&lt;=2,1,0)</f>
        <v>1</v>
      </c>
      <c r="E111" s="17" t="n">
        <f aca="false">IF(Rankings!E113&lt;=2,1,0)</f>
        <v>0</v>
      </c>
      <c r="F111" s="17" t="n">
        <f aca="false">IF(Rankings!F113&lt;=2,1,0)</f>
        <v>0</v>
      </c>
      <c r="G111" s="17" t="n">
        <f aca="false">IF(Rankings!G113&lt;=2,1,0)</f>
        <v>0</v>
      </c>
      <c r="H111" s="17" t="n">
        <f aca="false">IF(Rankings!H113&lt;=2,1,0)</f>
        <v>1</v>
      </c>
      <c r="I111" s="17" t="n">
        <f aca="false">IF(Rankings!I113&lt;=2,1,0)</f>
        <v>0</v>
      </c>
      <c r="J111" s="17" t="n">
        <f aca="false">IF(Rankings!J113&lt;=2,1,0)</f>
        <v>0</v>
      </c>
      <c r="K111" s="20" t="n">
        <f aca="false">SUM(C111:J111)</f>
        <v>2</v>
      </c>
      <c r="L111" s="16" t="n">
        <f aca="false">SUMPRODUCT(C111:J111,Returns!B115:I115)/K111</f>
        <v>0.0590615238718378</v>
      </c>
      <c r="M111" s="16" t="n">
        <v>0</v>
      </c>
      <c r="N111" s="16" t="n">
        <v>0</v>
      </c>
      <c r="O111" s="16" t="n">
        <f aca="false">L111+M111+N111</f>
        <v>0.0590615238718378</v>
      </c>
      <c r="P111" s="21" t="n">
        <f aca="false">P110*(1+O111)</f>
        <v>1.9969441818863</v>
      </c>
      <c r="Q111" s="21" t="n">
        <f aca="false">MAX($P$5:P111)</f>
        <v>1.9969441818863</v>
      </c>
      <c r="R111" s="16" t="n">
        <f aca="false">P111/Q111-1</f>
        <v>0</v>
      </c>
      <c r="S111" s="16" t="n">
        <f aca="false">O111-Benchmark_RF!D111</f>
        <v>0.0437418303359587</v>
      </c>
    </row>
    <row r="112" customFormat="false" ht="15" hidden="false" customHeight="true" outlineLevel="0" collapsed="false">
      <c r="A112" s="1" t="n">
        <v>115</v>
      </c>
      <c r="B112" s="13" t="n">
        <f aca="false">Returns!A116</f>
        <v>45474</v>
      </c>
      <c r="C112" s="17" t="n">
        <f aca="false">IF(Rankings!C113&lt;=2,1,0)</f>
        <v>0</v>
      </c>
      <c r="D112" s="17" t="n">
        <f aca="false">IF(Rankings!D113&lt;=2,1,0)</f>
        <v>1</v>
      </c>
      <c r="E112" s="17" t="n">
        <f aca="false">IF(Rankings!E113&lt;=2,1,0)</f>
        <v>0</v>
      </c>
      <c r="F112" s="17" t="n">
        <f aca="false">IF(Rankings!F113&lt;=2,1,0)</f>
        <v>0</v>
      </c>
      <c r="G112" s="17" t="n">
        <f aca="false">IF(Rankings!G113&lt;=2,1,0)</f>
        <v>0</v>
      </c>
      <c r="H112" s="17" t="n">
        <f aca="false">IF(Rankings!H113&lt;=2,1,0)</f>
        <v>1</v>
      </c>
      <c r="I112" s="17" t="n">
        <f aca="false">IF(Rankings!I113&lt;=2,1,0)</f>
        <v>0</v>
      </c>
      <c r="J112" s="17" t="n">
        <f aca="false">IF(Rankings!J113&lt;=2,1,0)</f>
        <v>0</v>
      </c>
      <c r="K112" s="20" t="n">
        <f aca="false">SUM(C112:J112)</f>
        <v>2</v>
      </c>
      <c r="L112" s="16" t="n">
        <f aca="false">SUMPRODUCT(C112:J112,Returns!B116:I116)/K112</f>
        <v>0.0534173999097547</v>
      </c>
      <c r="M112" s="16" t="n">
        <v>0</v>
      </c>
      <c r="N112" s="16" t="n">
        <v>0</v>
      </c>
      <c r="O112" s="16" t="n">
        <f aca="false">L112+M112+N112</f>
        <v>0.0534173999097547</v>
      </c>
      <c r="P112" s="21" t="n">
        <f aca="false">P111*(1+O112)</f>
        <v>2.10361574784758</v>
      </c>
      <c r="Q112" s="21" t="n">
        <f aca="false">MAX($P$5:P112)</f>
        <v>2.10361574784758</v>
      </c>
      <c r="R112" s="16" t="n">
        <f aca="false">P112/Q112-1</f>
        <v>0</v>
      </c>
      <c r="S112" s="16" t="n">
        <f aca="false">O112-Benchmark_RF!D112</f>
        <v>0.0384682205376123</v>
      </c>
    </row>
    <row r="113" customFormat="false" ht="15" hidden="false" customHeight="true" outlineLevel="0" collapsed="false">
      <c r="A113" s="1" t="n">
        <v>116</v>
      </c>
      <c r="B113" s="13" t="n">
        <f aca="false">Returns!A117</f>
        <v>45505</v>
      </c>
      <c r="C113" s="17" t="n">
        <f aca="false">IF(Rankings!C119&lt;=2,1,0)</f>
        <v>0</v>
      </c>
      <c r="D113" s="17" t="n">
        <f aca="false">IF(Rankings!D119&lt;=2,1,0)</f>
        <v>0</v>
      </c>
      <c r="E113" s="17" t="n">
        <f aca="false">IF(Rankings!E119&lt;=2,1,0)</f>
        <v>0</v>
      </c>
      <c r="F113" s="17" t="n">
        <f aca="false">IF(Rankings!F119&lt;=2,1,0)</f>
        <v>0</v>
      </c>
      <c r="G113" s="17" t="n">
        <f aca="false">IF(Rankings!G119&lt;=2,1,0)</f>
        <v>1</v>
      </c>
      <c r="H113" s="17" t="n">
        <f aca="false">IF(Rankings!H119&lt;=2,1,0)</f>
        <v>1</v>
      </c>
      <c r="I113" s="17" t="n">
        <f aca="false">IF(Rankings!I119&lt;=2,1,0)</f>
        <v>0</v>
      </c>
      <c r="J113" s="17" t="n">
        <f aca="false">IF(Rankings!J119&lt;=2,1,0)</f>
        <v>0</v>
      </c>
      <c r="K113" s="20" t="n">
        <f aca="false">SUM(C113:J113)</f>
        <v>2</v>
      </c>
      <c r="L113" s="16" t="n">
        <f aca="false">SUMPRODUCT(C113:J113,Returns!B117:I117)/K113</f>
        <v>-0.024226415691237</v>
      </c>
      <c r="M113" s="16" t="n">
        <f aca="false">-2*Assumptions!$B$13</f>
        <v>-0.007</v>
      </c>
      <c r="N113" s="16" t="n">
        <f aca="false">-Assumptions!$B$16*MAX(0,(1+O107)*(1+O108)*(1+O109)*(1+O110)*(1+O111)*(1+O112)-1)</f>
        <v>-0.0782507601293813</v>
      </c>
      <c r="O113" s="16" t="n">
        <f aca="false">L113+M113+N113</f>
        <v>-0.109477175820618</v>
      </c>
      <c r="P113" s="21" t="n">
        <f aca="false">P112*(1+O113)</f>
        <v>1.87331783676145</v>
      </c>
      <c r="Q113" s="21" t="n">
        <f aca="false">MAX($P$5:P113)</f>
        <v>2.10361574784758</v>
      </c>
      <c r="R113" s="16" t="n">
        <f aca="false">P113/Q113-1</f>
        <v>-0.109477175820618</v>
      </c>
      <c r="S113" s="16" t="n">
        <f aca="false">O113-Benchmark_RF!D113</f>
        <v>-0.122985330552861</v>
      </c>
    </row>
    <row r="114" customFormat="false" ht="15" hidden="false" customHeight="true" outlineLevel="0" collapsed="false">
      <c r="A114" s="1" t="n">
        <v>117</v>
      </c>
      <c r="B114" s="13" t="n">
        <f aca="false">Returns!A118</f>
        <v>45536</v>
      </c>
      <c r="C114" s="17" t="n">
        <f aca="false">IF(Rankings!C119&lt;=2,1,0)</f>
        <v>0</v>
      </c>
      <c r="D114" s="17" t="n">
        <f aca="false">IF(Rankings!D119&lt;=2,1,0)</f>
        <v>0</v>
      </c>
      <c r="E114" s="17" t="n">
        <f aca="false">IF(Rankings!E119&lt;=2,1,0)</f>
        <v>0</v>
      </c>
      <c r="F114" s="17" t="n">
        <f aca="false">IF(Rankings!F119&lt;=2,1,0)</f>
        <v>0</v>
      </c>
      <c r="G114" s="17" t="n">
        <f aca="false">IF(Rankings!G119&lt;=2,1,0)</f>
        <v>1</v>
      </c>
      <c r="H114" s="17" t="n">
        <f aca="false">IF(Rankings!H119&lt;=2,1,0)</f>
        <v>1</v>
      </c>
      <c r="I114" s="17" t="n">
        <f aca="false">IF(Rankings!I119&lt;=2,1,0)</f>
        <v>0</v>
      </c>
      <c r="J114" s="17" t="n">
        <f aca="false">IF(Rankings!J119&lt;=2,1,0)</f>
        <v>0</v>
      </c>
      <c r="K114" s="20" t="n">
        <f aca="false">SUM(C114:J114)</f>
        <v>2</v>
      </c>
      <c r="L114" s="16" t="n">
        <f aca="false">SUMPRODUCT(C114:J114,Returns!B118:I118)/K114</f>
        <v>0.146450072136343</v>
      </c>
      <c r="M114" s="16" t="n">
        <v>0</v>
      </c>
      <c r="N114" s="16" t="n">
        <v>0</v>
      </c>
      <c r="O114" s="16" t="n">
        <f aca="false">L114+M114+N114</f>
        <v>0.146450072136343</v>
      </c>
      <c r="P114" s="21" t="n">
        <f aca="false">P113*(1+O114)</f>
        <v>2.14766536908946</v>
      </c>
      <c r="Q114" s="21" t="n">
        <f aca="false">MAX($P$5:P114)</f>
        <v>2.14766536908946</v>
      </c>
      <c r="R114" s="16" t="n">
        <f aca="false">P114/Q114-1</f>
        <v>0</v>
      </c>
      <c r="S114" s="16" t="n">
        <f aca="false">O114-Benchmark_RF!D114</f>
        <v>0.132985066527144</v>
      </c>
    </row>
    <row r="115" customFormat="false" ht="15" hidden="false" customHeight="true" outlineLevel="0" collapsed="false">
      <c r="A115" s="1" t="n">
        <v>118</v>
      </c>
      <c r="B115" s="13" t="n">
        <f aca="false">Returns!A119</f>
        <v>45566</v>
      </c>
      <c r="C115" s="17" t="n">
        <f aca="false">IF(Rankings!C119&lt;=2,1,0)</f>
        <v>0</v>
      </c>
      <c r="D115" s="17" t="n">
        <f aca="false">IF(Rankings!D119&lt;=2,1,0)</f>
        <v>0</v>
      </c>
      <c r="E115" s="17" t="n">
        <f aca="false">IF(Rankings!E119&lt;=2,1,0)</f>
        <v>0</v>
      </c>
      <c r="F115" s="17" t="n">
        <f aca="false">IF(Rankings!F119&lt;=2,1,0)</f>
        <v>0</v>
      </c>
      <c r="G115" s="17" t="n">
        <f aca="false">IF(Rankings!G119&lt;=2,1,0)</f>
        <v>1</v>
      </c>
      <c r="H115" s="17" t="n">
        <f aca="false">IF(Rankings!H119&lt;=2,1,0)</f>
        <v>1</v>
      </c>
      <c r="I115" s="17" t="n">
        <f aca="false">IF(Rankings!I119&lt;=2,1,0)</f>
        <v>0</v>
      </c>
      <c r="J115" s="17" t="n">
        <f aca="false">IF(Rankings!J119&lt;=2,1,0)</f>
        <v>0</v>
      </c>
      <c r="K115" s="20" t="n">
        <f aca="false">SUM(C115:J115)</f>
        <v>2</v>
      </c>
      <c r="L115" s="16" t="n">
        <f aca="false">SUMPRODUCT(C115:J115,Returns!B119:I119)/K115</f>
        <v>0.132049071108385</v>
      </c>
      <c r="M115" s="16" t="n">
        <v>0</v>
      </c>
      <c r="N115" s="16" t="n">
        <v>0</v>
      </c>
      <c r="O115" s="16" t="n">
        <f aca="false">L115+M115+N115</f>
        <v>0.132049071108385</v>
      </c>
      <c r="P115" s="21" t="n">
        <f aca="false">P114*(1+O115)</f>
        <v>2.43126258612937</v>
      </c>
      <c r="Q115" s="21" t="n">
        <f aca="false">MAX($P$5:P115)</f>
        <v>2.43126258612937</v>
      </c>
      <c r="R115" s="16" t="n">
        <f aca="false">P115/Q115-1</f>
        <v>0</v>
      </c>
      <c r="S115" s="16" t="n">
        <f aca="false">O115-Benchmark_RF!D115</f>
        <v>0.121166341959905</v>
      </c>
    </row>
    <row r="116" customFormat="false" ht="15" hidden="false" customHeight="true" outlineLevel="0" collapsed="false">
      <c r="A116" s="1" t="n">
        <v>119</v>
      </c>
      <c r="B116" s="13" t="n">
        <f aca="false">Returns!A120</f>
        <v>45597</v>
      </c>
      <c r="C116" s="17" t="n">
        <f aca="false">IF(Rankings!C119&lt;=2,1,0)</f>
        <v>0</v>
      </c>
      <c r="D116" s="17" t="n">
        <f aca="false">IF(Rankings!D119&lt;=2,1,0)</f>
        <v>0</v>
      </c>
      <c r="E116" s="17" t="n">
        <f aca="false">IF(Rankings!E119&lt;=2,1,0)</f>
        <v>0</v>
      </c>
      <c r="F116" s="17" t="n">
        <f aca="false">IF(Rankings!F119&lt;=2,1,0)</f>
        <v>0</v>
      </c>
      <c r="G116" s="17" t="n">
        <f aca="false">IF(Rankings!G119&lt;=2,1,0)</f>
        <v>1</v>
      </c>
      <c r="H116" s="17" t="n">
        <f aca="false">IF(Rankings!H119&lt;=2,1,0)</f>
        <v>1</v>
      </c>
      <c r="I116" s="17" t="n">
        <f aca="false">IF(Rankings!I119&lt;=2,1,0)</f>
        <v>0</v>
      </c>
      <c r="J116" s="17" t="n">
        <f aca="false">IF(Rankings!J119&lt;=2,1,0)</f>
        <v>0</v>
      </c>
      <c r="K116" s="20" t="n">
        <f aca="false">SUM(C116:J116)</f>
        <v>2</v>
      </c>
      <c r="L116" s="16" t="n">
        <f aca="false">SUMPRODUCT(C116:J116,Returns!B120:I120)/K116</f>
        <v>0.154444725672004</v>
      </c>
      <c r="M116" s="16" t="n">
        <v>0</v>
      </c>
      <c r="N116" s="16" t="n">
        <v>0</v>
      </c>
      <c r="O116" s="16" t="n">
        <f aca="false">L116+M116+N116</f>
        <v>0.154444725672004</v>
      </c>
      <c r="P116" s="21" t="n">
        <f aca="false">P115*(1+O116)</f>
        <v>2.80675826928073</v>
      </c>
      <c r="Q116" s="21" t="n">
        <f aca="false">MAX($P$5:P116)</f>
        <v>2.80675826928073</v>
      </c>
      <c r="R116" s="16" t="n">
        <f aca="false">P116/Q116-1</f>
        <v>0</v>
      </c>
      <c r="S116" s="16" t="n">
        <f aca="false">O116-Benchmark_RF!D116</f>
        <v>0.143561996523523</v>
      </c>
    </row>
    <row r="117" customFormat="false" ht="15" hidden="false" customHeight="true" outlineLevel="0" collapsed="false">
      <c r="A117" s="1" t="n">
        <v>120</v>
      </c>
      <c r="B117" s="13" t="n">
        <f aca="false">Returns!A121</f>
        <v>45627</v>
      </c>
      <c r="C117" s="17" t="n">
        <f aca="false">IF(Rankings!C119&lt;=2,1,0)</f>
        <v>0</v>
      </c>
      <c r="D117" s="17" t="n">
        <f aca="false">IF(Rankings!D119&lt;=2,1,0)</f>
        <v>0</v>
      </c>
      <c r="E117" s="17" t="n">
        <f aca="false">IF(Rankings!E119&lt;=2,1,0)</f>
        <v>0</v>
      </c>
      <c r="F117" s="17" t="n">
        <f aca="false">IF(Rankings!F119&lt;=2,1,0)</f>
        <v>0</v>
      </c>
      <c r="G117" s="17" t="n">
        <f aca="false">IF(Rankings!G119&lt;=2,1,0)</f>
        <v>1</v>
      </c>
      <c r="H117" s="17" t="n">
        <f aca="false">IF(Rankings!H119&lt;=2,1,0)</f>
        <v>1</v>
      </c>
      <c r="I117" s="17" t="n">
        <f aca="false">IF(Rankings!I119&lt;=2,1,0)</f>
        <v>0</v>
      </c>
      <c r="J117" s="17" t="n">
        <f aca="false">IF(Rankings!J119&lt;=2,1,0)</f>
        <v>0</v>
      </c>
      <c r="K117" s="20" t="n">
        <f aca="false">SUM(C117:J117)</f>
        <v>2</v>
      </c>
      <c r="L117" s="16" t="n">
        <f aca="false">SUMPRODUCT(C117:J117,Returns!B121:I121)/K117</f>
        <v>0.103454024499722</v>
      </c>
      <c r="M117" s="16" t="n">
        <v>0</v>
      </c>
      <c r="N117" s="16" t="n">
        <v>0</v>
      </c>
      <c r="O117" s="16" t="n">
        <f aca="false">L117+M117+N117</f>
        <v>0.103454024499722</v>
      </c>
      <c r="P117" s="21" t="n">
        <f aca="false">P116*(1+O117)</f>
        <v>3.0971287080357</v>
      </c>
      <c r="Q117" s="21" t="n">
        <f aca="false">MAX($P$5:P117)</f>
        <v>3.0971287080357</v>
      </c>
      <c r="R117" s="16" t="n">
        <f aca="false">P117/Q117-1</f>
        <v>0</v>
      </c>
      <c r="S117" s="16" t="n">
        <f aca="false">O117-Benchmark_RF!D117</f>
        <v>0.0940779669432136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10" min="3" style="1" width="8"/>
    <col collapsed="false" customWidth="true" hidden="false" outlineLevel="0" max="16" min="11" style="1" width="11"/>
    <col collapsed="false" customWidth="true" hidden="false" outlineLevel="0" max="17" min="17" style="1" width="12"/>
    <col collapsed="false" customWidth="true" hidden="false" outlineLevel="0" max="18" min="18" style="1" width="11"/>
    <col collapsed="false" customWidth="true" hidden="false" outlineLevel="0" max="19" min="19" style="1" width="13"/>
  </cols>
  <sheetData>
    <row r="1" customFormat="false" ht="15.75" hidden="false" customHeight="true" outlineLevel="0" collapsed="false">
      <c r="A1" s="18" t="s">
        <v>81</v>
      </c>
    </row>
    <row r="2" customFormat="false" ht="15" hidden="false" customHeight="true" outlineLevel="0" collapsed="false">
      <c r="A2" s="5" t="s">
        <v>69</v>
      </c>
    </row>
    <row r="4" customFormat="false" ht="15" hidden="false" customHeight="true" outlineLevel="0" collapsed="false">
      <c r="A4" s="12" t="s">
        <v>70</v>
      </c>
      <c r="B4" s="12" t="s">
        <v>51</v>
      </c>
      <c r="C4" s="12" t="s">
        <v>52</v>
      </c>
      <c r="D4" s="12" t="s">
        <v>53</v>
      </c>
      <c r="E4" s="12" t="s">
        <v>54</v>
      </c>
      <c r="F4" s="12" t="s">
        <v>55</v>
      </c>
      <c r="G4" s="12" t="s">
        <v>56</v>
      </c>
      <c r="H4" s="12" t="s">
        <v>57</v>
      </c>
      <c r="I4" s="12" t="s">
        <v>58</v>
      </c>
      <c r="J4" s="12" t="s">
        <v>59</v>
      </c>
      <c r="K4" s="12" t="s">
        <v>71</v>
      </c>
      <c r="L4" s="12" t="s">
        <v>72</v>
      </c>
      <c r="M4" s="12" t="s">
        <v>73</v>
      </c>
      <c r="N4" s="12" t="s">
        <v>74</v>
      </c>
      <c r="O4" s="12" t="s">
        <v>75</v>
      </c>
      <c r="P4" s="12" t="s">
        <v>76</v>
      </c>
      <c r="Q4" s="19" t="s">
        <v>77</v>
      </c>
      <c r="R4" s="19" t="s">
        <v>78</v>
      </c>
      <c r="S4" s="19" t="s">
        <v>79</v>
      </c>
    </row>
    <row r="5" customFormat="false" ht="15" hidden="false" customHeight="true" outlineLevel="0" collapsed="false">
      <c r="A5" s="1" t="n">
        <v>8</v>
      </c>
      <c r="B5" s="13" t="n">
        <f aca="false">Returns!A9</f>
        <v>42217</v>
      </c>
      <c r="C5" s="17" t="n">
        <f aca="false">IF(Rankings!C11&lt;=2,1,0)</f>
        <v>0</v>
      </c>
      <c r="D5" s="17" t="n">
        <f aca="false">IF(Rankings!D11&lt;=2,1,0)</f>
        <v>0</v>
      </c>
      <c r="E5" s="17" t="n">
        <f aca="false">IF(Rankings!E11&lt;=2,1,0)</f>
        <v>0</v>
      </c>
      <c r="F5" s="17" t="n">
        <f aca="false">IF(Rankings!F11&lt;=2,1,0)</f>
        <v>0</v>
      </c>
      <c r="G5" s="17" t="n">
        <f aca="false">IF(Rankings!G11&lt;=2,1,0)</f>
        <v>1</v>
      </c>
      <c r="H5" s="17" t="n">
        <f aca="false">IF(Rankings!H11&lt;=2,1,0)</f>
        <v>1</v>
      </c>
      <c r="I5" s="17" t="n">
        <f aca="false">IF(Rankings!I11&lt;=2,1,0)</f>
        <v>0</v>
      </c>
      <c r="J5" s="17" t="n">
        <f aca="false">IF(Rankings!J11&lt;=2,1,0)</f>
        <v>0</v>
      </c>
      <c r="K5" s="20" t="n">
        <f aca="false">SUM(C5:J5)</f>
        <v>2</v>
      </c>
      <c r="L5" s="16" t="n">
        <f aca="false">SUMPRODUCT(C5:J5,Returns!B9:I9)/K5</f>
        <v>-0.0566811293424257</v>
      </c>
      <c r="M5" s="16" t="n">
        <f aca="false">-2*Assumptions!$B$13</f>
        <v>-0.007</v>
      </c>
      <c r="N5" s="16" t="n">
        <v>0</v>
      </c>
      <c r="O5" s="16" t="n">
        <f aca="false">L5+M5+N5</f>
        <v>-0.0636811293424257</v>
      </c>
      <c r="P5" s="21" t="n">
        <f aca="false">1*(1+O5)</f>
        <v>0.936318870657574</v>
      </c>
      <c r="Q5" s="21" t="n">
        <f aca="false">MAX($P$5:P5)</f>
        <v>0.936318870657574</v>
      </c>
      <c r="R5" s="16" t="n">
        <f aca="false">P5/Q5-1</f>
        <v>0</v>
      </c>
      <c r="S5" s="16" t="n">
        <f aca="false">O5-Benchmark_RF!D5</f>
        <v>-0.0692810598517519</v>
      </c>
    </row>
    <row r="6" customFormat="false" ht="15" hidden="false" customHeight="true" outlineLevel="0" collapsed="false">
      <c r="A6" s="1" t="n">
        <v>9</v>
      </c>
      <c r="B6" s="13" t="n">
        <f aca="false">Returns!A10</f>
        <v>42248</v>
      </c>
      <c r="C6" s="17" t="n">
        <f aca="false">IF(Rankings!C11&lt;=2,1,0)</f>
        <v>0</v>
      </c>
      <c r="D6" s="17" t="n">
        <f aca="false">IF(Rankings!D11&lt;=2,1,0)</f>
        <v>0</v>
      </c>
      <c r="E6" s="17" t="n">
        <f aca="false">IF(Rankings!E11&lt;=2,1,0)</f>
        <v>0</v>
      </c>
      <c r="F6" s="17" t="n">
        <f aca="false">IF(Rankings!F11&lt;=2,1,0)</f>
        <v>0</v>
      </c>
      <c r="G6" s="17" t="n">
        <f aca="false">IF(Rankings!G11&lt;=2,1,0)</f>
        <v>1</v>
      </c>
      <c r="H6" s="17" t="n">
        <f aca="false">IF(Rankings!H11&lt;=2,1,0)</f>
        <v>1</v>
      </c>
      <c r="I6" s="17" t="n">
        <f aca="false">IF(Rankings!I11&lt;=2,1,0)</f>
        <v>0</v>
      </c>
      <c r="J6" s="17" t="n">
        <f aca="false">IF(Rankings!J11&lt;=2,1,0)</f>
        <v>0</v>
      </c>
      <c r="K6" s="20" t="n">
        <f aca="false">SUM(C6:J6)</f>
        <v>2</v>
      </c>
      <c r="L6" s="16" t="n">
        <f aca="false">SUMPRODUCT(C6:J6,Returns!B10:I10)/K6</f>
        <v>-0.0508737794276119</v>
      </c>
      <c r="M6" s="16" t="n">
        <v>0</v>
      </c>
      <c r="N6" s="16" t="n">
        <v>0</v>
      </c>
      <c r="O6" s="16" t="n">
        <f aca="false">L6+M6+N6</f>
        <v>-0.0508737794276119</v>
      </c>
      <c r="P6" s="21" t="n">
        <f aca="false">P5*(1+O6)</f>
        <v>0.88868479095783</v>
      </c>
      <c r="Q6" s="21" t="n">
        <f aca="false">MAX($P$5:P6)</f>
        <v>0.936318870657574</v>
      </c>
      <c r="R6" s="16" t="n">
        <f aca="false">P6/Q6-1</f>
        <v>-0.050873779427612</v>
      </c>
      <c r="S6" s="16" t="n">
        <f aca="false">O6-Benchmark_RF!D6</f>
        <v>-0.0561089617847709</v>
      </c>
    </row>
    <row r="7" customFormat="false" ht="15" hidden="false" customHeight="true" outlineLevel="0" collapsed="false">
      <c r="A7" s="1" t="n">
        <v>10</v>
      </c>
      <c r="B7" s="13" t="n">
        <f aca="false">Returns!A11</f>
        <v>42278</v>
      </c>
      <c r="C7" s="17" t="n">
        <f aca="false">IF(Rankings!C11&lt;=2,1,0)</f>
        <v>0</v>
      </c>
      <c r="D7" s="17" t="n">
        <f aca="false">IF(Rankings!D11&lt;=2,1,0)</f>
        <v>0</v>
      </c>
      <c r="E7" s="17" t="n">
        <f aca="false">IF(Rankings!E11&lt;=2,1,0)</f>
        <v>0</v>
      </c>
      <c r="F7" s="17" t="n">
        <f aca="false">IF(Rankings!F11&lt;=2,1,0)</f>
        <v>0</v>
      </c>
      <c r="G7" s="17" t="n">
        <f aca="false">IF(Rankings!G11&lt;=2,1,0)</f>
        <v>1</v>
      </c>
      <c r="H7" s="17" t="n">
        <f aca="false">IF(Rankings!H11&lt;=2,1,0)</f>
        <v>1</v>
      </c>
      <c r="I7" s="17" t="n">
        <f aca="false">IF(Rankings!I11&lt;=2,1,0)</f>
        <v>0</v>
      </c>
      <c r="J7" s="17" t="n">
        <f aca="false">IF(Rankings!J11&lt;=2,1,0)</f>
        <v>0</v>
      </c>
      <c r="K7" s="20" t="n">
        <f aca="false">SUM(C7:J7)</f>
        <v>2</v>
      </c>
      <c r="L7" s="16" t="n">
        <f aca="false">SUMPRODUCT(C7:J7,Returns!B11:I11)/K7</f>
        <v>0.0197648699383213</v>
      </c>
      <c r="M7" s="16" t="n">
        <v>0</v>
      </c>
      <c r="N7" s="16" t="n">
        <v>0</v>
      </c>
      <c r="O7" s="16" t="n">
        <f aca="false">L7+M7+N7</f>
        <v>0.0197648699383213</v>
      </c>
      <c r="P7" s="21" t="n">
        <f aca="false">P6*(1+O7)</f>
        <v>0.906249530267276</v>
      </c>
      <c r="Q7" s="21" t="n">
        <f aca="false">MAX($P$5:P7)</f>
        <v>0.936318870657574</v>
      </c>
      <c r="R7" s="16" t="n">
        <f aca="false">P7/Q7-1</f>
        <v>-0.0321144231229484</v>
      </c>
      <c r="S7" s="16" t="n">
        <f aca="false">O7-Benchmark_RF!D7</f>
        <v>0.014657635033162</v>
      </c>
    </row>
    <row r="8" customFormat="false" ht="15" hidden="false" customHeight="true" outlineLevel="0" collapsed="false">
      <c r="A8" s="1" t="n">
        <v>11</v>
      </c>
      <c r="B8" s="13" t="n">
        <f aca="false">Returns!A12</f>
        <v>42309</v>
      </c>
      <c r="C8" s="17" t="n">
        <f aca="false">IF(Rankings!C14&lt;=2,1,0)</f>
        <v>1</v>
      </c>
      <c r="D8" s="17" t="n">
        <f aca="false">IF(Rankings!D14&lt;=2,1,0)</f>
        <v>0</v>
      </c>
      <c r="E8" s="17" t="n">
        <f aca="false">IF(Rankings!E14&lt;=2,1,0)</f>
        <v>0</v>
      </c>
      <c r="F8" s="17" t="n">
        <f aca="false">IF(Rankings!F14&lt;=2,1,0)</f>
        <v>1</v>
      </c>
      <c r="G8" s="17" t="n">
        <f aca="false">IF(Rankings!G14&lt;=2,1,0)</f>
        <v>0</v>
      </c>
      <c r="H8" s="17" t="n">
        <f aca="false">IF(Rankings!H14&lt;=2,1,0)</f>
        <v>0</v>
      </c>
      <c r="I8" s="17" t="n">
        <f aca="false">IF(Rankings!I14&lt;=2,1,0)</f>
        <v>0</v>
      </c>
      <c r="J8" s="17" t="n">
        <f aca="false">IF(Rankings!J14&lt;=2,1,0)</f>
        <v>0</v>
      </c>
      <c r="K8" s="20" t="n">
        <f aca="false">SUM(C8:J8)</f>
        <v>2</v>
      </c>
      <c r="L8" s="16" t="n">
        <f aca="false">SUMPRODUCT(C8:J8,Returns!B12:I12)/K8</f>
        <v>-0.143512274475007</v>
      </c>
      <c r="M8" s="16" t="n">
        <f aca="false">-2*Assumptions!$B$13</f>
        <v>-0.007</v>
      </c>
      <c r="N8" s="16" t="n">
        <f aca="false">-Assumptions!$B$16*MAX(0,(1+O5)*(1+O6)*(1+O7)-1)</f>
        <v>-0</v>
      </c>
      <c r="O8" s="16" t="n">
        <f aca="false">L8+M8+N8</f>
        <v>-0.150512274475007</v>
      </c>
      <c r="P8" s="21" t="n">
        <f aca="false">P7*(1+O8)</f>
        <v>0.769847852224841</v>
      </c>
      <c r="Q8" s="21" t="n">
        <f aca="false">MAX($P$5:P8)</f>
        <v>0.936318870657574</v>
      </c>
      <c r="R8" s="16" t="n">
        <f aca="false">P8/Q8-1</f>
        <v>-0.177793082730268</v>
      </c>
      <c r="S8" s="16" t="n">
        <f aca="false">O8-Benchmark_RF!D8</f>
        <v>-0.155670946104433</v>
      </c>
    </row>
    <row r="9" customFormat="false" ht="15" hidden="false" customHeight="true" outlineLevel="0" collapsed="false">
      <c r="A9" s="1" t="n">
        <v>12</v>
      </c>
      <c r="B9" s="13" t="n">
        <f aca="false">Returns!A13</f>
        <v>42339</v>
      </c>
      <c r="C9" s="17" t="n">
        <f aca="false">IF(Rankings!C14&lt;=2,1,0)</f>
        <v>1</v>
      </c>
      <c r="D9" s="17" t="n">
        <f aca="false">IF(Rankings!D14&lt;=2,1,0)</f>
        <v>0</v>
      </c>
      <c r="E9" s="17" t="n">
        <f aca="false">IF(Rankings!E14&lt;=2,1,0)</f>
        <v>0</v>
      </c>
      <c r="F9" s="17" t="n">
        <f aca="false">IF(Rankings!F14&lt;=2,1,0)</f>
        <v>1</v>
      </c>
      <c r="G9" s="17" t="n">
        <f aca="false">IF(Rankings!G14&lt;=2,1,0)</f>
        <v>0</v>
      </c>
      <c r="H9" s="17" t="n">
        <f aca="false">IF(Rankings!H14&lt;=2,1,0)</f>
        <v>0</v>
      </c>
      <c r="I9" s="17" t="n">
        <f aca="false">IF(Rankings!I14&lt;=2,1,0)</f>
        <v>0</v>
      </c>
      <c r="J9" s="17" t="n">
        <f aca="false">IF(Rankings!J14&lt;=2,1,0)</f>
        <v>0</v>
      </c>
      <c r="K9" s="20" t="n">
        <f aca="false">SUM(C9:J9)</f>
        <v>2</v>
      </c>
      <c r="L9" s="16" t="n">
        <f aca="false">SUMPRODUCT(C9:J9,Returns!B13:I13)/K9</f>
        <v>0.0169123512486578</v>
      </c>
      <c r="M9" s="16" t="n">
        <v>0</v>
      </c>
      <c r="N9" s="16" t="n">
        <v>0</v>
      </c>
      <c r="O9" s="16" t="n">
        <f aca="false">L9+M9+N9</f>
        <v>0.0169123512486578</v>
      </c>
      <c r="P9" s="21" t="n">
        <f aca="false">P8*(1+O9)</f>
        <v>0.782867789509692</v>
      </c>
      <c r="Q9" s="21" t="n">
        <f aca="false">MAX($P$5:P9)</f>
        <v>0.936318870657574</v>
      </c>
      <c r="R9" s="16" t="n">
        <f aca="false">P9/Q9-1</f>
        <v>-0.163887630546326</v>
      </c>
      <c r="S9" s="16" t="n">
        <f aca="false">O9-Benchmark_RF!D9</f>
        <v>0.0117786460513876</v>
      </c>
    </row>
    <row r="10" customFormat="false" ht="15" hidden="false" customHeight="true" outlineLevel="0" collapsed="false">
      <c r="A10" s="1" t="n">
        <v>13</v>
      </c>
      <c r="B10" s="13" t="n">
        <f aca="false">Returns!A14</f>
        <v>42370</v>
      </c>
      <c r="C10" s="17" t="n">
        <f aca="false">IF(Rankings!C14&lt;=2,1,0)</f>
        <v>1</v>
      </c>
      <c r="D10" s="17" t="n">
        <f aca="false">IF(Rankings!D14&lt;=2,1,0)</f>
        <v>0</v>
      </c>
      <c r="E10" s="17" t="n">
        <f aca="false">IF(Rankings!E14&lt;=2,1,0)</f>
        <v>0</v>
      </c>
      <c r="F10" s="17" t="n">
        <f aca="false">IF(Rankings!F14&lt;=2,1,0)</f>
        <v>1</v>
      </c>
      <c r="G10" s="17" t="n">
        <f aca="false">IF(Rankings!G14&lt;=2,1,0)</f>
        <v>0</v>
      </c>
      <c r="H10" s="17" t="n">
        <f aca="false">IF(Rankings!H14&lt;=2,1,0)</f>
        <v>0</v>
      </c>
      <c r="I10" s="17" t="n">
        <f aca="false">IF(Rankings!I14&lt;=2,1,0)</f>
        <v>0</v>
      </c>
      <c r="J10" s="17" t="n">
        <f aca="false">IF(Rankings!J14&lt;=2,1,0)</f>
        <v>0</v>
      </c>
      <c r="K10" s="20" t="n">
        <f aca="false">SUM(C10:J10)</f>
        <v>2</v>
      </c>
      <c r="L10" s="16" t="n">
        <f aca="false">SUMPRODUCT(C10:J10,Returns!B14:I14)/K10</f>
        <v>-0.0926172677395564</v>
      </c>
      <c r="M10" s="16" t="n">
        <v>0</v>
      </c>
      <c r="N10" s="16" t="n">
        <v>0</v>
      </c>
      <c r="O10" s="16" t="n">
        <f aca="false">L10+M10+N10</f>
        <v>-0.0926172677395564</v>
      </c>
      <c r="P10" s="21" t="n">
        <f aca="false">P9*(1+O10)</f>
        <v>0.710360713843999</v>
      </c>
      <c r="Q10" s="21" t="n">
        <f aca="false">MAX($P$5:P10)</f>
        <v>0.936318870657574</v>
      </c>
      <c r="R10" s="16" t="n">
        <f aca="false">P10/Q10-1</f>
        <v>-0.241326073728372</v>
      </c>
      <c r="S10" s="16" t="n">
        <f aca="false">O10-Benchmark_RF!D10</f>
        <v>-0.0976124704956981</v>
      </c>
    </row>
    <row r="11" customFormat="false" ht="15" hidden="false" customHeight="true" outlineLevel="0" collapsed="false">
      <c r="A11" s="1" t="n">
        <v>14</v>
      </c>
      <c r="B11" s="13" t="n">
        <f aca="false">Returns!A15</f>
        <v>42401</v>
      </c>
      <c r="C11" s="17" t="n">
        <f aca="false">IF(Rankings!C17&lt;=2,1,0)</f>
        <v>1</v>
      </c>
      <c r="D11" s="17" t="n">
        <f aca="false">IF(Rankings!D17&lt;=2,1,0)</f>
        <v>0</v>
      </c>
      <c r="E11" s="17" t="n">
        <f aca="false">IF(Rankings!E17&lt;=2,1,0)</f>
        <v>0</v>
      </c>
      <c r="F11" s="17" t="n">
        <f aca="false">IF(Rankings!F17&lt;=2,1,0)</f>
        <v>0</v>
      </c>
      <c r="G11" s="17" t="n">
        <f aca="false">IF(Rankings!G17&lt;=2,1,0)</f>
        <v>0</v>
      </c>
      <c r="H11" s="17" t="n">
        <f aca="false">IF(Rankings!H17&lt;=2,1,0)</f>
        <v>0</v>
      </c>
      <c r="I11" s="17" t="n">
        <f aca="false">IF(Rankings!I17&lt;=2,1,0)</f>
        <v>1</v>
      </c>
      <c r="J11" s="17" t="n">
        <f aca="false">IF(Rankings!J17&lt;=2,1,0)</f>
        <v>0</v>
      </c>
      <c r="K11" s="20" t="n">
        <f aca="false">SUM(C11:J11)</f>
        <v>2</v>
      </c>
      <c r="L11" s="16" t="n">
        <f aca="false">SUMPRODUCT(C11:J11,Returns!B15:I15)/K11</f>
        <v>-0.0253934226102397</v>
      </c>
      <c r="M11" s="16" t="n">
        <f aca="false">-2*Assumptions!$B$13</f>
        <v>-0.007</v>
      </c>
      <c r="N11" s="16" t="n">
        <f aca="false">-Assumptions!$B$16*MAX(0,(1+O8)*(1+O9)*(1+O10)-1)</f>
        <v>-0</v>
      </c>
      <c r="O11" s="16" t="n">
        <f aca="false">L11+M11+N11</f>
        <v>-0.0323934226102397</v>
      </c>
      <c r="P11" s="21" t="n">
        <f aca="false">P10*(1+O11)</f>
        <v>0.687349699034738</v>
      </c>
      <c r="Q11" s="21" t="n">
        <f aca="false">MAX($P$5:P11)</f>
        <v>0.936318870657574</v>
      </c>
      <c r="R11" s="16" t="n">
        <f aca="false">P11/Q11-1</f>
        <v>-0.265902118845459</v>
      </c>
      <c r="S11" s="16" t="n">
        <f aca="false">O11-Benchmark_RF!D11</f>
        <v>-0.0374299537039228</v>
      </c>
    </row>
    <row r="12" customFormat="false" ht="15" hidden="false" customHeight="true" outlineLevel="0" collapsed="false">
      <c r="A12" s="1" t="n">
        <v>15</v>
      </c>
      <c r="B12" s="13" t="n">
        <f aca="false">Returns!A16</f>
        <v>42430</v>
      </c>
      <c r="C12" s="17" t="n">
        <f aca="false">IF(Rankings!C17&lt;=2,1,0)</f>
        <v>1</v>
      </c>
      <c r="D12" s="17" t="n">
        <f aca="false">IF(Rankings!D17&lt;=2,1,0)</f>
        <v>0</v>
      </c>
      <c r="E12" s="17" t="n">
        <f aca="false">IF(Rankings!E17&lt;=2,1,0)</f>
        <v>0</v>
      </c>
      <c r="F12" s="17" t="n">
        <f aca="false">IF(Rankings!F17&lt;=2,1,0)</f>
        <v>0</v>
      </c>
      <c r="G12" s="17" t="n">
        <f aca="false">IF(Rankings!G17&lt;=2,1,0)</f>
        <v>0</v>
      </c>
      <c r="H12" s="17" t="n">
        <f aca="false">IF(Rankings!H17&lt;=2,1,0)</f>
        <v>0</v>
      </c>
      <c r="I12" s="17" t="n">
        <f aca="false">IF(Rankings!I17&lt;=2,1,0)</f>
        <v>1</v>
      </c>
      <c r="J12" s="17" t="n">
        <f aca="false">IF(Rankings!J17&lt;=2,1,0)</f>
        <v>0</v>
      </c>
      <c r="K12" s="20" t="n">
        <f aca="false">SUM(C12:J12)</f>
        <v>2</v>
      </c>
      <c r="L12" s="16" t="n">
        <f aca="false">SUMPRODUCT(C12:J12,Returns!B16:I16)/K12</f>
        <v>0.0740937763004029</v>
      </c>
      <c r="M12" s="16" t="n">
        <v>0</v>
      </c>
      <c r="N12" s="16" t="n">
        <v>0</v>
      </c>
      <c r="O12" s="16" t="n">
        <f aca="false">L12+M12+N12</f>
        <v>0.0740937763004029</v>
      </c>
      <c r="P12" s="21" t="n">
        <f aca="false">P11*(1+O12)</f>
        <v>0.738278033875168</v>
      </c>
      <c r="Q12" s="21" t="n">
        <f aca="false">MAX($P$5:P12)</f>
        <v>0.936318870657574</v>
      </c>
      <c r="R12" s="16" t="n">
        <f aca="false">P12/Q12-1</f>
        <v>-0.211510034656594</v>
      </c>
      <c r="S12" s="16" t="n">
        <f aca="false">O12-Benchmark_RF!D12</f>
        <v>0.0690922626650811</v>
      </c>
    </row>
    <row r="13" customFormat="false" ht="15" hidden="false" customHeight="true" outlineLevel="0" collapsed="false">
      <c r="A13" s="1" t="n">
        <v>16</v>
      </c>
      <c r="B13" s="13" t="n">
        <f aca="false">Returns!A17</f>
        <v>42461</v>
      </c>
      <c r="C13" s="17" t="n">
        <f aca="false">IF(Rankings!C17&lt;=2,1,0)</f>
        <v>1</v>
      </c>
      <c r="D13" s="17" t="n">
        <f aca="false">IF(Rankings!D17&lt;=2,1,0)</f>
        <v>0</v>
      </c>
      <c r="E13" s="17" t="n">
        <f aca="false">IF(Rankings!E17&lt;=2,1,0)</f>
        <v>0</v>
      </c>
      <c r="F13" s="17" t="n">
        <f aca="false">IF(Rankings!F17&lt;=2,1,0)</f>
        <v>0</v>
      </c>
      <c r="G13" s="17" t="n">
        <f aca="false">IF(Rankings!G17&lt;=2,1,0)</f>
        <v>0</v>
      </c>
      <c r="H13" s="17" t="n">
        <f aca="false">IF(Rankings!H17&lt;=2,1,0)</f>
        <v>0</v>
      </c>
      <c r="I13" s="17" t="n">
        <f aca="false">IF(Rankings!I17&lt;=2,1,0)</f>
        <v>1</v>
      </c>
      <c r="J13" s="17" t="n">
        <f aca="false">IF(Rankings!J17&lt;=2,1,0)</f>
        <v>0</v>
      </c>
      <c r="K13" s="20" t="n">
        <f aca="false">SUM(C13:J13)</f>
        <v>2</v>
      </c>
      <c r="L13" s="16" t="n">
        <f aca="false">SUMPRODUCT(C13:J13,Returns!B17:I17)/K13</f>
        <v>0.126575556973016</v>
      </c>
      <c r="M13" s="16" t="n">
        <v>0</v>
      </c>
      <c r="N13" s="16" t="n">
        <v>0</v>
      </c>
      <c r="O13" s="16" t="n">
        <f aca="false">L13+M13+N13</f>
        <v>0.126575556973016</v>
      </c>
      <c r="P13" s="21" t="n">
        <f aca="false">P12*(1+O13)</f>
        <v>0.83172598721386</v>
      </c>
      <c r="Q13" s="21" t="n">
        <f aca="false">MAX($P$5:P13)</f>
        <v>0.936318870657574</v>
      </c>
      <c r="R13" s="16" t="n">
        <f aca="false">P13/Q13-1</f>
        <v>-0.111706478125618</v>
      </c>
      <c r="S13" s="16" t="n">
        <f aca="false">O13-Benchmark_RF!D13</f>
        <v>0.121574043337695</v>
      </c>
    </row>
    <row r="14" customFormat="false" ht="15" hidden="false" customHeight="true" outlineLevel="0" collapsed="false">
      <c r="A14" s="1" t="n">
        <v>17</v>
      </c>
      <c r="B14" s="13" t="n">
        <f aca="false">Returns!A18</f>
        <v>42491</v>
      </c>
      <c r="C14" s="17" t="n">
        <f aca="false">IF(Rankings!C20&lt;=2,1,0)</f>
        <v>0</v>
      </c>
      <c r="D14" s="17" t="n">
        <f aca="false">IF(Rankings!D20&lt;=2,1,0)</f>
        <v>0</v>
      </c>
      <c r="E14" s="17" t="n">
        <f aca="false">IF(Rankings!E20&lt;=2,1,0)</f>
        <v>0</v>
      </c>
      <c r="F14" s="17" t="n">
        <f aca="false">IF(Rankings!F20&lt;=2,1,0)</f>
        <v>1</v>
      </c>
      <c r="G14" s="17" t="n">
        <f aca="false">IF(Rankings!G20&lt;=2,1,0)</f>
        <v>0</v>
      </c>
      <c r="H14" s="17" t="n">
        <f aca="false">IF(Rankings!H20&lt;=2,1,0)</f>
        <v>0</v>
      </c>
      <c r="I14" s="17" t="n">
        <f aca="false">IF(Rankings!I20&lt;=2,1,0)</f>
        <v>1</v>
      </c>
      <c r="J14" s="17" t="n">
        <f aca="false">IF(Rankings!J20&lt;=2,1,0)</f>
        <v>0</v>
      </c>
      <c r="K14" s="20" t="n">
        <f aca="false">SUM(C14:J14)</f>
        <v>2</v>
      </c>
      <c r="L14" s="16" t="n">
        <f aca="false">SUMPRODUCT(C14:J14,Returns!B18:I18)/K14</f>
        <v>-0.0502992528643994</v>
      </c>
      <c r="M14" s="16" t="n">
        <f aca="false">-2*Assumptions!$B$13</f>
        <v>-0.007</v>
      </c>
      <c r="N14" s="16" t="n">
        <f aca="false">-Assumptions!$B$16*MAX(0,(1+O11)*(1+O12)*(1+O13)-1)</f>
        <v>-0.0256275307047417</v>
      </c>
      <c r="O14" s="16" t="n">
        <f aca="false">L14+M14+N14</f>
        <v>-0.0829267835691411</v>
      </c>
      <c r="P14" s="21" t="n">
        <f aca="false">P13*(1+O14)</f>
        <v>0.762753626283346</v>
      </c>
      <c r="Q14" s="21" t="n">
        <f aca="false">MAX($P$5:P14)</f>
        <v>0.936318870657574</v>
      </c>
      <c r="R14" s="16" t="n">
        <f aca="false">P14/Q14-1</f>
        <v>-0.185369802759965</v>
      </c>
      <c r="S14" s="16" t="n">
        <f aca="false">O14-Benchmark_RF!D14</f>
        <v>-0.0877844587230604</v>
      </c>
    </row>
    <row r="15" customFormat="false" ht="15" hidden="false" customHeight="true" outlineLevel="0" collapsed="false">
      <c r="A15" s="1" t="n">
        <v>18</v>
      </c>
      <c r="B15" s="13" t="n">
        <f aca="false">Returns!A19</f>
        <v>42522</v>
      </c>
      <c r="C15" s="17" t="n">
        <f aca="false">IF(Rankings!C20&lt;=2,1,0)</f>
        <v>0</v>
      </c>
      <c r="D15" s="17" t="n">
        <f aca="false">IF(Rankings!D20&lt;=2,1,0)</f>
        <v>0</v>
      </c>
      <c r="E15" s="17" t="n">
        <f aca="false">IF(Rankings!E20&lt;=2,1,0)</f>
        <v>0</v>
      </c>
      <c r="F15" s="17" t="n">
        <f aca="false">IF(Rankings!F20&lt;=2,1,0)</f>
        <v>1</v>
      </c>
      <c r="G15" s="17" t="n">
        <f aca="false">IF(Rankings!G20&lt;=2,1,0)</f>
        <v>0</v>
      </c>
      <c r="H15" s="17" t="n">
        <f aca="false">IF(Rankings!H20&lt;=2,1,0)</f>
        <v>0</v>
      </c>
      <c r="I15" s="17" t="n">
        <f aca="false">IF(Rankings!I20&lt;=2,1,0)</f>
        <v>1</v>
      </c>
      <c r="J15" s="17" t="n">
        <f aca="false">IF(Rankings!J20&lt;=2,1,0)</f>
        <v>0</v>
      </c>
      <c r="K15" s="20" t="n">
        <f aca="false">SUM(C15:J15)</f>
        <v>2</v>
      </c>
      <c r="L15" s="16" t="n">
        <f aca="false">SUMPRODUCT(C15:J15,Returns!B19:I19)/K15</f>
        <v>0.0252057146782059</v>
      </c>
      <c r="M15" s="16" t="n">
        <v>0</v>
      </c>
      <c r="N15" s="16" t="n">
        <v>0</v>
      </c>
      <c r="O15" s="16" t="n">
        <f aca="false">L15+M15+N15</f>
        <v>0.0252057146782059</v>
      </c>
      <c r="P15" s="21" t="n">
        <f aca="false">P14*(1+O15)</f>
        <v>0.781979376557211</v>
      </c>
      <c r="Q15" s="21" t="n">
        <f aca="false">MAX($P$5:P15)</f>
        <v>0.936318870657574</v>
      </c>
      <c r="R15" s="16" t="n">
        <f aca="false">P15/Q15-1</f>
        <v>-0.164836466440082</v>
      </c>
      <c r="S15" s="16" t="n">
        <f aca="false">O15-Benchmark_RF!D15</f>
        <v>0.0204173554480545</v>
      </c>
    </row>
    <row r="16" customFormat="false" ht="15" hidden="false" customHeight="true" outlineLevel="0" collapsed="false">
      <c r="A16" s="1" t="n">
        <v>19</v>
      </c>
      <c r="B16" s="13" t="n">
        <f aca="false">Returns!A20</f>
        <v>42552</v>
      </c>
      <c r="C16" s="17" t="n">
        <f aca="false">IF(Rankings!C20&lt;=2,1,0)</f>
        <v>0</v>
      </c>
      <c r="D16" s="17" t="n">
        <f aca="false">IF(Rankings!D20&lt;=2,1,0)</f>
        <v>0</v>
      </c>
      <c r="E16" s="17" t="n">
        <f aca="false">IF(Rankings!E20&lt;=2,1,0)</f>
        <v>0</v>
      </c>
      <c r="F16" s="17" t="n">
        <f aca="false">IF(Rankings!F20&lt;=2,1,0)</f>
        <v>1</v>
      </c>
      <c r="G16" s="17" t="n">
        <f aca="false">IF(Rankings!G20&lt;=2,1,0)</f>
        <v>0</v>
      </c>
      <c r="H16" s="17" t="n">
        <f aca="false">IF(Rankings!H20&lt;=2,1,0)</f>
        <v>0</v>
      </c>
      <c r="I16" s="17" t="n">
        <f aca="false">IF(Rankings!I20&lt;=2,1,0)</f>
        <v>1</v>
      </c>
      <c r="J16" s="17" t="n">
        <f aca="false">IF(Rankings!J20&lt;=2,1,0)</f>
        <v>0</v>
      </c>
      <c r="K16" s="20" t="n">
        <f aca="false">SUM(C16:J16)</f>
        <v>2</v>
      </c>
      <c r="L16" s="16" t="n">
        <f aca="false">SUMPRODUCT(C16:J16,Returns!B20:I20)/K16</f>
        <v>0.0321698717789404</v>
      </c>
      <c r="M16" s="16" t="n">
        <v>0</v>
      </c>
      <c r="N16" s="16" t="n">
        <v>0</v>
      </c>
      <c r="O16" s="16" t="n">
        <f aca="false">L16+M16+N16</f>
        <v>0.0321698717789404</v>
      </c>
      <c r="P16" s="21" t="n">
        <f aca="false">P15*(1+O16)</f>
        <v>0.807135552834832</v>
      </c>
      <c r="Q16" s="21" t="n">
        <f aca="false">MAX($P$5:P16)</f>
        <v>0.936318870657574</v>
      </c>
      <c r="R16" s="16" t="n">
        <f aca="false">P16/Q16-1</f>
        <v>-0.137969362651013</v>
      </c>
      <c r="S16" s="16" t="n">
        <f aca="false">O16-Benchmark_RF!D16</f>
        <v>0.0274705068671725</v>
      </c>
    </row>
    <row r="17" customFormat="false" ht="15" hidden="false" customHeight="true" outlineLevel="0" collapsed="false">
      <c r="A17" s="1" t="n">
        <v>20</v>
      </c>
      <c r="B17" s="13" t="n">
        <f aca="false">Returns!A21</f>
        <v>42583</v>
      </c>
      <c r="C17" s="17" t="n">
        <f aca="false">IF(Rankings!C23&lt;=2,1,0)</f>
        <v>0</v>
      </c>
      <c r="D17" s="17" t="n">
        <f aca="false">IF(Rankings!D23&lt;=2,1,0)</f>
        <v>0</v>
      </c>
      <c r="E17" s="17" t="n">
        <f aca="false">IF(Rankings!E23&lt;=2,1,0)</f>
        <v>0</v>
      </c>
      <c r="F17" s="17" t="n">
        <f aca="false">IF(Rankings!F23&lt;=2,1,0)</f>
        <v>1</v>
      </c>
      <c r="G17" s="17" t="n">
        <f aca="false">IF(Rankings!G23&lt;=2,1,0)</f>
        <v>0</v>
      </c>
      <c r="H17" s="17" t="n">
        <f aca="false">IF(Rankings!H23&lt;=2,1,0)</f>
        <v>0</v>
      </c>
      <c r="I17" s="17" t="n">
        <f aca="false">IF(Rankings!I23&lt;=2,1,0)</f>
        <v>1</v>
      </c>
      <c r="J17" s="17" t="n">
        <f aca="false">IF(Rankings!J23&lt;=2,1,0)</f>
        <v>0</v>
      </c>
      <c r="K17" s="20" t="n">
        <f aca="false">SUM(C17:J17)</f>
        <v>2</v>
      </c>
      <c r="L17" s="16" t="n">
        <f aca="false">SUMPRODUCT(C17:J17,Returns!B21:I21)/K17</f>
        <v>0.042663683182296</v>
      </c>
      <c r="M17" s="16" t="n">
        <f aca="false">-2*Assumptions!$B$13</f>
        <v>-0.007</v>
      </c>
      <c r="N17" s="16" t="n">
        <f aca="false">-Assumptions!$B$16*MAX(0,(1+O14)*(1+O15)*(1+O16)-1)</f>
        <v>-0</v>
      </c>
      <c r="O17" s="16" t="n">
        <f aca="false">L17+M17+N17</f>
        <v>0.035663683182296</v>
      </c>
      <c r="P17" s="21" t="n">
        <f aca="false">P16*(1+O17)</f>
        <v>0.835920979476301</v>
      </c>
      <c r="Q17" s="21" t="n">
        <f aca="false">MAX($P$5:P17)</f>
        <v>0.936318870657574</v>
      </c>
      <c r="R17" s="16" t="n">
        <f aca="false">P17/Q17-1</f>
        <v>-0.107226175107166</v>
      </c>
      <c r="S17" s="16" t="n">
        <f aca="false">O17-Benchmark_RF!D17</f>
        <v>0.0309067982537089</v>
      </c>
    </row>
    <row r="18" customFormat="false" ht="15" hidden="false" customHeight="true" outlineLevel="0" collapsed="false">
      <c r="A18" s="1" t="n">
        <v>21</v>
      </c>
      <c r="B18" s="13" t="n">
        <f aca="false">Returns!A22</f>
        <v>42614</v>
      </c>
      <c r="C18" s="17" t="n">
        <f aca="false">IF(Rankings!C23&lt;=2,1,0)</f>
        <v>0</v>
      </c>
      <c r="D18" s="17" t="n">
        <f aca="false">IF(Rankings!D23&lt;=2,1,0)</f>
        <v>0</v>
      </c>
      <c r="E18" s="17" t="n">
        <f aca="false">IF(Rankings!E23&lt;=2,1,0)</f>
        <v>0</v>
      </c>
      <c r="F18" s="17" t="n">
        <f aca="false">IF(Rankings!F23&lt;=2,1,0)</f>
        <v>1</v>
      </c>
      <c r="G18" s="17" t="n">
        <f aca="false">IF(Rankings!G23&lt;=2,1,0)</f>
        <v>0</v>
      </c>
      <c r="H18" s="17" t="n">
        <f aca="false">IF(Rankings!H23&lt;=2,1,0)</f>
        <v>0</v>
      </c>
      <c r="I18" s="17" t="n">
        <f aca="false">IF(Rankings!I23&lt;=2,1,0)</f>
        <v>1</v>
      </c>
      <c r="J18" s="17" t="n">
        <f aca="false">IF(Rankings!J23&lt;=2,1,0)</f>
        <v>0</v>
      </c>
      <c r="K18" s="20" t="n">
        <f aca="false">SUM(C18:J18)</f>
        <v>2</v>
      </c>
      <c r="L18" s="16" t="n">
        <f aca="false">SUMPRODUCT(C18:J18,Returns!B22:I22)/K18</f>
        <v>0.30210014775338</v>
      </c>
      <c r="M18" s="16" t="n">
        <v>0</v>
      </c>
      <c r="N18" s="16" t="n">
        <v>0</v>
      </c>
      <c r="O18" s="16" t="n">
        <f aca="false">L18+M18+N18</f>
        <v>0.30210014775338</v>
      </c>
      <c r="P18" s="21" t="n">
        <f aca="false">P17*(1+O18)</f>
        <v>1.08845283088624</v>
      </c>
      <c r="Q18" s="21" t="n">
        <f aca="false">MAX($P$5:P18)</f>
        <v>1.08845283088624</v>
      </c>
      <c r="R18" s="16" t="n">
        <f aca="false">P18/Q18-1</f>
        <v>0</v>
      </c>
      <c r="S18" s="16" t="n">
        <f aca="false">O18-Benchmark_RF!D18</f>
        <v>0.297343262824793</v>
      </c>
    </row>
    <row r="19" customFormat="false" ht="15" hidden="false" customHeight="true" outlineLevel="0" collapsed="false">
      <c r="A19" s="1" t="n">
        <v>22</v>
      </c>
      <c r="B19" s="13" t="n">
        <f aca="false">Returns!A23</f>
        <v>42644</v>
      </c>
      <c r="C19" s="17" t="n">
        <f aca="false">IF(Rankings!C23&lt;=2,1,0)</f>
        <v>0</v>
      </c>
      <c r="D19" s="17" t="n">
        <f aca="false">IF(Rankings!D23&lt;=2,1,0)</f>
        <v>0</v>
      </c>
      <c r="E19" s="17" t="n">
        <f aca="false">IF(Rankings!E23&lt;=2,1,0)</f>
        <v>0</v>
      </c>
      <c r="F19" s="17" t="n">
        <f aca="false">IF(Rankings!F23&lt;=2,1,0)</f>
        <v>1</v>
      </c>
      <c r="G19" s="17" t="n">
        <f aca="false">IF(Rankings!G23&lt;=2,1,0)</f>
        <v>0</v>
      </c>
      <c r="H19" s="17" t="n">
        <f aca="false">IF(Rankings!H23&lt;=2,1,0)</f>
        <v>0</v>
      </c>
      <c r="I19" s="17" t="n">
        <f aca="false">IF(Rankings!I23&lt;=2,1,0)</f>
        <v>1</v>
      </c>
      <c r="J19" s="17" t="n">
        <f aca="false">IF(Rankings!J23&lt;=2,1,0)</f>
        <v>0</v>
      </c>
      <c r="K19" s="20" t="n">
        <f aca="false">SUM(C19:J19)</f>
        <v>2</v>
      </c>
      <c r="L19" s="16" t="n">
        <f aca="false">SUMPRODUCT(C19:J19,Returns!B23:I23)/K19</f>
        <v>0.104222426675588</v>
      </c>
      <c r="M19" s="16" t="n">
        <v>0</v>
      </c>
      <c r="N19" s="16" t="n">
        <v>0</v>
      </c>
      <c r="O19" s="16" t="n">
        <f aca="false">L19+M19+N19</f>
        <v>0.104222426675588</v>
      </c>
      <c r="P19" s="21" t="n">
        <f aca="false">P18*(1+O19)</f>
        <v>1.20189402624312</v>
      </c>
      <c r="Q19" s="21" t="n">
        <f aca="false">MAX($P$5:P19)</f>
        <v>1.20189402624312</v>
      </c>
      <c r="R19" s="16" t="n">
        <f aca="false">P19/Q19-1</f>
        <v>0</v>
      </c>
      <c r="S19" s="16" t="n">
        <f aca="false">O19-Benchmark_RF!D19</f>
        <v>0.0994497241594458</v>
      </c>
    </row>
    <row r="20" customFormat="false" ht="15" hidden="false" customHeight="true" outlineLevel="0" collapsed="false">
      <c r="A20" s="1" t="n">
        <v>23</v>
      </c>
      <c r="B20" s="13" t="n">
        <f aca="false">Returns!A24</f>
        <v>42675</v>
      </c>
      <c r="C20" s="17" t="n">
        <f aca="false">IF(Rankings!C26&lt;=2,1,0)</f>
        <v>0</v>
      </c>
      <c r="D20" s="17" t="n">
        <f aca="false">IF(Rankings!D26&lt;=2,1,0)</f>
        <v>0</v>
      </c>
      <c r="E20" s="17" t="n">
        <f aca="false">IF(Rankings!E26&lt;=2,1,0)</f>
        <v>0</v>
      </c>
      <c r="F20" s="17" t="n">
        <f aca="false">IF(Rankings!F26&lt;=2,1,0)</f>
        <v>0</v>
      </c>
      <c r="G20" s="17" t="n">
        <f aca="false">IF(Rankings!G26&lt;=2,1,0)</f>
        <v>0</v>
      </c>
      <c r="H20" s="17" t="n">
        <f aca="false">IF(Rankings!H26&lt;=2,1,0)</f>
        <v>1</v>
      </c>
      <c r="I20" s="17" t="n">
        <f aca="false">IF(Rankings!I26&lt;=2,1,0)</f>
        <v>1</v>
      </c>
      <c r="J20" s="17" t="n">
        <f aca="false">IF(Rankings!J26&lt;=2,1,0)</f>
        <v>0</v>
      </c>
      <c r="K20" s="20" t="n">
        <f aca="false">SUM(C20:J20)</f>
        <v>2</v>
      </c>
      <c r="L20" s="16" t="n">
        <f aca="false">SUMPRODUCT(C20:J20,Returns!B24:I24)/K20</f>
        <v>0.206229022352353</v>
      </c>
      <c r="M20" s="16" t="n">
        <f aca="false">-2*Assumptions!$B$13</f>
        <v>-0.007</v>
      </c>
      <c r="N20" s="16" t="n">
        <f aca="false">-Assumptions!$B$16*MAX(0,(1+O17)*(1+O18)*(1+O19)-1)</f>
        <v>-0.0733628580766535</v>
      </c>
      <c r="O20" s="16" t="n">
        <f aca="false">L20+M20+N20</f>
        <v>0.125866164275699</v>
      </c>
      <c r="P20" s="21" t="n">
        <f aca="false">P19*(1+O20)</f>
        <v>1.35317181719222</v>
      </c>
      <c r="Q20" s="21" t="n">
        <f aca="false">MAX($P$5:P20)</f>
        <v>1.35317181719222</v>
      </c>
      <c r="R20" s="16" t="n">
        <f aca="false">P20/Q20-1</f>
        <v>0</v>
      </c>
      <c r="S20" s="16" t="n">
        <f aca="false">O20-Benchmark_RF!D20</f>
        <v>0.121038121763162</v>
      </c>
    </row>
    <row r="21" customFormat="false" ht="15" hidden="false" customHeight="true" outlineLevel="0" collapsed="false">
      <c r="A21" s="1" t="n">
        <v>24</v>
      </c>
      <c r="B21" s="13" t="n">
        <f aca="false">Returns!A25</f>
        <v>42705</v>
      </c>
      <c r="C21" s="17" t="n">
        <f aca="false">IF(Rankings!C26&lt;=2,1,0)</f>
        <v>0</v>
      </c>
      <c r="D21" s="17" t="n">
        <f aca="false">IF(Rankings!D26&lt;=2,1,0)</f>
        <v>0</v>
      </c>
      <c r="E21" s="17" t="n">
        <f aca="false">IF(Rankings!E26&lt;=2,1,0)</f>
        <v>0</v>
      </c>
      <c r="F21" s="17" t="n">
        <f aca="false">IF(Rankings!F26&lt;=2,1,0)</f>
        <v>0</v>
      </c>
      <c r="G21" s="17" t="n">
        <f aca="false">IF(Rankings!G26&lt;=2,1,0)</f>
        <v>0</v>
      </c>
      <c r="H21" s="17" t="n">
        <f aca="false">IF(Rankings!H26&lt;=2,1,0)</f>
        <v>1</v>
      </c>
      <c r="I21" s="17" t="n">
        <f aca="false">IF(Rankings!I26&lt;=2,1,0)</f>
        <v>1</v>
      </c>
      <c r="J21" s="17" t="n">
        <f aca="false">IF(Rankings!J26&lt;=2,1,0)</f>
        <v>0</v>
      </c>
      <c r="K21" s="20" t="n">
        <f aca="false">SUM(C21:J21)</f>
        <v>2</v>
      </c>
      <c r="L21" s="16" t="n">
        <f aca="false">SUMPRODUCT(C21:J21,Returns!B25:I25)/K21</f>
        <v>-0.0298553606897056</v>
      </c>
      <c r="M21" s="16" t="n">
        <v>0</v>
      </c>
      <c r="N21" s="16" t="n">
        <v>0</v>
      </c>
      <c r="O21" s="16" t="n">
        <f aca="false">L21+M21+N21</f>
        <v>-0.0298553606897056</v>
      </c>
      <c r="P21" s="21" t="n">
        <f aca="false">P20*(1+O21)</f>
        <v>1.3127723845148</v>
      </c>
      <c r="Q21" s="21" t="n">
        <f aca="false">MAX($P$5:P21)</f>
        <v>1.35317181719222</v>
      </c>
      <c r="R21" s="16" t="n">
        <f aca="false">P21/Q21-1</f>
        <v>-0.0298553606897055</v>
      </c>
      <c r="S21" s="16" t="n">
        <f aca="false">O21-Benchmark_RF!D21</f>
        <v>-0.0346951783893452</v>
      </c>
    </row>
    <row r="22" customFormat="false" ht="15" hidden="false" customHeight="true" outlineLevel="0" collapsed="false">
      <c r="A22" s="1" t="n">
        <v>25</v>
      </c>
      <c r="B22" s="13" t="n">
        <f aca="false">Returns!A26</f>
        <v>42736</v>
      </c>
      <c r="C22" s="17" t="n">
        <f aca="false">IF(Rankings!C26&lt;=2,1,0)</f>
        <v>0</v>
      </c>
      <c r="D22" s="17" t="n">
        <f aca="false">IF(Rankings!D26&lt;=2,1,0)</f>
        <v>0</v>
      </c>
      <c r="E22" s="17" t="n">
        <f aca="false">IF(Rankings!E26&lt;=2,1,0)</f>
        <v>0</v>
      </c>
      <c r="F22" s="17" t="n">
        <f aca="false">IF(Rankings!F26&lt;=2,1,0)</f>
        <v>0</v>
      </c>
      <c r="G22" s="17" t="n">
        <f aca="false">IF(Rankings!G26&lt;=2,1,0)</f>
        <v>0</v>
      </c>
      <c r="H22" s="17" t="n">
        <f aca="false">IF(Rankings!H26&lt;=2,1,0)</f>
        <v>1</v>
      </c>
      <c r="I22" s="17" t="n">
        <f aca="false">IF(Rankings!I26&lt;=2,1,0)</f>
        <v>1</v>
      </c>
      <c r="J22" s="17" t="n">
        <f aca="false">IF(Rankings!J26&lt;=2,1,0)</f>
        <v>0</v>
      </c>
      <c r="K22" s="20" t="n">
        <f aca="false">SUM(C22:J22)</f>
        <v>2</v>
      </c>
      <c r="L22" s="16" t="n">
        <f aca="false">SUMPRODUCT(C22:J22,Returns!B26:I26)/K22</f>
        <v>0.0384613423913626</v>
      </c>
      <c r="M22" s="16" t="n">
        <v>0</v>
      </c>
      <c r="N22" s="16" t="n">
        <v>0</v>
      </c>
      <c r="O22" s="16" t="n">
        <f aca="false">L22+M22+N22</f>
        <v>0.0384613423913626</v>
      </c>
      <c r="P22" s="21" t="n">
        <f aca="false">P21*(1+O22)</f>
        <v>1.36326337267755</v>
      </c>
      <c r="Q22" s="21" t="n">
        <f aca="false">MAX($P$5:P22)</f>
        <v>1.36326337267755</v>
      </c>
      <c r="R22" s="16" t="n">
        <f aca="false">P22/Q22-1</f>
        <v>0</v>
      </c>
      <c r="S22" s="16" t="n">
        <f aca="false">O22-Benchmark_RF!D22</f>
        <v>0.0336869791874176</v>
      </c>
    </row>
    <row r="23" customFormat="false" ht="15" hidden="false" customHeight="true" outlineLevel="0" collapsed="false">
      <c r="A23" s="1" t="n">
        <v>26</v>
      </c>
      <c r="B23" s="13" t="n">
        <f aca="false">Returns!A27</f>
        <v>42767</v>
      </c>
      <c r="C23" s="17" t="n">
        <f aca="false">IF(Rankings!C29&lt;=2,1,0)</f>
        <v>1</v>
      </c>
      <c r="D23" s="17" t="n">
        <f aca="false">IF(Rankings!D29&lt;=2,1,0)</f>
        <v>0</v>
      </c>
      <c r="E23" s="17" t="n">
        <f aca="false">IF(Rankings!E29&lt;=2,1,0)</f>
        <v>0</v>
      </c>
      <c r="F23" s="17" t="n">
        <f aca="false">IF(Rankings!F29&lt;=2,1,0)</f>
        <v>0</v>
      </c>
      <c r="G23" s="17" t="n">
        <f aca="false">IF(Rankings!G29&lt;=2,1,0)</f>
        <v>0</v>
      </c>
      <c r="H23" s="17" t="n">
        <f aca="false">IF(Rankings!H29&lt;=2,1,0)</f>
        <v>1</v>
      </c>
      <c r="I23" s="17" t="n">
        <f aca="false">IF(Rankings!I29&lt;=2,1,0)</f>
        <v>0</v>
      </c>
      <c r="J23" s="17" t="n">
        <f aca="false">IF(Rankings!J29&lt;=2,1,0)</f>
        <v>0</v>
      </c>
      <c r="K23" s="20" t="n">
        <f aca="false">SUM(C23:J23)</f>
        <v>2</v>
      </c>
      <c r="L23" s="16" t="n">
        <f aca="false">SUMPRODUCT(C23:J23,Returns!B27:I27)/K23</f>
        <v>-0.0446224493281912</v>
      </c>
      <c r="M23" s="16" t="n">
        <f aca="false">-2*Assumptions!$B$13</f>
        <v>-0.007</v>
      </c>
      <c r="N23" s="16" t="n">
        <f aca="false">-Assumptions!$B$16*MAX(0,(1+O20)*(1+O21)*(1+O22)-1)</f>
        <v>-0.0201393812071982</v>
      </c>
      <c r="O23" s="16" t="n">
        <f aca="false">L23+M23+N23</f>
        <v>-0.0717618305353894</v>
      </c>
      <c r="P23" s="21" t="n">
        <f aca="false">P22*(1+O23)</f>
        <v>1.26543309755236</v>
      </c>
      <c r="Q23" s="21" t="n">
        <f aca="false">MAX($P$5:P23)</f>
        <v>1.36326337267755</v>
      </c>
      <c r="R23" s="16" t="n">
        <f aca="false">P23/Q23-1</f>
        <v>-0.0717618305353895</v>
      </c>
      <c r="S23" s="16" t="n">
        <f aca="false">O23-Benchmark_RF!D23</f>
        <v>-0.0765833130571921</v>
      </c>
    </row>
    <row r="24" customFormat="false" ht="15" hidden="false" customHeight="true" outlineLevel="0" collapsed="false">
      <c r="A24" s="1" t="n">
        <v>27</v>
      </c>
      <c r="B24" s="13" t="n">
        <f aca="false">Returns!A28</f>
        <v>42795</v>
      </c>
      <c r="C24" s="17" t="n">
        <f aca="false">IF(Rankings!C29&lt;=2,1,0)</f>
        <v>1</v>
      </c>
      <c r="D24" s="17" t="n">
        <f aca="false">IF(Rankings!D29&lt;=2,1,0)</f>
        <v>0</v>
      </c>
      <c r="E24" s="17" t="n">
        <f aca="false">IF(Rankings!E29&lt;=2,1,0)</f>
        <v>0</v>
      </c>
      <c r="F24" s="17" t="n">
        <f aca="false">IF(Rankings!F29&lt;=2,1,0)</f>
        <v>0</v>
      </c>
      <c r="G24" s="17" t="n">
        <f aca="false">IF(Rankings!G29&lt;=2,1,0)</f>
        <v>0</v>
      </c>
      <c r="H24" s="17" t="n">
        <f aca="false">IF(Rankings!H29&lt;=2,1,0)</f>
        <v>1</v>
      </c>
      <c r="I24" s="17" t="n">
        <f aca="false">IF(Rankings!I29&lt;=2,1,0)</f>
        <v>0</v>
      </c>
      <c r="J24" s="17" t="n">
        <f aca="false">IF(Rankings!J29&lt;=2,1,0)</f>
        <v>0</v>
      </c>
      <c r="K24" s="20" t="n">
        <f aca="false">SUM(C24:J24)</f>
        <v>2</v>
      </c>
      <c r="L24" s="16" t="n">
        <f aca="false">SUMPRODUCT(C24:J24,Returns!B28:I28)/K24</f>
        <v>-0.0455738381693795</v>
      </c>
      <c r="M24" s="16" t="n">
        <v>0</v>
      </c>
      <c r="N24" s="16" t="n">
        <v>0</v>
      </c>
      <c r="O24" s="16" t="n">
        <f aca="false">L24+M24+N24</f>
        <v>-0.0455738381693795</v>
      </c>
      <c r="P24" s="21" t="n">
        <f aca="false">P23*(1+O24)</f>
        <v>1.20776245435033</v>
      </c>
      <c r="Q24" s="21" t="n">
        <f aca="false">MAX($P$5:P24)</f>
        <v>1.36326337267755</v>
      </c>
      <c r="R24" s="16" t="n">
        <f aca="false">P24/Q24-1</f>
        <v>-0.114065206653211</v>
      </c>
      <c r="S24" s="16" t="n">
        <f aca="false">O24-Benchmark_RF!D24</f>
        <v>-0.0504191082938512</v>
      </c>
    </row>
    <row r="25" customFormat="false" ht="15" hidden="false" customHeight="true" outlineLevel="0" collapsed="false">
      <c r="A25" s="1" t="n">
        <v>28</v>
      </c>
      <c r="B25" s="13" t="n">
        <f aca="false">Returns!A29</f>
        <v>42826</v>
      </c>
      <c r="C25" s="17" t="n">
        <f aca="false">IF(Rankings!C29&lt;=2,1,0)</f>
        <v>1</v>
      </c>
      <c r="D25" s="17" t="n">
        <f aca="false">IF(Rankings!D29&lt;=2,1,0)</f>
        <v>0</v>
      </c>
      <c r="E25" s="17" t="n">
        <f aca="false">IF(Rankings!E29&lt;=2,1,0)</f>
        <v>0</v>
      </c>
      <c r="F25" s="17" t="n">
        <f aca="false">IF(Rankings!F29&lt;=2,1,0)</f>
        <v>0</v>
      </c>
      <c r="G25" s="17" t="n">
        <f aca="false">IF(Rankings!G29&lt;=2,1,0)</f>
        <v>0</v>
      </c>
      <c r="H25" s="17" t="n">
        <f aca="false">IF(Rankings!H29&lt;=2,1,0)</f>
        <v>1</v>
      </c>
      <c r="I25" s="17" t="n">
        <f aca="false">IF(Rankings!I29&lt;=2,1,0)</f>
        <v>0</v>
      </c>
      <c r="J25" s="17" t="n">
        <f aca="false">IF(Rankings!J29&lt;=2,1,0)</f>
        <v>0</v>
      </c>
      <c r="K25" s="20" t="n">
        <f aca="false">SUM(C25:J25)</f>
        <v>2</v>
      </c>
      <c r="L25" s="16" t="n">
        <f aca="false">SUMPRODUCT(C25:J25,Returns!B29:I29)/K25</f>
        <v>-0.0166584276130345</v>
      </c>
      <c r="M25" s="16" t="n">
        <v>0</v>
      </c>
      <c r="N25" s="16" t="n">
        <v>0</v>
      </c>
      <c r="O25" s="16" t="n">
        <f aca="false">L25+M25+N25</f>
        <v>-0.0166584276130345</v>
      </c>
      <c r="P25" s="21" t="n">
        <f aca="false">P24*(1+O25)</f>
        <v>1.1876430309308</v>
      </c>
      <c r="Q25" s="21" t="n">
        <f aca="false">MAX($P$5:P25)</f>
        <v>1.36326337267755</v>
      </c>
      <c r="R25" s="16" t="n">
        <f aca="false">P25/Q25-1</f>
        <v>-0.128823487278047</v>
      </c>
      <c r="S25" s="16" t="n">
        <f aca="false">O25-Benchmark_RF!D25</f>
        <v>-0.0215142065657897</v>
      </c>
    </row>
    <row r="26" customFormat="false" ht="15" hidden="false" customHeight="true" outlineLevel="0" collapsed="false">
      <c r="A26" s="1" t="n">
        <v>29</v>
      </c>
      <c r="B26" s="13" t="n">
        <f aca="false">Returns!A30</f>
        <v>42856</v>
      </c>
      <c r="C26" s="17" t="n">
        <f aca="false">IF(Rankings!C32&lt;=2,1,0)</f>
        <v>0</v>
      </c>
      <c r="D26" s="17" t="n">
        <f aca="false">IF(Rankings!D32&lt;=2,1,0)</f>
        <v>0</v>
      </c>
      <c r="E26" s="17" t="n">
        <f aca="false">IF(Rankings!E32&lt;=2,1,0)</f>
        <v>0</v>
      </c>
      <c r="F26" s="17" t="n">
        <f aca="false">IF(Rankings!F32&lt;=2,1,0)</f>
        <v>0</v>
      </c>
      <c r="G26" s="17" t="n">
        <f aca="false">IF(Rankings!G32&lt;=2,1,0)</f>
        <v>0</v>
      </c>
      <c r="H26" s="17" t="n">
        <f aca="false">IF(Rankings!H32&lt;=2,1,0)</f>
        <v>1</v>
      </c>
      <c r="I26" s="17" t="n">
        <f aca="false">IF(Rankings!I32&lt;=2,1,0)</f>
        <v>1</v>
      </c>
      <c r="J26" s="17" t="n">
        <f aca="false">IF(Rankings!J32&lt;=2,1,0)</f>
        <v>0</v>
      </c>
      <c r="K26" s="20" t="n">
        <f aca="false">SUM(C26:J26)</f>
        <v>2</v>
      </c>
      <c r="L26" s="16" t="n">
        <f aca="false">SUMPRODUCT(C26:J26,Returns!B30:I30)/K26</f>
        <v>0.362590314300025</v>
      </c>
      <c r="M26" s="16" t="n">
        <f aca="false">-2*Assumptions!$B$13</f>
        <v>-0.007</v>
      </c>
      <c r="N26" s="16" t="n">
        <f aca="false">-Assumptions!$B$16*MAX(0,(1+O23)*(1+O24)*(1+O25)-1)</f>
        <v>-0</v>
      </c>
      <c r="O26" s="16" t="n">
        <f aca="false">L26+M26+N26</f>
        <v>0.355590314300025</v>
      </c>
      <c r="P26" s="21" t="n">
        <f aca="false">P25*(1+O26)</f>
        <v>1.60995738957571</v>
      </c>
      <c r="Q26" s="21" t="n">
        <f aca="false">MAX($P$5:P26)</f>
        <v>1.60995738957571</v>
      </c>
      <c r="R26" s="16" t="n">
        <f aca="false">P26/Q26-1</f>
        <v>0</v>
      </c>
      <c r="S26" s="16" t="n">
        <f aca="false">O26-Benchmark_RF!D26</f>
        <v>0.35073453534727</v>
      </c>
    </row>
    <row r="27" customFormat="false" ht="15" hidden="false" customHeight="true" outlineLevel="0" collapsed="false">
      <c r="A27" s="1" t="n">
        <v>30</v>
      </c>
      <c r="B27" s="13" t="n">
        <f aca="false">Returns!A31</f>
        <v>42887</v>
      </c>
      <c r="C27" s="17" t="n">
        <f aca="false">IF(Rankings!C32&lt;=2,1,0)</f>
        <v>0</v>
      </c>
      <c r="D27" s="17" t="n">
        <f aca="false">IF(Rankings!D32&lt;=2,1,0)</f>
        <v>0</v>
      </c>
      <c r="E27" s="17" t="n">
        <f aca="false">IF(Rankings!E32&lt;=2,1,0)</f>
        <v>0</v>
      </c>
      <c r="F27" s="17" t="n">
        <f aca="false">IF(Rankings!F32&lt;=2,1,0)</f>
        <v>0</v>
      </c>
      <c r="G27" s="17" t="n">
        <f aca="false">IF(Rankings!G32&lt;=2,1,0)</f>
        <v>0</v>
      </c>
      <c r="H27" s="17" t="n">
        <f aca="false">IF(Rankings!H32&lt;=2,1,0)</f>
        <v>1</v>
      </c>
      <c r="I27" s="17" t="n">
        <f aca="false">IF(Rankings!I32&lt;=2,1,0)</f>
        <v>1</v>
      </c>
      <c r="J27" s="17" t="n">
        <f aca="false">IF(Rankings!J32&lt;=2,1,0)</f>
        <v>0</v>
      </c>
      <c r="K27" s="20" t="n">
        <f aca="false">SUM(C27:J27)</f>
        <v>2</v>
      </c>
      <c r="L27" s="16" t="n">
        <f aca="false">SUMPRODUCT(C27:J27,Returns!B31:I31)/K27</f>
        <v>0.0984975085089119</v>
      </c>
      <c r="M27" s="16" t="n">
        <v>0</v>
      </c>
      <c r="N27" s="16" t="n">
        <v>0</v>
      </c>
      <c r="O27" s="16" t="n">
        <f aca="false">L27+M27+N27</f>
        <v>0.0984975085089119</v>
      </c>
      <c r="P27" s="21" t="n">
        <f aca="false">P26*(1+O27)</f>
        <v>1.76853418125443</v>
      </c>
      <c r="Q27" s="21" t="n">
        <f aca="false">MAX($P$5:P27)</f>
        <v>1.76853418125443</v>
      </c>
      <c r="R27" s="16" t="n">
        <f aca="false">P27/Q27-1</f>
        <v>0</v>
      </c>
      <c r="S27" s="16" t="n">
        <f aca="false">O27-Benchmark_RF!D27</f>
        <v>0.0936370681321812</v>
      </c>
    </row>
    <row r="28" customFormat="false" ht="15" hidden="false" customHeight="true" outlineLevel="0" collapsed="false">
      <c r="A28" s="1" t="n">
        <v>31</v>
      </c>
      <c r="B28" s="13" t="n">
        <f aca="false">Returns!A32</f>
        <v>42917</v>
      </c>
      <c r="C28" s="17" t="n">
        <f aca="false">IF(Rankings!C32&lt;=2,1,0)</f>
        <v>0</v>
      </c>
      <c r="D28" s="17" t="n">
        <f aca="false">IF(Rankings!D32&lt;=2,1,0)</f>
        <v>0</v>
      </c>
      <c r="E28" s="17" t="n">
        <f aca="false">IF(Rankings!E32&lt;=2,1,0)</f>
        <v>0</v>
      </c>
      <c r="F28" s="17" t="n">
        <f aca="false">IF(Rankings!F32&lt;=2,1,0)</f>
        <v>0</v>
      </c>
      <c r="G28" s="17" t="n">
        <f aca="false">IF(Rankings!G32&lt;=2,1,0)</f>
        <v>0</v>
      </c>
      <c r="H28" s="17" t="n">
        <f aca="false">IF(Rankings!H32&lt;=2,1,0)</f>
        <v>1</v>
      </c>
      <c r="I28" s="17" t="n">
        <f aca="false">IF(Rankings!I32&lt;=2,1,0)</f>
        <v>1</v>
      </c>
      <c r="J28" s="17" t="n">
        <f aca="false">IF(Rankings!J32&lt;=2,1,0)</f>
        <v>0</v>
      </c>
      <c r="K28" s="20" t="n">
        <f aca="false">SUM(C28:J28)</f>
        <v>2</v>
      </c>
      <c r="L28" s="16" t="n">
        <f aca="false">SUMPRODUCT(C28:J28,Returns!B32:I32)/K28</f>
        <v>-0.101297269570707</v>
      </c>
      <c r="M28" s="16" t="n">
        <v>0</v>
      </c>
      <c r="N28" s="16" t="n">
        <v>0</v>
      </c>
      <c r="O28" s="16" t="n">
        <f aca="false">L28+M28+N28</f>
        <v>-0.101297269570707</v>
      </c>
      <c r="P28" s="21" t="n">
        <f aca="false">P27*(1+O28)</f>
        <v>1.58938649755089</v>
      </c>
      <c r="Q28" s="21" t="n">
        <f aca="false">MAX($P$5:P28)</f>
        <v>1.76853418125443</v>
      </c>
      <c r="R28" s="16" t="n">
        <f aca="false">P28/Q28-1</f>
        <v>-0.101297269570707</v>
      </c>
      <c r="S28" s="16" t="n">
        <f aca="false">O28-Benchmark_RF!D28</f>
        <v>-0.106157630942233</v>
      </c>
    </row>
    <row r="29" customFormat="false" ht="15" hidden="false" customHeight="true" outlineLevel="0" collapsed="false">
      <c r="A29" s="1" t="n">
        <v>32</v>
      </c>
      <c r="B29" s="13" t="n">
        <f aca="false">Returns!A33</f>
        <v>42948</v>
      </c>
      <c r="C29" s="17" t="n">
        <f aca="false">IF(Rankings!C35&lt;=2,1,0)</f>
        <v>0</v>
      </c>
      <c r="D29" s="17" t="n">
        <f aca="false">IF(Rankings!D35&lt;=2,1,0)</f>
        <v>0</v>
      </c>
      <c r="E29" s="17" t="n">
        <f aca="false">IF(Rankings!E35&lt;=2,1,0)</f>
        <v>0</v>
      </c>
      <c r="F29" s="17" t="n">
        <f aca="false">IF(Rankings!F35&lt;=2,1,0)</f>
        <v>0</v>
      </c>
      <c r="G29" s="17" t="n">
        <f aca="false">IF(Rankings!G35&lt;=2,1,0)</f>
        <v>0</v>
      </c>
      <c r="H29" s="17" t="n">
        <f aca="false">IF(Rankings!H35&lt;=2,1,0)</f>
        <v>1</v>
      </c>
      <c r="I29" s="17" t="n">
        <f aca="false">IF(Rankings!I35&lt;=2,1,0)</f>
        <v>1</v>
      </c>
      <c r="J29" s="17" t="n">
        <f aca="false">IF(Rankings!J35&lt;=2,1,0)</f>
        <v>0</v>
      </c>
      <c r="K29" s="20" t="n">
        <f aca="false">SUM(C29:J29)</f>
        <v>2</v>
      </c>
      <c r="L29" s="16" t="n">
        <f aca="false">SUMPRODUCT(C29:J29,Returns!B33:I33)/K29</f>
        <v>-0.213194828142044</v>
      </c>
      <c r="M29" s="16" t="n">
        <f aca="false">-2*Assumptions!$B$13</f>
        <v>-0.007</v>
      </c>
      <c r="N29" s="16" t="n">
        <f aca="false">-Assumptions!$B$16*MAX(0,(1+O26)*(1+O27)*(1+O28)-1)</f>
        <v>-0.0507404316141908</v>
      </c>
      <c r="O29" s="16" t="n">
        <f aca="false">L29+M29+N29</f>
        <v>-0.270935259756234</v>
      </c>
      <c r="P29" s="21" t="n">
        <f aca="false">P28*(1+O29)</f>
        <v>1.15876565398389</v>
      </c>
      <c r="Q29" s="21" t="n">
        <f aca="false">MAX($P$5:P29)</f>
        <v>1.76853418125443</v>
      </c>
      <c r="R29" s="16" t="n">
        <f aca="false">P29/Q29-1</f>
        <v>-0.344787527283205</v>
      </c>
      <c r="S29" s="16" t="n">
        <f aca="false">O29-Benchmark_RF!D29</f>
        <v>-0.275795068089416</v>
      </c>
    </row>
    <row r="30" customFormat="false" ht="15" hidden="false" customHeight="true" outlineLevel="0" collapsed="false">
      <c r="A30" s="1" t="n">
        <v>33</v>
      </c>
      <c r="B30" s="13" t="n">
        <f aca="false">Returns!A34</f>
        <v>42979</v>
      </c>
      <c r="C30" s="17" t="n">
        <f aca="false">IF(Rankings!C35&lt;=2,1,0)</f>
        <v>0</v>
      </c>
      <c r="D30" s="17" t="n">
        <f aca="false">IF(Rankings!D35&lt;=2,1,0)</f>
        <v>0</v>
      </c>
      <c r="E30" s="17" t="n">
        <f aca="false">IF(Rankings!E35&lt;=2,1,0)</f>
        <v>0</v>
      </c>
      <c r="F30" s="17" t="n">
        <f aca="false">IF(Rankings!F35&lt;=2,1,0)</f>
        <v>0</v>
      </c>
      <c r="G30" s="17" t="n">
        <f aca="false">IF(Rankings!G35&lt;=2,1,0)</f>
        <v>0</v>
      </c>
      <c r="H30" s="17" t="n">
        <f aca="false">IF(Rankings!H35&lt;=2,1,0)</f>
        <v>1</v>
      </c>
      <c r="I30" s="17" t="n">
        <f aca="false">IF(Rankings!I35&lt;=2,1,0)</f>
        <v>1</v>
      </c>
      <c r="J30" s="17" t="n">
        <f aca="false">IF(Rankings!J35&lt;=2,1,0)</f>
        <v>0</v>
      </c>
      <c r="K30" s="20" t="n">
        <f aca="false">SUM(C30:J30)</f>
        <v>2</v>
      </c>
      <c r="L30" s="16" t="n">
        <f aca="false">SUMPRODUCT(C30:J30,Returns!B34:I34)/K30</f>
        <v>0.102652780065308</v>
      </c>
      <c r="M30" s="16" t="n">
        <v>0</v>
      </c>
      <c r="N30" s="16" t="n">
        <v>0</v>
      </c>
      <c r="O30" s="16" t="n">
        <f aca="false">L30+M30+N30</f>
        <v>0.102652780065308</v>
      </c>
      <c r="P30" s="21" t="n">
        <f aca="false">P29*(1+O30)</f>
        <v>1.27771616980953</v>
      </c>
      <c r="Q30" s="21" t="n">
        <f aca="false">MAX($P$5:P30)</f>
        <v>1.76853418125443</v>
      </c>
      <c r="R30" s="16" t="n">
        <f aca="false">P30/Q30-1</f>
        <v>-0.277528145425361</v>
      </c>
      <c r="S30" s="16" t="n">
        <f aca="false">O30-Benchmark_RF!D30</f>
        <v>0.0977923396885769</v>
      </c>
    </row>
    <row r="31" customFormat="false" ht="15" hidden="false" customHeight="true" outlineLevel="0" collapsed="false">
      <c r="A31" s="1" t="n">
        <v>34</v>
      </c>
      <c r="B31" s="13" t="n">
        <f aca="false">Returns!A35</f>
        <v>43009</v>
      </c>
      <c r="C31" s="17" t="n">
        <f aca="false">IF(Rankings!C35&lt;=2,1,0)</f>
        <v>0</v>
      </c>
      <c r="D31" s="17" t="n">
        <f aca="false">IF(Rankings!D35&lt;=2,1,0)</f>
        <v>0</v>
      </c>
      <c r="E31" s="17" t="n">
        <f aca="false">IF(Rankings!E35&lt;=2,1,0)</f>
        <v>0</v>
      </c>
      <c r="F31" s="17" t="n">
        <f aca="false">IF(Rankings!F35&lt;=2,1,0)</f>
        <v>0</v>
      </c>
      <c r="G31" s="17" t="n">
        <f aca="false">IF(Rankings!G35&lt;=2,1,0)</f>
        <v>0</v>
      </c>
      <c r="H31" s="17" t="n">
        <f aca="false">IF(Rankings!H35&lt;=2,1,0)</f>
        <v>1</v>
      </c>
      <c r="I31" s="17" t="n">
        <f aca="false">IF(Rankings!I35&lt;=2,1,0)</f>
        <v>1</v>
      </c>
      <c r="J31" s="17" t="n">
        <f aca="false">IF(Rankings!J35&lt;=2,1,0)</f>
        <v>0</v>
      </c>
      <c r="K31" s="20" t="n">
        <f aca="false">SUM(C31:J31)</f>
        <v>2</v>
      </c>
      <c r="L31" s="16" t="n">
        <f aca="false">SUMPRODUCT(C31:J31,Returns!B35:I35)/K31</f>
        <v>-0.0456513939735423</v>
      </c>
      <c r="M31" s="16" t="n">
        <v>0</v>
      </c>
      <c r="N31" s="16" t="n">
        <v>0</v>
      </c>
      <c r="O31" s="16" t="n">
        <f aca="false">L31+M31+N31</f>
        <v>-0.0456513939735423</v>
      </c>
      <c r="P31" s="21" t="n">
        <f aca="false">P30*(1+O31)</f>
        <v>1.21938664555519</v>
      </c>
      <c r="Q31" s="21" t="n">
        <f aca="false">MAX($P$5:P31)</f>
        <v>1.76853418125443</v>
      </c>
      <c r="R31" s="16" t="n">
        <f aca="false">P31/Q31-1</f>
        <v>-0.310509992693344</v>
      </c>
      <c r="S31" s="16" t="n">
        <f aca="false">O31-Benchmark_RF!D31</f>
        <v>-0.0505118343502731</v>
      </c>
    </row>
    <row r="32" customFormat="false" ht="15" hidden="false" customHeight="true" outlineLevel="0" collapsed="false">
      <c r="A32" s="1" t="n">
        <v>35</v>
      </c>
      <c r="B32" s="13" t="n">
        <f aca="false">Returns!A36</f>
        <v>43040</v>
      </c>
      <c r="C32" s="17" t="n">
        <f aca="false">IF(Rankings!C38&lt;=2,1,0)</f>
        <v>0</v>
      </c>
      <c r="D32" s="17" t="n">
        <f aca="false">IF(Rankings!D38&lt;=2,1,0)</f>
        <v>1</v>
      </c>
      <c r="E32" s="17" t="n">
        <f aca="false">IF(Rankings!E38&lt;=2,1,0)</f>
        <v>0</v>
      </c>
      <c r="F32" s="17" t="n">
        <f aca="false">IF(Rankings!F38&lt;=2,1,0)</f>
        <v>0</v>
      </c>
      <c r="G32" s="17" t="n">
        <f aca="false">IF(Rankings!G38&lt;=2,1,0)</f>
        <v>0</v>
      </c>
      <c r="H32" s="17" t="n">
        <f aca="false">IF(Rankings!H38&lt;=2,1,0)</f>
        <v>1</v>
      </c>
      <c r="I32" s="17" t="n">
        <f aca="false">IF(Rankings!I38&lt;=2,1,0)</f>
        <v>0</v>
      </c>
      <c r="J32" s="17" t="n">
        <f aca="false">IF(Rankings!J38&lt;=2,1,0)</f>
        <v>0</v>
      </c>
      <c r="K32" s="20" t="n">
        <f aca="false">SUM(C32:J32)</f>
        <v>2</v>
      </c>
      <c r="L32" s="16" t="n">
        <f aca="false">SUMPRODUCT(C32:J32,Returns!B36:I36)/K32</f>
        <v>0.0143995822622107</v>
      </c>
      <c r="M32" s="16" t="n">
        <f aca="false">-2*Assumptions!$B$13</f>
        <v>-0.007</v>
      </c>
      <c r="N32" s="16" t="n">
        <f aca="false">-Assumptions!$B$16*MAX(0,(1+O29)*(1+O30)*(1+O31)-1)</f>
        <v>-0</v>
      </c>
      <c r="O32" s="16" t="n">
        <f aca="false">L32+M32+N32</f>
        <v>0.00739958226221072</v>
      </c>
      <c r="P32" s="21" t="n">
        <f aca="false">P31*(1+O32)</f>
        <v>1.22840959734842</v>
      </c>
      <c r="Q32" s="21" t="n">
        <f aca="false">MAX($P$5:P32)</f>
        <v>1.76853418125443</v>
      </c>
      <c r="R32" s="16" t="n">
        <f aca="false">P32/Q32-1</f>
        <v>-0.305408054665306</v>
      </c>
      <c r="S32" s="16" t="n">
        <f aca="false">O32-Benchmark_RF!D32</f>
        <v>0.00253922089068437</v>
      </c>
    </row>
    <row r="33" customFormat="false" ht="15" hidden="false" customHeight="true" outlineLevel="0" collapsed="false">
      <c r="A33" s="1" t="n">
        <v>36</v>
      </c>
      <c r="B33" s="13" t="n">
        <f aca="false">Returns!A37</f>
        <v>43070</v>
      </c>
      <c r="C33" s="17" t="n">
        <f aca="false">IF(Rankings!C38&lt;=2,1,0)</f>
        <v>0</v>
      </c>
      <c r="D33" s="17" t="n">
        <f aca="false">IF(Rankings!D38&lt;=2,1,0)</f>
        <v>1</v>
      </c>
      <c r="E33" s="17" t="n">
        <f aca="false">IF(Rankings!E38&lt;=2,1,0)</f>
        <v>0</v>
      </c>
      <c r="F33" s="17" t="n">
        <f aca="false">IF(Rankings!F38&lt;=2,1,0)</f>
        <v>0</v>
      </c>
      <c r="G33" s="17" t="n">
        <f aca="false">IF(Rankings!G38&lt;=2,1,0)</f>
        <v>0</v>
      </c>
      <c r="H33" s="17" t="n">
        <f aca="false">IF(Rankings!H38&lt;=2,1,0)</f>
        <v>1</v>
      </c>
      <c r="I33" s="17" t="n">
        <f aca="false">IF(Rankings!I38&lt;=2,1,0)</f>
        <v>0</v>
      </c>
      <c r="J33" s="17" t="n">
        <f aca="false">IF(Rankings!J38&lt;=2,1,0)</f>
        <v>0</v>
      </c>
      <c r="K33" s="20" t="n">
        <f aca="false">SUM(C33:J33)</f>
        <v>2</v>
      </c>
      <c r="L33" s="16" t="n">
        <f aca="false">SUMPRODUCT(C33:J33,Returns!B37:I37)/K33</f>
        <v>-0.00529839035807461</v>
      </c>
      <c r="M33" s="16" t="n">
        <v>0</v>
      </c>
      <c r="N33" s="16" t="n">
        <v>0</v>
      </c>
      <c r="O33" s="16" t="n">
        <f aca="false">L33+M33+N33</f>
        <v>-0.00529839035807461</v>
      </c>
      <c r="P33" s="21" t="n">
        <f aca="false">P32*(1+O33)</f>
        <v>1.22190100378206</v>
      </c>
      <c r="Q33" s="21" t="n">
        <f aca="false">MAX($P$5:P33)</f>
        <v>1.76853418125443</v>
      </c>
      <c r="R33" s="16" t="n">
        <f aca="false">P33/Q33-1</f>
        <v>-0.309088273931263</v>
      </c>
      <c r="S33" s="16" t="n">
        <f aca="false">O33-Benchmark_RF!D33</f>
        <v>-0.0101588307348053</v>
      </c>
    </row>
    <row r="34" customFormat="false" ht="15" hidden="false" customHeight="true" outlineLevel="0" collapsed="false">
      <c r="A34" s="1" t="n">
        <v>37</v>
      </c>
      <c r="B34" s="13" t="n">
        <f aca="false">Returns!A38</f>
        <v>43101</v>
      </c>
      <c r="C34" s="17" t="n">
        <f aca="false">IF(Rankings!C38&lt;=2,1,0)</f>
        <v>0</v>
      </c>
      <c r="D34" s="17" t="n">
        <f aca="false">IF(Rankings!D38&lt;=2,1,0)</f>
        <v>1</v>
      </c>
      <c r="E34" s="17" t="n">
        <f aca="false">IF(Rankings!E38&lt;=2,1,0)</f>
        <v>0</v>
      </c>
      <c r="F34" s="17" t="n">
        <f aca="false">IF(Rankings!F38&lt;=2,1,0)</f>
        <v>0</v>
      </c>
      <c r="G34" s="17" t="n">
        <f aca="false">IF(Rankings!G38&lt;=2,1,0)</f>
        <v>0</v>
      </c>
      <c r="H34" s="17" t="n">
        <f aca="false">IF(Rankings!H38&lt;=2,1,0)</f>
        <v>1</v>
      </c>
      <c r="I34" s="17" t="n">
        <f aca="false">IF(Rankings!I38&lt;=2,1,0)</f>
        <v>0</v>
      </c>
      <c r="J34" s="17" t="n">
        <f aca="false">IF(Rankings!J38&lt;=2,1,0)</f>
        <v>0</v>
      </c>
      <c r="K34" s="20" t="n">
        <f aca="false">SUM(C34:J34)</f>
        <v>2</v>
      </c>
      <c r="L34" s="16" t="n">
        <f aca="false">SUMPRODUCT(C34:J34,Returns!B38:I38)/K34</f>
        <v>0.141860718446786</v>
      </c>
      <c r="M34" s="16" t="n">
        <v>0</v>
      </c>
      <c r="N34" s="16" t="n">
        <v>0</v>
      </c>
      <c r="O34" s="16" t="n">
        <f aca="false">L34+M34+N34</f>
        <v>0.141860718446786</v>
      </c>
      <c r="P34" s="21" t="n">
        <f aca="false">P33*(1+O34)</f>
        <v>1.39524075804943</v>
      </c>
      <c r="Q34" s="21" t="n">
        <f aca="false">MAX($P$5:P34)</f>
        <v>1.76853418125443</v>
      </c>
      <c r="R34" s="16" t="n">
        <f aca="false">P34/Q34-1</f>
        <v>-0.211075040087843</v>
      </c>
      <c r="S34" s="16" t="n">
        <f aca="false">O34-Benchmark_RF!D34</f>
        <v>0.13683530630795</v>
      </c>
    </row>
    <row r="35" customFormat="false" ht="15" hidden="false" customHeight="true" outlineLevel="0" collapsed="false">
      <c r="A35" s="1" t="n">
        <v>38</v>
      </c>
      <c r="B35" s="13" t="n">
        <f aca="false">Returns!A39</f>
        <v>43132</v>
      </c>
      <c r="C35" s="17" t="n">
        <f aca="false">IF(Rankings!C41&lt;=2,1,0)</f>
        <v>0</v>
      </c>
      <c r="D35" s="17" t="n">
        <f aca="false">IF(Rankings!D41&lt;=2,1,0)</f>
        <v>1</v>
      </c>
      <c r="E35" s="17" t="n">
        <f aca="false">IF(Rankings!E41&lt;=2,1,0)</f>
        <v>0</v>
      </c>
      <c r="F35" s="17" t="n">
        <f aca="false">IF(Rankings!F41&lt;=2,1,0)</f>
        <v>0</v>
      </c>
      <c r="G35" s="17" t="n">
        <f aca="false">IF(Rankings!G41&lt;=2,1,0)</f>
        <v>1</v>
      </c>
      <c r="H35" s="17" t="n">
        <f aca="false">IF(Rankings!H41&lt;=2,1,0)</f>
        <v>0</v>
      </c>
      <c r="I35" s="17" t="n">
        <f aca="false">IF(Rankings!I41&lt;=2,1,0)</f>
        <v>0</v>
      </c>
      <c r="J35" s="17" t="n">
        <f aca="false">IF(Rankings!J41&lt;=2,1,0)</f>
        <v>0</v>
      </c>
      <c r="K35" s="20" t="n">
        <f aca="false">SUM(C35:J35)</f>
        <v>2</v>
      </c>
      <c r="L35" s="16" t="n">
        <f aca="false">SUMPRODUCT(C35:J35,Returns!B39:I39)/K35</f>
        <v>-0.0247632370703775</v>
      </c>
      <c r="M35" s="16" t="n">
        <f aca="false">-2*Assumptions!$B$13</f>
        <v>-0.007</v>
      </c>
      <c r="N35" s="16" t="n">
        <f aca="false">-Assumptions!$B$16*MAX(0,(1+O32)*(1+O33)*(1+O34)-1)</f>
        <v>-0.021632282894263</v>
      </c>
      <c r="O35" s="16" t="n">
        <f aca="false">L35+M35+N35</f>
        <v>-0.0533955199646405</v>
      </c>
      <c r="P35" s="21" t="n">
        <f aca="false">P34*(1+O35)</f>
        <v>1.32074115229752</v>
      </c>
      <c r="Q35" s="21" t="n">
        <f aca="false">MAX($P$5:P35)</f>
        <v>1.76853418125443</v>
      </c>
      <c r="R35" s="16" t="n">
        <f aca="false">P35/Q35-1</f>
        <v>-0.253200098535436</v>
      </c>
      <c r="S35" s="16" t="n">
        <f aca="false">O35-Benchmark_RF!D35</f>
        <v>-0.0584463223435154</v>
      </c>
    </row>
    <row r="36" customFormat="false" ht="15" hidden="false" customHeight="true" outlineLevel="0" collapsed="false">
      <c r="A36" s="1" t="n">
        <v>39</v>
      </c>
      <c r="B36" s="13" t="n">
        <f aca="false">Returns!A40</f>
        <v>43160</v>
      </c>
      <c r="C36" s="17" t="n">
        <f aca="false">IF(Rankings!C41&lt;=2,1,0)</f>
        <v>0</v>
      </c>
      <c r="D36" s="17" t="n">
        <f aca="false">IF(Rankings!D41&lt;=2,1,0)</f>
        <v>1</v>
      </c>
      <c r="E36" s="17" t="n">
        <f aca="false">IF(Rankings!E41&lt;=2,1,0)</f>
        <v>0</v>
      </c>
      <c r="F36" s="17" t="n">
        <f aca="false">IF(Rankings!F41&lt;=2,1,0)</f>
        <v>0</v>
      </c>
      <c r="G36" s="17" t="n">
        <f aca="false">IF(Rankings!G41&lt;=2,1,0)</f>
        <v>1</v>
      </c>
      <c r="H36" s="17" t="n">
        <f aca="false">IF(Rankings!H41&lt;=2,1,0)</f>
        <v>0</v>
      </c>
      <c r="I36" s="17" t="n">
        <f aca="false">IF(Rankings!I41&lt;=2,1,0)</f>
        <v>0</v>
      </c>
      <c r="J36" s="17" t="n">
        <f aca="false">IF(Rankings!J41&lt;=2,1,0)</f>
        <v>0</v>
      </c>
      <c r="K36" s="20" t="n">
        <f aca="false">SUM(C36:J36)</f>
        <v>2</v>
      </c>
      <c r="L36" s="16" t="n">
        <f aca="false">SUMPRODUCT(C36:J36,Returns!B40:I40)/K36</f>
        <v>0.10337764069423</v>
      </c>
      <c r="M36" s="16" t="n">
        <v>0</v>
      </c>
      <c r="N36" s="16" t="n">
        <v>0</v>
      </c>
      <c r="O36" s="16" t="n">
        <f aca="false">L36+M36+N36</f>
        <v>0.10337764069423</v>
      </c>
      <c r="P36" s="21" t="n">
        <f aca="false">P35*(1+O36)</f>
        <v>1.45727625658982</v>
      </c>
      <c r="Q36" s="21" t="n">
        <f aca="false">MAX($P$5:P36)</f>
        <v>1.76853418125443</v>
      </c>
      <c r="R36" s="16" t="n">
        <f aca="false">P36/Q36-1</f>
        <v>-0.175997686651346</v>
      </c>
      <c r="S36" s="16" t="n">
        <f aca="false">O36-Benchmark_RF!D36</f>
        <v>0.0983056326221151</v>
      </c>
    </row>
    <row r="37" customFormat="false" ht="15" hidden="false" customHeight="true" outlineLevel="0" collapsed="false">
      <c r="A37" s="1" t="n">
        <v>40</v>
      </c>
      <c r="B37" s="13" t="n">
        <f aca="false">Returns!A41</f>
        <v>43191</v>
      </c>
      <c r="C37" s="17" t="n">
        <f aca="false">IF(Rankings!C41&lt;=2,1,0)</f>
        <v>0</v>
      </c>
      <c r="D37" s="17" t="n">
        <f aca="false">IF(Rankings!D41&lt;=2,1,0)</f>
        <v>1</v>
      </c>
      <c r="E37" s="17" t="n">
        <f aca="false">IF(Rankings!E41&lt;=2,1,0)</f>
        <v>0</v>
      </c>
      <c r="F37" s="17" t="n">
        <f aca="false">IF(Rankings!F41&lt;=2,1,0)</f>
        <v>0</v>
      </c>
      <c r="G37" s="17" t="n">
        <f aca="false">IF(Rankings!G41&lt;=2,1,0)</f>
        <v>1</v>
      </c>
      <c r="H37" s="17" t="n">
        <f aca="false">IF(Rankings!H41&lt;=2,1,0)</f>
        <v>0</v>
      </c>
      <c r="I37" s="17" t="n">
        <f aca="false">IF(Rankings!I41&lt;=2,1,0)</f>
        <v>0</v>
      </c>
      <c r="J37" s="17" t="n">
        <f aca="false">IF(Rankings!J41&lt;=2,1,0)</f>
        <v>0</v>
      </c>
      <c r="K37" s="20" t="n">
        <f aca="false">SUM(C37:J37)</f>
        <v>2</v>
      </c>
      <c r="L37" s="16" t="n">
        <f aca="false">SUMPRODUCT(C37:J37,Returns!B41:I41)/K37</f>
        <v>-0.0269202724249878</v>
      </c>
      <c r="M37" s="16" t="n">
        <v>0</v>
      </c>
      <c r="N37" s="16" t="n">
        <v>0</v>
      </c>
      <c r="O37" s="16" t="n">
        <f aca="false">L37+M37+N37</f>
        <v>-0.0269202724249878</v>
      </c>
      <c r="P37" s="21" t="n">
        <f aca="false">P36*(1+O37)</f>
        <v>1.41804598276395</v>
      </c>
      <c r="Q37" s="21" t="n">
        <f aca="false">MAX($P$5:P37)</f>
        <v>1.76853418125443</v>
      </c>
      <c r="R37" s="16" t="n">
        <f aca="false">P37/Q37-1</f>
        <v>-0.198180053405512</v>
      </c>
      <c r="S37" s="16" t="n">
        <f aca="false">O37-Benchmark_RF!D37</f>
        <v>-0.0319747802426612</v>
      </c>
    </row>
    <row r="38" customFormat="false" ht="15" hidden="false" customHeight="true" outlineLevel="0" collapsed="false">
      <c r="A38" s="1" t="n">
        <v>41</v>
      </c>
      <c r="B38" s="13" t="n">
        <f aca="false">Returns!A42</f>
        <v>43221</v>
      </c>
      <c r="C38" s="17" t="n">
        <f aca="false">IF(Rankings!C44&lt;=2,1,0)</f>
        <v>0</v>
      </c>
      <c r="D38" s="17" t="n">
        <f aca="false">IF(Rankings!D44&lt;=2,1,0)</f>
        <v>0</v>
      </c>
      <c r="E38" s="17" t="n">
        <f aca="false">IF(Rankings!E44&lt;=2,1,0)</f>
        <v>0</v>
      </c>
      <c r="F38" s="17" t="n">
        <f aca="false">IF(Rankings!F44&lt;=2,1,0)</f>
        <v>1</v>
      </c>
      <c r="G38" s="17" t="n">
        <f aca="false">IF(Rankings!G44&lt;=2,1,0)</f>
        <v>0</v>
      </c>
      <c r="H38" s="17" t="n">
        <f aca="false">IF(Rankings!H44&lt;=2,1,0)</f>
        <v>1</v>
      </c>
      <c r="I38" s="17" t="n">
        <f aca="false">IF(Rankings!I44&lt;=2,1,0)</f>
        <v>0</v>
      </c>
      <c r="J38" s="17" t="n">
        <f aca="false">IF(Rankings!J44&lt;=2,1,0)</f>
        <v>0</v>
      </c>
      <c r="K38" s="20" t="n">
        <f aca="false">SUM(C38:J38)</f>
        <v>2</v>
      </c>
      <c r="L38" s="16" t="n">
        <f aca="false">SUMPRODUCT(C38:J38,Returns!B42:I42)/K38</f>
        <v>-0.0195348831061974</v>
      </c>
      <c r="M38" s="16" t="n">
        <f aca="false">-2*Assumptions!$B$13</f>
        <v>-0.007</v>
      </c>
      <c r="N38" s="16" t="n">
        <f aca="false">-Assumptions!$B$16*MAX(0,(1+O35)*(1+O36)*(1+O37)-1)</f>
        <v>-0.00245175156147313</v>
      </c>
      <c r="O38" s="16" t="n">
        <f aca="false">L38+M38+N38</f>
        <v>-0.0289866346676706</v>
      </c>
      <c r="P38" s="21" t="n">
        <f aca="false">P37*(1+O38)</f>
        <v>1.37694160191962</v>
      </c>
      <c r="Q38" s="21" t="n">
        <f aca="false">MAX($P$5:P38)</f>
        <v>1.76853418125443</v>
      </c>
      <c r="R38" s="16" t="n">
        <f aca="false">P38/Q38-1</f>
        <v>-0.221422115266697</v>
      </c>
      <c r="S38" s="16" t="n">
        <f aca="false">O38-Benchmark_RF!D38</f>
        <v>-0.0340581698040045</v>
      </c>
    </row>
    <row r="39" customFormat="false" ht="15" hidden="false" customHeight="true" outlineLevel="0" collapsed="false">
      <c r="A39" s="1" t="n">
        <v>42</v>
      </c>
      <c r="B39" s="13" t="n">
        <f aca="false">Returns!A43</f>
        <v>43252</v>
      </c>
      <c r="C39" s="17" t="n">
        <f aca="false">IF(Rankings!C44&lt;=2,1,0)</f>
        <v>0</v>
      </c>
      <c r="D39" s="17" t="n">
        <f aca="false">IF(Rankings!D44&lt;=2,1,0)</f>
        <v>0</v>
      </c>
      <c r="E39" s="17" t="n">
        <f aca="false">IF(Rankings!E44&lt;=2,1,0)</f>
        <v>0</v>
      </c>
      <c r="F39" s="17" t="n">
        <f aca="false">IF(Rankings!F44&lt;=2,1,0)</f>
        <v>1</v>
      </c>
      <c r="G39" s="17" t="n">
        <f aca="false">IF(Rankings!G44&lt;=2,1,0)</f>
        <v>0</v>
      </c>
      <c r="H39" s="17" t="n">
        <f aca="false">IF(Rankings!H44&lt;=2,1,0)</f>
        <v>1</v>
      </c>
      <c r="I39" s="17" t="n">
        <f aca="false">IF(Rankings!I44&lt;=2,1,0)</f>
        <v>0</v>
      </c>
      <c r="J39" s="17" t="n">
        <f aca="false">IF(Rankings!J44&lt;=2,1,0)</f>
        <v>0</v>
      </c>
      <c r="K39" s="20" t="n">
        <f aca="false">SUM(C39:J39)</f>
        <v>2</v>
      </c>
      <c r="L39" s="16" t="n">
        <f aca="false">SUMPRODUCT(C39:J39,Returns!B43:I43)/K39</f>
        <v>-0.0109815890311624</v>
      </c>
      <c r="M39" s="16" t="n">
        <v>0</v>
      </c>
      <c r="N39" s="16" t="n">
        <v>0</v>
      </c>
      <c r="O39" s="16" t="n">
        <f aca="false">L39+M39+N39</f>
        <v>-0.0109815890311624</v>
      </c>
      <c r="P39" s="21" t="n">
        <f aca="false">P38*(1+O39)</f>
        <v>1.36182059512743</v>
      </c>
      <c r="Q39" s="21" t="n">
        <f aca="false">MAX($P$5:P39)</f>
        <v>1.76853418125443</v>
      </c>
      <c r="R39" s="16" t="n">
        <f aca="false">P39/Q39-1</f>
        <v>-0.22997213762559</v>
      </c>
      <c r="S39" s="16" t="n">
        <f aca="false">O39-Benchmark_RF!D39</f>
        <v>-0.0164471757431101</v>
      </c>
    </row>
    <row r="40" customFormat="false" ht="15" hidden="false" customHeight="true" outlineLevel="0" collapsed="false">
      <c r="A40" s="1" t="n">
        <v>43</v>
      </c>
      <c r="B40" s="13" t="n">
        <f aca="false">Returns!A44</f>
        <v>43282</v>
      </c>
      <c r="C40" s="17" t="n">
        <f aca="false">IF(Rankings!C44&lt;=2,1,0)</f>
        <v>0</v>
      </c>
      <c r="D40" s="17" t="n">
        <f aca="false">IF(Rankings!D44&lt;=2,1,0)</f>
        <v>0</v>
      </c>
      <c r="E40" s="17" t="n">
        <f aca="false">IF(Rankings!E44&lt;=2,1,0)</f>
        <v>0</v>
      </c>
      <c r="F40" s="17" t="n">
        <f aca="false">IF(Rankings!F44&lt;=2,1,0)</f>
        <v>1</v>
      </c>
      <c r="G40" s="17" t="n">
        <f aca="false">IF(Rankings!G44&lt;=2,1,0)</f>
        <v>0</v>
      </c>
      <c r="H40" s="17" t="n">
        <f aca="false">IF(Rankings!H44&lt;=2,1,0)</f>
        <v>1</v>
      </c>
      <c r="I40" s="17" t="n">
        <f aca="false">IF(Rankings!I44&lt;=2,1,0)</f>
        <v>0</v>
      </c>
      <c r="J40" s="17" t="n">
        <f aca="false">IF(Rankings!J44&lt;=2,1,0)</f>
        <v>0</v>
      </c>
      <c r="K40" s="20" t="n">
        <f aca="false">SUM(C40:J40)</f>
        <v>2</v>
      </c>
      <c r="L40" s="16" t="n">
        <f aca="false">SUMPRODUCT(C40:J40,Returns!B44:I44)/K40</f>
        <v>0.0267227897253179</v>
      </c>
      <c r="M40" s="16" t="n">
        <v>0</v>
      </c>
      <c r="N40" s="16" t="n">
        <v>0</v>
      </c>
      <c r="O40" s="16" t="n">
        <f aca="false">L40+M40+N40</f>
        <v>0.0267227897253179</v>
      </c>
      <c r="P40" s="21" t="n">
        <f aca="false">P39*(1+O40)</f>
        <v>1.39821224053462</v>
      </c>
      <c r="Q40" s="21" t="n">
        <f aca="false">MAX($P$5:P40)</f>
        <v>1.76853418125443</v>
      </c>
      <c r="R40" s="16" t="n">
        <f aca="false">P40/Q40-1</f>
        <v>-0.209394844976723</v>
      </c>
      <c r="S40" s="16" t="n">
        <f aca="false">O40-Benchmark_RF!D40</f>
        <v>0.0205054459322678</v>
      </c>
    </row>
    <row r="41" customFormat="false" ht="15" hidden="false" customHeight="true" outlineLevel="0" collapsed="false">
      <c r="A41" s="1" t="n">
        <v>44</v>
      </c>
      <c r="B41" s="13" t="n">
        <f aca="false">Returns!A45</f>
        <v>43313</v>
      </c>
      <c r="C41" s="17" t="n">
        <f aca="false">IF(Rankings!C47&lt;=2,1,0)</f>
        <v>1</v>
      </c>
      <c r="D41" s="17" t="n">
        <f aca="false">IF(Rankings!D47&lt;=2,1,0)</f>
        <v>0</v>
      </c>
      <c r="E41" s="17" t="n">
        <f aca="false">IF(Rankings!E47&lt;=2,1,0)</f>
        <v>0</v>
      </c>
      <c r="F41" s="17" t="n">
        <f aca="false">IF(Rankings!F47&lt;=2,1,0)</f>
        <v>0</v>
      </c>
      <c r="G41" s="17" t="n">
        <f aca="false">IF(Rankings!G47&lt;=2,1,0)</f>
        <v>0</v>
      </c>
      <c r="H41" s="17" t="n">
        <f aca="false">IF(Rankings!H47&lt;=2,1,0)</f>
        <v>1</v>
      </c>
      <c r="I41" s="17" t="n">
        <f aca="false">IF(Rankings!I47&lt;=2,1,0)</f>
        <v>0</v>
      </c>
      <c r="J41" s="17" t="n">
        <f aca="false">IF(Rankings!J47&lt;=2,1,0)</f>
        <v>0</v>
      </c>
      <c r="K41" s="20" t="n">
        <f aca="false">SUM(C41:J41)</f>
        <v>2</v>
      </c>
      <c r="L41" s="16" t="n">
        <f aca="false">SUMPRODUCT(C41:J41,Returns!B45:I45)/K41</f>
        <v>-0.00442573525835394</v>
      </c>
      <c r="M41" s="16" t="n">
        <f aca="false">-2*Assumptions!$B$13</f>
        <v>-0.007</v>
      </c>
      <c r="N41" s="16" t="n">
        <f aca="false">-Assumptions!$B$16*MAX(0,(1+O38)*(1+O39)*(1+O40)-1)</f>
        <v>-0</v>
      </c>
      <c r="O41" s="16" t="n">
        <f aca="false">L41+M41+N41</f>
        <v>-0.0114257352583539</v>
      </c>
      <c r="P41" s="21" t="n">
        <f aca="false">P40*(1+O41)</f>
        <v>1.38223663763929</v>
      </c>
      <c r="Q41" s="21" t="n">
        <f aca="false">MAX($P$5:P41)</f>
        <v>1.76853418125443</v>
      </c>
      <c r="R41" s="16" t="n">
        <f aca="false">P41/Q41-1</f>
        <v>-0.218428090171909</v>
      </c>
      <c r="S41" s="16" t="n">
        <f aca="false">O41-Benchmark_RF!D41</f>
        <v>-0.0176654167196397</v>
      </c>
    </row>
    <row r="42" customFormat="false" ht="15" hidden="false" customHeight="true" outlineLevel="0" collapsed="false">
      <c r="A42" s="1" t="n">
        <v>45</v>
      </c>
      <c r="B42" s="13" t="n">
        <f aca="false">Returns!A46</f>
        <v>43344</v>
      </c>
      <c r="C42" s="17" t="n">
        <f aca="false">IF(Rankings!C47&lt;=2,1,0)</f>
        <v>1</v>
      </c>
      <c r="D42" s="17" t="n">
        <f aca="false">IF(Rankings!D47&lt;=2,1,0)</f>
        <v>0</v>
      </c>
      <c r="E42" s="17" t="n">
        <f aca="false">IF(Rankings!E47&lt;=2,1,0)</f>
        <v>0</v>
      </c>
      <c r="F42" s="17" t="n">
        <f aca="false">IF(Rankings!F47&lt;=2,1,0)</f>
        <v>0</v>
      </c>
      <c r="G42" s="17" t="n">
        <f aca="false">IF(Rankings!G47&lt;=2,1,0)</f>
        <v>0</v>
      </c>
      <c r="H42" s="17" t="n">
        <f aca="false">IF(Rankings!H47&lt;=2,1,0)</f>
        <v>1</v>
      </c>
      <c r="I42" s="17" t="n">
        <f aca="false">IF(Rankings!I47&lt;=2,1,0)</f>
        <v>0</v>
      </c>
      <c r="J42" s="17" t="n">
        <f aca="false">IF(Rankings!J47&lt;=2,1,0)</f>
        <v>0</v>
      </c>
      <c r="K42" s="20" t="n">
        <f aca="false">SUM(C42:J42)</f>
        <v>2</v>
      </c>
      <c r="L42" s="16" t="n">
        <f aca="false">SUMPRODUCT(C42:J42,Returns!B46:I46)/K42</f>
        <v>0.00276332551027464</v>
      </c>
      <c r="M42" s="16" t="n">
        <v>0</v>
      </c>
      <c r="N42" s="16" t="n">
        <v>0</v>
      </c>
      <c r="O42" s="16" t="n">
        <f aca="false">L42+M42+N42</f>
        <v>0.00276332551027464</v>
      </c>
      <c r="P42" s="21" t="n">
        <f aca="false">P41*(1+O42)</f>
        <v>1.38605620740131</v>
      </c>
      <c r="Q42" s="21" t="n">
        <f aca="false">MAX($P$5:P42)</f>
        <v>1.76853418125443</v>
      </c>
      <c r="R42" s="16" t="n">
        <f aca="false">P42/Q42-1</f>
        <v>-0.216268352575367</v>
      </c>
      <c r="S42" s="16" t="n">
        <f aca="false">O42-Benchmark_RF!D42</f>
        <v>-0.00347635595101109</v>
      </c>
    </row>
    <row r="43" customFormat="false" ht="15" hidden="false" customHeight="true" outlineLevel="0" collapsed="false">
      <c r="A43" s="1" t="n">
        <v>46</v>
      </c>
      <c r="B43" s="13" t="n">
        <f aca="false">Returns!A47</f>
        <v>43374</v>
      </c>
      <c r="C43" s="17" t="n">
        <f aca="false">IF(Rankings!C47&lt;=2,1,0)</f>
        <v>1</v>
      </c>
      <c r="D43" s="17" t="n">
        <f aca="false">IF(Rankings!D47&lt;=2,1,0)</f>
        <v>0</v>
      </c>
      <c r="E43" s="17" t="n">
        <f aca="false">IF(Rankings!E47&lt;=2,1,0)</f>
        <v>0</v>
      </c>
      <c r="F43" s="17" t="n">
        <f aca="false">IF(Rankings!F47&lt;=2,1,0)</f>
        <v>0</v>
      </c>
      <c r="G43" s="17" t="n">
        <f aca="false">IF(Rankings!G47&lt;=2,1,0)</f>
        <v>0</v>
      </c>
      <c r="H43" s="17" t="n">
        <f aca="false">IF(Rankings!H47&lt;=2,1,0)</f>
        <v>1</v>
      </c>
      <c r="I43" s="17" t="n">
        <f aca="false">IF(Rankings!I47&lt;=2,1,0)</f>
        <v>0</v>
      </c>
      <c r="J43" s="17" t="n">
        <f aca="false">IF(Rankings!J47&lt;=2,1,0)</f>
        <v>0</v>
      </c>
      <c r="K43" s="20" t="n">
        <f aca="false">SUM(C43:J43)</f>
        <v>2</v>
      </c>
      <c r="L43" s="16" t="n">
        <f aca="false">SUMPRODUCT(C43:J43,Returns!B47:I47)/K43</f>
        <v>0.0202088661551577</v>
      </c>
      <c r="M43" s="16" t="n">
        <v>0</v>
      </c>
      <c r="N43" s="16" t="n">
        <v>0</v>
      </c>
      <c r="O43" s="16" t="n">
        <f aca="false">L43+M43+N43</f>
        <v>0.0202088661551577</v>
      </c>
      <c r="P43" s="21" t="n">
        <f aca="false">P42*(1+O43)</f>
        <v>1.41406683178021</v>
      </c>
      <c r="Q43" s="21" t="n">
        <f aca="false">MAX($P$5:P43)</f>
        <v>1.76853418125443</v>
      </c>
      <c r="R43" s="16" t="n">
        <f aca="false">P43/Q43-1</f>
        <v>-0.200430024611001</v>
      </c>
      <c r="S43" s="16" t="n">
        <f aca="false">O43-Benchmark_RF!D43</f>
        <v>0.0131619277594198</v>
      </c>
    </row>
    <row r="44" customFormat="false" ht="15" hidden="false" customHeight="true" outlineLevel="0" collapsed="false">
      <c r="A44" s="1" t="n">
        <v>47</v>
      </c>
      <c r="B44" s="13" t="n">
        <f aca="false">Returns!A48</f>
        <v>43405</v>
      </c>
      <c r="C44" s="17" t="n">
        <f aca="false">IF(Rankings!C50&lt;=2,1,0)</f>
        <v>1</v>
      </c>
      <c r="D44" s="17" t="n">
        <f aca="false">IF(Rankings!D50&lt;=2,1,0)</f>
        <v>1</v>
      </c>
      <c r="E44" s="17" t="n">
        <f aca="false">IF(Rankings!E50&lt;=2,1,0)</f>
        <v>0</v>
      </c>
      <c r="F44" s="17" t="n">
        <f aca="false">IF(Rankings!F50&lt;=2,1,0)</f>
        <v>0</v>
      </c>
      <c r="G44" s="17" t="n">
        <f aca="false">IF(Rankings!G50&lt;=2,1,0)</f>
        <v>0</v>
      </c>
      <c r="H44" s="17" t="n">
        <f aca="false">IF(Rankings!H50&lt;=2,1,0)</f>
        <v>0</v>
      </c>
      <c r="I44" s="17" t="n">
        <f aca="false">IF(Rankings!I50&lt;=2,1,0)</f>
        <v>0</v>
      </c>
      <c r="J44" s="17" t="n">
        <f aca="false">IF(Rankings!J50&lt;=2,1,0)</f>
        <v>0</v>
      </c>
      <c r="K44" s="20" t="n">
        <f aca="false">SUM(C44:J44)</f>
        <v>2</v>
      </c>
      <c r="L44" s="16" t="n">
        <f aca="false">SUMPRODUCT(C44:J44,Returns!B48:I48)/K44</f>
        <v>-0.0407146968403275</v>
      </c>
      <c r="M44" s="16" t="n">
        <f aca="false">-2*Assumptions!$B$13</f>
        <v>-0.007</v>
      </c>
      <c r="N44" s="16" t="n">
        <f aca="false">-Assumptions!$B$16*MAX(0,(1+O41)*(1+O42)*(1+O43)-1)</f>
        <v>-0.00170087817707014</v>
      </c>
      <c r="O44" s="16" t="n">
        <f aca="false">L44+M44+N44</f>
        <v>-0.0494155750173977</v>
      </c>
      <c r="P44" s="21" t="n">
        <f aca="false">P43*(1+O44)</f>
        <v>1.34418990617476</v>
      </c>
      <c r="Q44" s="21" t="n">
        <f aca="false">MAX($P$5:P44)</f>
        <v>1.76853418125443</v>
      </c>
      <c r="R44" s="16" t="n">
        <f aca="false">P44/Q44-1</f>
        <v>-0.239941234711495</v>
      </c>
      <c r="S44" s="16" t="n">
        <f aca="false">O44-Benchmark_RF!D44</f>
        <v>-0.0564672958831063</v>
      </c>
    </row>
    <row r="45" customFormat="false" ht="15" hidden="false" customHeight="true" outlineLevel="0" collapsed="false">
      <c r="A45" s="1" t="n">
        <v>48</v>
      </c>
      <c r="B45" s="13" t="n">
        <f aca="false">Returns!A49</f>
        <v>43435</v>
      </c>
      <c r="C45" s="17" t="n">
        <f aca="false">IF(Rankings!C50&lt;=2,1,0)</f>
        <v>1</v>
      </c>
      <c r="D45" s="17" t="n">
        <f aca="false">IF(Rankings!D50&lt;=2,1,0)</f>
        <v>1</v>
      </c>
      <c r="E45" s="17" t="n">
        <f aca="false">IF(Rankings!E50&lt;=2,1,0)</f>
        <v>0</v>
      </c>
      <c r="F45" s="17" t="n">
        <f aca="false">IF(Rankings!F50&lt;=2,1,0)</f>
        <v>0</v>
      </c>
      <c r="G45" s="17" t="n">
        <f aca="false">IF(Rankings!G50&lt;=2,1,0)</f>
        <v>0</v>
      </c>
      <c r="H45" s="17" t="n">
        <f aca="false">IF(Rankings!H50&lt;=2,1,0)</f>
        <v>0</v>
      </c>
      <c r="I45" s="17" t="n">
        <f aca="false">IF(Rankings!I50&lt;=2,1,0)</f>
        <v>0</v>
      </c>
      <c r="J45" s="17" t="n">
        <f aca="false">IF(Rankings!J50&lt;=2,1,0)</f>
        <v>0</v>
      </c>
      <c r="K45" s="20" t="n">
        <f aca="false">SUM(C45:J45)</f>
        <v>2</v>
      </c>
      <c r="L45" s="16" t="n">
        <f aca="false">SUMPRODUCT(C45:J45,Returns!B49:I49)/K45</f>
        <v>-0.105875647066991</v>
      </c>
      <c r="M45" s="16" t="n">
        <v>0</v>
      </c>
      <c r="N45" s="16" t="n">
        <v>0</v>
      </c>
      <c r="O45" s="16" t="n">
        <f aca="false">L45+M45+N45</f>
        <v>-0.105875647066991</v>
      </c>
      <c r="P45" s="21" t="n">
        <f aca="false">P44*(1+O45)</f>
        <v>1.20187293007759</v>
      </c>
      <c r="Q45" s="21" t="n">
        <f aca="false">MAX($P$5:P45)</f>
        <v>1.76853418125443</v>
      </c>
      <c r="R45" s="16" t="n">
        <f aca="false">P45/Q45-1</f>
        <v>-0.320412948295354</v>
      </c>
      <c r="S45" s="16" t="n">
        <f aca="false">O45-Benchmark_RF!D45</f>
        <v>-0.114075996809689</v>
      </c>
    </row>
    <row r="46" customFormat="false" ht="15" hidden="false" customHeight="true" outlineLevel="0" collapsed="false">
      <c r="A46" s="1" t="n">
        <v>49</v>
      </c>
      <c r="B46" s="13" t="n">
        <f aca="false">Returns!A50</f>
        <v>43466</v>
      </c>
      <c r="C46" s="17" t="n">
        <f aca="false">IF(Rankings!C50&lt;=2,1,0)</f>
        <v>1</v>
      </c>
      <c r="D46" s="17" t="n">
        <f aca="false">IF(Rankings!D50&lt;=2,1,0)</f>
        <v>1</v>
      </c>
      <c r="E46" s="17" t="n">
        <f aca="false">IF(Rankings!E50&lt;=2,1,0)</f>
        <v>0</v>
      </c>
      <c r="F46" s="17" t="n">
        <f aca="false">IF(Rankings!F50&lt;=2,1,0)</f>
        <v>0</v>
      </c>
      <c r="G46" s="17" t="n">
        <f aca="false">IF(Rankings!G50&lt;=2,1,0)</f>
        <v>0</v>
      </c>
      <c r="H46" s="17" t="n">
        <f aca="false">IF(Rankings!H50&lt;=2,1,0)</f>
        <v>0</v>
      </c>
      <c r="I46" s="17" t="n">
        <f aca="false">IF(Rankings!I50&lt;=2,1,0)</f>
        <v>0</v>
      </c>
      <c r="J46" s="17" t="n">
        <f aca="false">IF(Rankings!J50&lt;=2,1,0)</f>
        <v>0</v>
      </c>
      <c r="K46" s="20" t="n">
        <f aca="false">SUM(C46:J46)</f>
        <v>2</v>
      </c>
      <c r="L46" s="16" t="n">
        <f aca="false">SUMPRODUCT(C46:J46,Returns!B50:I50)/K46</f>
        <v>0.0893706674122341</v>
      </c>
      <c r="M46" s="16" t="n">
        <v>0</v>
      </c>
      <c r="N46" s="16" t="n">
        <v>0</v>
      </c>
      <c r="O46" s="16" t="n">
        <f aca="false">L46+M46+N46</f>
        <v>0.0893706674122341</v>
      </c>
      <c r="P46" s="21" t="n">
        <f aca="false">P45*(1+O46)</f>
        <v>1.30928511598332</v>
      </c>
      <c r="Q46" s="21" t="n">
        <f aca="false">MAX($P$5:P46)</f>
        <v>1.76853418125443</v>
      </c>
      <c r="R46" s="16" t="n">
        <f aca="false">P46/Q46-1</f>
        <v>-0.259677799919797</v>
      </c>
      <c r="S46" s="16" t="n">
        <f aca="false">O46-Benchmark_RF!D46</f>
        <v>0.0811669661001984</v>
      </c>
    </row>
    <row r="47" customFormat="false" ht="15" hidden="false" customHeight="true" outlineLevel="0" collapsed="false">
      <c r="A47" s="1" t="n">
        <v>50</v>
      </c>
      <c r="B47" s="13" t="n">
        <f aca="false">Returns!A51</f>
        <v>43497</v>
      </c>
      <c r="C47" s="17" t="n">
        <f aca="false">IF(Rankings!C53&lt;=2,1,0)</f>
        <v>1</v>
      </c>
      <c r="D47" s="17" t="n">
        <f aca="false">IF(Rankings!D53&lt;=2,1,0)</f>
        <v>0</v>
      </c>
      <c r="E47" s="17" t="n">
        <f aca="false">IF(Rankings!E53&lt;=2,1,0)</f>
        <v>0</v>
      </c>
      <c r="F47" s="17" t="n">
        <f aca="false">IF(Rankings!F53&lt;=2,1,0)</f>
        <v>0</v>
      </c>
      <c r="G47" s="17" t="n">
        <f aca="false">IF(Rankings!G53&lt;=2,1,0)</f>
        <v>1</v>
      </c>
      <c r="H47" s="17" t="n">
        <f aca="false">IF(Rankings!H53&lt;=2,1,0)</f>
        <v>0</v>
      </c>
      <c r="I47" s="17" t="n">
        <f aca="false">IF(Rankings!I53&lt;=2,1,0)</f>
        <v>0</v>
      </c>
      <c r="J47" s="17" t="n">
        <f aca="false">IF(Rankings!J53&lt;=2,1,0)</f>
        <v>0</v>
      </c>
      <c r="K47" s="20" t="n">
        <f aca="false">SUM(C47:J47)</f>
        <v>2</v>
      </c>
      <c r="L47" s="16" t="n">
        <f aca="false">SUMPRODUCT(C47:J47,Returns!B51:I51)/K47</f>
        <v>-0.00585308120862521</v>
      </c>
      <c r="M47" s="16" t="n">
        <f aca="false">-2*Assumptions!$B$13</f>
        <v>-0.007</v>
      </c>
      <c r="N47" s="16" t="n">
        <f aca="false">-Assumptions!$B$16*MAX(0,(1+O44)*(1+O45)*(1+O46)-1)</f>
        <v>-0</v>
      </c>
      <c r="O47" s="16" t="n">
        <f aca="false">L47+M47+N47</f>
        <v>-0.0128530812086252</v>
      </c>
      <c r="P47" s="21" t="n">
        <f aca="false">P46*(1+O47)</f>
        <v>1.29245676806234</v>
      </c>
      <c r="Q47" s="21" t="n">
        <f aca="false">MAX($P$5:P47)</f>
        <v>1.76853418125443</v>
      </c>
      <c r="R47" s="16" t="n">
        <f aca="false">P47/Q47-1</f>
        <v>-0.269193221277976</v>
      </c>
      <c r="S47" s="16" t="n">
        <f aca="false">O47-Benchmark_RF!D47</f>
        <v>-0.0212460994239716</v>
      </c>
    </row>
    <row r="48" customFormat="false" ht="15" hidden="false" customHeight="true" outlineLevel="0" collapsed="false">
      <c r="A48" s="1" t="n">
        <v>51</v>
      </c>
      <c r="B48" s="13" t="n">
        <f aca="false">Returns!A52</f>
        <v>43525</v>
      </c>
      <c r="C48" s="17" t="n">
        <f aca="false">IF(Rankings!C53&lt;=2,1,0)</f>
        <v>1</v>
      </c>
      <c r="D48" s="17" t="n">
        <f aca="false">IF(Rankings!D53&lt;=2,1,0)</f>
        <v>0</v>
      </c>
      <c r="E48" s="17" t="n">
        <f aca="false">IF(Rankings!E53&lt;=2,1,0)</f>
        <v>0</v>
      </c>
      <c r="F48" s="17" t="n">
        <f aca="false">IF(Rankings!F53&lt;=2,1,0)</f>
        <v>0</v>
      </c>
      <c r="G48" s="17" t="n">
        <f aca="false">IF(Rankings!G53&lt;=2,1,0)</f>
        <v>1</v>
      </c>
      <c r="H48" s="17" t="n">
        <f aca="false">IF(Rankings!H53&lt;=2,1,0)</f>
        <v>0</v>
      </c>
      <c r="I48" s="17" t="n">
        <f aca="false">IF(Rankings!I53&lt;=2,1,0)</f>
        <v>0</v>
      </c>
      <c r="J48" s="17" t="n">
        <f aca="false">IF(Rankings!J53&lt;=2,1,0)</f>
        <v>0</v>
      </c>
      <c r="K48" s="20" t="n">
        <f aca="false">SUM(C48:J48)</f>
        <v>2</v>
      </c>
      <c r="L48" s="16" t="n">
        <f aca="false">SUMPRODUCT(C48:J48,Returns!B52:I52)/K48</f>
        <v>-0.0473977766854922</v>
      </c>
      <c r="M48" s="16" t="n">
        <v>0</v>
      </c>
      <c r="N48" s="16" t="n">
        <v>0</v>
      </c>
      <c r="O48" s="16" t="n">
        <f aca="false">L48+M48+N48</f>
        <v>-0.0473977766854922</v>
      </c>
      <c r="P48" s="21" t="n">
        <f aca="false">P47*(1+O48)</f>
        <v>1.23119719079407</v>
      </c>
      <c r="Q48" s="21" t="n">
        <f aca="false">MAX($P$5:P48)</f>
        <v>1.76853418125443</v>
      </c>
      <c r="R48" s="16" t="n">
        <f aca="false">P48/Q48-1</f>
        <v>-0.303831837776086</v>
      </c>
      <c r="S48" s="16" t="n">
        <f aca="false">O48-Benchmark_RF!D48</f>
        <v>-0.0557854738027212</v>
      </c>
    </row>
    <row r="49" customFormat="false" ht="15" hidden="false" customHeight="true" outlineLevel="0" collapsed="false">
      <c r="A49" s="1" t="n">
        <v>52</v>
      </c>
      <c r="B49" s="13" t="n">
        <f aca="false">Returns!A53</f>
        <v>43556</v>
      </c>
      <c r="C49" s="17" t="n">
        <f aca="false">IF(Rankings!C53&lt;=2,1,0)</f>
        <v>1</v>
      </c>
      <c r="D49" s="17" t="n">
        <f aca="false">IF(Rankings!D53&lt;=2,1,0)</f>
        <v>0</v>
      </c>
      <c r="E49" s="17" t="n">
        <f aca="false">IF(Rankings!E53&lt;=2,1,0)</f>
        <v>0</v>
      </c>
      <c r="F49" s="17" t="n">
        <f aca="false">IF(Rankings!F53&lt;=2,1,0)</f>
        <v>0</v>
      </c>
      <c r="G49" s="17" t="n">
        <f aca="false">IF(Rankings!G53&lt;=2,1,0)</f>
        <v>1</v>
      </c>
      <c r="H49" s="17" t="n">
        <f aca="false">IF(Rankings!H53&lt;=2,1,0)</f>
        <v>0</v>
      </c>
      <c r="I49" s="17" t="n">
        <f aca="false">IF(Rankings!I53&lt;=2,1,0)</f>
        <v>0</v>
      </c>
      <c r="J49" s="17" t="n">
        <f aca="false">IF(Rankings!J53&lt;=2,1,0)</f>
        <v>0</v>
      </c>
      <c r="K49" s="20" t="n">
        <f aca="false">SUM(C49:J49)</f>
        <v>2</v>
      </c>
      <c r="L49" s="16" t="n">
        <f aca="false">SUMPRODUCT(C49:J49,Returns!B53:I53)/K49</f>
        <v>-0.0742897246791046</v>
      </c>
      <c r="M49" s="16" t="n">
        <v>0</v>
      </c>
      <c r="N49" s="16" t="n">
        <v>0</v>
      </c>
      <c r="O49" s="16" t="n">
        <f aca="false">L49+M49+N49</f>
        <v>-0.0742897246791046</v>
      </c>
      <c r="P49" s="21" t="n">
        <f aca="false">P48*(1+O49)</f>
        <v>1.13973189046429</v>
      </c>
      <c r="Q49" s="21" t="n">
        <f aca="false">MAX($P$5:P49)</f>
        <v>1.76853418125443</v>
      </c>
      <c r="R49" s="16" t="n">
        <f aca="false">P49/Q49-1</f>
        <v>-0.355549978878059</v>
      </c>
      <c r="S49" s="16" t="n">
        <f aca="false">O49-Benchmark_RF!D49</f>
        <v>-0.0829866725562117</v>
      </c>
    </row>
    <row r="50" customFormat="false" ht="15" hidden="false" customHeight="true" outlineLevel="0" collapsed="false">
      <c r="A50" s="1" t="n">
        <v>53</v>
      </c>
      <c r="B50" s="13" t="n">
        <f aca="false">Returns!A54</f>
        <v>43586</v>
      </c>
      <c r="C50" s="17" t="n">
        <f aca="false">IF(Rankings!C56&lt;=2,1,0)</f>
        <v>0</v>
      </c>
      <c r="D50" s="17" t="n">
        <f aca="false">IF(Rankings!D56&lt;=2,1,0)</f>
        <v>0</v>
      </c>
      <c r="E50" s="17" t="n">
        <f aca="false">IF(Rankings!E56&lt;=2,1,0)</f>
        <v>1</v>
      </c>
      <c r="F50" s="17" t="n">
        <f aca="false">IF(Rankings!F56&lt;=2,1,0)</f>
        <v>0</v>
      </c>
      <c r="G50" s="17" t="n">
        <f aca="false">IF(Rankings!G56&lt;=2,1,0)</f>
        <v>1</v>
      </c>
      <c r="H50" s="17" t="n">
        <f aca="false">IF(Rankings!H56&lt;=2,1,0)</f>
        <v>0</v>
      </c>
      <c r="I50" s="17" t="n">
        <f aca="false">IF(Rankings!I56&lt;=2,1,0)</f>
        <v>0</v>
      </c>
      <c r="J50" s="17" t="n">
        <f aca="false">IF(Rankings!J56&lt;=2,1,0)</f>
        <v>0</v>
      </c>
      <c r="K50" s="20" t="n">
        <f aca="false">SUM(C50:J50)</f>
        <v>2</v>
      </c>
      <c r="L50" s="16" t="n">
        <f aca="false">SUMPRODUCT(C50:J50,Returns!B54:I54)/K50</f>
        <v>0.04630556356783</v>
      </c>
      <c r="M50" s="16" t="n">
        <f aca="false">-2*Assumptions!$B$13</f>
        <v>-0.007</v>
      </c>
      <c r="N50" s="16" t="n">
        <f aca="false">-Assumptions!$B$16*MAX(0,(1+O47)*(1+O48)*(1+O49)-1)</f>
        <v>-0</v>
      </c>
      <c r="O50" s="16" t="n">
        <f aca="false">L50+M50+N50</f>
        <v>0.03930556356783</v>
      </c>
      <c r="P50" s="21" t="n">
        <f aca="false">P49*(1+O50)</f>
        <v>1.18452969473522</v>
      </c>
      <c r="Q50" s="21" t="n">
        <f aca="false">MAX($P$5:P50)</f>
        <v>1.76853418125443</v>
      </c>
      <c r="R50" s="16" t="n">
        <f aca="false">P50/Q50-1</f>
        <v>-0.330219507606561</v>
      </c>
      <c r="S50" s="16" t="n">
        <f aca="false">O50-Benchmark_RF!D50</f>
        <v>0.0293861208951619</v>
      </c>
    </row>
    <row r="51" customFormat="false" ht="15" hidden="false" customHeight="true" outlineLevel="0" collapsed="false">
      <c r="A51" s="1" t="n">
        <v>54</v>
      </c>
      <c r="B51" s="13" t="n">
        <f aca="false">Returns!A55</f>
        <v>43617</v>
      </c>
      <c r="C51" s="17" t="n">
        <f aca="false">IF(Rankings!C56&lt;=2,1,0)</f>
        <v>0</v>
      </c>
      <c r="D51" s="17" t="n">
        <f aca="false">IF(Rankings!D56&lt;=2,1,0)</f>
        <v>0</v>
      </c>
      <c r="E51" s="17" t="n">
        <f aca="false">IF(Rankings!E56&lt;=2,1,0)</f>
        <v>1</v>
      </c>
      <c r="F51" s="17" t="n">
        <f aca="false">IF(Rankings!F56&lt;=2,1,0)</f>
        <v>0</v>
      </c>
      <c r="G51" s="17" t="n">
        <f aca="false">IF(Rankings!G56&lt;=2,1,0)</f>
        <v>1</v>
      </c>
      <c r="H51" s="17" t="n">
        <f aca="false">IF(Rankings!H56&lt;=2,1,0)</f>
        <v>0</v>
      </c>
      <c r="I51" s="17" t="n">
        <f aca="false">IF(Rankings!I56&lt;=2,1,0)</f>
        <v>0</v>
      </c>
      <c r="J51" s="17" t="n">
        <f aca="false">IF(Rankings!J56&lt;=2,1,0)</f>
        <v>0</v>
      </c>
      <c r="K51" s="20" t="n">
        <f aca="false">SUM(C51:J51)</f>
        <v>2</v>
      </c>
      <c r="L51" s="16" t="n">
        <f aca="false">SUMPRODUCT(C51:J51,Returns!B55:I55)/K51</f>
        <v>-0.0932585202762107</v>
      </c>
      <c r="M51" s="16" t="n">
        <v>0</v>
      </c>
      <c r="N51" s="16" t="n">
        <v>0</v>
      </c>
      <c r="O51" s="16" t="n">
        <f aca="false">L51+M51+N51</f>
        <v>-0.0932585202762107</v>
      </c>
      <c r="P51" s="21" t="n">
        <f aca="false">P50*(1+O51)</f>
        <v>1.07406220818098</v>
      </c>
      <c r="Q51" s="21" t="n">
        <f aca="false">MAX($P$5:P51)</f>
        <v>1.76853418125443</v>
      </c>
      <c r="R51" s="16" t="n">
        <f aca="false">P51/Q51-1</f>
        <v>-0.392682245237045</v>
      </c>
      <c r="S51" s="16" t="n">
        <f aca="false">O51-Benchmark_RF!D51</f>
        <v>-0.103300038303097</v>
      </c>
    </row>
    <row r="52" customFormat="false" ht="15" hidden="false" customHeight="true" outlineLevel="0" collapsed="false">
      <c r="A52" s="1" t="n">
        <v>55</v>
      </c>
      <c r="B52" s="13" t="n">
        <f aca="false">Returns!A56</f>
        <v>43647</v>
      </c>
      <c r="C52" s="17" t="n">
        <f aca="false">IF(Rankings!C56&lt;=2,1,0)</f>
        <v>0</v>
      </c>
      <c r="D52" s="17" t="n">
        <f aca="false">IF(Rankings!D56&lt;=2,1,0)</f>
        <v>0</v>
      </c>
      <c r="E52" s="17" t="n">
        <f aca="false">IF(Rankings!E56&lt;=2,1,0)</f>
        <v>1</v>
      </c>
      <c r="F52" s="17" t="n">
        <f aca="false">IF(Rankings!F56&lt;=2,1,0)</f>
        <v>0</v>
      </c>
      <c r="G52" s="17" t="n">
        <f aca="false">IF(Rankings!G56&lt;=2,1,0)</f>
        <v>1</v>
      </c>
      <c r="H52" s="17" t="n">
        <f aca="false">IF(Rankings!H56&lt;=2,1,0)</f>
        <v>0</v>
      </c>
      <c r="I52" s="17" t="n">
        <f aca="false">IF(Rankings!I56&lt;=2,1,0)</f>
        <v>0</v>
      </c>
      <c r="J52" s="17" t="n">
        <f aca="false">IF(Rankings!J56&lt;=2,1,0)</f>
        <v>0</v>
      </c>
      <c r="K52" s="20" t="n">
        <f aca="false">SUM(C52:J52)</f>
        <v>2</v>
      </c>
      <c r="L52" s="16" t="n">
        <f aca="false">SUMPRODUCT(C52:J52,Returns!B56:I56)/K52</f>
        <v>0.00536354152256502</v>
      </c>
      <c r="M52" s="16" t="n">
        <v>0</v>
      </c>
      <c r="N52" s="16" t="n">
        <v>0</v>
      </c>
      <c r="O52" s="16" t="n">
        <f aca="false">L52+M52+N52</f>
        <v>0.00536354152256502</v>
      </c>
      <c r="P52" s="21" t="n">
        <f aca="false">P51*(1+O52)</f>
        <v>1.07982298543238</v>
      </c>
      <c r="Q52" s="21" t="n">
        <f aca="false">MAX($P$5:P52)</f>
        <v>1.76853418125443</v>
      </c>
      <c r="R52" s="16" t="n">
        <f aca="false">P52/Q52-1</f>
        <v>-0.389424871241983</v>
      </c>
      <c r="S52" s="16" t="n">
        <f aca="false">O52-Benchmark_RF!D52</f>
        <v>-0.00542718531844955</v>
      </c>
    </row>
    <row r="53" customFormat="false" ht="15" hidden="false" customHeight="true" outlineLevel="0" collapsed="false">
      <c r="A53" s="1" t="n">
        <v>56</v>
      </c>
      <c r="B53" s="13" t="n">
        <f aca="false">Returns!A57</f>
        <v>43678</v>
      </c>
      <c r="C53" s="17" t="n">
        <f aca="false">IF(Rankings!C59&lt;=2,1,0)</f>
        <v>1</v>
      </c>
      <c r="D53" s="17" t="n">
        <f aca="false">IF(Rankings!D59&lt;=2,1,0)</f>
        <v>0</v>
      </c>
      <c r="E53" s="17" t="n">
        <f aca="false">IF(Rankings!E59&lt;=2,1,0)</f>
        <v>0</v>
      </c>
      <c r="F53" s="17" t="n">
        <f aca="false">IF(Rankings!F59&lt;=2,1,0)</f>
        <v>0</v>
      </c>
      <c r="G53" s="17" t="n">
        <f aca="false">IF(Rankings!G59&lt;=2,1,0)</f>
        <v>1</v>
      </c>
      <c r="H53" s="17" t="n">
        <f aca="false">IF(Rankings!H59&lt;=2,1,0)</f>
        <v>0</v>
      </c>
      <c r="I53" s="17" t="n">
        <f aca="false">IF(Rankings!I59&lt;=2,1,0)</f>
        <v>0</v>
      </c>
      <c r="J53" s="17" t="n">
        <f aca="false">IF(Rankings!J59&lt;=2,1,0)</f>
        <v>0</v>
      </c>
      <c r="K53" s="20" t="n">
        <f aca="false">SUM(C53:J53)</f>
        <v>2</v>
      </c>
      <c r="L53" s="16" t="n">
        <f aca="false">SUMPRODUCT(C53:J53,Returns!B57:I57)/K53</f>
        <v>-0.125753514126764</v>
      </c>
      <c r="M53" s="16" t="n">
        <f aca="false">-2*Assumptions!$B$13</f>
        <v>-0.007</v>
      </c>
      <c r="N53" s="16" t="n">
        <f aca="false">-Assumptions!$B$16*MAX(0,(1+O50)*(1+O51)*(1+O52)-1)</f>
        <v>-0</v>
      </c>
      <c r="O53" s="16" t="n">
        <f aca="false">L53+M53+N53</f>
        <v>-0.132753514126764</v>
      </c>
      <c r="P53" s="21" t="n">
        <f aca="false">P52*(1+O53)</f>
        <v>0.936472689481377</v>
      </c>
      <c r="Q53" s="21" t="n">
        <f aca="false">MAX($P$5:P53)</f>
        <v>1.76853418125443</v>
      </c>
      <c r="R53" s="16" t="n">
        <f aca="false">P53/Q53-1</f>
        <v>-0.470480865223011</v>
      </c>
      <c r="S53" s="16" t="n">
        <f aca="false">O53-Benchmark_RF!D53</f>
        <v>-0.143546684697552</v>
      </c>
    </row>
    <row r="54" customFormat="false" ht="15" hidden="false" customHeight="true" outlineLevel="0" collapsed="false">
      <c r="A54" s="1" t="n">
        <v>57</v>
      </c>
      <c r="B54" s="13" t="n">
        <f aca="false">Returns!A58</f>
        <v>43709</v>
      </c>
      <c r="C54" s="17" t="n">
        <f aca="false">IF(Rankings!C59&lt;=2,1,0)</f>
        <v>1</v>
      </c>
      <c r="D54" s="17" t="n">
        <f aca="false">IF(Rankings!D59&lt;=2,1,0)</f>
        <v>0</v>
      </c>
      <c r="E54" s="17" t="n">
        <f aca="false">IF(Rankings!E59&lt;=2,1,0)</f>
        <v>0</v>
      </c>
      <c r="F54" s="17" t="n">
        <f aca="false">IF(Rankings!F59&lt;=2,1,0)</f>
        <v>0</v>
      </c>
      <c r="G54" s="17" t="n">
        <f aca="false">IF(Rankings!G59&lt;=2,1,0)</f>
        <v>1</v>
      </c>
      <c r="H54" s="17" t="n">
        <f aca="false">IF(Rankings!H59&lt;=2,1,0)</f>
        <v>0</v>
      </c>
      <c r="I54" s="17" t="n">
        <f aca="false">IF(Rankings!I59&lt;=2,1,0)</f>
        <v>0</v>
      </c>
      <c r="J54" s="17" t="n">
        <f aca="false">IF(Rankings!J59&lt;=2,1,0)</f>
        <v>0</v>
      </c>
      <c r="K54" s="20" t="n">
        <f aca="false">SUM(C54:J54)</f>
        <v>2</v>
      </c>
      <c r="L54" s="16" t="n">
        <f aca="false">SUMPRODUCT(C54:J54,Returns!B58:I58)/K54</f>
        <v>0.081285585128882</v>
      </c>
      <c r="M54" s="16" t="n">
        <v>0</v>
      </c>
      <c r="N54" s="16" t="n">
        <v>0</v>
      </c>
      <c r="O54" s="16" t="n">
        <f aca="false">L54+M54+N54</f>
        <v>0.081285585128882</v>
      </c>
      <c r="P54" s="21" t="n">
        <f aca="false">P53*(1+O54)</f>
        <v>1.01259442000309</v>
      </c>
      <c r="Q54" s="21" t="n">
        <f aca="false">MAX($P$5:P54)</f>
        <v>1.76853418125443</v>
      </c>
      <c r="R54" s="16" t="n">
        <f aca="false">P54/Q54-1</f>
        <v>-0.427438592515724</v>
      </c>
      <c r="S54" s="16" t="n">
        <f aca="false">O54-Benchmark_RF!D54</f>
        <v>0.0705154474401215</v>
      </c>
    </row>
    <row r="55" customFormat="false" ht="15" hidden="false" customHeight="true" outlineLevel="0" collapsed="false">
      <c r="A55" s="1" t="n">
        <v>58</v>
      </c>
      <c r="B55" s="13" t="n">
        <f aca="false">Returns!A59</f>
        <v>43739</v>
      </c>
      <c r="C55" s="17" t="n">
        <f aca="false">IF(Rankings!C59&lt;=2,1,0)</f>
        <v>1</v>
      </c>
      <c r="D55" s="17" t="n">
        <f aca="false">IF(Rankings!D59&lt;=2,1,0)</f>
        <v>0</v>
      </c>
      <c r="E55" s="17" t="n">
        <f aca="false">IF(Rankings!E59&lt;=2,1,0)</f>
        <v>0</v>
      </c>
      <c r="F55" s="17" t="n">
        <f aca="false">IF(Rankings!F59&lt;=2,1,0)</f>
        <v>0</v>
      </c>
      <c r="G55" s="17" t="n">
        <f aca="false">IF(Rankings!G59&lt;=2,1,0)</f>
        <v>1</v>
      </c>
      <c r="H55" s="17" t="n">
        <f aca="false">IF(Rankings!H59&lt;=2,1,0)</f>
        <v>0</v>
      </c>
      <c r="I55" s="17" t="n">
        <f aca="false">IF(Rankings!I59&lt;=2,1,0)</f>
        <v>0</v>
      </c>
      <c r="J55" s="17" t="n">
        <f aca="false">IF(Rankings!J59&lt;=2,1,0)</f>
        <v>0</v>
      </c>
      <c r="K55" s="20" t="n">
        <f aca="false">SUM(C55:J55)</f>
        <v>2</v>
      </c>
      <c r="L55" s="16" t="n">
        <f aca="false">SUMPRODUCT(C55:J55,Returns!B59:I59)/K55</f>
        <v>0.0302491196639181</v>
      </c>
      <c r="M55" s="16" t="n">
        <v>0</v>
      </c>
      <c r="N55" s="16" t="n">
        <v>0</v>
      </c>
      <c r="O55" s="16" t="n">
        <f aca="false">L55+M55+N55</f>
        <v>0.0302491196639181</v>
      </c>
      <c r="P55" s="21" t="n">
        <f aca="false">P54*(1+O55)</f>
        <v>1.04322450978478</v>
      </c>
      <c r="Q55" s="21" t="n">
        <f aca="false">MAX($P$5:P55)</f>
        <v>1.76853418125443</v>
      </c>
      <c r="R55" s="16" t="n">
        <f aca="false">P55/Q55-1</f>
        <v>-0.410119113985791</v>
      </c>
      <c r="S55" s="16" t="n">
        <f aca="false">O55-Benchmark_RF!D55</f>
        <v>0.019825913395138</v>
      </c>
    </row>
    <row r="56" customFormat="false" ht="15" hidden="false" customHeight="true" outlineLevel="0" collapsed="false">
      <c r="A56" s="1" t="n">
        <v>59</v>
      </c>
      <c r="B56" s="13" t="n">
        <f aca="false">Returns!A60</f>
        <v>43770</v>
      </c>
      <c r="C56" s="17" t="n">
        <f aca="false">IF(Rankings!C62&lt;=2,1,0)</f>
        <v>0</v>
      </c>
      <c r="D56" s="17" t="n">
        <f aca="false">IF(Rankings!D62&lt;=2,1,0)</f>
        <v>1</v>
      </c>
      <c r="E56" s="17" t="n">
        <f aca="false">IF(Rankings!E62&lt;=2,1,0)</f>
        <v>0</v>
      </c>
      <c r="F56" s="17" t="n">
        <f aca="false">IF(Rankings!F62&lt;=2,1,0)</f>
        <v>0</v>
      </c>
      <c r="G56" s="17" t="n">
        <f aca="false">IF(Rankings!G62&lt;=2,1,0)</f>
        <v>0</v>
      </c>
      <c r="H56" s="17" t="n">
        <f aca="false">IF(Rankings!H62&lt;=2,1,0)</f>
        <v>0</v>
      </c>
      <c r="I56" s="17" t="n">
        <f aca="false">IF(Rankings!I62&lt;=2,1,0)</f>
        <v>1</v>
      </c>
      <c r="J56" s="17" t="n">
        <f aca="false">IF(Rankings!J62&lt;=2,1,0)</f>
        <v>0</v>
      </c>
      <c r="K56" s="20" t="n">
        <f aca="false">SUM(C56:J56)</f>
        <v>2</v>
      </c>
      <c r="L56" s="16" t="n">
        <f aca="false">SUMPRODUCT(C56:J56,Returns!B60:I60)/K56</f>
        <v>0.0577952194077773</v>
      </c>
      <c r="M56" s="16" t="n">
        <f aca="false">-2*Assumptions!$B$13</f>
        <v>-0.007</v>
      </c>
      <c r="N56" s="16" t="n">
        <f aca="false">-Assumptions!$B$16*MAX(0,(1+O53)*(1+O54)*(1+O55)-1)</f>
        <v>-0</v>
      </c>
      <c r="O56" s="16" t="n">
        <f aca="false">L56+M56+N56</f>
        <v>0.0507952194077773</v>
      </c>
      <c r="P56" s="21" t="n">
        <f aca="false">P55*(1+O56)</f>
        <v>1.09621532765087</v>
      </c>
      <c r="Q56" s="21" t="n">
        <f aca="false">MAX($P$5:P56)</f>
        <v>1.76853418125443</v>
      </c>
      <c r="R56" s="16" t="n">
        <f aca="false">P56/Q56-1</f>
        <v>-0.380155984956245</v>
      </c>
      <c r="S56" s="16" t="n">
        <f aca="false">O56-Benchmark_RF!D56</f>
        <v>0.0402157132988209</v>
      </c>
    </row>
    <row r="57" customFormat="false" ht="15" hidden="false" customHeight="true" outlineLevel="0" collapsed="false">
      <c r="A57" s="1" t="n">
        <v>60</v>
      </c>
      <c r="B57" s="13" t="n">
        <f aca="false">Returns!A61</f>
        <v>43800</v>
      </c>
      <c r="C57" s="17" t="n">
        <f aca="false">IF(Rankings!C62&lt;=2,1,0)</f>
        <v>0</v>
      </c>
      <c r="D57" s="17" t="n">
        <f aca="false">IF(Rankings!D62&lt;=2,1,0)</f>
        <v>1</v>
      </c>
      <c r="E57" s="17" t="n">
        <f aca="false">IF(Rankings!E62&lt;=2,1,0)</f>
        <v>0</v>
      </c>
      <c r="F57" s="17" t="n">
        <f aca="false">IF(Rankings!F62&lt;=2,1,0)</f>
        <v>0</v>
      </c>
      <c r="G57" s="17" t="n">
        <f aca="false">IF(Rankings!G62&lt;=2,1,0)</f>
        <v>0</v>
      </c>
      <c r="H57" s="17" t="n">
        <f aca="false">IF(Rankings!H62&lt;=2,1,0)</f>
        <v>0</v>
      </c>
      <c r="I57" s="17" t="n">
        <f aca="false">IF(Rankings!I62&lt;=2,1,0)</f>
        <v>1</v>
      </c>
      <c r="J57" s="17" t="n">
        <f aca="false">IF(Rankings!J62&lt;=2,1,0)</f>
        <v>0</v>
      </c>
      <c r="K57" s="20" t="n">
        <f aca="false">SUM(C57:J57)</f>
        <v>2</v>
      </c>
      <c r="L57" s="16" t="n">
        <f aca="false">SUMPRODUCT(C57:J57,Returns!B61:I61)/K57</f>
        <v>0.143425928485779</v>
      </c>
      <c r="M57" s="16" t="n">
        <v>0</v>
      </c>
      <c r="N57" s="16" t="n">
        <v>0</v>
      </c>
      <c r="O57" s="16" t="n">
        <f aca="false">L57+M57+N57</f>
        <v>0.143425928485779</v>
      </c>
      <c r="P57" s="21" t="n">
        <f aca="false">P56*(1+O57)</f>
        <v>1.25344102883953</v>
      </c>
      <c r="Q57" s="21" t="n">
        <f aca="false">MAX($P$5:P57)</f>
        <v>1.76853418125443</v>
      </c>
      <c r="R57" s="16" t="n">
        <f aca="false">P57/Q57-1</f>
        <v>-0.291254281582241</v>
      </c>
      <c r="S57" s="16" t="n">
        <f aca="false">O57-Benchmark_RF!D57</f>
        <v>0.132857259696148</v>
      </c>
    </row>
    <row r="58" customFormat="false" ht="15" hidden="false" customHeight="true" outlineLevel="0" collapsed="false">
      <c r="A58" s="1" t="n">
        <v>61</v>
      </c>
      <c r="B58" s="13" t="n">
        <f aca="false">Returns!A62</f>
        <v>43831</v>
      </c>
      <c r="C58" s="17" t="n">
        <f aca="false">IF(Rankings!C62&lt;=2,1,0)</f>
        <v>0</v>
      </c>
      <c r="D58" s="17" t="n">
        <f aca="false">IF(Rankings!D62&lt;=2,1,0)</f>
        <v>1</v>
      </c>
      <c r="E58" s="17" t="n">
        <f aca="false">IF(Rankings!E62&lt;=2,1,0)</f>
        <v>0</v>
      </c>
      <c r="F58" s="17" t="n">
        <f aca="false">IF(Rankings!F62&lt;=2,1,0)</f>
        <v>0</v>
      </c>
      <c r="G58" s="17" t="n">
        <f aca="false">IF(Rankings!G62&lt;=2,1,0)</f>
        <v>0</v>
      </c>
      <c r="H58" s="17" t="n">
        <f aca="false">IF(Rankings!H62&lt;=2,1,0)</f>
        <v>0</v>
      </c>
      <c r="I58" s="17" t="n">
        <f aca="false">IF(Rankings!I62&lt;=2,1,0)</f>
        <v>1</v>
      </c>
      <c r="J58" s="17" t="n">
        <f aca="false">IF(Rankings!J62&lt;=2,1,0)</f>
        <v>0</v>
      </c>
      <c r="K58" s="20" t="n">
        <f aca="false">SUM(C58:J58)</f>
        <v>2</v>
      </c>
      <c r="L58" s="16" t="n">
        <f aca="false">SUMPRODUCT(C58:J58,Returns!B62:I62)/K58</f>
        <v>0.0357109074502137</v>
      </c>
      <c r="M58" s="16" t="n">
        <v>0</v>
      </c>
      <c r="N58" s="16" t="n">
        <v>0</v>
      </c>
      <c r="O58" s="16" t="n">
        <f aca="false">L58+M58+N58</f>
        <v>0.0357109074502137</v>
      </c>
      <c r="P58" s="21" t="n">
        <f aca="false">P57*(1+O58)</f>
        <v>1.29820254541472</v>
      </c>
      <c r="Q58" s="21" t="n">
        <f aca="false">MAX($P$5:P58)</f>
        <v>1.76853418125443</v>
      </c>
      <c r="R58" s="16" t="n">
        <f aca="false">P58/Q58-1</f>
        <v>-0.26594432882609</v>
      </c>
      <c r="S58" s="16" t="n">
        <f aca="false">O58-Benchmark_RF!D58</f>
        <v>0.0251850808546564</v>
      </c>
    </row>
    <row r="59" customFormat="false" ht="15" hidden="false" customHeight="true" outlineLevel="0" collapsed="false">
      <c r="A59" s="1" t="n">
        <v>62</v>
      </c>
      <c r="B59" s="13" t="n">
        <f aca="false">Returns!A63</f>
        <v>43862</v>
      </c>
      <c r="C59" s="17" t="n">
        <f aca="false">IF(Rankings!C65&lt;=2,1,0)</f>
        <v>0</v>
      </c>
      <c r="D59" s="17" t="n">
        <f aca="false">IF(Rankings!D65&lt;=2,1,0)</f>
        <v>0</v>
      </c>
      <c r="E59" s="17" t="n">
        <f aca="false">IF(Rankings!E65&lt;=2,1,0)</f>
        <v>0</v>
      </c>
      <c r="F59" s="17" t="n">
        <f aca="false">IF(Rankings!F65&lt;=2,1,0)</f>
        <v>0</v>
      </c>
      <c r="G59" s="17" t="n">
        <f aca="false">IF(Rankings!G65&lt;=2,1,0)</f>
        <v>0</v>
      </c>
      <c r="H59" s="17" t="n">
        <f aca="false">IF(Rankings!H65&lt;=2,1,0)</f>
        <v>0</v>
      </c>
      <c r="I59" s="17" t="n">
        <f aca="false">IF(Rankings!I65&lt;=2,1,0)</f>
        <v>1</v>
      </c>
      <c r="J59" s="17" t="n">
        <f aca="false">IF(Rankings!J65&lt;=2,1,0)</f>
        <v>1</v>
      </c>
      <c r="K59" s="20" t="n">
        <f aca="false">SUM(C59:J59)</f>
        <v>2</v>
      </c>
      <c r="L59" s="16" t="n">
        <f aca="false">SUMPRODUCT(C59:J59,Returns!B63:I63)/K59</f>
        <v>-0.0103818287098987</v>
      </c>
      <c r="M59" s="16" t="n">
        <f aca="false">-2*Assumptions!$B$13</f>
        <v>-0.007</v>
      </c>
      <c r="N59" s="16" t="n">
        <f aca="false">-Assumptions!$B$16*MAX(0,(1+O56)*(1+O57)*(1+O58)-1)</f>
        <v>-0.0366620080200976</v>
      </c>
      <c r="O59" s="16" t="n">
        <f aca="false">L59+M59+N59</f>
        <v>-0.0540438367299962</v>
      </c>
      <c r="P59" s="21" t="n">
        <f aca="false">P58*(1+O59)</f>
        <v>1.22804269900786</v>
      </c>
      <c r="Q59" s="21" t="n">
        <f aca="false">MAX($P$5:P59)</f>
        <v>1.76853418125443</v>
      </c>
      <c r="R59" s="16" t="n">
        <f aca="false">P59/Q59-1</f>
        <v>-0.30561551366974</v>
      </c>
      <c r="S59" s="16" t="n">
        <f aca="false">O59-Benchmark_RF!D59</f>
        <v>-0.0645641673869557</v>
      </c>
    </row>
    <row r="60" customFormat="false" ht="15" hidden="false" customHeight="true" outlineLevel="0" collapsed="false">
      <c r="A60" s="1" t="n">
        <v>63</v>
      </c>
      <c r="B60" s="13" t="n">
        <f aca="false">Returns!A64</f>
        <v>43891</v>
      </c>
      <c r="C60" s="17" t="n">
        <f aca="false">IF(Rankings!C65&lt;=2,1,0)</f>
        <v>0</v>
      </c>
      <c r="D60" s="17" t="n">
        <f aca="false">IF(Rankings!D65&lt;=2,1,0)</f>
        <v>0</v>
      </c>
      <c r="E60" s="17" t="n">
        <f aca="false">IF(Rankings!E65&lt;=2,1,0)</f>
        <v>0</v>
      </c>
      <c r="F60" s="17" t="n">
        <f aca="false">IF(Rankings!F65&lt;=2,1,0)</f>
        <v>0</v>
      </c>
      <c r="G60" s="17" t="n">
        <f aca="false">IF(Rankings!G65&lt;=2,1,0)</f>
        <v>0</v>
      </c>
      <c r="H60" s="17" t="n">
        <f aca="false">IF(Rankings!H65&lt;=2,1,0)</f>
        <v>0</v>
      </c>
      <c r="I60" s="17" t="n">
        <f aca="false">IF(Rankings!I65&lt;=2,1,0)</f>
        <v>1</v>
      </c>
      <c r="J60" s="17" t="n">
        <f aca="false">IF(Rankings!J65&lt;=2,1,0)</f>
        <v>1</v>
      </c>
      <c r="K60" s="20" t="n">
        <f aca="false">SUM(C60:J60)</f>
        <v>2</v>
      </c>
      <c r="L60" s="16" t="n">
        <f aca="false">SUMPRODUCT(C60:J60,Returns!B64:I64)/K60</f>
        <v>-0.348758908634964</v>
      </c>
      <c r="M60" s="16" t="n">
        <v>0</v>
      </c>
      <c r="N60" s="16" t="n">
        <v>0</v>
      </c>
      <c r="O60" s="16" t="n">
        <f aca="false">L60+M60+N60</f>
        <v>-0.348758908634964</v>
      </c>
      <c r="P60" s="21" t="n">
        <f aca="false">P59*(1+O60)</f>
        <v>0.799751867544747</v>
      </c>
      <c r="Q60" s="21" t="n">
        <f aca="false">MAX($P$5:P60)</f>
        <v>1.76853418125443</v>
      </c>
      <c r="R60" s="16" t="n">
        <f aca="false">P60/Q60-1</f>
        <v>-0.547788289295331</v>
      </c>
      <c r="S60" s="16" t="n">
        <f aca="false">O60-Benchmark_RF!D60</f>
        <v>-0.357657993665757</v>
      </c>
    </row>
    <row r="61" customFormat="false" ht="15" hidden="false" customHeight="true" outlineLevel="0" collapsed="false">
      <c r="A61" s="1" t="n">
        <v>64</v>
      </c>
      <c r="B61" s="13" t="n">
        <f aca="false">Returns!A65</f>
        <v>43922</v>
      </c>
      <c r="C61" s="17" t="n">
        <f aca="false">IF(Rankings!C65&lt;=2,1,0)</f>
        <v>0</v>
      </c>
      <c r="D61" s="17" t="n">
        <f aca="false">IF(Rankings!D65&lt;=2,1,0)</f>
        <v>0</v>
      </c>
      <c r="E61" s="17" t="n">
        <f aca="false">IF(Rankings!E65&lt;=2,1,0)</f>
        <v>0</v>
      </c>
      <c r="F61" s="17" t="n">
        <f aca="false">IF(Rankings!F65&lt;=2,1,0)</f>
        <v>0</v>
      </c>
      <c r="G61" s="17" t="n">
        <f aca="false">IF(Rankings!G65&lt;=2,1,0)</f>
        <v>0</v>
      </c>
      <c r="H61" s="17" t="n">
        <f aca="false">IF(Rankings!H65&lt;=2,1,0)</f>
        <v>0</v>
      </c>
      <c r="I61" s="17" t="n">
        <f aca="false">IF(Rankings!I65&lt;=2,1,0)</f>
        <v>1</v>
      </c>
      <c r="J61" s="17" t="n">
        <f aca="false">IF(Rankings!J65&lt;=2,1,0)</f>
        <v>1</v>
      </c>
      <c r="K61" s="20" t="n">
        <f aca="false">SUM(C61:J61)</f>
        <v>2</v>
      </c>
      <c r="L61" s="16" t="n">
        <f aca="false">SUMPRODUCT(C61:J61,Returns!B65:I65)/K61</f>
        <v>0.0744387855043401</v>
      </c>
      <c r="M61" s="16" t="n">
        <v>0</v>
      </c>
      <c r="N61" s="16" t="n">
        <v>0</v>
      </c>
      <c r="O61" s="16" t="n">
        <f aca="false">L61+M61+N61</f>
        <v>0.0744387855043401</v>
      </c>
      <c r="P61" s="21" t="n">
        <f aca="false">P60*(1+O61)</f>
        <v>0.859284425269605</v>
      </c>
      <c r="Q61" s="21" t="n">
        <f aca="false">MAX($P$5:P61)</f>
        <v>1.76853418125443</v>
      </c>
      <c r="R61" s="16" t="n">
        <f aca="false">P61/Q61-1</f>
        <v>-0.514126198759636</v>
      </c>
      <c r="S61" s="16" t="n">
        <f aca="false">O61-Benchmark_RF!D61</f>
        <v>0.0678387202639801</v>
      </c>
    </row>
    <row r="62" customFormat="false" ht="15" hidden="false" customHeight="true" outlineLevel="0" collapsed="false">
      <c r="A62" s="1" t="n">
        <v>65</v>
      </c>
      <c r="B62" s="13" t="n">
        <f aca="false">Returns!A66</f>
        <v>43952</v>
      </c>
      <c r="C62" s="17" t="n">
        <f aca="false">IF(Rankings!C68&lt;=2,1,0)</f>
        <v>0</v>
      </c>
      <c r="D62" s="17" t="n">
        <f aca="false">IF(Rankings!D68&lt;=2,1,0)</f>
        <v>0</v>
      </c>
      <c r="E62" s="17" t="n">
        <f aca="false">IF(Rankings!E68&lt;=2,1,0)</f>
        <v>0</v>
      </c>
      <c r="F62" s="17" t="n">
        <f aca="false">IF(Rankings!F68&lt;=2,1,0)</f>
        <v>1</v>
      </c>
      <c r="G62" s="17" t="n">
        <f aca="false">IF(Rankings!G68&lt;=2,1,0)</f>
        <v>1</v>
      </c>
      <c r="H62" s="17" t="n">
        <f aca="false">IF(Rankings!H68&lt;=2,1,0)</f>
        <v>0</v>
      </c>
      <c r="I62" s="17" t="n">
        <f aca="false">IF(Rankings!I68&lt;=2,1,0)</f>
        <v>0</v>
      </c>
      <c r="J62" s="17" t="n">
        <f aca="false">IF(Rankings!J68&lt;=2,1,0)</f>
        <v>0</v>
      </c>
      <c r="K62" s="20" t="n">
        <f aca="false">SUM(C62:J62)</f>
        <v>2</v>
      </c>
      <c r="L62" s="16" t="n">
        <f aca="false">SUMPRODUCT(C62:J62,Returns!B66:I66)/K62</f>
        <v>-0.0495067733718708</v>
      </c>
      <c r="M62" s="16" t="n">
        <f aca="false">-2*Assumptions!$B$13</f>
        <v>-0.007</v>
      </c>
      <c r="N62" s="16" t="n">
        <f aca="false">-Assumptions!$B$16*MAX(0,(1+O59)*(1+O60)*(1+O61)-1)</f>
        <v>-0</v>
      </c>
      <c r="O62" s="16" t="n">
        <f aca="false">L62+M62+N62</f>
        <v>-0.0565067733718708</v>
      </c>
      <c r="P62" s="21" t="n">
        <f aca="false">P61*(1+O62)</f>
        <v>0.810729034988918</v>
      </c>
      <c r="Q62" s="21" t="n">
        <f aca="false">MAX($P$5:P62)</f>
        <v>1.76853418125443</v>
      </c>
      <c r="R62" s="16" t="n">
        <f aca="false">P62/Q62-1</f>
        <v>-0.541581359533655</v>
      </c>
      <c r="S62" s="16" t="n">
        <f aca="false">O62-Benchmark_RF!D62</f>
        <v>-0.0630344874385734</v>
      </c>
    </row>
    <row r="63" customFormat="false" ht="15" hidden="false" customHeight="true" outlineLevel="0" collapsed="false">
      <c r="A63" s="1" t="n">
        <v>66</v>
      </c>
      <c r="B63" s="13" t="n">
        <f aca="false">Returns!A67</f>
        <v>43983</v>
      </c>
      <c r="C63" s="17" t="n">
        <f aca="false">IF(Rankings!C68&lt;=2,1,0)</f>
        <v>0</v>
      </c>
      <c r="D63" s="17" t="n">
        <f aca="false">IF(Rankings!D68&lt;=2,1,0)</f>
        <v>0</v>
      </c>
      <c r="E63" s="17" t="n">
        <f aca="false">IF(Rankings!E68&lt;=2,1,0)</f>
        <v>0</v>
      </c>
      <c r="F63" s="17" t="n">
        <f aca="false">IF(Rankings!F68&lt;=2,1,0)</f>
        <v>1</v>
      </c>
      <c r="G63" s="17" t="n">
        <f aca="false">IF(Rankings!G68&lt;=2,1,0)</f>
        <v>1</v>
      </c>
      <c r="H63" s="17" t="n">
        <f aca="false">IF(Rankings!H68&lt;=2,1,0)</f>
        <v>0</v>
      </c>
      <c r="I63" s="17" t="n">
        <f aca="false">IF(Rankings!I68&lt;=2,1,0)</f>
        <v>0</v>
      </c>
      <c r="J63" s="17" t="n">
        <f aca="false">IF(Rankings!J68&lt;=2,1,0)</f>
        <v>0</v>
      </c>
      <c r="K63" s="20" t="n">
        <f aca="false">SUM(C63:J63)</f>
        <v>2</v>
      </c>
      <c r="L63" s="16" t="n">
        <f aca="false">SUMPRODUCT(C63:J63,Returns!B67:I67)/K63</f>
        <v>0.0401390279345311</v>
      </c>
      <c r="M63" s="16" t="n">
        <v>0</v>
      </c>
      <c r="N63" s="16" t="n">
        <v>0</v>
      </c>
      <c r="O63" s="16" t="n">
        <f aca="false">L63+M63+N63</f>
        <v>0.0401390279345311</v>
      </c>
      <c r="P63" s="21" t="n">
        <f aca="false">P62*(1+O63)</f>
        <v>0.843270910371673</v>
      </c>
      <c r="Q63" s="21" t="n">
        <f aca="false">MAX($P$5:P63)</f>
        <v>1.76853418125443</v>
      </c>
      <c r="R63" s="16" t="n">
        <f aca="false">P63/Q63-1</f>
        <v>-0.523180880918266</v>
      </c>
      <c r="S63" s="16" t="n">
        <f aca="false">O63-Benchmark_RF!D63</f>
        <v>0.0346033821391847</v>
      </c>
    </row>
    <row r="64" customFormat="false" ht="15" hidden="false" customHeight="true" outlineLevel="0" collapsed="false">
      <c r="A64" s="1" t="n">
        <v>67</v>
      </c>
      <c r="B64" s="13" t="n">
        <f aca="false">Returns!A68</f>
        <v>44013</v>
      </c>
      <c r="C64" s="17" t="n">
        <f aca="false">IF(Rankings!C68&lt;=2,1,0)</f>
        <v>0</v>
      </c>
      <c r="D64" s="17" t="n">
        <f aca="false">IF(Rankings!D68&lt;=2,1,0)</f>
        <v>0</v>
      </c>
      <c r="E64" s="17" t="n">
        <f aca="false">IF(Rankings!E68&lt;=2,1,0)</f>
        <v>0</v>
      </c>
      <c r="F64" s="17" t="n">
        <f aca="false">IF(Rankings!F68&lt;=2,1,0)</f>
        <v>1</v>
      </c>
      <c r="G64" s="17" t="n">
        <f aca="false">IF(Rankings!G68&lt;=2,1,0)</f>
        <v>1</v>
      </c>
      <c r="H64" s="17" t="n">
        <f aca="false">IF(Rankings!H68&lt;=2,1,0)</f>
        <v>0</v>
      </c>
      <c r="I64" s="17" t="n">
        <f aca="false">IF(Rankings!I68&lt;=2,1,0)</f>
        <v>0</v>
      </c>
      <c r="J64" s="17" t="n">
        <f aca="false">IF(Rankings!J68&lt;=2,1,0)</f>
        <v>0</v>
      </c>
      <c r="K64" s="20" t="n">
        <f aca="false">SUM(C64:J64)</f>
        <v>2</v>
      </c>
      <c r="L64" s="16" t="n">
        <f aca="false">SUMPRODUCT(C64:J64,Returns!B68:I68)/K64</f>
        <v>0.179402922604372</v>
      </c>
      <c r="M64" s="16" t="n">
        <v>0</v>
      </c>
      <c r="N64" s="16" t="n">
        <v>0</v>
      </c>
      <c r="O64" s="16" t="n">
        <f aca="false">L64+M64+N64</f>
        <v>0.179402922604372</v>
      </c>
      <c r="P64" s="21" t="n">
        <f aca="false">P63*(1+O64)</f>
        <v>0.994556176239601</v>
      </c>
      <c r="Q64" s="21" t="n">
        <f aca="false">MAX($P$5:P64)</f>
        <v>1.76853418125443</v>
      </c>
      <c r="R64" s="16" t="n">
        <f aca="false">P64/Q64-1</f>
        <v>-0.437638137401361</v>
      </c>
      <c r="S64" s="16" t="n">
        <f aca="false">O64-Benchmark_RF!D64</f>
        <v>0.173847986647729</v>
      </c>
    </row>
    <row r="65" customFormat="false" ht="15" hidden="false" customHeight="true" outlineLevel="0" collapsed="false">
      <c r="A65" s="1" t="n">
        <v>68</v>
      </c>
      <c r="B65" s="13" t="n">
        <f aca="false">Returns!A69</f>
        <v>44044</v>
      </c>
      <c r="C65" s="17" t="n">
        <f aca="false">IF(Rankings!C71&lt;=2,1,0)</f>
        <v>0</v>
      </c>
      <c r="D65" s="17" t="n">
        <f aca="false">IF(Rankings!D71&lt;=2,1,0)</f>
        <v>0</v>
      </c>
      <c r="E65" s="17" t="n">
        <f aca="false">IF(Rankings!E71&lt;=2,1,0)</f>
        <v>0</v>
      </c>
      <c r="F65" s="17" t="n">
        <f aca="false">IF(Rankings!F71&lt;=2,1,0)</f>
        <v>1</v>
      </c>
      <c r="G65" s="17" t="n">
        <f aca="false">IF(Rankings!G71&lt;=2,1,0)</f>
        <v>1</v>
      </c>
      <c r="H65" s="17" t="n">
        <f aca="false">IF(Rankings!H71&lt;=2,1,0)</f>
        <v>0</v>
      </c>
      <c r="I65" s="17" t="n">
        <f aca="false">IF(Rankings!I71&lt;=2,1,0)</f>
        <v>0</v>
      </c>
      <c r="J65" s="17" t="n">
        <f aca="false">IF(Rankings!J71&lt;=2,1,0)</f>
        <v>0</v>
      </c>
      <c r="K65" s="20" t="n">
        <f aca="false">SUM(C65:J65)</f>
        <v>2</v>
      </c>
      <c r="L65" s="16" t="n">
        <f aca="false">SUMPRODUCT(C65:J65,Returns!B69:I69)/K65</f>
        <v>0.00914431749514982</v>
      </c>
      <c r="M65" s="16" t="n">
        <f aca="false">-2*Assumptions!$B$13</f>
        <v>-0.007</v>
      </c>
      <c r="N65" s="16" t="n">
        <f aca="false">-Assumptions!$B$16*MAX(0,(1+O62)*(1+O63)*(1+O64)-1)</f>
        <v>-0.0236135580359588</v>
      </c>
      <c r="O65" s="16" t="n">
        <f aca="false">L65+M65+N65</f>
        <v>-0.0214692405408089</v>
      </c>
      <c r="P65" s="21" t="n">
        <f aca="false">P64*(1+O65)</f>
        <v>0.973203810460566</v>
      </c>
      <c r="Q65" s="21" t="n">
        <f aca="false">MAX($P$5:P65)</f>
        <v>1.76853418125443</v>
      </c>
      <c r="R65" s="16" t="n">
        <f aca="false">P65/Q65-1</f>
        <v>-0.449711619500469</v>
      </c>
      <c r="S65" s="16" t="n">
        <f aca="false">O65-Benchmark_RF!D65</f>
        <v>-0.0271951007221289</v>
      </c>
    </row>
    <row r="66" customFormat="false" ht="15" hidden="false" customHeight="true" outlineLevel="0" collapsed="false">
      <c r="A66" s="1" t="n">
        <v>69</v>
      </c>
      <c r="B66" s="13" t="n">
        <f aca="false">Returns!A70</f>
        <v>44075</v>
      </c>
      <c r="C66" s="17" t="n">
        <f aca="false">IF(Rankings!C71&lt;=2,1,0)</f>
        <v>0</v>
      </c>
      <c r="D66" s="17" t="n">
        <f aca="false">IF(Rankings!D71&lt;=2,1,0)</f>
        <v>0</v>
      </c>
      <c r="E66" s="17" t="n">
        <f aca="false">IF(Rankings!E71&lt;=2,1,0)</f>
        <v>0</v>
      </c>
      <c r="F66" s="17" t="n">
        <f aca="false">IF(Rankings!F71&lt;=2,1,0)</f>
        <v>1</v>
      </c>
      <c r="G66" s="17" t="n">
        <f aca="false">IF(Rankings!G71&lt;=2,1,0)</f>
        <v>1</v>
      </c>
      <c r="H66" s="17" t="n">
        <f aca="false">IF(Rankings!H71&lt;=2,1,0)</f>
        <v>0</v>
      </c>
      <c r="I66" s="17" t="n">
        <f aca="false">IF(Rankings!I71&lt;=2,1,0)</f>
        <v>0</v>
      </c>
      <c r="J66" s="17" t="n">
        <f aca="false">IF(Rankings!J71&lt;=2,1,0)</f>
        <v>0</v>
      </c>
      <c r="K66" s="20" t="n">
        <f aca="false">SUM(C66:J66)</f>
        <v>2</v>
      </c>
      <c r="L66" s="16" t="n">
        <f aca="false">SUMPRODUCT(C66:J66,Returns!B70:I70)/K66</f>
        <v>0.0365182222020717</v>
      </c>
      <c r="M66" s="16" t="n">
        <v>0</v>
      </c>
      <c r="N66" s="16" t="n">
        <v>0</v>
      </c>
      <c r="O66" s="16" t="n">
        <f aca="false">L66+M66+N66</f>
        <v>0.0365182222020717</v>
      </c>
      <c r="P66" s="21" t="n">
        <f aca="false">P65*(1+O66)</f>
        <v>1.00874348345887</v>
      </c>
      <c r="Q66" s="21" t="n">
        <f aca="false">MAX($P$5:P66)</f>
        <v>1.76853418125443</v>
      </c>
      <c r="R66" s="16" t="n">
        <f aca="false">P66/Q66-1</f>
        <v>-0.429616066146169</v>
      </c>
      <c r="S66" s="16" t="n">
        <f aca="false">O66-Benchmark_RF!D66</f>
        <v>0.0307871187134261</v>
      </c>
    </row>
    <row r="67" customFormat="false" ht="15" hidden="false" customHeight="true" outlineLevel="0" collapsed="false">
      <c r="A67" s="1" t="n">
        <v>70</v>
      </c>
      <c r="B67" s="13" t="n">
        <f aca="false">Returns!A71</f>
        <v>44105</v>
      </c>
      <c r="C67" s="17" t="n">
        <f aca="false">IF(Rankings!C71&lt;=2,1,0)</f>
        <v>0</v>
      </c>
      <c r="D67" s="17" t="n">
        <f aca="false">IF(Rankings!D71&lt;=2,1,0)</f>
        <v>0</v>
      </c>
      <c r="E67" s="17" t="n">
        <f aca="false">IF(Rankings!E71&lt;=2,1,0)</f>
        <v>0</v>
      </c>
      <c r="F67" s="17" t="n">
        <f aca="false">IF(Rankings!F71&lt;=2,1,0)</f>
        <v>1</v>
      </c>
      <c r="G67" s="17" t="n">
        <f aca="false">IF(Rankings!G71&lt;=2,1,0)</f>
        <v>1</v>
      </c>
      <c r="H67" s="17" t="n">
        <f aca="false">IF(Rankings!H71&lt;=2,1,0)</f>
        <v>0</v>
      </c>
      <c r="I67" s="17" t="n">
        <f aca="false">IF(Rankings!I71&lt;=2,1,0)</f>
        <v>0</v>
      </c>
      <c r="J67" s="17" t="n">
        <f aca="false">IF(Rankings!J71&lt;=2,1,0)</f>
        <v>0</v>
      </c>
      <c r="K67" s="20" t="n">
        <f aca="false">SUM(C67:J67)</f>
        <v>2</v>
      </c>
      <c r="L67" s="16" t="n">
        <f aca="false">SUMPRODUCT(C67:J67,Returns!B71:I71)/K67</f>
        <v>-0.00513376022805556</v>
      </c>
      <c r="M67" s="16" t="n">
        <v>0</v>
      </c>
      <c r="N67" s="16" t="n">
        <v>0</v>
      </c>
      <c r="O67" s="16" t="n">
        <f aca="false">L67+M67+N67</f>
        <v>-0.00513376022805556</v>
      </c>
      <c r="P67" s="21" t="n">
        <f aca="false">P66*(1+O67)</f>
        <v>1.00356483628318</v>
      </c>
      <c r="Q67" s="21" t="n">
        <f aca="false">MAX($P$5:P67)</f>
        <v>1.76853418125443</v>
      </c>
      <c r="R67" s="16" t="n">
        <f aca="false">P67/Q67-1</f>
        <v>-0.432544280500509</v>
      </c>
      <c r="S67" s="16" t="n">
        <f aca="false">O67-Benchmark_RF!D67</f>
        <v>-0.0109115706611594</v>
      </c>
    </row>
    <row r="68" customFormat="false" ht="15" hidden="false" customHeight="true" outlineLevel="0" collapsed="false">
      <c r="A68" s="1" t="n">
        <v>71</v>
      </c>
      <c r="B68" s="13" t="n">
        <f aca="false">Returns!A72</f>
        <v>44136</v>
      </c>
      <c r="C68" s="17" t="n">
        <f aca="false">IF(Rankings!C74&lt;=2,1,0)</f>
        <v>1</v>
      </c>
      <c r="D68" s="17" t="n">
        <f aca="false">IF(Rankings!D74&lt;=2,1,0)</f>
        <v>0</v>
      </c>
      <c r="E68" s="17" t="n">
        <f aca="false">IF(Rankings!E74&lt;=2,1,0)</f>
        <v>0</v>
      </c>
      <c r="F68" s="17" t="n">
        <f aca="false">IF(Rankings!F74&lt;=2,1,0)</f>
        <v>0</v>
      </c>
      <c r="G68" s="17" t="n">
        <f aca="false">IF(Rankings!G74&lt;=2,1,0)</f>
        <v>0</v>
      </c>
      <c r="H68" s="17" t="n">
        <f aca="false">IF(Rankings!H74&lt;=2,1,0)</f>
        <v>1</v>
      </c>
      <c r="I68" s="17" t="n">
        <f aca="false">IF(Rankings!I74&lt;=2,1,0)</f>
        <v>0</v>
      </c>
      <c r="J68" s="17" t="n">
        <f aca="false">IF(Rankings!J74&lt;=2,1,0)</f>
        <v>0</v>
      </c>
      <c r="K68" s="20" t="n">
        <f aca="false">SUM(C68:J68)</f>
        <v>2</v>
      </c>
      <c r="L68" s="16" t="n">
        <f aca="false">SUMPRODUCT(C68:J68,Returns!B72:I72)/K68</f>
        <v>0.0205253837744272</v>
      </c>
      <c r="M68" s="16" t="n">
        <f aca="false">-2*Assumptions!$B$13</f>
        <v>-0.007</v>
      </c>
      <c r="N68" s="16" t="n">
        <f aca="false">-Assumptions!$B$16*MAX(0,(1+O65)*(1+O66)*(1+O67)-1)</f>
        <v>-0.0013586955054118</v>
      </c>
      <c r="O68" s="16" t="n">
        <f aca="false">L68+M68+N68</f>
        <v>0.0121666882690154</v>
      </c>
      <c r="P68" s="21" t="n">
        <f aca="false">P67*(1+O68)</f>
        <v>1.01577489680398</v>
      </c>
      <c r="Q68" s="21" t="n">
        <f aca="false">MAX($P$5:P68)</f>
        <v>1.76853418125443</v>
      </c>
      <c r="R68" s="16" t="n">
        <f aca="false">P68/Q68-1</f>
        <v>-0.425640223654889</v>
      </c>
      <c r="S68" s="16" t="n">
        <f aca="false">O68-Benchmark_RF!D68</f>
        <v>0.0064028013633039</v>
      </c>
    </row>
    <row r="69" customFormat="false" ht="15" hidden="false" customHeight="true" outlineLevel="0" collapsed="false">
      <c r="A69" s="1" t="n">
        <v>72</v>
      </c>
      <c r="B69" s="13" t="n">
        <f aca="false">Returns!A73</f>
        <v>44166</v>
      </c>
      <c r="C69" s="17" t="n">
        <f aca="false">IF(Rankings!C74&lt;=2,1,0)</f>
        <v>1</v>
      </c>
      <c r="D69" s="17" t="n">
        <f aca="false">IF(Rankings!D74&lt;=2,1,0)</f>
        <v>0</v>
      </c>
      <c r="E69" s="17" t="n">
        <f aca="false">IF(Rankings!E74&lt;=2,1,0)</f>
        <v>0</v>
      </c>
      <c r="F69" s="17" t="n">
        <f aca="false">IF(Rankings!F74&lt;=2,1,0)</f>
        <v>0</v>
      </c>
      <c r="G69" s="17" t="n">
        <f aca="false">IF(Rankings!G74&lt;=2,1,0)</f>
        <v>0</v>
      </c>
      <c r="H69" s="17" t="n">
        <f aca="false">IF(Rankings!H74&lt;=2,1,0)</f>
        <v>1</v>
      </c>
      <c r="I69" s="17" t="n">
        <f aca="false">IF(Rankings!I74&lt;=2,1,0)</f>
        <v>0</v>
      </c>
      <c r="J69" s="17" t="n">
        <f aca="false">IF(Rankings!J74&lt;=2,1,0)</f>
        <v>0</v>
      </c>
      <c r="K69" s="20" t="n">
        <f aca="false">SUM(C69:J69)</f>
        <v>2</v>
      </c>
      <c r="L69" s="16" t="n">
        <f aca="false">SUMPRODUCT(C69:J69,Returns!B73:I73)/K69</f>
        <v>0.0522196541688067</v>
      </c>
      <c r="M69" s="16" t="n">
        <v>0</v>
      </c>
      <c r="N69" s="16" t="n">
        <v>0</v>
      </c>
      <c r="O69" s="16" t="n">
        <f aca="false">L69+M69+N69</f>
        <v>0.0522196541688067</v>
      </c>
      <c r="P69" s="21" t="n">
        <f aca="false">P68*(1+O69)</f>
        <v>1.06881831062844</v>
      </c>
      <c r="Q69" s="21" t="n">
        <f aca="false">MAX($P$5:P69)</f>
        <v>1.76853418125443</v>
      </c>
      <c r="R69" s="16" t="n">
        <f aca="false">P69/Q69-1</f>
        <v>-0.395647354765674</v>
      </c>
      <c r="S69" s="16" t="n">
        <f aca="false">O69-Benchmark_RF!D69</f>
        <v>0.0464801776636081</v>
      </c>
    </row>
    <row r="70" customFormat="false" ht="15" hidden="false" customHeight="true" outlineLevel="0" collapsed="false">
      <c r="A70" s="1" t="n">
        <v>73</v>
      </c>
      <c r="B70" s="13" t="n">
        <f aca="false">Returns!A74</f>
        <v>44197</v>
      </c>
      <c r="C70" s="17" t="n">
        <f aca="false">IF(Rankings!C74&lt;=2,1,0)</f>
        <v>1</v>
      </c>
      <c r="D70" s="17" t="n">
        <f aca="false">IF(Rankings!D74&lt;=2,1,0)</f>
        <v>0</v>
      </c>
      <c r="E70" s="17" t="n">
        <f aca="false">IF(Rankings!E74&lt;=2,1,0)</f>
        <v>0</v>
      </c>
      <c r="F70" s="17" t="n">
        <f aca="false">IF(Rankings!F74&lt;=2,1,0)</f>
        <v>0</v>
      </c>
      <c r="G70" s="17" t="n">
        <f aca="false">IF(Rankings!G74&lt;=2,1,0)</f>
        <v>0</v>
      </c>
      <c r="H70" s="17" t="n">
        <f aca="false">IF(Rankings!H74&lt;=2,1,0)</f>
        <v>1</v>
      </c>
      <c r="I70" s="17" t="n">
        <f aca="false">IF(Rankings!I74&lt;=2,1,0)</f>
        <v>0</v>
      </c>
      <c r="J70" s="17" t="n">
        <f aca="false">IF(Rankings!J74&lt;=2,1,0)</f>
        <v>0</v>
      </c>
      <c r="K70" s="20" t="n">
        <f aca="false">SUM(C70:J70)</f>
        <v>2</v>
      </c>
      <c r="L70" s="16" t="n">
        <f aca="false">SUMPRODUCT(C70:J70,Returns!B74:I74)/K70</f>
        <v>0.0191570224777305</v>
      </c>
      <c r="M70" s="16" t="n">
        <v>0</v>
      </c>
      <c r="N70" s="16" t="n">
        <v>0</v>
      </c>
      <c r="O70" s="16" t="n">
        <f aca="false">L70+M70+N70</f>
        <v>0.0191570224777305</v>
      </c>
      <c r="P70" s="21" t="n">
        <f aca="false">P69*(1+O70)</f>
        <v>1.08929368702976</v>
      </c>
      <c r="Q70" s="21" t="n">
        <f aca="false">MAX($P$5:P70)</f>
        <v>1.76853418125443</v>
      </c>
      <c r="R70" s="16" t="n">
        <f aca="false">P70/Q70-1</f>
        <v>-0.384069757556444</v>
      </c>
      <c r="S70" s="16" t="n">
        <f aca="false">O70-Benchmark_RF!D70</f>
        <v>0.0133841397922468</v>
      </c>
    </row>
    <row r="71" customFormat="false" ht="15" hidden="false" customHeight="true" outlineLevel="0" collapsed="false">
      <c r="A71" s="1" t="n">
        <v>74</v>
      </c>
      <c r="B71" s="13" t="n">
        <f aca="false">Returns!A75</f>
        <v>44228</v>
      </c>
      <c r="C71" s="17" t="n">
        <f aca="false">IF(Rankings!C77&lt;=2,1,0)</f>
        <v>1</v>
      </c>
      <c r="D71" s="17" t="n">
        <f aca="false">IF(Rankings!D77&lt;=2,1,0)</f>
        <v>0</v>
      </c>
      <c r="E71" s="17" t="n">
        <f aca="false">IF(Rankings!E77&lt;=2,1,0)</f>
        <v>0</v>
      </c>
      <c r="F71" s="17" t="n">
        <f aca="false">IF(Rankings!F77&lt;=2,1,0)</f>
        <v>0</v>
      </c>
      <c r="G71" s="17" t="n">
        <f aca="false">IF(Rankings!G77&lt;=2,1,0)</f>
        <v>0</v>
      </c>
      <c r="H71" s="17" t="n">
        <f aca="false">IF(Rankings!H77&lt;=2,1,0)</f>
        <v>1</v>
      </c>
      <c r="I71" s="17" t="n">
        <f aca="false">IF(Rankings!I77&lt;=2,1,0)</f>
        <v>0</v>
      </c>
      <c r="J71" s="17" t="n">
        <f aca="false">IF(Rankings!J77&lt;=2,1,0)</f>
        <v>0</v>
      </c>
      <c r="K71" s="20" t="n">
        <f aca="false">SUM(C71:J71)</f>
        <v>2</v>
      </c>
      <c r="L71" s="16" t="n">
        <f aca="false">SUMPRODUCT(C71:J71,Returns!B75:I75)/K71</f>
        <v>-0.00660201199694493</v>
      </c>
      <c r="M71" s="16" t="n">
        <f aca="false">-2*Assumptions!$B$13</f>
        <v>-0.007</v>
      </c>
      <c r="N71" s="16" t="n">
        <f aca="false">-Assumptions!$B$16*MAX(0,(1+O68)*(1+O69)*(1+O70)-1)</f>
        <v>-0.0128136490509305</v>
      </c>
      <c r="O71" s="16" t="n">
        <f aca="false">L71+M71+N71</f>
        <v>-0.0264156610478755</v>
      </c>
      <c r="P71" s="21" t="n">
        <f aca="false">P70*(1+O71)</f>
        <v>1.06051927421159</v>
      </c>
      <c r="Q71" s="21" t="n">
        <f aca="false">MAX($P$5:P71)</f>
        <v>1.76853418125443</v>
      </c>
      <c r="R71" s="16" t="n">
        <f aca="false">P71/Q71-1</f>
        <v>-0.400339962069969</v>
      </c>
      <c r="S71" s="16" t="n">
        <f aca="false">O71-Benchmark_RF!D71</f>
        <v>-0.0322189663776401</v>
      </c>
    </row>
    <row r="72" customFormat="false" ht="15" hidden="false" customHeight="true" outlineLevel="0" collapsed="false">
      <c r="A72" s="1" t="n">
        <v>75</v>
      </c>
      <c r="B72" s="13" t="n">
        <f aca="false">Returns!A76</f>
        <v>44256</v>
      </c>
      <c r="C72" s="17" t="n">
        <f aca="false">IF(Rankings!C77&lt;=2,1,0)</f>
        <v>1</v>
      </c>
      <c r="D72" s="17" t="n">
        <f aca="false">IF(Rankings!D77&lt;=2,1,0)</f>
        <v>0</v>
      </c>
      <c r="E72" s="17" t="n">
        <f aca="false">IF(Rankings!E77&lt;=2,1,0)</f>
        <v>0</v>
      </c>
      <c r="F72" s="17" t="n">
        <f aca="false">IF(Rankings!F77&lt;=2,1,0)</f>
        <v>0</v>
      </c>
      <c r="G72" s="17" t="n">
        <f aca="false">IF(Rankings!G77&lt;=2,1,0)</f>
        <v>0</v>
      </c>
      <c r="H72" s="17" t="n">
        <f aca="false">IF(Rankings!H77&lt;=2,1,0)</f>
        <v>1</v>
      </c>
      <c r="I72" s="17" t="n">
        <f aca="false">IF(Rankings!I77&lt;=2,1,0)</f>
        <v>0</v>
      </c>
      <c r="J72" s="17" t="n">
        <f aca="false">IF(Rankings!J77&lt;=2,1,0)</f>
        <v>0</v>
      </c>
      <c r="K72" s="20" t="n">
        <f aca="false">SUM(C72:J72)</f>
        <v>2</v>
      </c>
      <c r="L72" s="16" t="n">
        <f aca="false">SUMPRODUCT(C72:J72,Returns!B76:I76)/K72</f>
        <v>-0.0458483721828563</v>
      </c>
      <c r="M72" s="16" t="n">
        <v>0</v>
      </c>
      <c r="N72" s="16" t="n">
        <v>0</v>
      </c>
      <c r="O72" s="16" t="n">
        <f aca="false">L72+M72+N72</f>
        <v>-0.0458483721828563</v>
      </c>
      <c r="P72" s="21" t="n">
        <f aca="false">P71*(1+O72)</f>
        <v>1.01189619182044</v>
      </c>
      <c r="Q72" s="21" t="n">
        <f aca="false">MAX($P$5:P72)</f>
        <v>1.76853418125443</v>
      </c>
      <c r="R72" s="16" t="n">
        <f aca="false">P72/Q72-1</f>
        <v>-0.427833398672171</v>
      </c>
      <c r="S72" s="16" t="n">
        <f aca="false">O72-Benchmark_RF!D72</f>
        <v>-0.0518385272535263</v>
      </c>
    </row>
    <row r="73" customFormat="false" ht="15" hidden="false" customHeight="true" outlineLevel="0" collapsed="false">
      <c r="A73" s="1" t="n">
        <v>76</v>
      </c>
      <c r="B73" s="13" t="n">
        <f aca="false">Returns!A77</f>
        <v>44287</v>
      </c>
      <c r="C73" s="17" t="n">
        <f aca="false">IF(Rankings!C77&lt;=2,1,0)</f>
        <v>1</v>
      </c>
      <c r="D73" s="17" t="n">
        <f aca="false">IF(Rankings!D77&lt;=2,1,0)</f>
        <v>0</v>
      </c>
      <c r="E73" s="17" t="n">
        <f aca="false">IF(Rankings!E77&lt;=2,1,0)</f>
        <v>0</v>
      </c>
      <c r="F73" s="17" t="n">
        <f aca="false">IF(Rankings!F77&lt;=2,1,0)</f>
        <v>0</v>
      </c>
      <c r="G73" s="17" t="n">
        <f aca="false">IF(Rankings!G77&lt;=2,1,0)</f>
        <v>0</v>
      </c>
      <c r="H73" s="17" t="n">
        <f aca="false">IF(Rankings!H77&lt;=2,1,0)</f>
        <v>1</v>
      </c>
      <c r="I73" s="17" t="n">
        <f aca="false">IF(Rankings!I77&lt;=2,1,0)</f>
        <v>0</v>
      </c>
      <c r="J73" s="17" t="n">
        <f aca="false">IF(Rankings!J77&lt;=2,1,0)</f>
        <v>0</v>
      </c>
      <c r="K73" s="20" t="n">
        <f aca="false">SUM(C73:J73)</f>
        <v>2</v>
      </c>
      <c r="L73" s="16" t="n">
        <f aca="false">SUMPRODUCT(C73:J73,Returns!B77:I77)/K73</f>
        <v>-0.0469164456233422</v>
      </c>
      <c r="M73" s="16" t="n">
        <v>0</v>
      </c>
      <c r="N73" s="16" t="n">
        <v>0</v>
      </c>
      <c r="O73" s="16" t="n">
        <f aca="false">L73+M73+N73</f>
        <v>-0.0469164456233422</v>
      </c>
      <c r="P73" s="21" t="n">
        <f aca="false">P72*(1+O73)</f>
        <v>0.964421619160432</v>
      </c>
      <c r="Q73" s="21" t="n">
        <f aca="false">MAX($P$5:P73)</f>
        <v>1.76853418125443</v>
      </c>
      <c r="R73" s="16" t="n">
        <f aca="false">P73/Q73-1</f>
        <v>-0.45467742191086</v>
      </c>
      <c r="S73" s="16" t="n">
        <f aca="false">O73-Benchmark_RF!D73</f>
        <v>-0.0528648426019682</v>
      </c>
    </row>
    <row r="74" customFormat="false" ht="15" hidden="false" customHeight="true" outlineLevel="0" collapsed="false">
      <c r="A74" s="1" t="n">
        <v>77</v>
      </c>
      <c r="B74" s="13" t="n">
        <f aca="false">Returns!A78</f>
        <v>44317</v>
      </c>
      <c r="C74" s="17" t="n">
        <f aca="false">IF(Rankings!C80&lt;=2,1,0)</f>
        <v>1</v>
      </c>
      <c r="D74" s="17" t="n">
        <f aca="false">IF(Rankings!D80&lt;=2,1,0)</f>
        <v>0</v>
      </c>
      <c r="E74" s="17" t="n">
        <f aca="false">IF(Rankings!E80&lt;=2,1,0)</f>
        <v>0</v>
      </c>
      <c r="F74" s="17" t="n">
        <f aca="false">IF(Rankings!F80&lt;=2,1,0)</f>
        <v>1</v>
      </c>
      <c r="G74" s="17" t="n">
        <f aca="false">IF(Rankings!G80&lt;=2,1,0)</f>
        <v>0</v>
      </c>
      <c r="H74" s="17" t="n">
        <f aca="false">IF(Rankings!H80&lt;=2,1,0)</f>
        <v>0</v>
      </c>
      <c r="I74" s="17" t="n">
        <f aca="false">IF(Rankings!I80&lt;=2,1,0)</f>
        <v>0</v>
      </c>
      <c r="J74" s="17" t="n">
        <f aca="false">IF(Rankings!J80&lt;=2,1,0)</f>
        <v>0</v>
      </c>
      <c r="K74" s="20" t="n">
        <f aca="false">SUM(C74:J74)</f>
        <v>2</v>
      </c>
      <c r="L74" s="16" t="n">
        <f aca="false">SUMPRODUCT(C74:J74,Returns!B78:I78)/K74</f>
        <v>0.0443672891525652</v>
      </c>
      <c r="M74" s="16" t="n">
        <f aca="false">-2*Assumptions!$B$13</f>
        <v>-0.007</v>
      </c>
      <c r="N74" s="16" t="n">
        <f aca="false">-Assumptions!$B$16*MAX(0,(1+O71)*(1+O72)*(1+O73)-1)</f>
        <v>-0</v>
      </c>
      <c r="O74" s="16" t="n">
        <f aca="false">L74+M74+N74</f>
        <v>0.0373672891525652</v>
      </c>
      <c r="P74" s="21" t="n">
        <f aca="false">P73*(1+O74)</f>
        <v>1.00045944066858</v>
      </c>
      <c r="Q74" s="21" t="n">
        <f aca="false">MAX($P$5:P74)</f>
        <v>1.76853418125443</v>
      </c>
      <c r="R74" s="16" t="n">
        <f aca="false">P74/Q74-1</f>
        <v>-0.434300195453981</v>
      </c>
      <c r="S74" s="16" t="n">
        <f aca="false">O74-Benchmark_RF!D74</f>
        <v>0.0314456742189067</v>
      </c>
    </row>
    <row r="75" customFormat="false" ht="15" hidden="false" customHeight="true" outlineLevel="0" collapsed="false">
      <c r="A75" s="1" t="n">
        <v>78</v>
      </c>
      <c r="B75" s="13" t="n">
        <f aca="false">Returns!A79</f>
        <v>44348</v>
      </c>
      <c r="C75" s="17" t="n">
        <f aca="false">IF(Rankings!C80&lt;=2,1,0)</f>
        <v>1</v>
      </c>
      <c r="D75" s="17" t="n">
        <f aca="false">IF(Rankings!D80&lt;=2,1,0)</f>
        <v>0</v>
      </c>
      <c r="E75" s="17" t="n">
        <f aca="false">IF(Rankings!E80&lt;=2,1,0)</f>
        <v>0</v>
      </c>
      <c r="F75" s="17" t="n">
        <f aca="false">IF(Rankings!F80&lt;=2,1,0)</f>
        <v>1</v>
      </c>
      <c r="G75" s="17" t="n">
        <f aca="false">IF(Rankings!G80&lt;=2,1,0)</f>
        <v>0</v>
      </c>
      <c r="H75" s="17" t="n">
        <f aca="false">IF(Rankings!H80&lt;=2,1,0)</f>
        <v>0</v>
      </c>
      <c r="I75" s="17" t="n">
        <f aca="false">IF(Rankings!I80&lt;=2,1,0)</f>
        <v>0</v>
      </c>
      <c r="J75" s="17" t="n">
        <f aca="false">IF(Rankings!J80&lt;=2,1,0)</f>
        <v>0</v>
      </c>
      <c r="K75" s="20" t="n">
        <f aca="false">SUM(C75:J75)</f>
        <v>2</v>
      </c>
      <c r="L75" s="16" t="n">
        <f aca="false">SUMPRODUCT(C75:J75,Returns!B79:I79)/K75</f>
        <v>-0.0260972019494817</v>
      </c>
      <c r="M75" s="16" t="n">
        <v>0</v>
      </c>
      <c r="N75" s="16" t="n">
        <v>0</v>
      </c>
      <c r="O75" s="16" t="n">
        <f aca="false">L75+M75+N75</f>
        <v>-0.0260972019494817</v>
      </c>
      <c r="P75" s="21" t="n">
        <f aca="false">P74*(1+O75)</f>
        <v>0.974350248603191</v>
      </c>
      <c r="Q75" s="21" t="n">
        <f aca="false">MAX($P$5:P75)</f>
        <v>1.76853418125443</v>
      </c>
      <c r="R75" s="16" t="n">
        <f aca="false">P75/Q75-1</f>
        <v>-0.449063377496001</v>
      </c>
      <c r="S75" s="16" t="n">
        <f aca="false">O75-Benchmark_RF!D75</f>
        <v>-0.0319823400852893</v>
      </c>
    </row>
    <row r="76" customFormat="false" ht="15" hidden="false" customHeight="true" outlineLevel="0" collapsed="false">
      <c r="A76" s="1" t="n">
        <v>79</v>
      </c>
      <c r="B76" s="13" t="n">
        <f aca="false">Returns!A80</f>
        <v>44378</v>
      </c>
      <c r="C76" s="17" t="n">
        <f aca="false">IF(Rankings!C80&lt;=2,1,0)</f>
        <v>1</v>
      </c>
      <c r="D76" s="17" t="n">
        <f aca="false">IF(Rankings!D80&lt;=2,1,0)</f>
        <v>0</v>
      </c>
      <c r="E76" s="17" t="n">
        <f aca="false">IF(Rankings!E80&lt;=2,1,0)</f>
        <v>0</v>
      </c>
      <c r="F76" s="17" t="n">
        <f aca="false">IF(Rankings!F80&lt;=2,1,0)</f>
        <v>1</v>
      </c>
      <c r="G76" s="17" t="n">
        <f aca="false">IF(Rankings!G80&lt;=2,1,0)</f>
        <v>0</v>
      </c>
      <c r="H76" s="17" t="n">
        <f aca="false">IF(Rankings!H80&lt;=2,1,0)</f>
        <v>0</v>
      </c>
      <c r="I76" s="17" t="n">
        <f aca="false">IF(Rankings!I80&lt;=2,1,0)</f>
        <v>0</v>
      </c>
      <c r="J76" s="17" t="n">
        <f aca="false">IF(Rankings!J80&lt;=2,1,0)</f>
        <v>0</v>
      </c>
      <c r="K76" s="20" t="n">
        <f aca="false">SUM(C76:J76)</f>
        <v>2</v>
      </c>
      <c r="L76" s="16" t="n">
        <f aca="false">SUMPRODUCT(C76:J76,Returns!B80:I80)/K76</f>
        <v>-0.00749669878221748</v>
      </c>
      <c r="M76" s="16" t="n">
        <v>0</v>
      </c>
      <c r="N76" s="16" t="n">
        <v>0</v>
      </c>
      <c r="O76" s="16" t="n">
        <f aca="false">L76+M76+N76</f>
        <v>-0.00749669878221748</v>
      </c>
      <c r="P76" s="21" t="n">
        <f aca="false">P75*(1+O76)</f>
        <v>0.967045838281034</v>
      </c>
      <c r="Q76" s="21" t="n">
        <f aca="false">MAX($P$5:P76)</f>
        <v>1.76853418125443</v>
      </c>
      <c r="R76" s="16" t="n">
        <f aca="false">P76/Q76-1</f>
        <v>-0.453193583403006</v>
      </c>
      <c r="S76" s="16" t="n">
        <f aca="false">O76-Benchmark_RF!D76</f>
        <v>-0.0133327616563702</v>
      </c>
    </row>
    <row r="77" customFormat="false" ht="15" hidden="false" customHeight="true" outlineLevel="0" collapsed="false">
      <c r="A77" s="1" t="n">
        <v>80</v>
      </c>
      <c r="B77" s="13" t="n">
        <f aca="false">Returns!A81</f>
        <v>44409</v>
      </c>
      <c r="C77" s="17" t="n">
        <f aca="false">IF(Rankings!C83&lt;=2,1,0)</f>
        <v>0</v>
      </c>
      <c r="D77" s="17" t="n">
        <f aca="false">IF(Rankings!D83&lt;=2,1,0)</f>
        <v>1</v>
      </c>
      <c r="E77" s="17" t="n">
        <f aca="false">IF(Rankings!E83&lt;=2,1,0)</f>
        <v>0</v>
      </c>
      <c r="F77" s="17" t="n">
        <f aca="false">IF(Rankings!F83&lt;=2,1,0)</f>
        <v>1</v>
      </c>
      <c r="G77" s="17" t="n">
        <f aca="false">IF(Rankings!G83&lt;=2,1,0)</f>
        <v>0</v>
      </c>
      <c r="H77" s="17" t="n">
        <f aca="false">IF(Rankings!H83&lt;=2,1,0)</f>
        <v>0</v>
      </c>
      <c r="I77" s="17" t="n">
        <f aca="false">IF(Rankings!I83&lt;=2,1,0)</f>
        <v>0</v>
      </c>
      <c r="J77" s="17" t="n">
        <f aca="false">IF(Rankings!J83&lt;=2,1,0)</f>
        <v>0</v>
      </c>
      <c r="K77" s="20" t="n">
        <f aca="false">SUM(C77:J77)</f>
        <v>2</v>
      </c>
      <c r="L77" s="16" t="n">
        <f aca="false">SUMPRODUCT(C77:J77,Returns!B81:I81)/K77</f>
        <v>0.126598821780837</v>
      </c>
      <c r="M77" s="16" t="n">
        <f aca="false">-2*Assumptions!$B$13</f>
        <v>-0.007</v>
      </c>
      <c r="N77" s="16" t="n">
        <f aca="false">-Assumptions!$B$16*MAX(0,(1+O74)*(1+O75)*(1+O76)-1)</f>
        <v>-0.00040815433859005</v>
      </c>
      <c r="O77" s="16" t="n">
        <f aca="false">L77+M77+N77</f>
        <v>0.119190667442247</v>
      </c>
      <c r="P77" s="21" t="n">
        <f aca="false">P76*(1+O77)</f>
        <v>1.082308677193</v>
      </c>
      <c r="Q77" s="21" t="n">
        <f aca="false">MAX($P$5:P77)</f>
        <v>1.76853418125443</v>
      </c>
      <c r="R77" s="16" t="n">
        <f aca="false">P77/Q77-1</f>
        <v>-0.388019361647107</v>
      </c>
      <c r="S77" s="16" t="n">
        <f aca="false">O77-Benchmark_RF!D77</f>
        <v>0.113357105923735</v>
      </c>
    </row>
    <row r="78" customFormat="false" ht="15" hidden="false" customHeight="true" outlineLevel="0" collapsed="false">
      <c r="A78" s="1" t="n">
        <v>81</v>
      </c>
      <c r="B78" s="13" t="n">
        <f aca="false">Returns!A82</f>
        <v>44440</v>
      </c>
      <c r="C78" s="17" t="n">
        <f aca="false">IF(Rankings!C83&lt;=2,1,0)</f>
        <v>0</v>
      </c>
      <c r="D78" s="17" t="n">
        <f aca="false">IF(Rankings!D83&lt;=2,1,0)</f>
        <v>1</v>
      </c>
      <c r="E78" s="17" t="n">
        <f aca="false">IF(Rankings!E83&lt;=2,1,0)</f>
        <v>0</v>
      </c>
      <c r="F78" s="17" t="n">
        <f aca="false">IF(Rankings!F83&lt;=2,1,0)</f>
        <v>1</v>
      </c>
      <c r="G78" s="17" t="n">
        <f aca="false">IF(Rankings!G83&lt;=2,1,0)</f>
        <v>0</v>
      </c>
      <c r="H78" s="17" t="n">
        <f aca="false">IF(Rankings!H83&lt;=2,1,0)</f>
        <v>0</v>
      </c>
      <c r="I78" s="17" t="n">
        <f aca="false">IF(Rankings!I83&lt;=2,1,0)</f>
        <v>0</v>
      </c>
      <c r="J78" s="17" t="n">
        <f aca="false">IF(Rankings!J83&lt;=2,1,0)</f>
        <v>0</v>
      </c>
      <c r="K78" s="20" t="n">
        <f aca="false">SUM(C78:J78)</f>
        <v>2</v>
      </c>
      <c r="L78" s="16" t="n">
        <f aca="false">SUMPRODUCT(C78:J78,Returns!B82:I82)/K78</f>
        <v>-0.0142434579757816</v>
      </c>
      <c r="M78" s="16" t="n">
        <v>0</v>
      </c>
      <c r="N78" s="16" t="n">
        <v>0</v>
      </c>
      <c r="O78" s="16" t="n">
        <f aca="false">L78+M78+N78</f>
        <v>-0.0142434579757816</v>
      </c>
      <c r="P78" s="21" t="n">
        <f aca="false">P77*(1+O78)</f>
        <v>1.06689285903258</v>
      </c>
      <c r="Q78" s="21" t="n">
        <f aca="false">MAX($P$5:P78)</f>
        <v>1.76853418125443</v>
      </c>
      <c r="R78" s="16" t="n">
        <f aca="false">P78/Q78-1</f>
        <v>-0.396736082151479</v>
      </c>
      <c r="S78" s="16" t="n">
        <f aca="false">O78-Benchmark_RF!D78</f>
        <v>-0.0203438096507649</v>
      </c>
    </row>
    <row r="79" customFormat="false" ht="15" hidden="false" customHeight="true" outlineLevel="0" collapsed="false">
      <c r="A79" s="1" t="n">
        <v>82</v>
      </c>
      <c r="B79" s="13" t="n">
        <f aca="false">Returns!A83</f>
        <v>44470</v>
      </c>
      <c r="C79" s="17" t="n">
        <f aca="false">IF(Rankings!C83&lt;=2,1,0)</f>
        <v>0</v>
      </c>
      <c r="D79" s="17" t="n">
        <f aca="false">IF(Rankings!D83&lt;=2,1,0)</f>
        <v>1</v>
      </c>
      <c r="E79" s="17" t="n">
        <f aca="false">IF(Rankings!E83&lt;=2,1,0)</f>
        <v>0</v>
      </c>
      <c r="F79" s="17" t="n">
        <f aca="false">IF(Rankings!F83&lt;=2,1,0)</f>
        <v>1</v>
      </c>
      <c r="G79" s="17" t="n">
        <f aca="false">IF(Rankings!G83&lt;=2,1,0)</f>
        <v>0</v>
      </c>
      <c r="H79" s="17" t="n">
        <f aca="false">IF(Rankings!H83&lt;=2,1,0)</f>
        <v>0</v>
      </c>
      <c r="I79" s="17" t="n">
        <f aca="false">IF(Rankings!I83&lt;=2,1,0)</f>
        <v>0</v>
      </c>
      <c r="J79" s="17" t="n">
        <f aca="false">IF(Rankings!J83&lt;=2,1,0)</f>
        <v>0</v>
      </c>
      <c r="K79" s="20" t="n">
        <f aca="false">SUM(C79:J79)</f>
        <v>2</v>
      </c>
      <c r="L79" s="16" t="n">
        <f aca="false">SUMPRODUCT(C79:J79,Returns!B83:I83)/K79</f>
        <v>0.0113119844346098</v>
      </c>
      <c r="M79" s="16" t="n">
        <v>0</v>
      </c>
      <c r="N79" s="16" t="n">
        <v>0</v>
      </c>
      <c r="O79" s="16" t="n">
        <f aca="false">L79+M79+N79</f>
        <v>0.0113119844346098</v>
      </c>
      <c r="P79" s="21" t="n">
        <f aca="false">P78*(1+O79)</f>
        <v>1.07896153444735</v>
      </c>
      <c r="Q79" s="21" t="n">
        <f aca="false">MAX($P$5:P79)</f>
        <v>1.76853418125443</v>
      </c>
      <c r="R79" s="16" t="n">
        <f aca="false">P79/Q79-1</f>
        <v>-0.389911970102814</v>
      </c>
      <c r="S79" s="16" t="n">
        <f aca="false">O79-Benchmark_RF!D79</f>
        <v>0.0047423105756545</v>
      </c>
    </row>
    <row r="80" customFormat="false" ht="15" hidden="false" customHeight="true" outlineLevel="0" collapsed="false">
      <c r="A80" s="1" t="n">
        <v>83</v>
      </c>
      <c r="B80" s="13" t="n">
        <f aca="false">Returns!A84</f>
        <v>44501</v>
      </c>
      <c r="C80" s="17" t="n">
        <f aca="false">IF(Rankings!C86&lt;=2,1,0)</f>
        <v>1</v>
      </c>
      <c r="D80" s="17" t="n">
        <f aca="false">IF(Rankings!D86&lt;=2,1,0)</f>
        <v>0</v>
      </c>
      <c r="E80" s="17" t="n">
        <f aca="false">IF(Rankings!E86&lt;=2,1,0)</f>
        <v>0</v>
      </c>
      <c r="F80" s="17" t="n">
        <f aca="false">IF(Rankings!F86&lt;=2,1,0)</f>
        <v>0</v>
      </c>
      <c r="G80" s="17" t="n">
        <f aca="false">IF(Rankings!G86&lt;=2,1,0)</f>
        <v>0</v>
      </c>
      <c r="H80" s="17" t="n">
        <f aca="false">IF(Rankings!H86&lt;=2,1,0)</f>
        <v>0</v>
      </c>
      <c r="I80" s="17" t="n">
        <f aca="false">IF(Rankings!I86&lt;=2,1,0)</f>
        <v>1</v>
      </c>
      <c r="J80" s="17" t="n">
        <f aca="false">IF(Rankings!J86&lt;=2,1,0)</f>
        <v>0</v>
      </c>
      <c r="K80" s="20" t="n">
        <f aca="false">SUM(C80:J80)</f>
        <v>2</v>
      </c>
      <c r="L80" s="16" t="n">
        <f aca="false">SUMPRODUCT(C80:J80,Returns!B84:I84)/K80</f>
        <v>-0.0731266790760722</v>
      </c>
      <c r="M80" s="16" t="n">
        <f aca="false">-2*Assumptions!$B$13</f>
        <v>-0.007</v>
      </c>
      <c r="N80" s="16" t="n">
        <f aca="false">-Assumptions!$B$16*MAX(0,(1+O77)*(1+O78)*(1+O79)-1)</f>
        <v>-0.0173594195439457</v>
      </c>
      <c r="O80" s="16" t="n">
        <f aca="false">L80+M80+N80</f>
        <v>-0.0974860986200179</v>
      </c>
      <c r="P80" s="21" t="n">
        <f aca="false">P79*(1+O80)</f>
        <v>0.973777783893008</v>
      </c>
      <c r="Q80" s="21" t="n">
        <f aca="false">MAX($P$5:P80)</f>
        <v>1.76853418125443</v>
      </c>
      <c r="R80" s="16" t="n">
        <f aca="false">P80/Q80-1</f>
        <v>-0.449387071952264</v>
      </c>
      <c r="S80" s="16" t="n">
        <f aca="false">O80-Benchmark_RF!D80</f>
        <v>-0.104307823972205</v>
      </c>
    </row>
    <row r="81" customFormat="false" ht="15" hidden="false" customHeight="true" outlineLevel="0" collapsed="false">
      <c r="A81" s="1" t="n">
        <v>84</v>
      </c>
      <c r="B81" s="13" t="n">
        <f aca="false">Returns!A85</f>
        <v>44531</v>
      </c>
      <c r="C81" s="17" t="n">
        <f aca="false">IF(Rankings!C86&lt;=2,1,0)</f>
        <v>1</v>
      </c>
      <c r="D81" s="17" t="n">
        <f aca="false">IF(Rankings!D86&lt;=2,1,0)</f>
        <v>0</v>
      </c>
      <c r="E81" s="17" t="n">
        <f aca="false">IF(Rankings!E86&lt;=2,1,0)</f>
        <v>0</v>
      </c>
      <c r="F81" s="17" t="n">
        <f aca="false">IF(Rankings!F86&lt;=2,1,0)</f>
        <v>0</v>
      </c>
      <c r="G81" s="17" t="n">
        <f aca="false">IF(Rankings!G86&lt;=2,1,0)</f>
        <v>0</v>
      </c>
      <c r="H81" s="17" t="n">
        <f aca="false">IF(Rankings!H86&lt;=2,1,0)</f>
        <v>0</v>
      </c>
      <c r="I81" s="17" t="n">
        <f aca="false">IF(Rankings!I86&lt;=2,1,0)</f>
        <v>1</v>
      </c>
      <c r="J81" s="17" t="n">
        <f aca="false">IF(Rankings!J86&lt;=2,1,0)</f>
        <v>0</v>
      </c>
      <c r="K81" s="20" t="n">
        <f aca="false">SUM(C81:J81)</f>
        <v>2</v>
      </c>
      <c r="L81" s="16" t="n">
        <f aca="false">SUMPRODUCT(C81:J81,Returns!B85:I85)/K81</f>
        <v>-0.017612226722974</v>
      </c>
      <c r="M81" s="16" t="n">
        <v>0</v>
      </c>
      <c r="N81" s="16" t="n">
        <v>0</v>
      </c>
      <c r="O81" s="16" t="n">
        <f aca="false">L81+M81+N81</f>
        <v>-0.017612226722974</v>
      </c>
      <c r="P81" s="21" t="n">
        <f aca="false">P80*(1+O81)</f>
        <v>0.956627388785289</v>
      </c>
      <c r="Q81" s="21" t="n">
        <f aca="false">MAX($P$5:P81)</f>
        <v>1.76853418125443</v>
      </c>
      <c r="R81" s="16" t="n">
        <f aca="false">P81/Q81-1</f>
        <v>-0.459084591677641</v>
      </c>
      <c r="S81" s="16" t="n">
        <f aca="false">O81-Benchmark_RF!D81</f>
        <v>-0.0258816397343368</v>
      </c>
    </row>
    <row r="82" customFormat="false" ht="15" hidden="false" customHeight="true" outlineLevel="0" collapsed="false">
      <c r="A82" s="1" t="n">
        <v>85</v>
      </c>
      <c r="B82" s="13" t="n">
        <f aca="false">Returns!A86</f>
        <v>44562</v>
      </c>
      <c r="C82" s="17" t="n">
        <f aca="false">IF(Rankings!C86&lt;=2,1,0)</f>
        <v>1</v>
      </c>
      <c r="D82" s="17" t="n">
        <f aca="false">IF(Rankings!D86&lt;=2,1,0)</f>
        <v>0</v>
      </c>
      <c r="E82" s="17" t="n">
        <f aca="false">IF(Rankings!E86&lt;=2,1,0)</f>
        <v>0</v>
      </c>
      <c r="F82" s="17" t="n">
        <f aca="false">IF(Rankings!F86&lt;=2,1,0)</f>
        <v>0</v>
      </c>
      <c r="G82" s="17" t="n">
        <f aca="false">IF(Rankings!G86&lt;=2,1,0)</f>
        <v>0</v>
      </c>
      <c r="H82" s="17" t="n">
        <f aca="false">IF(Rankings!H86&lt;=2,1,0)</f>
        <v>0</v>
      </c>
      <c r="I82" s="17" t="n">
        <f aca="false">IF(Rankings!I86&lt;=2,1,0)</f>
        <v>1</v>
      </c>
      <c r="J82" s="17" t="n">
        <f aca="false">IF(Rankings!J86&lt;=2,1,0)</f>
        <v>0</v>
      </c>
      <c r="K82" s="20" t="n">
        <f aca="false">SUM(C82:J82)</f>
        <v>2</v>
      </c>
      <c r="L82" s="16" t="n">
        <f aca="false">SUMPRODUCT(C82:J82,Returns!B86:I86)/K82</f>
        <v>-0.019352641511773</v>
      </c>
      <c r="M82" s="16" t="n">
        <v>0</v>
      </c>
      <c r="N82" s="16" t="n">
        <v>0</v>
      </c>
      <c r="O82" s="16" t="n">
        <f aca="false">L82+M82+N82</f>
        <v>-0.019352641511773</v>
      </c>
      <c r="P82" s="21" t="n">
        <f aca="false">P81*(1+O82)</f>
        <v>0.938114121869784</v>
      </c>
      <c r="Q82" s="21" t="n">
        <f aca="false">MAX($P$5:P82)</f>
        <v>1.76853418125443</v>
      </c>
      <c r="R82" s="16" t="n">
        <f aca="false">P82/Q82-1</f>
        <v>-0.469552733663098</v>
      </c>
      <c r="S82" s="16" t="n">
        <f aca="false">O82-Benchmark_RF!D82</f>
        <v>-0.0274816651838082</v>
      </c>
    </row>
    <row r="83" customFormat="false" ht="15" hidden="false" customHeight="true" outlineLevel="0" collapsed="false">
      <c r="A83" s="1" t="n">
        <v>86</v>
      </c>
      <c r="B83" s="13" t="n">
        <f aca="false">Returns!A87</f>
        <v>44593</v>
      </c>
      <c r="C83" s="17" t="n">
        <f aca="false">IF(Rankings!C89&lt;=2,1,0)</f>
        <v>1</v>
      </c>
      <c r="D83" s="17" t="n">
        <f aca="false">IF(Rankings!D89&lt;=2,1,0)</f>
        <v>0</v>
      </c>
      <c r="E83" s="17" t="n">
        <f aca="false">IF(Rankings!E89&lt;=2,1,0)</f>
        <v>0</v>
      </c>
      <c r="F83" s="17" t="n">
        <f aca="false">IF(Rankings!F89&lt;=2,1,0)</f>
        <v>0</v>
      </c>
      <c r="G83" s="17" t="n">
        <f aca="false">IF(Rankings!G89&lt;=2,1,0)</f>
        <v>0</v>
      </c>
      <c r="H83" s="17" t="n">
        <f aca="false">IF(Rankings!H89&lt;=2,1,0)</f>
        <v>0</v>
      </c>
      <c r="I83" s="17" t="n">
        <f aca="false">IF(Rankings!I89&lt;=2,1,0)</f>
        <v>1</v>
      </c>
      <c r="J83" s="17" t="n">
        <f aca="false">IF(Rankings!J89&lt;=2,1,0)</f>
        <v>0</v>
      </c>
      <c r="K83" s="20" t="n">
        <f aca="false">SUM(C83:J83)</f>
        <v>2</v>
      </c>
      <c r="L83" s="16" t="n">
        <f aca="false">SUMPRODUCT(C83:J83,Returns!B87:I87)/K83</f>
        <v>-0.0352723449392411</v>
      </c>
      <c r="M83" s="16" t="n">
        <f aca="false">-2*Assumptions!$B$13</f>
        <v>-0.007</v>
      </c>
      <c r="N83" s="16" t="n">
        <f aca="false">-Assumptions!$B$16*MAX(0,(1+O80)*(1+O81)*(1+O82)-1)</f>
        <v>-0</v>
      </c>
      <c r="O83" s="16" t="n">
        <f aca="false">L83+M83+N83</f>
        <v>-0.0422723449392411</v>
      </c>
      <c r="P83" s="21" t="n">
        <f aca="false">P82*(1+O83)</f>
        <v>0.898457838117731</v>
      </c>
      <c r="Q83" s="21" t="n">
        <f aca="false">MAX($P$5:P83)</f>
        <v>1.76853418125443</v>
      </c>
      <c r="R83" s="16" t="n">
        <f aca="false">P83/Q83-1</f>
        <v>-0.491975983477769</v>
      </c>
      <c r="S83" s="16" t="n">
        <f aca="false">O83-Benchmark_RF!D83</f>
        <v>-0.0505389416135337</v>
      </c>
    </row>
    <row r="84" customFormat="false" ht="15" hidden="false" customHeight="true" outlineLevel="0" collapsed="false">
      <c r="A84" s="1" t="n">
        <v>87</v>
      </c>
      <c r="B84" s="13" t="n">
        <f aca="false">Returns!A88</f>
        <v>44621</v>
      </c>
      <c r="C84" s="17" t="n">
        <f aca="false">IF(Rankings!C89&lt;=2,1,0)</f>
        <v>1</v>
      </c>
      <c r="D84" s="17" t="n">
        <f aca="false">IF(Rankings!D89&lt;=2,1,0)</f>
        <v>0</v>
      </c>
      <c r="E84" s="17" t="n">
        <f aca="false">IF(Rankings!E89&lt;=2,1,0)</f>
        <v>0</v>
      </c>
      <c r="F84" s="17" t="n">
        <f aca="false">IF(Rankings!F89&lt;=2,1,0)</f>
        <v>0</v>
      </c>
      <c r="G84" s="17" t="n">
        <f aca="false">IF(Rankings!G89&lt;=2,1,0)</f>
        <v>0</v>
      </c>
      <c r="H84" s="17" t="n">
        <f aca="false">IF(Rankings!H89&lt;=2,1,0)</f>
        <v>0</v>
      </c>
      <c r="I84" s="17" t="n">
        <f aca="false">IF(Rankings!I89&lt;=2,1,0)</f>
        <v>1</v>
      </c>
      <c r="J84" s="17" t="n">
        <f aca="false">IF(Rankings!J89&lt;=2,1,0)</f>
        <v>0</v>
      </c>
      <c r="K84" s="20" t="n">
        <f aca="false">SUM(C84:J84)</f>
        <v>2</v>
      </c>
      <c r="L84" s="16" t="n">
        <f aca="false">SUMPRODUCT(C84:J84,Returns!B88:I88)/K84</f>
        <v>-0.0808352997680369</v>
      </c>
      <c r="M84" s="16" t="n">
        <v>0</v>
      </c>
      <c r="N84" s="16" t="n">
        <v>0</v>
      </c>
      <c r="O84" s="16" t="n">
        <f aca="false">L84+M84+N84</f>
        <v>-0.0808352997680369</v>
      </c>
      <c r="P84" s="21" t="n">
        <f aca="false">P83*(1+O84)</f>
        <v>0.825830729444542</v>
      </c>
      <c r="Q84" s="21" t="n">
        <f aca="false">MAX($P$5:P84)</f>
        <v>1.76853418125443</v>
      </c>
      <c r="R84" s="16" t="n">
        <f aca="false">P84/Q84-1</f>
        <v>-0.533042257142706</v>
      </c>
      <c r="S84" s="16" t="n">
        <f aca="false">O84-Benchmark_RF!D84</f>
        <v>-0.0901365749745265</v>
      </c>
    </row>
    <row r="85" customFormat="false" ht="15" hidden="false" customHeight="true" outlineLevel="0" collapsed="false">
      <c r="A85" s="1" t="n">
        <v>88</v>
      </c>
      <c r="B85" s="13" t="n">
        <f aca="false">Returns!A89</f>
        <v>44652</v>
      </c>
      <c r="C85" s="17" t="n">
        <f aca="false">IF(Rankings!C89&lt;=2,1,0)</f>
        <v>1</v>
      </c>
      <c r="D85" s="17" t="n">
        <f aca="false">IF(Rankings!D89&lt;=2,1,0)</f>
        <v>0</v>
      </c>
      <c r="E85" s="17" t="n">
        <f aca="false">IF(Rankings!E89&lt;=2,1,0)</f>
        <v>0</v>
      </c>
      <c r="F85" s="17" t="n">
        <f aca="false">IF(Rankings!F89&lt;=2,1,0)</f>
        <v>0</v>
      </c>
      <c r="G85" s="17" t="n">
        <f aca="false">IF(Rankings!G89&lt;=2,1,0)</f>
        <v>0</v>
      </c>
      <c r="H85" s="17" t="n">
        <f aca="false">IF(Rankings!H89&lt;=2,1,0)</f>
        <v>0</v>
      </c>
      <c r="I85" s="17" t="n">
        <f aca="false">IF(Rankings!I89&lt;=2,1,0)</f>
        <v>1</v>
      </c>
      <c r="J85" s="17" t="n">
        <f aca="false">IF(Rankings!J89&lt;=2,1,0)</f>
        <v>0</v>
      </c>
      <c r="K85" s="20" t="n">
        <f aca="false">SUM(C85:J85)</f>
        <v>2</v>
      </c>
      <c r="L85" s="16" t="n">
        <f aca="false">SUMPRODUCT(C85:J85,Returns!B89:I89)/K85</f>
        <v>0.0109468365970864</v>
      </c>
      <c r="M85" s="16" t="n">
        <v>0</v>
      </c>
      <c r="N85" s="16" t="n">
        <v>0</v>
      </c>
      <c r="O85" s="16" t="n">
        <f aca="false">L85+M85+N85</f>
        <v>0.0109468365970864</v>
      </c>
      <c r="P85" s="21" t="n">
        <f aca="false">P84*(1+O85)</f>
        <v>0.834870963496624</v>
      </c>
      <c r="Q85" s="21" t="n">
        <f aca="false">MAX($P$5:P85)</f>
        <v>1.76853418125443</v>
      </c>
      <c r="R85" s="16" t="n">
        <f aca="false">P85/Q85-1</f>
        <v>-0.527930547033903</v>
      </c>
      <c r="S85" s="16" t="n">
        <f aca="false">O85-Benchmark_RF!D85</f>
        <v>-0.000174978310264251</v>
      </c>
    </row>
    <row r="86" customFormat="false" ht="15" hidden="false" customHeight="true" outlineLevel="0" collapsed="false">
      <c r="A86" s="1" t="n">
        <v>89</v>
      </c>
      <c r="B86" s="13" t="n">
        <f aca="false">Returns!A90</f>
        <v>44682</v>
      </c>
      <c r="C86" s="17" t="n">
        <f aca="false">IF(Rankings!C92&lt;=2,1,0)</f>
        <v>0</v>
      </c>
      <c r="D86" s="17" t="n">
        <f aca="false">IF(Rankings!D92&lt;=2,1,0)</f>
        <v>1</v>
      </c>
      <c r="E86" s="17" t="n">
        <f aca="false">IF(Rankings!E92&lt;=2,1,0)</f>
        <v>0</v>
      </c>
      <c r="F86" s="17" t="n">
        <f aca="false">IF(Rankings!F92&lt;=2,1,0)</f>
        <v>0</v>
      </c>
      <c r="G86" s="17" t="n">
        <f aca="false">IF(Rankings!G92&lt;=2,1,0)</f>
        <v>1</v>
      </c>
      <c r="H86" s="17" t="n">
        <f aca="false">IF(Rankings!H92&lt;=2,1,0)</f>
        <v>0</v>
      </c>
      <c r="I86" s="17" t="n">
        <f aca="false">IF(Rankings!I92&lt;=2,1,0)</f>
        <v>0</v>
      </c>
      <c r="J86" s="17" t="n">
        <f aca="false">IF(Rankings!J92&lt;=2,1,0)</f>
        <v>0</v>
      </c>
      <c r="K86" s="20" t="n">
        <f aca="false">SUM(C86:J86)</f>
        <v>2</v>
      </c>
      <c r="L86" s="16" t="n">
        <f aca="false">SUMPRODUCT(C86:J86,Returns!B90:I90)/K86</f>
        <v>-0.113018842193581</v>
      </c>
      <c r="M86" s="16" t="n">
        <f aca="false">-2*Assumptions!$B$13</f>
        <v>-0.007</v>
      </c>
      <c r="N86" s="16" t="n">
        <f aca="false">-Assumptions!$B$16*MAX(0,(1+O83)*(1+O84)*(1+O85)-1)</f>
        <v>-0</v>
      </c>
      <c r="O86" s="16" t="n">
        <f aca="false">L86+M86+N86</f>
        <v>-0.120018842193581</v>
      </c>
      <c r="P86" s="21" t="n">
        <f aca="false">P85*(1+O86)</f>
        <v>0.73467071707672</v>
      </c>
      <c r="Q86" s="21" t="n">
        <f aca="false">MAX($P$5:P86)</f>
        <v>1.76853418125443</v>
      </c>
      <c r="R86" s="16" t="n">
        <f aca="false">P86/Q86-1</f>
        <v>-0.584587776213851</v>
      </c>
      <c r="S86" s="16" t="n">
        <f aca="false">O86-Benchmark_RF!D86</f>
        <v>-0.131309400810699</v>
      </c>
    </row>
    <row r="87" customFormat="false" ht="15" hidden="false" customHeight="true" outlineLevel="0" collapsed="false">
      <c r="A87" s="1" t="n">
        <v>90</v>
      </c>
      <c r="B87" s="13" t="n">
        <f aca="false">Returns!A91</f>
        <v>44713</v>
      </c>
      <c r="C87" s="17" t="n">
        <f aca="false">IF(Rankings!C92&lt;=2,1,0)</f>
        <v>0</v>
      </c>
      <c r="D87" s="17" t="n">
        <f aca="false">IF(Rankings!D92&lt;=2,1,0)</f>
        <v>1</v>
      </c>
      <c r="E87" s="17" t="n">
        <f aca="false">IF(Rankings!E92&lt;=2,1,0)</f>
        <v>0</v>
      </c>
      <c r="F87" s="17" t="n">
        <f aca="false">IF(Rankings!F92&lt;=2,1,0)</f>
        <v>0</v>
      </c>
      <c r="G87" s="17" t="n">
        <f aca="false">IF(Rankings!G92&lt;=2,1,0)</f>
        <v>1</v>
      </c>
      <c r="H87" s="17" t="n">
        <f aca="false">IF(Rankings!H92&lt;=2,1,0)</f>
        <v>0</v>
      </c>
      <c r="I87" s="17" t="n">
        <f aca="false">IF(Rankings!I92&lt;=2,1,0)</f>
        <v>0</v>
      </c>
      <c r="J87" s="17" t="n">
        <f aca="false">IF(Rankings!J92&lt;=2,1,0)</f>
        <v>0</v>
      </c>
      <c r="K87" s="20" t="n">
        <f aca="false">SUM(C87:J87)</f>
        <v>2</v>
      </c>
      <c r="L87" s="16" t="n">
        <f aca="false">SUMPRODUCT(C87:J87,Returns!B91:I91)/K87</f>
        <v>-0.0894169320299172</v>
      </c>
      <c r="M87" s="16" t="n">
        <v>0</v>
      </c>
      <c r="N87" s="16" t="n">
        <v>0</v>
      </c>
      <c r="O87" s="16" t="n">
        <f aca="false">L87+M87+N87</f>
        <v>-0.0894169320299172</v>
      </c>
      <c r="P87" s="21" t="n">
        <f aca="false">P86*(1+O87)</f>
        <v>0.668978715503501</v>
      </c>
      <c r="Q87" s="21" t="n">
        <f aca="false">MAX($P$5:P87)</f>
        <v>1.76853418125443</v>
      </c>
      <c r="R87" s="16" t="n">
        <f aca="false">P87/Q87-1</f>
        <v>-0.621732662792534</v>
      </c>
      <c r="S87" s="16" t="n">
        <f aca="false">O87-Benchmark_RF!D87</f>
        <v>-0.101190480398144</v>
      </c>
    </row>
    <row r="88" customFormat="false" ht="15" hidden="false" customHeight="true" outlineLevel="0" collapsed="false">
      <c r="A88" s="1" t="n">
        <v>91</v>
      </c>
      <c r="B88" s="13" t="n">
        <f aca="false">Returns!A92</f>
        <v>44743</v>
      </c>
      <c r="C88" s="17" t="n">
        <f aca="false">IF(Rankings!C92&lt;=2,1,0)</f>
        <v>0</v>
      </c>
      <c r="D88" s="17" t="n">
        <f aca="false">IF(Rankings!D92&lt;=2,1,0)</f>
        <v>1</v>
      </c>
      <c r="E88" s="17" t="n">
        <f aca="false">IF(Rankings!E92&lt;=2,1,0)</f>
        <v>0</v>
      </c>
      <c r="F88" s="17" t="n">
        <f aca="false">IF(Rankings!F92&lt;=2,1,0)</f>
        <v>0</v>
      </c>
      <c r="G88" s="17" t="n">
        <f aca="false">IF(Rankings!G92&lt;=2,1,0)</f>
        <v>1</v>
      </c>
      <c r="H88" s="17" t="n">
        <f aca="false">IF(Rankings!H92&lt;=2,1,0)</f>
        <v>0</v>
      </c>
      <c r="I88" s="17" t="n">
        <f aca="false">IF(Rankings!I92&lt;=2,1,0)</f>
        <v>0</v>
      </c>
      <c r="J88" s="17" t="n">
        <f aca="false">IF(Rankings!J92&lt;=2,1,0)</f>
        <v>0</v>
      </c>
      <c r="K88" s="20" t="n">
        <f aca="false">SUM(C88:J88)</f>
        <v>2</v>
      </c>
      <c r="L88" s="16" t="n">
        <f aca="false">SUMPRODUCT(C88:J88,Returns!B92:I92)/K88</f>
        <v>-0.0218727742096514</v>
      </c>
      <c r="M88" s="16" t="n">
        <v>0</v>
      </c>
      <c r="N88" s="16" t="n">
        <v>0</v>
      </c>
      <c r="O88" s="16" t="n">
        <f aca="false">L88+M88+N88</f>
        <v>-0.0218727742096514</v>
      </c>
      <c r="P88" s="21" t="n">
        <f aca="false">P87*(1+O88)</f>
        <v>0.65434629510823</v>
      </c>
      <c r="Q88" s="21" t="n">
        <f aca="false">MAX($P$5:P88)</f>
        <v>1.76853418125443</v>
      </c>
      <c r="R88" s="16" t="n">
        <f aca="false">P88/Q88-1</f>
        <v>-0.630006418850158</v>
      </c>
      <c r="S88" s="16" t="n">
        <f aca="false">O88-Benchmark_RF!D88</f>
        <v>-0.0340484053307111</v>
      </c>
    </row>
    <row r="89" customFormat="false" ht="15" hidden="false" customHeight="true" outlineLevel="0" collapsed="false">
      <c r="A89" s="1" t="n">
        <v>92</v>
      </c>
      <c r="B89" s="13" t="n">
        <f aca="false">Returns!A93</f>
        <v>44774</v>
      </c>
      <c r="C89" s="17" t="n">
        <f aca="false">IF(Rankings!C95&lt;=2,1,0)</f>
        <v>0</v>
      </c>
      <c r="D89" s="17" t="n">
        <f aca="false">IF(Rankings!D95&lt;=2,1,0)</f>
        <v>0</v>
      </c>
      <c r="E89" s="17" t="n">
        <f aca="false">IF(Rankings!E95&lt;=2,1,0)</f>
        <v>0</v>
      </c>
      <c r="F89" s="17" t="n">
        <f aca="false">IF(Rankings!F95&lt;=2,1,0)</f>
        <v>0</v>
      </c>
      <c r="G89" s="17" t="n">
        <f aca="false">IF(Rankings!G95&lt;=2,1,0)</f>
        <v>1</v>
      </c>
      <c r="H89" s="17" t="n">
        <f aca="false">IF(Rankings!H95&lt;=2,1,0)</f>
        <v>0</v>
      </c>
      <c r="I89" s="17" t="n">
        <f aca="false">IF(Rankings!I95&lt;=2,1,0)</f>
        <v>1</v>
      </c>
      <c r="J89" s="17" t="n">
        <f aca="false">IF(Rankings!J95&lt;=2,1,0)</f>
        <v>0</v>
      </c>
      <c r="K89" s="20" t="n">
        <f aca="false">SUM(C89:J89)</f>
        <v>2</v>
      </c>
      <c r="L89" s="16" t="n">
        <f aca="false">SUMPRODUCT(C89:J89,Returns!B93:I93)/K89</f>
        <v>0.16547020445783</v>
      </c>
      <c r="M89" s="16" t="n">
        <f aca="false">-2*Assumptions!$B$13</f>
        <v>-0.007</v>
      </c>
      <c r="N89" s="16" t="n">
        <f aca="false">-Assumptions!$B$16*MAX(0,(1+O86)*(1+O87)*(1+O88)-1)</f>
        <v>-0</v>
      </c>
      <c r="O89" s="16" t="n">
        <f aca="false">L89+M89+N89</f>
        <v>0.15847020445783</v>
      </c>
      <c r="P89" s="21" t="n">
        <f aca="false">P88*(1+O89)</f>
        <v>0.758040686280255</v>
      </c>
      <c r="Q89" s="21" t="n">
        <f aca="false">MAX($P$5:P89)</f>
        <v>1.76853418125443</v>
      </c>
      <c r="R89" s="16" t="n">
        <f aca="false">P89/Q89-1</f>
        <v>-0.571373460397258</v>
      </c>
      <c r="S89" s="16" t="n">
        <f aca="false">O89-Benchmark_RF!D89</f>
        <v>0.146221655794666</v>
      </c>
    </row>
    <row r="90" customFormat="false" ht="15" hidden="false" customHeight="true" outlineLevel="0" collapsed="false">
      <c r="A90" s="1" t="n">
        <v>93</v>
      </c>
      <c r="B90" s="13" t="n">
        <f aca="false">Returns!A94</f>
        <v>44805</v>
      </c>
      <c r="C90" s="17" t="n">
        <f aca="false">IF(Rankings!C95&lt;=2,1,0)</f>
        <v>0</v>
      </c>
      <c r="D90" s="17" t="n">
        <f aca="false">IF(Rankings!D95&lt;=2,1,0)</f>
        <v>0</v>
      </c>
      <c r="E90" s="17" t="n">
        <f aca="false">IF(Rankings!E95&lt;=2,1,0)</f>
        <v>0</v>
      </c>
      <c r="F90" s="17" t="n">
        <f aca="false">IF(Rankings!F95&lt;=2,1,0)</f>
        <v>0</v>
      </c>
      <c r="G90" s="17" t="n">
        <f aca="false">IF(Rankings!G95&lt;=2,1,0)</f>
        <v>1</v>
      </c>
      <c r="H90" s="17" t="n">
        <f aca="false">IF(Rankings!H95&lt;=2,1,0)</f>
        <v>0</v>
      </c>
      <c r="I90" s="17" t="n">
        <f aca="false">IF(Rankings!I95&lt;=2,1,0)</f>
        <v>1</v>
      </c>
      <c r="J90" s="17" t="n">
        <f aca="false">IF(Rankings!J95&lt;=2,1,0)</f>
        <v>0</v>
      </c>
      <c r="K90" s="20" t="n">
        <f aca="false">SUM(C90:J90)</f>
        <v>2</v>
      </c>
      <c r="L90" s="16" t="n">
        <f aca="false">SUMPRODUCT(C90:J90,Returns!B94:I94)/K90</f>
        <v>-0.0625476574393502</v>
      </c>
      <c r="M90" s="16" t="n">
        <v>0</v>
      </c>
      <c r="N90" s="16" t="n">
        <v>0</v>
      </c>
      <c r="O90" s="16" t="n">
        <f aca="false">L90+M90+N90</f>
        <v>-0.0625476574393502</v>
      </c>
      <c r="P90" s="21" t="n">
        <f aca="false">P89*(1+O90)</f>
        <v>0.710627017109708</v>
      </c>
      <c r="Q90" s="21" t="n">
        <f aca="false">MAX($P$5:P90)</f>
        <v>1.76853418125443</v>
      </c>
      <c r="R90" s="16" t="n">
        <f aca="false">P90/Q90-1</f>
        <v>-0.598183046365745</v>
      </c>
      <c r="S90" s="16" t="n">
        <f aca="false">O90-Benchmark_RF!D90</f>
        <v>-0.0749709728339039</v>
      </c>
    </row>
    <row r="91" customFormat="false" ht="15" hidden="false" customHeight="true" outlineLevel="0" collapsed="false">
      <c r="A91" s="1" t="n">
        <v>94</v>
      </c>
      <c r="B91" s="13" t="n">
        <f aca="false">Returns!A95</f>
        <v>44835</v>
      </c>
      <c r="C91" s="17" t="n">
        <f aca="false">IF(Rankings!C95&lt;=2,1,0)</f>
        <v>0</v>
      </c>
      <c r="D91" s="17" t="n">
        <f aca="false">IF(Rankings!D95&lt;=2,1,0)</f>
        <v>0</v>
      </c>
      <c r="E91" s="17" t="n">
        <f aca="false">IF(Rankings!E95&lt;=2,1,0)</f>
        <v>0</v>
      </c>
      <c r="F91" s="17" t="n">
        <f aca="false">IF(Rankings!F95&lt;=2,1,0)</f>
        <v>0</v>
      </c>
      <c r="G91" s="17" t="n">
        <f aca="false">IF(Rankings!G95&lt;=2,1,0)</f>
        <v>1</v>
      </c>
      <c r="H91" s="17" t="n">
        <f aca="false">IF(Rankings!H95&lt;=2,1,0)</f>
        <v>0</v>
      </c>
      <c r="I91" s="17" t="n">
        <f aca="false">IF(Rankings!I95&lt;=2,1,0)</f>
        <v>1</v>
      </c>
      <c r="J91" s="17" t="n">
        <f aca="false">IF(Rankings!J95&lt;=2,1,0)</f>
        <v>0</v>
      </c>
      <c r="K91" s="20" t="n">
        <f aca="false">SUM(C91:J91)</f>
        <v>2</v>
      </c>
      <c r="L91" s="16" t="n">
        <f aca="false">SUMPRODUCT(C91:J91,Returns!B95:I95)/K91</f>
        <v>-0.0774499480797636</v>
      </c>
      <c r="M91" s="16" t="n">
        <v>0</v>
      </c>
      <c r="N91" s="16" t="n">
        <v>0</v>
      </c>
      <c r="O91" s="16" t="n">
        <f aca="false">L91+M91+N91</f>
        <v>-0.0774499480797636</v>
      </c>
      <c r="P91" s="21" t="n">
        <f aca="false">P90*(1+O91)</f>
        <v>0.655588991530484</v>
      </c>
      <c r="Q91" s="21" t="n">
        <f aca="false">MAX($P$5:P91)</f>
        <v>1.76853418125443</v>
      </c>
      <c r="R91" s="16" t="n">
        <f aca="false">P91/Q91-1</f>
        <v>-0.629303748562286</v>
      </c>
      <c r="S91" s="16" t="n">
        <f aca="false">O91-Benchmark_RF!D91</f>
        <v>-0.0896547531517707</v>
      </c>
    </row>
    <row r="92" customFormat="false" ht="15" hidden="false" customHeight="true" outlineLevel="0" collapsed="false">
      <c r="A92" s="1" t="n">
        <v>95</v>
      </c>
      <c r="B92" s="13" t="n">
        <f aca="false">Returns!A96</f>
        <v>44866</v>
      </c>
      <c r="C92" s="17" t="n">
        <f aca="false">IF(Rankings!C98&lt;=2,1,0)</f>
        <v>0</v>
      </c>
      <c r="D92" s="17" t="n">
        <f aca="false">IF(Rankings!D98&lt;=2,1,0)</f>
        <v>0</v>
      </c>
      <c r="E92" s="17" t="n">
        <f aca="false">IF(Rankings!E98&lt;=2,1,0)</f>
        <v>0</v>
      </c>
      <c r="F92" s="17" t="n">
        <f aca="false">IF(Rankings!F98&lt;=2,1,0)</f>
        <v>0</v>
      </c>
      <c r="G92" s="17" t="n">
        <f aca="false">IF(Rankings!G98&lt;=2,1,0)</f>
        <v>0</v>
      </c>
      <c r="H92" s="17" t="n">
        <f aca="false">IF(Rankings!H98&lt;=2,1,0)</f>
        <v>0</v>
      </c>
      <c r="I92" s="17" t="n">
        <f aca="false">IF(Rankings!I98&lt;=2,1,0)</f>
        <v>1</v>
      </c>
      <c r="J92" s="17" t="n">
        <f aca="false">IF(Rankings!J98&lt;=2,1,0)</f>
        <v>1</v>
      </c>
      <c r="K92" s="20" t="n">
        <f aca="false">SUM(C92:J92)</f>
        <v>2</v>
      </c>
      <c r="L92" s="16" t="n">
        <f aca="false">SUMPRODUCT(C92:J92,Returns!B96:I96)/K92</f>
        <v>0.0646006633074014</v>
      </c>
      <c r="M92" s="16" t="n">
        <f aca="false">-2*Assumptions!$B$13</f>
        <v>-0.007</v>
      </c>
      <c r="N92" s="16" t="n">
        <f aca="false">-Assumptions!$B$16*MAX(0,(1+O89)*(1+O90)*(1+O91)-1)</f>
        <v>-0.000284871274937426</v>
      </c>
      <c r="O92" s="16" t="n">
        <f aca="false">L92+M92+N92</f>
        <v>0.057315792032464</v>
      </c>
      <c r="P92" s="21" t="n">
        <f aca="false">P91*(1+O92)</f>
        <v>0.693164593827818</v>
      </c>
      <c r="Q92" s="21" t="n">
        <f aca="false">MAX($P$5:P92)</f>
        <v>1.76853418125443</v>
      </c>
      <c r="R92" s="16" t="n">
        <f aca="false">P92/Q92-1</f>
        <v>-0.608056999307668</v>
      </c>
      <c r="S92" s="16" t="n">
        <f aca="false">O92-Benchmark_RF!D92</f>
        <v>0.0442328173283321</v>
      </c>
    </row>
    <row r="93" customFormat="false" ht="15" hidden="false" customHeight="true" outlineLevel="0" collapsed="false">
      <c r="A93" s="1" t="n">
        <v>96</v>
      </c>
      <c r="B93" s="13" t="n">
        <f aca="false">Returns!A97</f>
        <v>44896</v>
      </c>
      <c r="C93" s="17" t="n">
        <f aca="false">IF(Rankings!C98&lt;=2,1,0)</f>
        <v>0</v>
      </c>
      <c r="D93" s="17" t="n">
        <f aca="false">IF(Rankings!D98&lt;=2,1,0)</f>
        <v>0</v>
      </c>
      <c r="E93" s="17" t="n">
        <f aca="false">IF(Rankings!E98&lt;=2,1,0)</f>
        <v>0</v>
      </c>
      <c r="F93" s="17" t="n">
        <f aca="false">IF(Rankings!F98&lt;=2,1,0)</f>
        <v>0</v>
      </c>
      <c r="G93" s="17" t="n">
        <f aca="false">IF(Rankings!G98&lt;=2,1,0)</f>
        <v>0</v>
      </c>
      <c r="H93" s="17" t="n">
        <f aca="false">IF(Rankings!H98&lt;=2,1,0)</f>
        <v>0</v>
      </c>
      <c r="I93" s="17" t="n">
        <f aca="false">IF(Rankings!I98&lt;=2,1,0)</f>
        <v>1</v>
      </c>
      <c r="J93" s="17" t="n">
        <f aca="false">IF(Rankings!J98&lt;=2,1,0)</f>
        <v>1</v>
      </c>
      <c r="K93" s="20" t="n">
        <f aca="false">SUM(C93:J93)</f>
        <v>2</v>
      </c>
      <c r="L93" s="16" t="n">
        <f aca="false">SUMPRODUCT(C93:J93,Returns!B97:I97)/K93</f>
        <v>-0.115254305037839</v>
      </c>
      <c r="M93" s="16" t="n">
        <v>0</v>
      </c>
      <c r="N93" s="16" t="n">
        <v>0</v>
      </c>
      <c r="O93" s="16" t="n">
        <f aca="false">L93+M93+N93</f>
        <v>-0.115254305037839</v>
      </c>
      <c r="P93" s="21" t="n">
        <f aca="false">P92*(1+O93)</f>
        <v>0.613274390289357</v>
      </c>
      <c r="Q93" s="21" t="n">
        <f aca="false">MAX($P$5:P93)</f>
        <v>1.76853418125443</v>
      </c>
      <c r="R93" s="16" t="n">
        <f aca="false">P93/Q93-1</f>
        <v>-0.653230117466908</v>
      </c>
      <c r="S93" s="16" t="n">
        <f aca="false">O93-Benchmark_RF!D93</f>
        <v>-0.128395046414185</v>
      </c>
    </row>
    <row r="94" customFormat="false" ht="15" hidden="false" customHeight="true" outlineLevel="0" collapsed="false">
      <c r="A94" s="1" t="n">
        <v>97</v>
      </c>
      <c r="B94" s="13" t="n">
        <f aca="false">Returns!A98</f>
        <v>44927</v>
      </c>
      <c r="C94" s="17" t="n">
        <f aca="false">IF(Rankings!C98&lt;=2,1,0)</f>
        <v>0</v>
      </c>
      <c r="D94" s="17" t="n">
        <f aca="false">IF(Rankings!D98&lt;=2,1,0)</f>
        <v>0</v>
      </c>
      <c r="E94" s="17" t="n">
        <f aca="false">IF(Rankings!E98&lt;=2,1,0)</f>
        <v>0</v>
      </c>
      <c r="F94" s="17" t="n">
        <f aca="false">IF(Rankings!F98&lt;=2,1,0)</f>
        <v>0</v>
      </c>
      <c r="G94" s="17" t="n">
        <f aca="false">IF(Rankings!G98&lt;=2,1,0)</f>
        <v>0</v>
      </c>
      <c r="H94" s="17" t="n">
        <f aca="false">IF(Rankings!H98&lt;=2,1,0)</f>
        <v>0</v>
      </c>
      <c r="I94" s="17" t="n">
        <f aca="false">IF(Rankings!I98&lt;=2,1,0)</f>
        <v>1</v>
      </c>
      <c r="J94" s="17" t="n">
        <f aca="false">IF(Rankings!J98&lt;=2,1,0)</f>
        <v>1</v>
      </c>
      <c r="K94" s="20" t="n">
        <f aca="false">SUM(C94:J94)</f>
        <v>2</v>
      </c>
      <c r="L94" s="16" t="n">
        <f aca="false">SUMPRODUCT(C94:J94,Returns!B98:I98)/K94</f>
        <v>-0.0211880927758902</v>
      </c>
      <c r="M94" s="16" t="n">
        <v>0</v>
      </c>
      <c r="N94" s="16" t="n">
        <v>0</v>
      </c>
      <c r="O94" s="16" t="n">
        <f aca="false">L94+M94+N94</f>
        <v>-0.0211880927758902</v>
      </c>
      <c r="P94" s="21" t="n">
        <f aca="false">P93*(1+O94)</f>
        <v>0.600280275610828</v>
      </c>
      <c r="Q94" s="21" t="n">
        <f aca="false">MAX($P$5:P94)</f>
        <v>1.76853418125443</v>
      </c>
      <c r="R94" s="16" t="n">
        <f aca="false">P94/Q94-1</f>
        <v>-0.660577509909904</v>
      </c>
      <c r="S94" s="16" t="n">
        <f aca="false">O94-Benchmark_RF!D94</f>
        <v>-0.0349475488042198</v>
      </c>
    </row>
    <row r="95" customFormat="false" ht="15" hidden="false" customHeight="true" outlineLevel="0" collapsed="false">
      <c r="A95" s="1" t="n">
        <v>98</v>
      </c>
      <c r="B95" s="13" t="n">
        <f aca="false">Returns!A99</f>
        <v>44958</v>
      </c>
      <c r="C95" s="17" t="n">
        <f aca="false">IF(Rankings!C101&lt;=2,1,0)</f>
        <v>0</v>
      </c>
      <c r="D95" s="17" t="n">
        <f aca="false">IF(Rankings!D101&lt;=2,1,0)</f>
        <v>1</v>
      </c>
      <c r="E95" s="17" t="n">
        <f aca="false">IF(Rankings!E101&lt;=2,1,0)</f>
        <v>0</v>
      </c>
      <c r="F95" s="17" t="n">
        <f aca="false">IF(Rankings!F101&lt;=2,1,0)</f>
        <v>0</v>
      </c>
      <c r="G95" s="17" t="n">
        <f aca="false">IF(Rankings!G101&lt;=2,1,0)</f>
        <v>0</v>
      </c>
      <c r="H95" s="17" t="n">
        <f aca="false">IF(Rankings!H101&lt;=2,1,0)</f>
        <v>0</v>
      </c>
      <c r="I95" s="17" t="n">
        <f aca="false">IF(Rankings!I101&lt;=2,1,0)</f>
        <v>0</v>
      </c>
      <c r="J95" s="17" t="n">
        <f aca="false">IF(Rankings!J101&lt;=2,1,0)</f>
        <v>1</v>
      </c>
      <c r="K95" s="20" t="n">
        <f aca="false">SUM(C95:J95)</f>
        <v>2</v>
      </c>
      <c r="L95" s="16" t="n">
        <f aca="false">SUMPRODUCT(C95:J95,Returns!B99:I99)/K95</f>
        <v>-0.0136139334923943</v>
      </c>
      <c r="M95" s="16" t="n">
        <f aca="false">-2*Assumptions!$B$13</f>
        <v>-0.007</v>
      </c>
      <c r="N95" s="16" t="n">
        <f aca="false">-Assumptions!$B$16*MAX(0,(1+O92)*(1+O93)*(1+O94)-1)</f>
        <v>-0</v>
      </c>
      <c r="O95" s="16" t="n">
        <f aca="false">L95+M95+N95</f>
        <v>-0.0206139334923943</v>
      </c>
      <c r="P95" s="21" t="n">
        <f aca="false">P94*(1+O95)</f>
        <v>0.58790613793259</v>
      </c>
      <c r="Q95" s="21" t="n">
        <f aca="false">MAX($P$5:P95)</f>
        <v>1.76853418125443</v>
      </c>
      <c r="R95" s="16" t="n">
        <f aca="false">P95/Q95-1</f>
        <v>-0.667574342546444</v>
      </c>
      <c r="S95" s="16" t="n">
        <f aca="false">O95-Benchmark_RF!D95</f>
        <v>-0.0354072577951828</v>
      </c>
    </row>
    <row r="96" customFormat="false" ht="15" hidden="false" customHeight="true" outlineLevel="0" collapsed="false">
      <c r="A96" s="1" t="n">
        <v>99</v>
      </c>
      <c r="B96" s="13" t="n">
        <f aca="false">Returns!A100</f>
        <v>44986</v>
      </c>
      <c r="C96" s="17" t="n">
        <f aca="false">IF(Rankings!C101&lt;=2,1,0)</f>
        <v>0</v>
      </c>
      <c r="D96" s="17" t="n">
        <f aca="false">IF(Rankings!D101&lt;=2,1,0)</f>
        <v>1</v>
      </c>
      <c r="E96" s="17" t="n">
        <f aca="false">IF(Rankings!E101&lt;=2,1,0)</f>
        <v>0</v>
      </c>
      <c r="F96" s="17" t="n">
        <f aca="false">IF(Rankings!F101&lt;=2,1,0)</f>
        <v>0</v>
      </c>
      <c r="G96" s="17" t="n">
        <f aca="false">IF(Rankings!G101&lt;=2,1,0)</f>
        <v>0</v>
      </c>
      <c r="H96" s="17" t="n">
        <f aca="false">IF(Rankings!H101&lt;=2,1,0)</f>
        <v>0</v>
      </c>
      <c r="I96" s="17" t="n">
        <f aca="false">IF(Rankings!I101&lt;=2,1,0)</f>
        <v>0</v>
      </c>
      <c r="J96" s="17" t="n">
        <f aca="false">IF(Rankings!J101&lt;=2,1,0)</f>
        <v>1</v>
      </c>
      <c r="K96" s="20" t="n">
        <f aca="false">SUM(C96:J96)</f>
        <v>2</v>
      </c>
      <c r="L96" s="16" t="n">
        <f aca="false">SUMPRODUCT(C96:J96,Returns!B100:I100)/K96</f>
        <v>0.0284629738119895</v>
      </c>
      <c r="M96" s="16" t="n">
        <v>0</v>
      </c>
      <c r="N96" s="16" t="n">
        <v>0</v>
      </c>
      <c r="O96" s="16" t="n">
        <f aca="false">L96+M96+N96</f>
        <v>0.0284629738119895</v>
      </c>
      <c r="P96" s="21" t="n">
        <f aca="false">P95*(1+O96)</f>
        <v>0.604639694940474</v>
      </c>
      <c r="Q96" s="21" t="n">
        <f aca="false">MAX($P$5:P96)</f>
        <v>1.76853418125443</v>
      </c>
      <c r="R96" s="16" t="n">
        <f aca="false">P96/Q96-1</f>
        <v>-0.65811251976391</v>
      </c>
      <c r="S96" s="16" t="n">
        <f aca="false">O96-Benchmark_RF!D96</f>
        <v>0.0124091316159117</v>
      </c>
    </row>
    <row r="97" customFormat="false" ht="15" hidden="false" customHeight="true" outlineLevel="0" collapsed="false">
      <c r="A97" s="1" t="n">
        <v>100</v>
      </c>
      <c r="B97" s="13" t="n">
        <f aca="false">Returns!A101</f>
        <v>45017</v>
      </c>
      <c r="C97" s="17" t="n">
        <f aca="false">IF(Rankings!C101&lt;=2,1,0)</f>
        <v>0</v>
      </c>
      <c r="D97" s="17" t="n">
        <f aca="false">IF(Rankings!D101&lt;=2,1,0)</f>
        <v>1</v>
      </c>
      <c r="E97" s="17" t="n">
        <f aca="false">IF(Rankings!E101&lt;=2,1,0)</f>
        <v>0</v>
      </c>
      <c r="F97" s="17" t="n">
        <f aca="false">IF(Rankings!F101&lt;=2,1,0)</f>
        <v>0</v>
      </c>
      <c r="G97" s="17" t="n">
        <f aca="false">IF(Rankings!G101&lt;=2,1,0)</f>
        <v>0</v>
      </c>
      <c r="H97" s="17" t="n">
        <f aca="false">IF(Rankings!H101&lt;=2,1,0)</f>
        <v>0</v>
      </c>
      <c r="I97" s="17" t="n">
        <f aca="false">IF(Rankings!I101&lt;=2,1,0)</f>
        <v>0</v>
      </c>
      <c r="J97" s="17" t="n">
        <f aca="false">IF(Rankings!J101&lt;=2,1,0)</f>
        <v>1</v>
      </c>
      <c r="K97" s="20" t="n">
        <f aca="false">SUM(C97:J97)</f>
        <v>2</v>
      </c>
      <c r="L97" s="16" t="n">
        <f aca="false">SUMPRODUCT(C97:J97,Returns!B101:I101)/K97</f>
        <v>0.0465493579348528</v>
      </c>
      <c r="M97" s="16" t="n">
        <v>0</v>
      </c>
      <c r="N97" s="16" t="n">
        <v>0</v>
      </c>
      <c r="O97" s="16" t="n">
        <f aca="false">L97+M97+N97</f>
        <v>0.0465493579348528</v>
      </c>
      <c r="P97" s="21" t="n">
        <f aca="false">P96*(1+O97)</f>
        <v>0.632785284521878</v>
      </c>
      <c r="Q97" s="21" t="n">
        <f aca="false">MAX($P$5:P97)</f>
        <v>1.76853418125443</v>
      </c>
      <c r="R97" s="16" t="n">
        <f aca="false">P97/Q97-1</f>
        <v>-0.642197877072956</v>
      </c>
      <c r="S97" s="16" t="n">
        <f aca="false">O97-Benchmark_RF!D97</f>
        <v>0.029854284572161</v>
      </c>
    </row>
    <row r="98" customFormat="false" ht="15" hidden="false" customHeight="true" outlineLevel="0" collapsed="false">
      <c r="A98" s="1" t="n">
        <v>101</v>
      </c>
      <c r="B98" s="13" t="n">
        <f aca="false">Returns!A102</f>
        <v>45047</v>
      </c>
      <c r="C98" s="17" t="n">
        <f aca="false">IF(Rankings!C104&lt;=2,1,0)</f>
        <v>0</v>
      </c>
      <c r="D98" s="17" t="n">
        <f aca="false">IF(Rankings!D104&lt;=2,1,0)</f>
        <v>1</v>
      </c>
      <c r="E98" s="17" t="n">
        <f aca="false">IF(Rankings!E104&lt;=2,1,0)</f>
        <v>0</v>
      </c>
      <c r="F98" s="17" t="n">
        <f aca="false">IF(Rankings!F104&lt;=2,1,0)</f>
        <v>0</v>
      </c>
      <c r="G98" s="17" t="n">
        <f aca="false">IF(Rankings!G104&lt;=2,1,0)</f>
        <v>0</v>
      </c>
      <c r="H98" s="17" t="n">
        <f aca="false">IF(Rankings!H104&lt;=2,1,0)</f>
        <v>1</v>
      </c>
      <c r="I98" s="17" t="n">
        <f aca="false">IF(Rankings!I104&lt;=2,1,0)</f>
        <v>0</v>
      </c>
      <c r="J98" s="17" t="n">
        <f aca="false">IF(Rankings!J104&lt;=2,1,0)</f>
        <v>0</v>
      </c>
      <c r="K98" s="20" t="n">
        <f aca="false">SUM(C98:J98)</f>
        <v>2</v>
      </c>
      <c r="L98" s="16" t="n">
        <f aca="false">SUMPRODUCT(C98:J98,Returns!B102:I102)/K98</f>
        <v>-0.0618956968128631</v>
      </c>
      <c r="M98" s="16" t="n">
        <f aca="false">-2*Assumptions!$B$13</f>
        <v>-0.007</v>
      </c>
      <c r="N98" s="16" t="n">
        <f aca="false">-Assumptions!$B$16*MAX(0,(1+O95)*(1+O96)*(1+O97)-1)</f>
        <v>-0.00812245801629255</v>
      </c>
      <c r="O98" s="16" t="n">
        <f aca="false">L98+M98+N98</f>
        <v>-0.0770181548291557</v>
      </c>
      <c r="P98" s="21" t="n">
        <f aca="false">P97*(1+O98)</f>
        <v>0.584049329504961</v>
      </c>
      <c r="Q98" s="21" t="n">
        <f aca="false">MAX($P$5:P98)</f>
        <v>1.76853418125443</v>
      </c>
      <c r="R98" s="16" t="n">
        <f aca="false">P98/Q98-1</f>
        <v>-0.669755136374751</v>
      </c>
      <c r="S98" s="16" t="n">
        <f aca="false">O98-Benchmark_RF!D98</f>
        <v>-0.0937132281918475</v>
      </c>
    </row>
    <row r="99" customFormat="false" ht="15" hidden="false" customHeight="true" outlineLevel="0" collapsed="false">
      <c r="A99" s="1" t="n">
        <v>102</v>
      </c>
      <c r="B99" s="13" t="n">
        <f aca="false">Returns!A103</f>
        <v>45078</v>
      </c>
      <c r="C99" s="17" t="n">
        <f aca="false">IF(Rankings!C104&lt;=2,1,0)</f>
        <v>0</v>
      </c>
      <c r="D99" s="17" t="n">
        <f aca="false">IF(Rankings!D104&lt;=2,1,0)</f>
        <v>1</v>
      </c>
      <c r="E99" s="17" t="n">
        <f aca="false">IF(Rankings!E104&lt;=2,1,0)</f>
        <v>0</v>
      </c>
      <c r="F99" s="17" t="n">
        <f aca="false">IF(Rankings!F104&lt;=2,1,0)</f>
        <v>0</v>
      </c>
      <c r="G99" s="17" t="n">
        <f aca="false">IF(Rankings!G104&lt;=2,1,0)</f>
        <v>0</v>
      </c>
      <c r="H99" s="17" t="n">
        <f aca="false">IF(Rankings!H104&lt;=2,1,0)</f>
        <v>1</v>
      </c>
      <c r="I99" s="17" t="n">
        <f aca="false">IF(Rankings!I104&lt;=2,1,0)</f>
        <v>0</v>
      </c>
      <c r="J99" s="17" t="n">
        <f aca="false">IF(Rankings!J104&lt;=2,1,0)</f>
        <v>0</v>
      </c>
      <c r="K99" s="20" t="n">
        <f aca="false">SUM(C99:J99)</f>
        <v>2</v>
      </c>
      <c r="L99" s="16" t="n">
        <f aca="false">SUMPRODUCT(C99:J99,Returns!B103:I103)/K99</f>
        <v>-0.0293594385289887</v>
      </c>
      <c r="M99" s="16" t="n">
        <v>0</v>
      </c>
      <c r="N99" s="16" t="n">
        <v>0</v>
      </c>
      <c r="O99" s="16" t="n">
        <f aca="false">L99+M99+N99</f>
        <v>-0.0293594385289887</v>
      </c>
      <c r="P99" s="21" t="n">
        <f aca="false">P98*(1+O99)</f>
        <v>0.566901969117463</v>
      </c>
      <c r="Q99" s="21" t="n">
        <f aca="false">MAX($P$5:P99)</f>
        <v>1.76853418125443</v>
      </c>
      <c r="R99" s="16" t="n">
        <f aca="false">P99/Q99-1</f>
        <v>-0.679450940147871</v>
      </c>
      <c r="S99" s="16" t="n">
        <f aca="false">O99-Benchmark_RF!D99</f>
        <v>-0.0460614574078416</v>
      </c>
    </row>
    <row r="100" customFormat="false" ht="15" hidden="false" customHeight="true" outlineLevel="0" collapsed="false">
      <c r="A100" s="1" t="n">
        <v>103</v>
      </c>
      <c r="B100" s="13" t="n">
        <f aca="false">Returns!A104</f>
        <v>45108</v>
      </c>
      <c r="C100" s="17" t="n">
        <f aca="false">IF(Rankings!C104&lt;=2,1,0)</f>
        <v>0</v>
      </c>
      <c r="D100" s="17" t="n">
        <f aca="false">IF(Rankings!D104&lt;=2,1,0)</f>
        <v>1</v>
      </c>
      <c r="E100" s="17" t="n">
        <f aca="false">IF(Rankings!E104&lt;=2,1,0)</f>
        <v>0</v>
      </c>
      <c r="F100" s="17" t="n">
        <f aca="false">IF(Rankings!F104&lt;=2,1,0)</f>
        <v>0</v>
      </c>
      <c r="G100" s="17" t="n">
        <f aca="false">IF(Rankings!G104&lt;=2,1,0)</f>
        <v>0</v>
      </c>
      <c r="H100" s="17" t="n">
        <f aca="false">IF(Rankings!H104&lt;=2,1,0)</f>
        <v>1</v>
      </c>
      <c r="I100" s="17" t="n">
        <f aca="false">IF(Rankings!I104&lt;=2,1,0)</f>
        <v>0</v>
      </c>
      <c r="J100" s="17" t="n">
        <f aca="false">IF(Rankings!J104&lt;=2,1,0)</f>
        <v>0</v>
      </c>
      <c r="K100" s="20" t="n">
        <f aca="false">SUM(C100:J100)</f>
        <v>2</v>
      </c>
      <c r="L100" s="16" t="n">
        <f aca="false">SUMPRODUCT(C100:J100,Returns!B104:I104)/K100</f>
        <v>0.280065938740783</v>
      </c>
      <c r="M100" s="16" t="n">
        <v>0</v>
      </c>
      <c r="N100" s="16" t="n">
        <v>0</v>
      </c>
      <c r="O100" s="16" t="n">
        <f aca="false">L100+M100+N100</f>
        <v>0.280065938740783</v>
      </c>
      <c r="P100" s="21" t="n">
        <f aca="false">P99*(1+O100)</f>
        <v>0.725671901272343</v>
      </c>
      <c r="Q100" s="21" t="n">
        <f aca="false">MAX($P$5:P100)</f>
        <v>1.76853418125443</v>
      </c>
      <c r="R100" s="16" t="n">
        <f aca="false">P100/Q100-1</f>
        <v>-0.589676066787909</v>
      </c>
      <c r="S100" s="16" t="n">
        <f aca="false">O100-Benchmark_RF!D100</f>
        <v>0.262735845786988</v>
      </c>
    </row>
    <row r="101" customFormat="false" ht="15" hidden="false" customHeight="true" outlineLevel="0" collapsed="false">
      <c r="A101" s="1" t="n">
        <v>104</v>
      </c>
      <c r="B101" s="13" t="n">
        <f aca="false">Returns!A105</f>
        <v>45139</v>
      </c>
      <c r="C101" s="17" t="n">
        <f aca="false">IF(Rankings!C107&lt;=2,1,0)</f>
        <v>0</v>
      </c>
      <c r="D101" s="17" t="n">
        <f aca="false">IF(Rankings!D107&lt;=2,1,0)</f>
        <v>0</v>
      </c>
      <c r="E101" s="17" t="n">
        <f aca="false">IF(Rankings!E107&lt;=2,1,0)</f>
        <v>0</v>
      </c>
      <c r="F101" s="17" t="n">
        <f aca="false">IF(Rankings!F107&lt;=2,1,0)</f>
        <v>1</v>
      </c>
      <c r="G101" s="17" t="n">
        <f aca="false">IF(Rankings!G107&lt;=2,1,0)</f>
        <v>0</v>
      </c>
      <c r="H101" s="17" t="n">
        <f aca="false">IF(Rankings!H107&lt;=2,1,0)</f>
        <v>1</v>
      </c>
      <c r="I101" s="17" t="n">
        <f aca="false">IF(Rankings!I107&lt;=2,1,0)</f>
        <v>0</v>
      </c>
      <c r="J101" s="17" t="n">
        <f aca="false">IF(Rankings!J107&lt;=2,1,0)</f>
        <v>0</v>
      </c>
      <c r="K101" s="20" t="n">
        <f aca="false">SUM(C101:J101)</f>
        <v>2</v>
      </c>
      <c r="L101" s="16" t="n">
        <f aca="false">SUMPRODUCT(C101:J101,Returns!B105:I105)/K101</f>
        <v>-0.0915816516094754</v>
      </c>
      <c r="M101" s="16" t="n">
        <f aca="false">-2*Assumptions!$B$13</f>
        <v>-0.007</v>
      </c>
      <c r="N101" s="16" t="n">
        <f aca="false">-Assumptions!$B$16*MAX(0,(1+O98)*(1+O99)*(1+O100)-1)</f>
        <v>-0.0220185153690755</v>
      </c>
      <c r="O101" s="16" t="n">
        <f aca="false">L101+M101+N101</f>
        <v>-0.120600166978551</v>
      </c>
      <c r="P101" s="21" t="n">
        <f aca="false">P100*(1+O101)</f>
        <v>0.638155748807256</v>
      </c>
      <c r="Q101" s="21" t="n">
        <f aca="false">MAX($P$5:P101)</f>
        <v>1.76853418125443</v>
      </c>
      <c r="R101" s="16" t="n">
        <f aca="false">P101/Q101-1</f>
        <v>-0.639161201648583</v>
      </c>
      <c r="S101" s="16" t="n">
        <f aca="false">O101-Benchmark_RF!D101</f>
        <v>-0.137911356838275</v>
      </c>
    </row>
    <row r="102" customFormat="false" ht="15" hidden="false" customHeight="true" outlineLevel="0" collapsed="false">
      <c r="A102" s="1" t="n">
        <v>105</v>
      </c>
      <c r="B102" s="13" t="n">
        <f aca="false">Returns!A106</f>
        <v>45170</v>
      </c>
      <c r="C102" s="17" t="n">
        <f aca="false">IF(Rankings!C107&lt;=2,1,0)</f>
        <v>0</v>
      </c>
      <c r="D102" s="17" t="n">
        <f aca="false">IF(Rankings!D107&lt;=2,1,0)</f>
        <v>0</v>
      </c>
      <c r="E102" s="17" t="n">
        <f aca="false">IF(Rankings!E107&lt;=2,1,0)</f>
        <v>0</v>
      </c>
      <c r="F102" s="17" t="n">
        <f aca="false">IF(Rankings!F107&lt;=2,1,0)</f>
        <v>1</v>
      </c>
      <c r="G102" s="17" t="n">
        <f aca="false">IF(Rankings!G107&lt;=2,1,0)</f>
        <v>0</v>
      </c>
      <c r="H102" s="17" t="n">
        <f aca="false">IF(Rankings!H107&lt;=2,1,0)</f>
        <v>1</v>
      </c>
      <c r="I102" s="17" t="n">
        <f aca="false">IF(Rankings!I107&lt;=2,1,0)</f>
        <v>0</v>
      </c>
      <c r="J102" s="17" t="n">
        <f aca="false">IF(Rankings!J107&lt;=2,1,0)</f>
        <v>0</v>
      </c>
      <c r="K102" s="20" t="n">
        <f aca="false">SUM(C102:J102)</f>
        <v>2</v>
      </c>
      <c r="L102" s="16" t="n">
        <f aca="false">SUMPRODUCT(C102:J102,Returns!B106:I106)/K102</f>
        <v>-0.00962572826770775</v>
      </c>
      <c r="M102" s="16" t="n">
        <v>0</v>
      </c>
      <c r="N102" s="16" t="n">
        <v>0</v>
      </c>
      <c r="O102" s="16" t="n">
        <f aca="false">L102+M102+N102</f>
        <v>-0.00962572826770775</v>
      </c>
      <c r="P102" s="21" t="n">
        <f aca="false">P101*(1+O102)</f>
        <v>0.632013034976762</v>
      </c>
      <c r="Q102" s="21" t="n">
        <f aca="false">MAX($P$5:P102)</f>
        <v>1.76853418125443</v>
      </c>
      <c r="R102" s="16" t="n">
        <f aca="false">P102/Q102-1</f>
        <v>-0.64263453786996</v>
      </c>
      <c r="S102" s="16" t="n">
        <f aca="false">O102-Benchmark_RF!D102</f>
        <v>-0.0268585049319715</v>
      </c>
    </row>
    <row r="103" customFormat="false" ht="15" hidden="false" customHeight="true" outlineLevel="0" collapsed="false">
      <c r="A103" s="1" t="n">
        <v>106</v>
      </c>
      <c r="B103" s="13" t="n">
        <f aca="false">Returns!A107</f>
        <v>45200</v>
      </c>
      <c r="C103" s="17" t="n">
        <f aca="false">IF(Rankings!C107&lt;=2,1,0)</f>
        <v>0</v>
      </c>
      <c r="D103" s="17" t="n">
        <f aca="false">IF(Rankings!D107&lt;=2,1,0)</f>
        <v>0</v>
      </c>
      <c r="E103" s="17" t="n">
        <f aca="false">IF(Rankings!E107&lt;=2,1,0)</f>
        <v>0</v>
      </c>
      <c r="F103" s="17" t="n">
        <f aca="false">IF(Rankings!F107&lt;=2,1,0)</f>
        <v>1</v>
      </c>
      <c r="G103" s="17" t="n">
        <f aca="false">IF(Rankings!G107&lt;=2,1,0)</f>
        <v>0</v>
      </c>
      <c r="H103" s="17" t="n">
        <f aca="false">IF(Rankings!H107&lt;=2,1,0)</f>
        <v>1</v>
      </c>
      <c r="I103" s="17" t="n">
        <f aca="false">IF(Rankings!I107&lt;=2,1,0)</f>
        <v>0</v>
      </c>
      <c r="J103" s="17" t="n">
        <f aca="false">IF(Rankings!J107&lt;=2,1,0)</f>
        <v>0</v>
      </c>
      <c r="K103" s="20" t="n">
        <f aca="false">SUM(C103:J103)</f>
        <v>2</v>
      </c>
      <c r="L103" s="16" t="n">
        <f aca="false">SUMPRODUCT(C103:J103,Returns!B107:I107)/K103</f>
        <v>0.145368252349384</v>
      </c>
      <c r="M103" s="16" t="n">
        <v>0</v>
      </c>
      <c r="N103" s="16" t="n">
        <v>0</v>
      </c>
      <c r="O103" s="16" t="n">
        <f aca="false">L103+M103+N103</f>
        <v>0.145368252349384</v>
      </c>
      <c r="P103" s="21" t="n">
        <f aca="false">P102*(1+O103)</f>
        <v>0.723887665333364</v>
      </c>
      <c r="Q103" s="21" t="n">
        <f aca="false">MAX($P$5:P103)</f>
        <v>1.76853418125443</v>
      </c>
      <c r="R103" s="16" t="n">
        <f aca="false">P103/Q103-1</f>
        <v>-0.590684945190086</v>
      </c>
      <c r="S103" s="16" t="n">
        <f aca="false">O103-Benchmark_RF!D103</f>
        <v>0.128562113308526</v>
      </c>
    </row>
    <row r="104" customFormat="false" ht="15" hidden="false" customHeight="true" outlineLevel="0" collapsed="false">
      <c r="A104" s="1" t="n">
        <v>107</v>
      </c>
      <c r="B104" s="13" t="n">
        <f aca="false">Returns!A108</f>
        <v>45231</v>
      </c>
      <c r="C104" s="17" t="n">
        <f aca="false">IF(Rankings!C110&lt;=2,1,0)</f>
        <v>0</v>
      </c>
      <c r="D104" s="17" t="n">
        <f aca="false">IF(Rankings!D110&lt;=2,1,0)</f>
        <v>0</v>
      </c>
      <c r="E104" s="17" t="n">
        <f aca="false">IF(Rankings!E110&lt;=2,1,0)</f>
        <v>0</v>
      </c>
      <c r="F104" s="17" t="n">
        <f aca="false">IF(Rankings!F110&lt;=2,1,0)</f>
        <v>1</v>
      </c>
      <c r="G104" s="17" t="n">
        <f aca="false">IF(Rankings!G110&lt;=2,1,0)</f>
        <v>0</v>
      </c>
      <c r="H104" s="17" t="n">
        <f aca="false">IF(Rankings!H110&lt;=2,1,0)</f>
        <v>1</v>
      </c>
      <c r="I104" s="17" t="n">
        <f aca="false">IF(Rankings!I110&lt;=2,1,0)</f>
        <v>0</v>
      </c>
      <c r="J104" s="17" t="n">
        <f aca="false">IF(Rankings!J110&lt;=2,1,0)</f>
        <v>0</v>
      </c>
      <c r="K104" s="20" t="n">
        <f aca="false">SUM(C104:J104)</f>
        <v>2</v>
      </c>
      <c r="L104" s="16" t="n">
        <f aca="false">SUMPRODUCT(C104:J104,Returns!B108:I108)/K104</f>
        <v>0.0918313541617543</v>
      </c>
      <c r="M104" s="16" t="n">
        <f aca="false">-2*Assumptions!$B$13</f>
        <v>-0.007</v>
      </c>
      <c r="N104" s="16" t="n">
        <f aca="false">-Assumptions!$B$16*MAX(0,(1+O101)*(1+O102)*(1+O103)-1)</f>
        <v>-0</v>
      </c>
      <c r="O104" s="16" t="n">
        <f aca="false">L104+M104+N104</f>
        <v>0.0848313541617543</v>
      </c>
      <c r="P104" s="21" t="n">
        <f aca="false">P103*(1+O104)</f>
        <v>0.785296036244584</v>
      </c>
      <c r="Q104" s="21" t="n">
        <f aca="false">MAX($P$5:P104)</f>
        <v>1.76853418125443</v>
      </c>
      <c r="R104" s="16" t="n">
        <f aca="false">P104/Q104-1</f>
        <v>-0.555962194811768</v>
      </c>
      <c r="S104" s="16" t="n">
        <f aca="false">O104-Benchmark_RF!D104</f>
        <v>0.0685818831224971</v>
      </c>
    </row>
    <row r="105" customFormat="false" ht="15" hidden="false" customHeight="true" outlineLevel="0" collapsed="false">
      <c r="A105" s="1" t="n">
        <v>108</v>
      </c>
      <c r="B105" s="13" t="n">
        <f aca="false">Returns!A109</f>
        <v>45261</v>
      </c>
      <c r="C105" s="17" t="n">
        <f aca="false">IF(Rankings!C110&lt;=2,1,0)</f>
        <v>0</v>
      </c>
      <c r="D105" s="17" t="n">
        <f aca="false">IF(Rankings!D110&lt;=2,1,0)</f>
        <v>0</v>
      </c>
      <c r="E105" s="17" t="n">
        <f aca="false">IF(Rankings!E110&lt;=2,1,0)</f>
        <v>0</v>
      </c>
      <c r="F105" s="17" t="n">
        <f aca="false">IF(Rankings!F110&lt;=2,1,0)</f>
        <v>1</v>
      </c>
      <c r="G105" s="17" t="n">
        <f aca="false">IF(Rankings!G110&lt;=2,1,0)</f>
        <v>0</v>
      </c>
      <c r="H105" s="17" t="n">
        <f aca="false">IF(Rankings!H110&lt;=2,1,0)</f>
        <v>1</v>
      </c>
      <c r="I105" s="17" t="n">
        <f aca="false">IF(Rankings!I110&lt;=2,1,0)</f>
        <v>0</v>
      </c>
      <c r="J105" s="17" t="n">
        <f aca="false">IF(Rankings!J110&lt;=2,1,0)</f>
        <v>0</v>
      </c>
      <c r="K105" s="20" t="n">
        <f aca="false">SUM(C105:J105)</f>
        <v>2</v>
      </c>
      <c r="L105" s="16" t="n">
        <f aca="false">SUMPRODUCT(C105:J105,Returns!B109:I109)/K105</f>
        <v>0.0190107028445456</v>
      </c>
      <c r="M105" s="16" t="n">
        <v>0</v>
      </c>
      <c r="N105" s="16" t="n">
        <v>0</v>
      </c>
      <c r="O105" s="16" t="n">
        <f aca="false">L105+M105+N105</f>
        <v>0.0190107028445456</v>
      </c>
      <c r="P105" s="21" t="n">
        <f aca="false">P104*(1+O105)</f>
        <v>0.80022506583463</v>
      </c>
      <c r="Q105" s="21" t="n">
        <f aca="false">MAX($P$5:P105)</f>
        <v>1.76853418125443</v>
      </c>
      <c r="R105" s="16" t="n">
        <f aca="false">P105/Q105-1</f>
        <v>-0.54752072404559</v>
      </c>
      <c r="S105" s="16" t="n">
        <f aca="false">O105-Benchmark_RF!D105</f>
        <v>0.00277519156370842</v>
      </c>
    </row>
    <row r="106" customFormat="false" ht="15" hidden="false" customHeight="true" outlineLevel="0" collapsed="false">
      <c r="A106" s="1" t="n">
        <v>109</v>
      </c>
      <c r="B106" s="13" t="n">
        <f aca="false">Returns!A110</f>
        <v>45292</v>
      </c>
      <c r="C106" s="17" t="n">
        <f aca="false">IF(Rankings!C110&lt;=2,1,0)</f>
        <v>0</v>
      </c>
      <c r="D106" s="17" t="n">
        <f aca="false">IF(Rankings!D110&lt;=2,1,0)</f>
        <v>0</v>
      </c>
      <c r="E106" s="17" t="n">
        <f aca="false">IF(Rankings!E110&lt;=2,1,0)</f>
        <v>0</v>
      </c>
      <c r="F106" s="17" t="n">
        <f aca="false">IF(Rankings!F110&lt;=2,1,0)</f>
        <v>1</v>
      </c>
      <c r="G106" s="17" t="n">
        <f aca="false">IF(Rankings!G110&lt;=2,1,0)</f>
        <v>0</v>
      </c>
      <c r="H106" s="17" t="n">
        <f aca="false">IF(Rankings!H110&lt;=2,1,0)</f>
        <v>1</v>
      </c>
      <c r="I106" s="17" t="n">
        <f aca="false">IF(Rankings!I110&lt;=2,1,0)</f>
        <v>0</v>
      </c>
      <c r="J106" s="17" t="n">
        <f aca="false">IF(Rankings!J110&lt;=2,1,0)</f>
        <v>0</v>
      </c>
      <c r="K106" s="20" t="n">
        <f aca="false">SUM(C106:J106)</f>
        <v>2</v>
      </c>
      <c r="L106" s="16" t="n">
        <f aca="false">SUMPRODUCT(C106:J106,Returns!B110:I110)/K106</f>
        <v>0.020769104456167</v>
      </c>
      <c r="M106" s="16" t="n">
        <v>0</v>
      </c>
      <c r="N106" s="16" t="n">
        <v>0</v>
      </c>
      <c r="O106" s="16" t="n">
        <f aca="false">L106+M106+N106</f>
        <v>0.020769104456167</v>
      </c>
      <c r="P106" s="21" t="n">
        <f aca="false">P105*(1+O106)</f>
        <v>0.816845023815392</v>
      </c>
      <c r="Q106" s="21" t="n">
        <f aca="false">MAX($P$5:P106)</f>
        <v>1.76853418125443</v>
      </c>
      <c r="R106" s="16" t="n">
        <f aca="false">P106/Q106-1</f>
        <v>-0.538123134699042</v>
      </c>
      <c r="S106" s="16" t="n">
        <f aca="false">O106-Benchmark_RF!D106</f>
        <v>0.00478019076706521</v>
      </c>
    </row>
    <row r="107" customFormat="false" ht="15" hidden="false" customHeight="true" outlineLevel="0" collapsed="false">
      <c r="A107" s="1" t="n">
        <v>110</v>
      </c>
      <c r="B107" s="13" t="n">
        <f aca="false">Returns!A111</f>
        <v>45323</v>
      </c>
      <c r="C107" s="17" t="n">
        <f aca="false">IF(Rankings!C113&lt;=2,1,0)</f>
        <v>0</v>
      </c>
      <c r="D107" s="17" t="n">
        <f aca="false">IF(Rankings!D113&lt;=2,1,0)</f>
        <v>1</v>
      </c>
      <c r="E107" s="17" t="n">
        <f aca="false">IF(Rankings!E113&lt;=2,1,0)</f>
        <v>0</v>
      </c>
      <c r="F107" s="17" t="n">
        <f aca="false">IF(Rankings!F113&lt;=2,1,0)</f>
        <v>0</v>
      </c>
      <c r="G107" s="17" t="n">
        <f aca="false">IF(Rankings!G113&lt;=2,1,0)</f>
        <v>0</v>
      </c>
      <c r="H107" s="17" t="n">
        <f aca="false">IF(Rankings!H113&lt;=2,1,0)</f>
        <v>1</v>
      </c>
      <c r="I107" s="17" t="n">
        <f aca="false">IF(Rankings!I113&lt;=2,1,0)</f>
        <v>0</v>
      </c>
      <c r="J107" s="17" t="n">
        <f aca="false">IF(Rankings!J113&lt;=2,1,0)</f>
        <v>0</v>
      </c>
      <c r="K107" s="20" t="n">
        <f aca="false">SUM(C107:J107)</f>
        <v>2</v>
      </c>
      <c r="L107" s="16" t="n">
        <f aca="false">SUMPRODUCT(C107:J107,Returns!B111:I111)/K107</f>
        <v>0.1070222877745</v>
      </c>
      <c r="M107" s="16" t="n">
        <f aca="false">-2*Assumptions!$B$13</f>
        <v>-0.007</v>
      </c>
      <c r="N107" s="16" t="n">
        <f aca="false">-Assumptions!$B$16*MAX(0,(1+O104)*(1+O105)*(1+O106)-1)</f>
        <v>-0.0192621099102205</v>
      </c>
      <c r="O107" s="16" t="n">
        <f aca="false">L107+M107+N107</f>
        <v>0.0807601778642796</v>
      </c>
      <c r="P107" s="21" t="n">
        <f aca="false">P106*(1+O107)</f>
        <v>0.882813573226275</v>
      </c>
      <c r="Q107" s="21" t="n">
        <f aca="false">MAX($P$5:P107)</f>
        <v>1.76853418125443</v>
      </c>
      <c r="R107" s="16" t="n">
        <f aca="false">P107/Q107-1</f>
        <v>-0.500821876905941</v>
      </c>
      <c r="S107" s="16" t="n">
        <f aca="false">O107-Benchmark_RF!D107</f>
        <v>0.0645316472537464</v>
      </c>
    </row>
    <row r="108" customFormat="false" ht="15" hidden="false" customHeight="true" outlineLevel="0" collapsed="false">
      <c r="A108" s="1" t="n">
        <v>111</v>
      </c>
      <c r="B108" s="13" t="n">
        <f aca="false">Returns!A112</f>
        <v>45352</v>
      </c>
      <c r="C108" s="17" t="n">
        <f aca="false">IF(Rankings!C113&lt;=2,1,0)</f>
        <v>0</v>
      </c>
      <c r="D108" s="17" t="n">
        <f aca="false">IF(Rankings!D113&lt;=2,1,0)</f>
        <v>1</v>
      </c>
      <c r="E108" s="17" t="n">
        <f aca="false">IF(Rankings!E113&lt;=2,1,0)</f>
        <v>0</v>
      </c>
      <c r="F108" s="17" t="n">
        <f aca="false">IF(Rankings!F113&lt;=2,1,0)</f>
        <v>0</v>
      </c>
      <c r="G108" s="17" t="n">
        <f aca="false">IF(Rankings!G113&lt;=2,1,0)</f>
        <v>0</v>
      </c>
      <c r="H108" s="17" t="n">
        <f aca="false">IF(Rankings!H113&lt;=2,1,0)</f>
        <v>1</v>
      </c>
      <c r="I108" s="17" t="n">
        <f aca="false">IF(Rankings!I113&lt;=2,1,0)</f>
        <v>0</v>
      </c>
      <c r="J108" s="17" t="n">
        <f aca="false">IF(Rankings!J113&lt;=2,1,0)</f>
        <v>0</v>
      </c>
      <c r="K108" s="20" t="n">
        <f aca="false">SUM(C108:J108)</f>
        <v>2</v>
      </c>
      <c r="L108" s="16" t="n">
        <f aca="false">SUMPRODUCT(C108:J108,Returns!B112:I112)/K108</f>
        <v>0.101678659966499</v>
      </c>
      <c r="M108" s="16" t="n">
        <v>0</v>
      </c>
      <c r="N108" s="16" t="n">
        <v>0</v>
      </c>
      <c r="O108" s="16" t="n">
        <f aca="false">L108+M108+N108</f>
        <v>0.101678659966499</v>
      </c>
      <c r="P108" s="21" t="n">
        <f aca="false">P107*(1+O108)</f>
        <v>0.972576874352159</v>
      </c>
      <c r="Q108" s="21" t="n">
        <f aca="false">MAX($P$5:P108)</f>
        <v>1.76853418125443</v>
      </c>
      <c r="R108" s="16" t="n">
        <f aca="false">P108/Q108-1</f>
        <v>-0.450066114265145</v>
      </c>
      <c r="S108" s="16" t="n">
        <f aca="false">O108-Benchmark_RF!D108</f>
        <v>0.085366396103972</v>
      </c>
    </row>
    <row r="109" customFormat="false" ht="15" hidden="false" customHeight="true" outlineLevel="0" collapsed="false">
      <c r="A109" s="1" t="n">
        <v>112</v>
      </c>
      <c r="B109" s="13" t="n">
        <f aca="false">Returns!A113</f>
        <v>45383</v>
      </c>
      <c r="C109" s="17" t="n">
        <f aca="false">IF(Rankings!C113&lt;=2,1,0)</f>
        <v>0</v>
      </c>
      <c r="D109" s="17" t="n">
        <f aca="false">IF(Rankings!D113&lt;=2,1,0)</f>
        <v>1</v>
      </c>
      <c r="E109" s="17" t="n">
        <f aca="false">IF(Rankings!E113&lt;=2,1,0)</f>
        <v>0</v>
      </c>
      <c r="F109" s="17" t="n">
        <f aca="false">IF(Rankings!F113&lt;=2,1,0)</f>
        <v>0</v>
      </c>
      <c r="G109" s="17" t="n">
        <f aca="false">IF(Rankings!G113&lt;=2,1,0)</f>
        <v>0</v>
      </c>
      <c r="H109" s="17" t="n">
        <f aca="false">IF(Rankings!H113&lt;=2,1,0)</f>
        <v>1</v>
      </c>
      <c r="I109" s="17" t="n">
        <f aca="false">IF(Rankings!I113&lt;=2,1,0)</f>
        <v>0</v>
      </c>
      <c r="J109" s="17" t="n">
        <f aca="false">IF(Rankings!J113&lt;=2,1,0)</f>
        <v>0</v>
      </c>
      <c r="K109" s="20" t="n">
        <f aca="false">SUM(C109:J109)</f>
        <v>2</v>
      </c>
      <c r="L109" s="16" t="n">
        <f aca="false">SUMPRODUCT(C109:J109,Returns!B113:I113)/K109</f>
        <v>0.0727909067320465</v>
      </c>
      <c r="M109" s="16" t="n">
        <v>0</v>
      </c>
      <c r="N109" s="16" t="n">
        <v>0</v>
      </c>
      <c r="O109" s="16" t="n">
        <f aca="false">L109+M109+N109</f>
        <v>0.0727909067320465</v>
      </c>
      <c r="P109" s="21" t="n">
        <f aca="false">P108*(1+O109)</f>
        <v>1.04337162690287</v>
      </c>
      <c r="Q109" s="21" t="n">
        <f aca="false">MAX($P$5:P109)</f>
        <v>1.76853418125443</v>
      </c>
      <c r="R109" s="16" t="n">
        <f aca="false">P109/Q109-1</f>
        <v>-0.410035928079827</v>
      </c>
      <c r="S109" s="16" t="n">
        <f aca="false">O109-Benchmark_RF!D109</f>
        <v>0.0563671164466837</v>
      </c>
    </row>
    <row r="110" customFormat="false" ht="15" hidden="false" customHeight="true" outlineLevel="0" collapsed="false">
      <c r="A110" s="1" t="n">
        <v>113</v>
      </c>
      <c r="B110" s="13" t="n">
        <f aca="false">Returns!A114</f>
        <v>45413</v>
      </c>
      <c r="C110" s="17" t="n">
        <f aca="false">IF(Rankings!C116&lt;=2,1,0)</f>
        <v>0</v>
      </c>
      <c r="D110" s="17" t="n">
        <f aca="false">IF(Rankings!D116&lt;=2,1,0)</f>
        <v>1</v>
      </c>
      <c r="E110" s="17" t="n">
        <f aca="false">IF(Rankings!E116&lt;=2,1,0)</f>
        <v>0</v>
      </c>
      <c r="F110" s="17" t="n">
        <f aca="false">IF(Rankings!F116&lt;=2,1,0)</f>
        <v>0</v>
      </c>
      <c r="G110" s="17" t="n">
        <f aca="false">IF(Rankings!G116&lt;=2,1,0)</f>
        <v>0</v>
      </c>
      <c r="H110" s="17" t="n">
        <f aca="false">IF(Rankings!H116&lt;=2,1,0)</f>
        <v>1</v>
      </c>
      <c r="I110" s="17" t="n">
        <f aca="false">IF(Rankings!I116&lt;=2,1,0)</f>
        <v>0</v>
      </c>
      <c r="J110" s="17" t="n">
        <f aca="false">IF(Rankings!J116&lt;=2,1,0)</f>
        <v>0</v>
      </c>
      <c r="K110" s="20" t="n">
        <f aca="false">SUM(C110:J110)</f>
        <v>2</v>
      </c>
      <c r="L110" s="16" t="n">
        <f aca="false">SUMPRODUCT(C110:J110,Returns!B114:I114)/K110</f>
        <v>0.0657279069703804</v>
      </c>
      <c r="M110" s="16" t="n">
        <f aca="false">-2*Assumptions!$B$13</f>
        <v>-0.007</v>
      </c>
      <c r="N110" s="16" t="n">
        <f aca="false">-Assumptions!$B$16*MAX(0,(1+O107)*(1+O108)*(1+O109)-1)</f>
        <v>-0.0415978422741807</v>
      </c>
      <c r="O110" s="16" t="n">
        <f aca="false">L110+M110+N110</f>
        <v>0.0171300646961997</v>
      </c>
      <c r="P110" s="21" t="n">
        <f aca="false">P109*(1+O110)</f>
        <v>1.0612446503739</v>
      </c>
      <c r="Q110" s="21" t="n">
        <f aca="false">MAX($P$5:P110)</f>
        <v>1.76853418125443</v>
      </c>
      <c r="R110" s="16" t="n">
        <f aca="false">P110/Q110-1</f>
        <v>-0.399929805359402</v>
      </c>
      <c r="S110" s="16" t="n">
        <f aca="false">O110-Benchmark_RF!D110</f>
        <v>0.00116019042912392</v>
      </c>
    </row>
    <row r="111" customFormat="false" ht="15" hidden="false" customHeight="true" outlineLevel="0" collapsed="false">
      <c r="A111" s="1" t="n">
        <v>114</v>
      </c>
      <c r="B111" s="13" t="n">
        <f aca="false">Returns!A115</f>
        <v>45444</v>
      </c>
      <c r="C111" s="17" t="n">
        <f aca="false">IF(Rankings!C116&lt;=2,1,0)</f>
        <v>0</v>
      </c>
      <c r="D111" s="17" t="n">
        <f aca="false">IF(Rankings!D116&lt;=2,1,0)</f>
        <v>1</v>
      </c>
      <c r="E111" s="17" t="n">
        <f aca="false">IF(Rankings!E116&lt;=2,1,0)</f>
        <v>0</v>
      </c>
      <c r="F111" s="17" t="n">
        <f aca="false">IF(Rankings!F116&lt;=2,1,0)</f>
        <v>0</v>
      </c>
      <c r="G111" s="17" t="n">
        <f aca="false">IF(Rankings!G116&lt;=2,1,0)</f>
        <v>0</v>
      </c>
      <c r="H111" s="17" t="n">
        <f aca="false">IF(Rankings!H116&lt;=2,1,0)</f>
        <v>1</v>
      </c>
      <c r="I111" s="17" t="n">
        <f aca="false">IF(Rankings!I116&lt;=2,1,0)</f>
        <v>0</v>
      </c>
      <c r="J111" s="17" t="n">
        <f aca="false">IF(Rankings!J116&lt;=2,1,0)</f>
        <v>0</v>
      </c>
      <c r="K111" s="20" t="n">
        <f aca="false">SUM(C111:J111)</f>
        <v>2</v>
      </c>
      <c r="L111" s="16" t="n">
        <f aca="false">SUMPRODUCT(C111:J111,Returns!B115:I115)/K111</f>
        <v>0.0590615238718378</v>
      </c>
      <c r="M111" s="16" t="n">
        <v>0</v>
      </c>
      <c r="N111" s="16" t="n">
        <v>0</v>
      </c>
      <c r="O111" s="16" t="n">
        <f aca="false">L111+M111+N111</f>
        <v>0.0590615238718378</v>
      </c>
      <c r="P111" s="21" t="n">
        <f aca="false">P110*(1+O111)</f>
        <v>1.12392337662582</v>
      </c>
      <c r="Q111" s="21" t="n">
        <f aca="false">MAX($P$5:P111)</f>
        <v>1.76853418125443</v>
      </c>
      <c r="R111" s="16" t="n">
        <f aca="false">P111/Q111-1</f>
        <v>-0.364488745233858</v>
      </c>
      <c r="S111" s="16" t="n">
        <f aca="false">O111-Benchmark_RF!D111</f>
        <v>0.0437418303359587</v>
      </c>
    </row>
    <row r="112" customFormat="false" ht="15" hidden="false" customHeight="true" outlineLevel="0" collapsed="false">
      <c r="A112" s="1" t="n">
        <v>115</v>
      </c>
      <c r="B112" s="13" t="n">
        <f aca="false">Returns!A116</f>
        <v>45474</v>
      </c>
      <c r="C112" s="17" t="n">
        <f aca="false">IF(Rankings!C116&lt;=2,1,0)</f>
        <v>0</v>
      </c>
      <c r="D112" s="17" t="n">
        <f aca="false">IF(Rankings!D116&lt;=2,1,0)</f>
        <v>1</v>
      </c>
      <c r="E112" s="17" t="n">
        <f aca="false">IF(Rankings!E116&lt;=2,1,0)</f>
        <v>0</v>
      </c>
      <c r="F112" s="17" t="n">
        <f aca="false">IF(Rankings!F116&lt;=2,1,0)</f>
        <v>0</v>
      </c>
      <c r="G112" s="17" t="n">
        <f aca="false">IF(Rankings!G116&lt;=2,1,0)</f>
        <v>0</v>
      </c>
      <c r="H112" s="17" t="n">
        <f aca="false">IF(Rankings!H116&lt;=2,1,0)</f>
        <v>1</v>
      </c>
      <c r="I112" s="17" t="n">
        <f aca="false">IF(Rankings!I116&lt;=2,1,0)</f>
        <v>0</v>
      </c>
      <c r="J112" s="17" t="n">
        <f aca="false">IF(Rankings!J116&lt;=2,1,0)</f>
        <v>0</v>
      </c>
      <c r="K112" s="20" t="n">
        <f aca="false">SUM(C112:J112)</f>
        <v>2</v>
      </c>
      <c r="L112" s="16" t="n">
        <f aca="false">SUMPRODUCT(C112:J112,Returns!B116:I116)/K112</f>
        <v>0.0534173999097547</v>
      </c>
      <c r="M112" s="16" t="n">
        <v>0</v>
      </c>
      <c r="N112" s="16" t="n">
        <v>0</v>
      </c>
      <c r="O112" s="16" t="n">
        <f aca="false">L112+M112+N112</f>
        <v>0.0534173999097547</v>
      </c>
      <c r="P112" s="21" t="n">
        <f aca="false">P111*(1+O112)</f>
        <v>1.18396044110296</v>
      </c>
      <c r="Q112" s="21" t="n">
        <f aca="false">MAX($P$5:P112)</f>
        <v>1.76853418125443</v>
      </c>
      <c r="R112" s="16" t="n">
        <f aca="false">P112/Q112-1</f>
        <v>-0.330541386390865</v>
      </c>
      <c r="S112" s="16" t="n">
        <f aca="false">O112-Benchmark_RF!D112</f>
        <v>0.0384682205376123</v>
      </c>
    </row>
    <row r="113" customFormat="false" ht="15" hidden="false" customHeight="true" outlineLevel="0" collapsed="false">
      <c r="A113" s="1" t="n">
        <v>116</v>
      </c>
      <c r="B113" s="13" t="n">
        <f aca="false">Returns!A117</f>
        <v>45505</v>
      </c>
      <c r="C113" s="17" t="n">
        <f aca="false">IF(Rankings!C119&lt;=2,1,0)</f>
        <v>0</v>
      </c>
      <c r="D113" s="17" t="n">
        <f aca="false">IF(Rankings!D119&lt;=2,1,0)</f>
        <v>0</v>
      </c>
      <c r="E113" s="17" t="n">
        <f aca="false">IF(Rankings!E119&lt;=2,1,0)</f>
        <v>0</v>
      </c>
      <c r="F113" s="17" t="n">
        <f aca="false">IF(Rankings!F119&lt;=2,1,0)</f>
        <v>0</v>
      </c>
      <c r="G113" s="17" t="n">
        <f aca="false">IF(Rankings!G119&lt;=2,1,0)</f>
        <v>1</v>
      </c>
      <c r="H113" s="17" t="n">
        <f aca="false">IF(Rankings!H119&lt;=2,1,0)</f>
        <v>1</v>
      </c>
      <c r="I113" s="17" t="n">
        <f aca="false">IF(Rankings!I119&lt;=2,1,0)</f>
        <v>0</v>
      </c>
      <c r="J113" s="17" t="n">
        <f aca="false">IF(Rankings!J119&lt;=2,1,0)</f>
        <v>0</v>
      </c>
      <c r="K113" s="20" t="n">
        <f aca="false">SUM(C113:J113)</f>
        <v>2</v>
      </c>
      <c r="L113" s="16" t="n">
        <f aca="false">SUMPRODUCT(C113:J113,Returns!B117:I117)/K113</f>
        <v>-0.024226415691237</v>
      </c>
      <c r="M113" s="16" t="n">
        <f aca="false">-2*Assumptions!$B$13</f>
        <v>-0.007</v>
      </c>
      <c r="N113" s="16" t="n">
        <f aca="false">-Assumptions!$B$16*MAX(0,(1+O110)*(1+O111)*(1+O112)-1)</f>
        <v>-0.0202117074935334</v>
      </c>
      <c r="O113" s="16" t="n">
        <f aca="false">L113+M113+N113</f>
        <v>-0.0514381231847704</v>
      </c>
      <c r="P113" s="21" t="n">
        <f aca="false">P112*(1+O113)</f>
        <v>1.12305973808761</v>
      </c>
      <c r="Q113" s="21" t="n">
        <f aca="false">MAX($P$5:P113)</f>
        <v>1.76853418125443</v>
      </c>
      <c r="R113" s="16" t="n">
        <f aca="false">P113/Q113-1</f>
        <v>-0.364977081024797</v>
      </c>
      <c r="S113" s="16" t="n">
        <f aca="false">O113-Benchmark_RF!D113</f>
        <v>-0.0649462779170128</v>
      </c>
    </row>
    <row r="114" customFormat="false" ht="15" hidden="false" customHeight="true" outlineLevel="0" collapsed="false">
      <c r="A114" s="1" t="n">
        <v>117</v>
      </c>
      <c r="B114" s="13" t="n">
        <f aca="false">Returns!A118</f>
        <v>45536</v>
      </c>
      <c r="C114" s="17" t="n">
        <f aca="false">IF(Rankings!C119&lt;=2,1,0)</f>
        <v>0</v>
      </c>
      <c r="D114" s="17" t="n">
        <f aca="false">IF(Rankings!D119&lt;=2,1,0)</f>
        <v>0</v>
      </c>
      <c r="E114" s="17" t="n">
        <f aca="false">IF(Rankings!E119&lt;=2,1,0)</f>
        <v>0</v>
      </c>
      <c r="F114" s="17" t="n">
        <f aca="false">IF(Rankings!F119&lt;=2,1,0)</f>
        <v>0</v>
      </c>
      <c r="G114" s="17" t="n">
        <f aca="false">IF(Rankings!G119&lt;=2,1,0)</f>
        <v>1</v>
      </c>
      <c r="H114" s="17" t="n">
        <f aca="false">IF(Rankings!H119&lt;=2,1,0)</f>
        <v>1</v>
      </c>
      <c r="I114" s="17" t="n">
        <f aca="false">IF(Rankings!I119&lt;=2,1,0)</f>
        <v>0</v>
      </c>
      <c r="J114" s="17" t="n">
        <f aca="false">IF(Rankings!J119&lt;=2,1,0)</f>
        <v>0</v>
      </c>
      <c r="K114" s="20" t="n">
        <f aca="false">SUM(C114:J114)</f>
        <v>2</v>
      </c>
      <c r="L114" s="16" t="n">
        <f aca="false">SUMPRODUCT(C114:J114,Returns!B118:I118)/K114</f>
        <v>0.146450072136343</v>
      </c>
      <c r="M114" s="16" t="n">
        <v>0</v>
      </c>
      <c r="N114" s="16" t="n">
        <v>0</v>
      </c>
      <c r="O114" s="16" t="n">
        <f aca="false">L114+M114+N114</f>
        <v>0.146450072136343</v>
      </c>
      <c r="P114" s="21" t="n">
        <f aca="false">P113*(1+O114)</f>
        <v>1.28753191774396</v>
      </c>
      <c r="Q114" s="21" t="n">
        <f aca="false">MAX($P$5:P114)</f>
        <v>1.76853418125443</v>
      </c>
      <c r="R114" s="16" t="n">
        <f aca="false">P114/Q114-1</f>
        <v>-0.271977928732648</v>
      </c>
      <c r="S114" s="16" t="n">
        <f aca="false">O114-Benchmark_RF!D114</f>
        <v>0.132985066527144</v>
      </c>
    </row>
    <row r="115" customFormat="false" ht="15" hidden="false" customHeight="true" outlineLevel="0" collapsed="false">
      <c r="A115" s="1" t="n">
        <v>118</v>
      </c>
      <c r="B115" s="13" t="n">
        <f aca="false">Returns!A119</f>
        <v>45566</v>
      </c>
      <c r="C115" s="17" t="n">
        <f aca="false">IF(Rankings!C119&lt;=2,1,0)</f>
        <v>0</v>
      </c>
      <c r="D115" s="17" t="n">
        <f aca="false">IF(Rankings!D119&lt;=2,1,0)</f>
        <v>0</v>
      </c>
      <c r="E115" s="17" t="n">
        <f aca="false">IF(Rankings!E119&lt;=2,1,0)</f>
        <v>0</v>
      </c>
      <c r="F115" s="17" t="n">
        <f aca="false">IF(Rankings!F119&lt;=2,1,0)</f>
        <v>0</v>
      </c>
      <c r="G115" s="17" t="n">
        <f aca="false">IF(Rankings!G119&lt;=2,1,0)</f>
        <v>1</v>
      </c>
      <c r="H115" s="17" t="n">
        <f aca="false">IF(Rankings!H119&lt;=2,1,0)</f>
        <v>1</v>
      </c>
      <c r="I115" s="17" t="n">
        <f aca="false">IF(Rankings!I119&lt;=2,1,0)</f>
        <v>0</v>
      </c>
      <c r="J115" s="17" t="n">
        <f aca="false">IF(Rankings!J119&lt;=2,1,0)</f>
        <v>0</v>
      </c>
      <c r="K115" s="20" t="n">
        <f aca="false">SUM(C115:J115)</f>
        <v>2</v>
      </c>
      <c r="L115" s="16" t="n">
        <f aca="false">SUMPRODUCT(C115:J115,Returns!B119:I119)/K115</f>
        <v>0.132049071108385</v>
      </c>
      <c r="M115" s="16" t="n">
        <v>0</v>
      </c>
      <c r="N115" s="16" t="n">
        <v>0</v>
      </c>
      <c r="O115" s="16" t="n">
        <f aca="false">L115+M115+N115</f>
        <v>0.132049071108385</v>
      </c>
      <c r="P115" s="21" t="n">
        <f aca="false">P114*(1+O115)</f>
        <v>1.45754931150445</v>
      </c>
      <c r="Q115" s="21" t="n">
        <f aca="false">MAX($P$5:P115)</f>
        <v>1.76853418125443</v>
      </c>
      <c r="R115" s="16" t="n">
        <f aca="false">P115/Q115-1</f>
        <v>-0.175843290475391</v>
      </c>
      <c r="S115" s="16" t="n">
        <f aca="false">O115-Benchmark_RF!D115</f>
        <v>0.121166341959905</v>
      </c>
    </row>
    <row r="116" customFormat="false" ht="15" hidden="false" customHeight="true" outlineLevel="0" collapsed="false">
      <c r="A116" s="1" t="n">
        <v>119</v>
      </c>
      <c r="B116" s="13" t="n">
        <f aca="false">Returns!A120</f>
        <v>45597</v>
      </c>
      <c r="C116" s="17" t="n">
        <f aca="false">IF(Rankings!C122&lt;=2,1,0)</f>
        <v>0</v>
      </c>
      <c r="D116" s="17" t="n">
        <f aca="false">IF(Rankings!D122&lt;=2,1,0)</f>
        <v>0</v>
      </c>
      <c r="E116" s="17" t="n">
        <f aca="false">IF(Rankings!E122&lt;=2,1,0)</f>
        <v>0</v>
      </c>
      <c r="F116" s="17" t="n">
        <f aca="false">IF(Rankings!F122&lt;=2,1,0)</f>
        <v>0</v>
      </c>
      <c r="G116" s="17" t="n">
        <f aca="false">IF(Rankings!G122&lt;=2,1,0)</f>
        <v>1</v>
      </c>
      <c r="H116" s="17" t="n">
        <f aca="false">IF(Rankings!H122&lt;=2,1,0)</f>
        <v>1</v>
      </c>
      <c r="I116" s="17" t="n">
        <f aca="false">IF(Rankings!I122&lt;=2,1,0)</f>
        <v>0</v>
      </c>
      <c r="J116" s="17" t="n">
        <f aca="false">IF(Rankings!J122&lt;=2,1,0)</f>
        <v>0</v>
      </c>
      <c r="K116" s="20" t="n">
        <f aca="false">SUM(C116:J116)</f>
        <v>2</v>
      </c>
      <c r="L116" s="16" t="n">
        <f aca="false">SUMPRODUCT(C116:J116,Returns!B120:I120)/K116</f>
        <v>0.154444725672004</v>
      </c>
      <c r="M116" s="16" t="n">
        <f aca="false">-2*Assumptions!$B$13</f>
        <v>-0.007</v>
      </c>
      <c r="N116" s="16" t="n">
        <f aca="false">-Assumptions!$B$16*MAX(0,(1+O113)*(1+O114)*(1+O115)-1)</f>
        <v>-0.0346619102594282</v>
      </c>
      <c r="O116" s="16" t="n">
        <f aca="false">L116+M116+N116</f>
        <v>0.112782815412576</v>
      </c>
      <c r="P116" s="21" t="n">
        <f aca="false">P115*(1+O116)</f>
        <v>1.62193582645858</v>
      </c>
      <c r="Q116" s="21" t="n">
        <f aca="false">MAX($P$5:P116)</f>
        <v>1.76853418125443</v>
      </c>
      <c r="R116" s="16" t="n">
        <f aca="false">P116/Q116-1</f>
        <v>-0.082892576434041</v>
      </c>
      <c r="S116" s="16" t="n">
        <f aca="false">O116-Benchmark_RF!D116</f>
        <v>0.101900086264095</v>
      </c>
    </row>
    <row r="117" customFormat="false" ht="15" hidden="false" customHeight="true" outlineLevel="0" collapsed="false">
      <c r="A117" s="1" t="n">
        <v>120</v>
      </c>
      <c r="B117" s="13" t="n">
        <f aca="false">Returns!A121</f>
        <v>45627</v>
      </c>
      <c r="C117" s="17" t="n">
        <f aca="false">IF(Rankings!C122&lt;=2,1,0)</f>
        <v>0</v>
      </c>
      <c r="D117" s="17" t="n">
        <f aca="false">IF(Rankings!D122&lt;=2,1,0)</f>
        <v>0</v>
      </c>
      <c r="E117" s="17" t="n">
        <f aca="false">IF(Rankings!E122&lt;=2,1,0)</f>
        <v>0</v>
      </c>
      <c r="F117" s="17" t="n">
        <f aca="false">IF(Rankings!F122&lt;=2,1,0)</f>
        <v>0</v>
      </c>
      <c r="G117" s="17" t="n">
        <f aca="false">IF(Rankings!G122&lt;=2,1,0)</f>
        <v>1</v>
      </c>
      <c r="H117" s="17" t="n">
        <f aca="false">IF(Rankings!H122&lt;=2,1,0)</f>
        <v>1</v>
      </c>
      <c r="I117" s="17" t="n">
        <f aca="false">IF(Rankings!I122&lt;=2,1,0)</f>
        <v>0</v>
      </c>
      <c r="J117" s="17" t="n">
        <f aca="false">IF(Rankings!J122&lt;=2,1,0)</f>
        <v>0</v>
      </c>
      <c r="K117" s="20" t="n">
        <f aca="false">SUM(C117:J117)</f>
        <v>2</v>
      </c>
      <c r="L117" s="16" t="n">
        <f aca="false">SUMPRODUCT(C117:J117,Returns!B121:I121)/K117</f>
        <v>0.103454024499722</v>
      </c>
      <c r="M117" s="16" t="n">
        <v>0</v>
      </c>
      <c r="N117" s="16" t="n">
        <v>0</v>
      </c>
      <c r="O117" s="16" t="n">
        <f aca="false">L117+M117+N117</f>
        <v>0.103454024499722</v>
      </c>
      <c r="P117" s="21" t="n">
        <f aca="false">P116*(1+O117)</f>
        <v>1.78973161518601</v>
      </c>
      <c r="Q117" s="21" t="n">
        <f aca="false">MAX($P$5:P117)</f>
        <v>1.78973161518601</v>
      </c>
      <c r="R117" s="16" t="n">
        <f aca="false">P117/Q117-1</f>
        <v>0</v>
      </c>
      <c r="S117" s="16" t="n">
        <f aca="false">O117-Benchmark_RF!D117</f>
        <v>0.0940779669432136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10" min="3" style="1" width="8"/>
    <col collapsed="false" customWidth="true" hidden="false" outlineLevel="0" max="16" min="11" style="1" width="11"/>
    <col collapsed="false" customWidth="true" hidden="false" outlineLevel="0" max="17" min="17" style="1" width="12"/>
    <col collapsed="false" customWidth="true" hidden="false" outlineLevel="0" max="18" min="18" style="1" width="11"/>
    <col collapsed="false" customWidth="true" hidden="false" outlineLevel="0" max="19" min="19" style="1" width="13"/>
  </cols>
  <sheetData>
    <row r="1" customFormat="false" ht="15.75" hidden="false" customHeight="true" outlineLevel="0" collapsed="false">
      <c r="A1" s="18" t="s">
        <v>82</v>
      </c>
    </row>
    <row r="2" customFormat="false" ht="15" hidden="false" customHeight="true" outlineLevel="0" collapsed="false">
      <c r="A2" s="5" t="s">
        <v>69</v>
      </c>
    </row>
    <row r="4" customFormat="false" ht="15" hidden="false" customHeight="true" outlineLevel="0" collapsed="false">
      <c r="A4" s="12" t="s">
        <v>70</v>
      </c>
      <c r="B4" s="12" t="s">
        <v>51</v>
      </c>
      <c r="C4" s="12" t="s">
        <v>52</v>
      </c>
      <c r="D4" s="12" t="s">
        <v>53</v>
      </c>
      <c r="E4" s="12" t="s">
        <v>54</v>
      </c>
      <c r="F4" s="12" t="s">
        <v>55</v>
      </c>
      <c r="G4" s="12" t="s">
        <v>56</v>
      </c>
      <c r="H4" s="12" t="s">
        <v>57</v>
      </c>
      <c r="I4" s="12" t="s">
        <v>58</v>
      </c>
      <c r="J4" s="12" t="s">
        <v>59</v>
      </c>
      <c r="K4" s="12" t="s">
        <v>71</v>
      </c>
      <c r="L4" s="12" t="s">
        <v>72</v>
      </c>
      <c r="M4" s="12" t="s">
        <v>73</v>
      </c>
      <c r="N4" s="12" t="s">
        <v>74</v>
      </c>
      <c r="O4" s="12" t="s">
        <v>75</v>
      </c>
      <c r="P4" s="12" t="s">
        <v>76</v>
      </c>
      <c r="Q4" s="19" t="s">
        <v>77</v>
      </c>
      <c r="R4" s="19" t="s">
        <v>78</v>
      </c>
      <c r="S4" s="19" t="s">
        <v>79</v>
      </c>
    </row>
    <row r="5" customFormat="false" ht="15" hidden="false" customHeight="true" outlineLevel="0" collapsed="false">
      <c r="A5" s="1" t="n">
        <v>8</v>
      </c>
      <c r="B5" s="13" t="n">
        <f aca="false">Returns!A9</f>
        <v>42217</v>
      </c>
      <c r="C5" s="17" t="n">
        <f aca="false">IF(Rankings!C11&lt;=3,1,0)</f>
        <v>0</v>
      </c>
      <c r="D5" s="17" t="n">
        <f aca="false">IF(Rankings!D11&lt;=3,1,0)</f>
        <v>1</v>
      </c>
      <c r="E5" s="17" t="n">
        <f aca="false">IF(Rankings!E11&lt;=3,1,0)</f>
        <v>0</v>
      </c>
      <c r="F5" s="17" t="n">
        <f aca="false">IF(Rankings!F11&lt;=3,1,0)</f>
        <v>0</v>
      </c>
      <c r="G5" s="17" t="n">
        <f aca="false">IF(Rankings!G11&lt;=3,1,0)</f>
        <v>1</v>
      </c>
      <c r="H5" s="17" t="n">
        <f aca="false">IF(Rankings!H11&lt;=3,1,0)</f>
        <v>1</v>
      </c>
      <c r="I5" s="17" t="n">
        <f aca="false">IF(Rankings!I11&lt;=3,1,0)</f>
        <v>0</v>
      </c>
      <c r="J5" s="17" t="n">
        <f aca="false">IF(Rankings!J11&lt;=3,1,0)</f>
        <v>0</v>
      </c>
      <c r="K5" s="20" t="n">
        <f aca="false">SUM(C5:J5)</f>
        <v>3</v>
      </c>
      <c r="L5" s="16" t="n">
        <f aca="false">SUMPRODUCT(C5:J5,Returns!B9:I9)/K5</f>
        <v>-0.0140221020718288</v>
      </c>
      <c r="M5" s="16" t="n">
        <f aca="false">-2*Assumptions!$B$13</f>
        <v>-0.007</v>
      </c>
      <c r="N5" s="16" t="n">
        <v>0</v>
      </c>
      <c r="O5" s="16" t="n">
        <f aca="false">L5+M5+N5</f>
        <v>-0.0210221020718288</v>
      </c>
      <c r="P5" s="21" t="n">
        <f aca="false">1*(1+O5)</f>
        <v>0.978977897928171</v>
      </c>
      <c r="Q5" s="21" t="n">
        <f aca="false">MAX($P$5:P5)</f>
        <v>0.978977897928171</v>
      </c>
      <c r="R5" s="16" t="n">
        <f aca="false">P5/Q5-1</f>
        <v>0</v>
      </c>
      <c r="S5" s="16" t="n">
        <f aca="false">O5-Benchmark_RF!D5</f>
        <v>-0.026622032581155</v>
      </c>
    </row>
    <row r="6" customFormat="false" ht="15" hidden="false" customHeight="true" outlineLevel="0" collapsed="false">
      <c r="A6" s="1" t="n">
        <v>9</v>
      </c>
      <c r="B6" s="13" t="n">
        <f aca="false">Returns!A10</f>
        <v>42248</v>
      </c>
      <c r="C6" s="17" t="n">
        <f aca="false">IF(Rankings!C11&lt;=3,1,0)</f>
        <v>0</v>
      </c>
      <c r="D6" s="17" t="n">
        <f aca="false">IF(Rankings!D11&lt;=3,1,0)</f>
        <v>1</v>
      </c>
      <c r="E6" s="17" t="n">
        <f aca="false">IF(Rankings!E11&lt;=3,1,0)</f>
        <v>0</v>
      </c>
      <c r="F6" s="17" t="n">
        <f aca="false">IF(Rankings!F11&lt;=3,1,0)</f>
        <v>0</v>
      </c>
      <c r="G6" s="17" t="n">
        <f aca="false">IF(Rankings!G11&lt;=3,1,0)</f>
        <v>1</v>
      </c>
      <c r="H6" s="17" t="n">
        <f aca="false">IF(Rankings!H11&lt;=3,1,0)</f>
        <v>1</v>
      </c>
      <c r="I6" s="17" t="n">
        <f aca="false">IF(Rankings!I11&lt;=3,1,0)</f>
        <v>0</v>
      </c>
      <c r="J6" s="17" t="n">
        <f aca="false">IF(Rankings!J11&lt;=3,1,0)</f>
        <v>0</v>
      </c>
      <c r="K6" s="20" t="n">
        <f aca="false">SUM(C6:J6)</f>
        <v>3</v>
      </c>
      <c r="L6" s="16" t="n">
        <f aca="false">SUMPRODUCT(C6:J6,Returns!B10:I10)/K6</f>
        <v>-0.0311428893468886</v>
      </c>
      <c r="M6" s="16" t="n">
        <v>0</v>
      </c>
      <c r="N6" s="16" t="n">
        <v>0</v>
      </c>
      <c r="O6" s="16" t="n">
        <f aca="false">L6+M6+N6</f>
        <v>-0.0311428893468886</v>
      </c>
      <c r="P6" s="21" t="n">
        <f aca="false">P5*(1+O6)</f>
        <v>0.948489697579945</v>
      </c>
      <c r="Q6" s="21" t="n">
        <f aca="false">MAX($P$5:P6)</f>
        <v>0.978977897928171</v>
      </c>
      <c r="R6" s="16" t="n">
        <f aca="false">P6/Q6-1</f>
        <v>-0.0311428893468886</v>
      </c>
      <c r="S6" s="16" t="n">
        <f aca="false">O6-Benchmark_RF!D6</f>
        <v>-0.0363780717040477</v>
      </c>
    </row>
    <row r="7" customFormat="false" ht="15" hidden="false" customHeight="true" outlineLevel="0" collapsed="false">
      <c r="A7" s="1" t="n">
        <v>10</v>
      </c>
      <c r="B7" s="13" t="n">
        <f aca="false">Returns!A11</f>
        <v>42278</v>
      </c>
      <c r="C7" s="17" t="n">
        <f aca="false">IF(Rankings!C11&lt;=3,1,0)</f>
        <v>0</v>
      </c>
      <c r="D7" s="17" t="n">
        <f aca="false">IF(Rankings!D11&lt;=3,1,0)</f>
        <v>1</v>
      </c>
      <c r="E7" s="17" t="n">
        <f aca="false">IF(Rankings!E11&lt;=3,1,0)</f>
        <v>0</v>
      </c>
      <c r="F7" s="17" t="n">
        <f aca="false">IF(Rankings!F11&lt;=3,1,0)</f>
        <v>0</v>
      </c>
      <c r="G7" s="17" t="n">
        <f aca="false">IF(Rankings!G11&lt;=3,1,0)</f>
        <v>1</v>
      </c>
      <c r="H7" s="17" t="n">
        <f aca="false">IF(Rankings!H11&lt;=3,1,0)</f>
        <v>1</v>
      </c>
      <c r="I7" s="17" t="n">
        <f aca="false">IF(Rankings!I11&lt;=3,1,0)</f>
        <v>0</v>
      </c>
      <c r="J7" s="17" t="n">
        <f aca="false">IF(Rankings!J11&lt;=3,1,0)</f>
        <v>0</v>
      </c>
      <c r="K7" s="20" t="n">
        <f aca="false">SUM(C7:J7)</f>
        <v>3</v>
      </c>
      <c r="L7" s="16" t="n">
        <f aca="false">SUMPRODUCT(C7:J7,Returns!B11:I11)/K7</f>
        <v>-0.00618860853659298</v>
      </c>
      <c r="M7" s="16" t="n">
        <v>0</v>
      </c>
      <c r="N7" s="16" t="n">
        <v>0</v>
      </c>
      <c r="O7" s="16" t="n">
        <f aca="false">L7+M7+N7</f>
        <v>-0.00618860853659298</v>
      </c>
      <c r="P7" s="21" t="n">
        <f aca="false">P6*(1+O7)</f>
        <v>0.942619866140631</v>
      </c>
      <c r="Q7" s="21" t="n">
        <f aca="false">MAX($P$5:P7)</f>
        <v>0.978977897928171</v>
      </c>
      <c r="R7" s="16" t="n">
        <f aca="false">P7/Q7-1</f>
        <v>-0.0371387667326153</v>
      </c>
      <c r="S7" s="16" t="n">
        <f aca="false">O7-Benchmark_RF!D7</f>
        <v>-0.0112958434417523</v>
      </c>
    </row>
    <row r="8" customFormat="false" ht="15" hidden="false" customHeight="true" outlineLevel="0" collapsed="false">
      <c r="A8" s="1" t="n">
        <v>11</v>
      </c>
      <c r="B8" s="13" t="n">
        <f aca="false">Returns!A12</f>
        <v>42309</v>
      </c>
      <c r="C8" s="17" t="n">
        <f aca="false">IF(Rankings!C11&lt;=3,1,0)</f>
        <v>0</v>
      </c>
      <c r="D8" s="17" t="n">
        <f aca="false">IF(Rankings!D11&lt;=3,1,0)</f>
        <v>1</v>
      </c>
      <c r="E8" s="17" t="n">
        <f aca="false">IF(Rankings!E11&lt;=3,1,0)</f>
        <v>0</v>
      </c>
      <c r="F8" s="17" t="n">
        <f aca="false">IF(Rankings!F11&lt;=3,1,0)</f>
        <v>0</v>
      </c>
      <c r="G8" s="17" t="n">
        <f aca="false">IF(Rankings!G11&lt;=3,1,0)</f>
        <v>1</v>
      </c>
      <c r="H8" s="17" t="n">
        <f aca="false">IF(Rankings!H11&lt;=3,1,0)</f>
        <v>1</v>
      </c>
      <c r="I8" s="17" t="n">
        <f aca="false">IF(Rankings!I11&lt;=3,1,0)</f>
        <v>0</v>
      </c>
      <c r="J8" s="17" t="n">
        <f aca="false">IF(Rankings!J11&lt;=3,1,0)</f>
        <v>0</v>
      </c>
      <c r="K8" s="20" t="n">
        <f aca="false">SUM(C8:J8)</f>
        <v>3</v>
      </c>
      <c r="L8" s="16" t="n">
        <f aca="false">SUMPRODUCT(C8:J8,Returns!B12:I12)/K8</f>
        <v>-0.0588787740417329</v>
      </c>
      <c r="M8" s="16" t="n">
        <v>0</v>
      </c>
      <c r="N8" s="16" t="n">
        <v>0</v>
      </c>
      <c r="O8" s="16" t="n">
        <f aca="false">L8+M8+N8</f>
        <v>-0.0588787740417329</v>
      </c>
      <c r="P8" s="21" t="n">
        <f aca="false">P7*(1+O8)</f>
        <v>0.887119564034888</v>
      </c>
      <c r="Q8" s="21" t="n">
        <f aca="false">MAX($P$5:P8)</f>
        <v>0.978977897928171</v>
      </c>
      <c r="R8" s="16" t="n">
        <f aca="false">P8/Q8-1</f>
        <v>-0.09383085571971</v>
      </c>
      <c r="S8" s="16" t="n">
        <f aca="false">O8-Benchmark_RF!D8</f>
        <v>-0.0640374456711581</v>
      </c>
    </row>
    <row r="9" customFormat="false" ht="15" hidden="false" customHeight="true" outlineLevel="0" collapsed="false">
      <c r="A9" s="1" t="n">
        <v>12</v>
      </c>
      <c r="B9" s="13" t="n">
        <f aca="false">Returns!A13</f>
        <v>42339</v>
      </c>
      <c r="C9" s="17" t="n">
        <f aca="false">IF(Rankings!C11&lt;=3,1,0)</f>
        <v>0</v>
      </c>
      <c r="D9" s="17" t="n">
        <f aca="false">IF(Rankings!D11&lt;=3,1,0)</f>
        <v>1</v>
      </c>
      <c r="E9" s="17" t="n">
        <f aca="false">IF(Rankings!E11&lt;=3,1,0)</f>
        <v>0</v>
      </c>
      <c r="F9" s="17" t="n">
        <f aca="false">IF(Rankings!F11&lt;=3,1,0)</f>
        <v>0</v>
      </c>
      <c r="G9" s="17" t="n">
        <f aca="false">IF(Rankings!G11&lt;=3,1,0)</f>
        <v>1</v>
      </c>
      <c r="H9" s="17" t="n">
        <f aca="false">IF(Rankings!H11&lt;=3,1,0)</f>
        <v>1</v>
      </c>
      <c r="I9" s="17" t="n">
        <f aca="false">IF(Rankings!I11&lt;=3,1,0)</f>
        <v>0</v>
      </c>
      <c r="J9" s="17" t="n">
        <f aca="false">IF(Rankings!J11&lt;=3,1,0)</f>
        <v>0</v>
      </c>
      <c r="K9" s="20" t="n">
        <f aca="false">SUM(C9:J9)</f>
        <v>3</v>
      </c>
      <c r="L9" s="16" t="n">
        <f aca="false">SUMPRODUCT(C9:J9,Returns!B13:I13)/K9</f>
        <v>0.000566056093743494</v>
      </c>
      <c r="M9" s="16" t="n">
        <v>0</v>
      </c>
      <c r="N9" s="16" t="n">
        <v>0</v>
      </c>
      <c r="O9" s="16" t="n">
        <f aca="false">L9+M9+N9</f>
        <v>0.000566056093743494</v>
      </c>
      <c r="P9" s="21" t="n">
        <f aca="false">P8*(1+O9)</f>
        <v>0.887621723469989</v>
      </c>
      <c r="Q9" s="21" t="n">
        <f aca="false">MAX($P$5:P9)</f>
        <v>0.978977897928171</v>
      </c>
      <c r="R9" s="16" t="n">
        <f aca="false">P9/Q9-1</f>
        <v>-0.0933179131536277</v>
      </c>
      <c r="S9" s="16" t="n">
        <f aca="false">O9-Benchmark_RF!D9</f>
        <v>-0.00456764910352669</v>
      </c>
    </row>
    <row r="10" customFormat="false" ht="15" hidden="false" customHeight="true" outlineLevel="0" collapsed="false">
      <c r="A10" s="1" t="n">
        <v>13</v>
      </c>
      <c r="B10" s="13" t="n">
        <f aca="false">Returns!A14</f>
        <v>42370</v>
      </c>
      <c r="C10" s="17" t="n">
        <f aca="false">IF(Rankings!C11&lt;=3,1,0)</f>
        <v>0</v>
      </c>
      <c r="D10" s="17" t="n">
        <f aca="false">IF(Rankings!D11&lt;=3,1,0)</f>
        <v>1</v>
      </c>
      <c r="E10" s="17" t="n">
        <f aca="false">IF(Rankings!E11&lt;=3,1,0)</f>
        <v>0</v>
      </c>
      <c r="F10" s="17" t="n">
        <f aca="false">IF(Rankings!F11&lt;=3,1,0)</f>
        <v>0</v>
      </c>
      <c r="G10" s="17" t="n">
        <f aca="false">IF(Rankings!G11&lt;=3,1,0)</f>
        <v>1</v>
      </c>
      <c r="H10" s="17" t="n">
        <f aca="false">IF(Rankings!H11&lt;=3,1,0)</f>
        <v>1</v>
      </c>
      <c r="I10" s="17" t="n">
        <f aca="false">IF(Rankings!I11&lt;=3,1,0)</f>
        <v>0</v>
      </c>
      <c r="J10" s="17" t="n">
        <f aca="false">IF(Rankings!J11&lt;=3,1,0)</f>
        <v>0</v>
      </c>
      <c r="K10" s="20" t="n">
        <f aca="false">SUM(C10:J10)</f>
        <v>3</v>
      </c>
      <c r="L10" s="16" t="n">
        <f aca="false">SUMPRODUCT(C10:J10,Returns!B14:I14)/K10</f>
        <v>-0.0426277117065051</v>
      </c>
      <c r="M10" s="16" t="n">
        <v>0</v>
      </c>
      <c r="N10" s="16" t="n">
        <v>0</v>
      </c>
      <c r="O10" s="16" t="n">
        <f aca="false">L10+M10+N10</f>
        <v>-0.0426277117065051</v>
      </c>
      <c r="P10" s="21" t="n">
        <f aca="false">P9*(1+O10)</f>
        <v>0.849784440537479</v>
      </c>
      <c r="Q10" s="21" t="n">
        <f aca="false">MAX($P$5:P10)</f>
        <v>0.978977897928171</v>
      </c>
      <c r="R10" s="16" t="n">
        <f aca="false">P10/Q10-1</f>
        <v>-0.131967695761167</v>
      </c>
      <c r="S10" s="16" t="n">
        <f aca="false">O10-Benchmark_RF!D10</f>
        <v>-0.0476229144626469</v>
      </c>
    </row>
    <row r="11" customFormat="false" ht="15" hidden="false" customHeight="true" outlineLevel="0" collapsed="false">
      <c r="A11" s="1" t="n">
        <v>14</v>
      </c>
      <c r="B11" s="13" t="n">
        <f aca="false">Returns!A15</f>
        <v>42401</v>
      </c>
      <c r="C11" s="17" t="n">
        <f aca="false">IF(Rankings!C11&lt;=3,1,0)</f>
        <v>0</v>
      </c>
      <c r="D11" s="17" t="n">
        <f aca="false">IF(Rankings!D11&lt;=3,1,0)</f>
        <v>1</v>
      </c>
      <c r="E11" s="17" t="n">
        <f aca="false">IF(Rankings!E11&lt;=3,1,0)</f>
        <v>0</v>
      </c>
      <c r="F11" s="17" t="n">
        <f aca="false">IF(Rankings!F11&lt;=3,1,0)</f>
        <v>0</v>
      </c>
      <c r="G11" s="17" t="n">
        <f aca="false">IF(Rankings!G11&lt;=3,1,0)</f>
        <v>1</v>
      </c>
      <c r="H11" s="17" t="n">
        <f aca="false">IF(Rankings!H11&lt;=3,1,0)</f>
        <v>1</v>
      </c>
      <c r="I11" s="17" t="n">
        <f aca="false">IF(Rankings!I11&lt;=3,1,0)</f>
        <v>0</v>
      </c>
      <c r="J11" s="17" t="n">
        <f aca="false">IF(Rankings!J11&lt;=3,1,0)</f>
        <v>0</v>
      </c>
      <c r="K11" s="20" t="n">
        <f aca="false">SUM(C11:J11)</f>
        <v>3</v>
      </c>
      <c r="L11" s="16" t="n">
        <f aca="false">SUMPRODUCT(C11:J11,Returns!B15:I15)/K11</f>
        <v>-0.0149403098534628</v>
      </c>
      <c r="M11" s="16" t="n">
        <v>0</v>
      </c>
      <c r="N11" s="16" t="n">
        <v>0</v>
      </c>
      <c r="O11" s="16" t="n">
        <f aca="false">L11+M11+N11</f>
        <v>-0.0149403098534628</v>
      </c>
      <c r="P11" s="21" t="n">
        <f aca="false">P10*(1+O11)</f>
        <v>0.837088397687198</v>
      </c>
      <c r="Q11" s="21" t="n">
        <f aca="false">MAX($P$5:P11)</f>
        <v>0.978977897928171</v>
      </c>
      <c r="R11" s="16" t="n">
        <f aca="false">P11/Q11-1</f>
        <v>-0.144936367349311</v>
      </c>
      <c r="S11" s="16" t="n">
        <f aca="false">O11-Benchmark_RF!D11</f>
        <v>-0.0199768409471459</v>
      </c>
    </row>
    <row r="12" customFormat="false" ht="15" hidden="false" customHeight="true" outlineLevel="0" collapsed="false">
      <c r="A12" s="1" t="n">
        <v>15</v>
      </c>
      <c r="B12" s="13" t="n">
        <f aca="false">Returns!A16</f>
        <v>42430</v>
      </c>
      <c r="C12" s="17" t="n">
        <f aca="false">IF(Rankings!C11&lt;=3,1,0)</f>
        <v>0</v>
      </c>
      <c r="D12" s="17" t="n">
        <f aca="false">IF(Rankings!D11&lt;=3,1,0)</f>
        <v>1</v>
      </c>
      <c r="E12" s="17" t="n">
        <f aca="false">IF(Rankings!E11&lt;=3,1,0)</f>
        <v>0</v>
      </c>
      <c r="F12" s="17" t="n">
        <f aca="false">IF(Rankings!F11&lt;=3,1,0)</f>
        <v>0</v>
      </c>
      <c r="G12" s="17" t="n">
        <f aca="false">IF(Rankings!G11&lt;=3,1,0)</f>
        <v>1</v>
      </c>
      <c r="H12" s="17" t="n">
        <f aca="false">IF(Rankings!H11&lt;=3,1,0)</f>
        <v>1</v>
      </c>
      <c r="I12" s="17" t="n">
        <f aca="false">IF(Rankings!I11&lt;=3,1,0)</f>
        <v>0</v>
      </c>
      <c r="J12" s="17" t="n">
        <f aca="false">IF(Rankings!J11&lt;=3,1,0)</f>
        <v>0</v>
      </c>
      <c r="K12" s="20" t="n">
        <f aca="false">SUM(C12:J12)</f>
        <v>3</v>
      </c>
      <c r="L12" s="16" t="n">
        <f aca="false">SUMPRODUCT(C12:J12,Returns!B16:I16)/K12</f>
        <v>0.0258831779168516</v>
      </c>
      <c r="M12" s="16" t="n">
        <v>0</v>
      </c>
      <c r="N12" s="16" t="n">
        <v>0</v>
      </c>
      <c r="O12" s="16" t="n">
        <f aca="false">L12+M12+N12</f>
        <v>0.0258831779168516</v>
      </c>
      <c r="P12" s="21" t="n">
        <f aca="false">P11*(1+O12)</f>
        <v>0.858754905616668</v>
      </c>
      <c r="Q12" s="21" t="n">
        <f aca="false">MAX($P$5:P12)</f>
        <v>0.978977897928171</v>
      </c>
      <c r="R12" s="16" t="n">
        <f aca="false">P12/Q12-1</f>
        <v>-0.122804603215184</v>
      </c>
      <c r="S12" s="16" t="n">
        <f aca="false">O12-Benchmark_RF!D12</f>
        <v>0.0208816642815297</v>
      </c>
    </row>
    <row r="13" customFormat="false" ht="15" hidden="false" customHeight="true" outlineLevel="0" collapsed="false">
      <c r="A13" s="1" t="n">
        <v>16</v>
      </c>
      <c r="B13" s="13" t="n">
        <f aca="false">Returns!A17</f>
        <v>42461</v>
      </c>
      <c r="C13" s="17" t="n">
        <f aca="false">IF(Rankings!C11&lt;=3,1,0)</f>
        <v>0</v>
      </c>
      <c r="D13" s="17" t="n">
        <f aca="false">IF(Rankings!D11&lt;=3,1,0)</f>
        <v>1</v>
      </c>
      <c r="E13" s="17" t="n">
        <f aca="false">IF(Rankings!E11&lt;=3,1,0)</f>
        <v>0</v>
      </c>
      <c r="F13" s="17" t="n">
        <f aca="false">IF(Rankings!F11&lt;=3,1,0)</f>
        <v>0</v>
      </c>
      <c r="G13" s="17" t="n">
        <f aca="false">IF(Rankings!G11&lt;=3,1,0)</f>
        <v>1</v>
      </c>
      <c r="H13" s="17" t="n">
        <f aca="false">IF(Rankings!H11&lt;=3,1,0)</f>
        <v>1</v>
      </c>
      <c r="I13" s="17" t="n">
        <f aca="false">IF(Rankings!I11&lt;=3,1,0)</f>
        <v>0</v>
      </c>
      <c r="J13" s="17" t="n">
        <f aca="false">IF(Rankings!J11&lt;=3,1,0)</f>
        <v>0</v>
      </c>
      <c r="K13" s="20" t="n">
        <f aca="false">SUM(C13:J13)</f>
        <v>3</v>
      </c>
      <c r="L13" s="16" t="n">
        <f aca="false">SUMPRODUCT(C13:J13,Returns!B17:I17)/K13</f>
        <v>0.0112491270909258</v>
      </c>
      <c r="M13" s="16" t="n">
        <v>0</v>
      </c>
      <c r="N13" s="16" t="n">
        <v>0</v>
      </c>
      <c r="O13" s="16" t="n">
        <f aca="false">L13+M13+N13</f>
        <v>0.0112491270909258</v>
      </c>
      <c r="P13" s="21" t="n">
        <f aca="false">P12*(1+O13)</f>
        <v>0.868415148689906</v>
      </c>
      <c r="Q13" s="21" t="n">
        <f aca="false">MAX($P$5:P13)</f>
        <v>0.978977897928171</v>
      </c>
      <c r="R13" s="16" t="n">
        <f aca="false">P13/Q13-1</f>
        <v>-0.112936920713176</v>
      </c>
      <c r="S13" s="16" t="n">
        <f aca="false">O13-Benchmark_RF!D13</f>
        <v>0.00624761345560398</v>
      </c>
    </row>
    <row r="14" customFormat="false" ht="15" hidden="false" customHeight="true" outlineLevel="0" collapsed="false">
      <c r="A14" s="1" t="n">
        <v>17</v>
      </c>
      <c r="B14" s="13" t="n">
        <f aca="false">Returns!A18</f>
        <v>42491</v>
      </c>
      <c r="C14" s="17" t="n">
        <f aca="false">IF(Rankings!C11&lt;=3,1,0)</f>
        <v>0</v>
      </c>
      <c r="D14" s="17" t="n">
        <f aca="false">IF(Rankings!D11&lt;=3,1,0)</f>
        <v>1</v>
      </c>
      <c r="E14" s="17" t="n">
        <f aca="false">IF(Rankings!E11&lt;=3,1,0)</f>
        <v>0</v>
      </c>
      <c r="F14" s="17" t="n">
        <f aca="false">IF(Rankings!F11&lt;=3,1,0)</f>
        <v>0</v>
      </c>
      <c r="G14" s="17" t="n">
        <f aca="false">IF(Rankings!G11&lt;=3,1,0)</f>
        <v>1</v>
      </c>
      <c r="H14" s="17" t="n">
        <f aca="false">IF(Rankings!H11&lt;=3,1,0)</f>
        <v>1</v>
      </c>
      <c r="I14" s="17" t="n">
        <f aca="false">IF(Rankings!I11&lt;=3,1,0)</f>
        <v>0</v>
      </c>
      <c r="J14" s="17" t="n">
        <f aca="false">IF(Rankings!J11&lt;=3,1,0)</f>
        <v>0</v>
      </c>
      <c r="K14" s="20" t="n">
        <f aca="false">SUM(C14:J14)</f>
        <v>3</v>
      </c>
      <c r="L14" s="16" t="n">
        <f aca="false">SUMPRODUCT(C14:J14,Returns!B18:I18)/K14</f>
        <v>0.0424807174152467</v>
      </c>
      <c r="M14" s="16" t="n">
        <v>0</v>
      </c>
      <c r="N14" s="16" t="n">
        <v>0</v>
      </c>
      <c r="O14" s="16" t="n">
        <f aca="false">L14+M14+N14</f>
        <v>0.0424807174152467</v>
      </c>
      <c r="P14" s="21" t="n">
        <f aca="false">P13*(1+O14)</f>
        <v>0.905306047220521</v>
      </c>
      <c r="Q14" s="21" t="n">
        <f aca="false">MAX($P$5:P14)</f>
        <v>0.978977897928171</v>
      </c>
      <c r="R14" s="16" t="n">
        <f aca="false">P14/Q14-1</f>
        <v>-0.0752538447124941</v>
      </c>
      <c r="S14" s="16" t="n">
        <f aca="false">O14-Benchmark_RF!D14</f>
        <v>0.0376230422613274</v>
      </c>
    </row>
    <row r="15" customFormat="false" ht="15" hidden="false" customHeight="true" outlineLevel="0" collapsed="false">
      <c r="A15" s="1" t="n">
        <v>18</v>
      </c>
      <c r="B15" s="13" t="n">
        <f aca="false">Returns!A19</f>
        <v>42522</v>
      </c>
      <c r="C15" s="17" t="n">
        <f aca="false">IF(Rankings!C11&lt;=3,1,0)</f>
        <v>0</v>
      </c>
      <c r="D15" s="17" t="n">
        <f aca="false">IF(Rankings!D11&lt;=3,1,0)</f>
        <v>1</v>
      </c>
      <c r="E15" s="17" t="n">
        <f aca="false">IF(Rankings!E11&lt;=3,1,0)</f>
        <v>0</v>
      </c>
      <c r="F15" s="17" t="n">
        <f aca="false">IF(Rankings!F11&lt;=3,1,0)</f>
        <v>0</v>
      </c>
      <c r="G15" s="17" t="n">
        <f aca="false">IF(Rankings!G11&lt;=3,1,0)</f>
        <v>1</v>
      </c>
      <c r="H15" s="17" t="n">
        <f aca="false">IF(Rankings!H11&lt;=3,1,0)</f>
        <v>1</v>
      </c>
      <c r="I15" s="17" t="n">
        <f aca="false">IF(Rankings!I11&lt;=3,1,0)</f>
        <v>0</v>
      </c>
      <c r="J15" s="17" t="n">
        <f aca="false">IF(Rankings!J11&lt;=3,1,0)</f>
        <v>0</v>
      </c>
      <c r="K15" s="20" t="n">
        <f aca="false">SUM(C15:J15)</f>
        <v>3</v>
      </c>
      <c r="L15" s="16" t="n">
        <f aca="false">SUMPRODUCT(C15:J15,Returns!B19:I19)/K15</f>
        <v>0.0414137040759521</v>
      </c>
      <c r="M15" s="16" t="n">
        <v>0</v>
      </c>
      <c r="N15" s="16" t="n">
        <v>0</v>
      </c>
      <c r="O15" s="16" t="n">
        <f aca="false">L15+M15+N15</f>
        <v>0.0414137040759521</v>
      </c>
      <c r="P15" s="21" t="n">
        <f aca="false">P14*(1+O15)</f>
        <v>0.942798123958281</v>
      </c>
      <c r="Q15" s="21" t="n">
        <f aca="false">MAX($P$5:P15)</f>
        <v>0.978977897928171</v>
      </c>
      <c r="R15" s="16" t="n">
        <f aca="false">P15/Q15-1</f>
        <v>-0.0369566810920429</v>
      </c>
      <c r="S15" s="16" t="n">
        <f aca="false">O15-Benchmark_RF!D15</f>
        <v>0.0366253448458006</v>
      </c>
    </row>
    <row r="16" customFormat="false" ht="15" hidden="false" customHeight="true" outlineLevel="0" collapsed="false">
      <c r="A16" s="1" t="n">
        <v>19</v>
      </c>
      <c r="B16" s="13" t="n">
        <f aca="false">Returns!A20</f>
        <v>42552</v>
      </c>
      <c r="C16" s="17" t="n">
        <f aca="false">IF(Rankings!C11&lt;=3,1,0)</f>
        <v>0</v>
      </c>
      <c r="D16" s="17" t="n">
        <f aca="false">IF(Rankings!D11&lt;=3,1,0)</f>
        <v>1</v>
      </c>
      <c r="E16" s="17" t="n">
        <f aca="false">IF(Rankings!E11&lt;=3,1,0)</f>
        <v>0</v>
      </c>
      <c r="F16" s="17" t="n">
        <f aca="false">IF(Rankings!F11&lt;=3,1,0)</f>
        <v>0</v>
      </c>
      <c r="G16" s="17" t="n">
        <f aca="false">IF(Rankings!G11&lt;=3,1,0)</f>
        <v>1</v>
      </c>
      <c r="H16" s="17" t="n">
        <f aca="false">IF(Rankings!H11&lt;=3,1,0)</f>
        <v>1</v>
      </c>
      <c r="I16" s="17" t="n">
        <f aca="false">IF(Rankings!I11&lt;=3,1,0)</f>
        <v>0</v>
      </c>
      <c r="J16" s="17" t="n">
        <f aca="false">IF(Rankings!J11&lt;=3,1,0)</f>
        <v>0</v>
      </c>
      <c r="K16" s="20" t="n">
        <f aca="false">SUM(C16:J16)</f>
        <v>3</v>
      </c>
      <c r="L16" s="16" t="n">
        <f aca="false">SUMPRODUCT(C16:J16,Returns!B20:I20)/K16</f>
        <v>0.0805370016731804</v>
      </c>
      <c r="M16" s="16" t="n">
        <v>0</v>
      </c>
      <c r="N16" s="16" t="n">
        <v>0</v>
      </c>
      <c r="O16" s="16" t="n">
        <f aca="false">L16+M16+N16</f>
        <v>0.0805370016731804</v>
      </c>
      <c r="P16" s="21" t="n">
        <f aca="false">P15*(1+O16)</f>
        <v>1.01872825804498</v>
      </c>
      <c r="Q16" s="21" t="n">
        <f aca="false">MAX($P$5:P16)</f>
        <v>1.01872825804498</v>
      </c>
      <c r="R16" s="16" t="n">
        <f aca="false">P16/Q16-1</f>
        <v>0</v>
      </c>
      <c r="S16" s="16" t="n">
        <f aca="false">O16-Benchmark_RF!D16</f>
        <v>0.0758376367614125</v>
      </c>
    </row>
    <row r="17" customFormat="false" ht="15" hidden="false" customHeight="true" outlineLevel="0" collapsed="false">
      <c r="A17" s="1" t="n">
        <v>20</v>
      </c>
      <c r="B17" s="13" t="n">
        <f aca="false">Returns!A21</f>
        <v>42583</v>
      </c>
      <c r="C17" s="17" t="n">
        <f aca="false">IF(Rankings!C23&lt;=3,1,0)</f>
        <v>0</v>
      </c>
      <c r="D17" s="17" t="n">
        <f aca="false">IF(Rankings!D23&lt;=3,1,0)</f>
        <v>0</v>
      </c>
      <c r="E17" s="17" t="n">
        <f aca="false">IF(Rankings!E23&lt;=3,1,0)</f>
        <v>0</v>
      </c>
      <c r="F17" s="17" t="n">
        <f aca="false">IF(Rankings!F23&lt;=3,1,0)</f>
        <v>1</v>
      </c>
      <c r="G17" s="17" t="n">
        <f aca="false">IF(Rankings!G23&lt;=3,1,0)</f>
        <v>0</v>
      </c>
      <c r="H17" s="17" t="n">
        <f aca="false">IF(Rankings!H23&lt;=3,1,0)</f>
        <v>0</v>
      </c>
      <c r="I17" s="17" t="n">
        <f aca="false">IF(Rankings!I23&lt;=3,1,0)</f>
        <v>1</v>
      </c>
      <c r="J17" s="17" t="n">
        <f aca="false">IF(Rankings!J23&lt;=3,1,0)</f>
        <v>1</v>
      </c>
      <c r="K17" s="20" t="n">
        <f aca="false">SUM(C17:J17)</f>
        <v>3</v>
      </c>
      <c r="L17" s="16" t="n">
        <f aca="false">SUMPRODUCT(C17:J17,Returns!B21:I21)/K17</f>
        <v>0.0260150897068619</v>
      </c>
      <c r="M17" s="16" t="n">
        <f aca="false">-2*Assumptions!$B$13</f>
        <v>-0.007</v>
      </c>
      <c r="N17" s="16" t="n">
        <f aca="false">-Assumptions!$B$16*MAX(0,(1+O5)*(1+O6)*(1+O7)*(1+O8)*(1+O9)*(1+O10)*(1+O11)*(1+O12)*(1+O13)*(1+O14)*(1+O15)*(1+O16)-1)</f>
        <v>-0.00280923870674712</v>
      </c>
      <c r="O17" s="16" t="n">
        <f aca="false">L17+M17+N17</f>
        <v>0.0162058510001148</v>
      </c>
      <c r="P17" s="21" t="n">
        <f aca="false">P16*(1+O17)</f>
        <v>1.03523761640446</v>
      </c>
      <c r="Q17" s="21" t="n">
        <f aca="false">MAX($P$5:P17)</f>
        <v>1.03523761640446</v>
      </c>
      <c r="R17" s="16" t="n">
        <f aca="false">P17/Q17-1</f>
        <v>0</v>
      </c>
      <c r="S17" s="16" t="n">
        <f aca="false">O17-Benchmark_RF!D17</f>
        <v>0.0114489660715277</v>
      </c>
    </row>
    <row r="18" customFormat="false" ht="15" hidden="false" customHeight="true" outlineLevel="0" collapsed="false">
      <c r="A18" s="1" t="n">
        <v>21</v>
      </c>
      <c r="B18" s="13" t="n">
        <f aca="false">Returns!A22</f>
        <v>42614</v>
      </c>
      <c r="C18" s="17" t="n">
        <f aca="false">IF(Rankings!C23&lt;=3,1,0)</f>
        <v>0</v>
      </c>
      <c r="D18" s="17" t="n">
        <f aca="false">IF(Rankings!D23&lt;=3,1,0)</f>
        <v>0</v>
      </c>
      <c r="E18" s="17" t="n">
        <f aca="false">IF(Rankings!E23&lt;=3,1,0)</f>
        <v>0</v>
      </c>
      <c r="F18" s="17" t="n">
        <f aca="false">IF(Rankings!F23&lt;=3,1,0)</f>
        <v>1</v>
      </c>
      <c r="G18" s="17" t="n">
        <f aca="false">IF(Rankings!G23&lt;=3,1,0)</f>
        <v>0</v>
      </c>
      <c r="H18" s="17" t="n">
        <f aca="false">IF(Rankings!H23&lt;=3,1,0)</f>
        <v>0</v>
      </c>
      <c r="I18" s="17" t="n">
        <f aca="false">IF(Rankings!I23&lt;=3,1,0)</f>
        <v>1</v>
      </c>
      <c r="J18" s="17" t="n">
        <f aca="false">IF(Rankings!J23&lt;=3,1,0)</f>
        <v>1</v>
      </c>
      <c r="K18" s="20" t="n">
        <f aca="false">SUM(C18:J18)</f>
        <v>3</v>
      </c>
      <c r="L18" s="16" t="n">
        <f aca="false">SUMPRODUCT(C18:J18,Returns!B22:I22)/K18</f>
        <v>0.196735463209021</v>
      </c>
      <c r="M18" s="16" t="n">
        <v>0</v>
      </c>
      <c r="N18" s="16" t="n">
        <v>0</v>
      </c>
      <c r="O18" s="16" t="n">
        <f aca="false">L18+M18+N18</f>
        <v>0.196735463209021</v>
      </c>
      <c r="P18" s="21" t="n">
        <f aca="false">P17*(1+O18)</f>
        <v>1.2389055683992</v>
      </c>
      <c r="Q18" s="21" t="n">
        <f aca="false">MAX($P$5:P18)</f>
        <v>1.2389055683992</v>
      </c>
      <c r="R18" s="16" t="n">
        <f aca="false">P18/Q18-1</f>
        <v>0</v>
      </c>
      <c r="S18" s="16" t="n">
        <f aca="false">O18-Benchmark_RF!D18</f>
        <v>0.191978578280434</v>
      </c>
    </row>
    <row r="19" customFormat="false" ht="15" hidden="false" customHeight="true" outlineLevel="0" collapsed="false">
      <c r="A19" s="1" t="n">
        <v>22</v>
      </c>
      <c r="B19" s="13" t="n">
        <f aca="false">Returns!A23</f>
        <v>42644</v>
      </c>
      <c r="C19" s="17" t="n">
        <f aca="false">IF(Rankings!C23&lt;=3,1,0)</f>
        <v>0</v>
      </c>
      <c r="D19" s="17" t="n">
        <f aca="false">IF(Rankings!D23&lt;=3,1,0)</f>
        <v>0</v>
      </c>
      <c r="E19" s="17" t="n">
        <f aca="false">IF(Rankings!E23&lt;=3,1,0)</f>
        <v>0</v>
      </c>
      <c r="F19" s="17" t="n">
        <f aca="false">IF(Rankings!F23&lt;=3,1,0)</f>
        <v>1</v>
      </c>
      <c r="G19" s="17" t="n">
        <f aca="false">IF(Rankings!G23&lt;=3,1,0)</f>
        <v>0</v>
      </c>
      <c r="H19" s="17" t="n">
        <f aca="false">IF(Rankings!H23&lt;=3,1,0)</f>
        <v>0</v>
      </c>
      <c r="I19" s="17" t="n">
        <f aca="false">IF(Rankings!I23&lt;=3,1,0)</f>
        <v>1</v>
      </c>
      <c r="J19" s="17" t="n">
        <f aca="false">IF(Rankings!J23&lt;=3,1,0)</f>
        <v>1</v>
      </c>
      <c r="K19" s="20" t="n">
        <f aca="false">SUM(C19:J19)</f>
        <v>3</v>
      </c>
      <c r="L19" s="16" t="n">
        <f aca="false">SUMPRODUCT(C19:J19,Returns!B23:I23)/K19</f>
        <v>0.0798207883609641</v>
      </c>
      <c r="M19" s="16" t="n">
        <v>0</v>
      </c>
      <c r="N19" s="16" t="n">
        <v>0</v>
      </c>
      <c r="O19" s="16" t="n">
        <f aca="false">L19+M19+N19</f>
        <v>0.0798207883609641</v>
      </c>
      <c r="P19" s="21" t="n">
        <f aca="false">P18*(1+O19)</f>
        <v>1.33779598757361</v>
      </c>
      <c r="Q19" s="21" t="n">
        <f aca="false">MAX($P$5:P19)</f>
        <v>1.33779598757361</v>
      </c>
      <c r="R19" s="16" t="n">
        <f aca="false">P19/Q19-1</f>
        <v>0</v>
      </c>
      <c r="S19" s="16" t="n">
        <f aca="false">O19-Benchmark_RF!D19</f>
        <v>0.0750480858448215</v>
      </c>
    </row>
    <row r="20" customFormat="false" ht="15" hidden="false" customHeight="true" outlineLevel="0" collapsed="false">
      <c r="A20" s="1" t="n">
        <v>23</v>
      </c>
      <c r="B20" s="13" t="n">
        <f aca="false">Returns!A24</f>
        <v>42675</v>
      </c>
      <c r="C20" s="17" t="n">
        <f aca="false">IF(Rankings!C23&lt;=3,1,0)</f>
        <v>0</v>
      </c>
      <c r="D20" s="17" t="n">
        <f aca="false">IF(Rankings!D23&lt;=3,1,0)</f>
        <v>0</v>
      </c>
      <c r="E20" s="17" t="n">
        <f aca="false">IF(Rankings!E23&lt;=3,1,0)</f>
        <v>0</v>
      </c>
      <c r="F20" s="17" t="n">
        <f aca="false">IF(Rankings!F23&lt;=3,1,0)</f>
        <v>1</v>
      </c>
      <c r="G20" s="17" t="n">
        <f aca="false">IF(Rankings!G23&lt;=3,1,0)</f>
        <v>0</v>
      </c>
      <c r="H20" s="17" t="n">
        <f aca="false">IF(Rankings!H23&lt;=3,1,0)</f>
        <v>0</v>
      </c>
      <c r="I20" s="17" t="n">
        <f aca="false">IF(Rankings!I23&lt;=3,1,0)</f>
        <v>1</v>
      </c>
      <c r="J20" s="17" t="n">
        <f aca="false">IF(Rankings!J23&lt;=3,1,0)</f>
        <v>1</v>
      </c>
      <c r="K20" s="20" t="n">
        <f aca="false">SUM(C20:J20)</f>
        <v>3</v>
      </c>
      <c r="L20" s="16" t="n">
        <f aca="false">SUMPRODUCT(C20:J20,Returns!B24:I24)/K20</f>
        <v>0.169762588680433</v>
      </c>
      <c r="M20" s="16" t="n">
        <v>0</v>
      </c>
      <c r="N20" s="16" t="n">
        <v>0</v>
      </c>
      <c r="O20" s="16" t="n">
        <f aca="false">L20+M20+N20</f>
        <v>0.169762588680433</v>
      </c>
      <c r="P20" s="21" t="n">
        <f aca="false">P19*(1+O20)</f>
        <v>1.5649036975504</v>
      </c>
      <c r="Q20" s="21" t="n">
        <f aca="false">MAX($P$5:P20)</f>
        <v>1.5649036975504</v>
      </c>
      <c r="R20" s="16" t="n">
        <f aca="false">P20/Q20-1</f>
        <v>0</v>
      </c>
      <c r="S20" s="16" t="n">
        <f aca="false">O20-Benchmark_RF!D20</f>
        <v>0.164934546167895</v>
      </c>
    </row>
    <row r="21" customFormat="false" ht="15" hidden="false" customHeight="true" outlineLevel="0" collapsed="false">
      <c r="A21" s="1" t="n">
        <v>24</v>
      </c>
      <c r="B21" s="13" t="n">
        <f aca="false">Returns!A25</f>
        <v>42705</v>
      </c>
      <c r="C21" s="17" t="n">
        <f aca="false">IF(Rankings!C23&lt;=3,1,0)</f>
        <v>0</v>
      </c>
      <c r="D21" s="17" t="n">
        <f aca="false">IF(Rankings!D23&lt;=3,1,0)</f>
        <v>0</v>
      </c>
      <c r="E21" s="17" t="n">
        <f aca="false">IF(Rankings!E23&lt;=3,1,0)</f>
        <v>0</v>
      </c>
      <c r="F21" s="17" t="n">
        <f aca="false">IF(Rankings!F23&lt;=3,1,0)</f>
        <v>1</v>
      </c>
      <c r="G21" s="17" t="n">
        <f aca="false">IF(Rankings!G23&lt;=3,1,0)</f>
        <v>0</v>
      </c>
      <c r="H21" s="17" t="n">
        <f aca="false">IF(Rankings!H23&lt;=3,1,0)</f>
        <v>0</v>
      </c>
      <c r="I21" s="17" t="n">
        <f aca="false">IF(Rankings!I23&lt;=3,1,0)</f>
        <v>1</v>
      </c>
      <c r="J21" s="17" t="n">
        <f aca="false">IF(Rankings!J23&lt;=3,1,0)</f>
        <v>1</v>
      </c>
      <c r="K21" s="20" t="n">
        <f aca="false">SUM(C21:J21)</f>
        <v>3</v>
      </c>
      <c r="L21" s="16" t="n">
        <f aca="false">SUMPRODUCT(C21:J21,Returns!B25:I25)/K21</f>
        <v>0.115122893744231</v>
      </c>
      <c r="M21" s="16" t="n">
        <v>0</v>
      </c>
      <c r="N21" s="16" t="n">
        <v>0</v>
      </c>
      <c r="O21" s="16" t="n">
        <f aca="false">L21+M21+N21</f>
        <v>0.115122893744231</v>
      </c>
      <c r="P21" s="21" t="n">
        <f aca="false">P20*(1+O21)</f>
        <v>1.74505993964345</v>
      </c>
      <c r="Q21" s="21" t="n">
        <f aca="false">MAX($P$5:P21)</f>
        <v>1.74505993964345</v>
      </c>
      <c r="R21" s="16" t="n">
        <f aca="false">P21/Q21-1</f>
        <v>0</v>
      </c>
      <c r="S21" s="16" t="n">
        <f aca="false">O21-Benchmark_RF!D21</f>
        <v>0.110283076044592</v>
      </c>
    </row>
    <row r="22" customFormat="false" ht="15" hidden="false" customHeight="true" outlineLevel="0" collapsed="false">
      <c r="A22" s="1" t="n">
        <v>25</v>
      </c>
      <c r="B22" s="13" t="n">
        <f aca="false">Returns!A26</f>
        <v>42736</v>
      </c>
      <c r="C22" s="17" t="n">
        <f aca="false">IF(Rankings!C23&lt;=3,1,0)</f>
        <v>0</v>
      </c>
      <c r="D22" s="17" t="n">
        <f aca="false">IF(Rankings!D23&lt;=3,1,0)</f>
        <v>0</v>
      </c>
      <c r="E22" s="17" t="n">
        <f aca="false">IF(Rankings!E23&lt;=3,1,0)</f>
        <v>0</v>
      </c>
      <c r="F22" s="17" t="n">
        <f aca="false">IF(Rankings!F23&lt;=3,1,0)</f>
        <v>1</v>
      </c>
      <c r="G22" s="17" t="n">
        <f aca="false">IF(Rankings!G23&lt;=3,1,0)</f>
        <v>0</v>
      </c>
      <c r="H22" s="17" t="n">
        <f aca="false">IF(Rankings!H23&lt;=3,1,0)</f>
        <v>0</v>
      </c>
      <c r="I22" s="17" t="n">
        <f aca="false">IF(Rankings!I23&lt;=3,1,0)</f>
        <v>1</v>
      </c>
      <c r="J22" s="17" t="n">
        <f aca="false">IF(Rankings!J23&lt;=3,1,0)</f>
        <v>1</v>
      </c>
      <c r="K22" s="20" t="n">
        <f aca="false">SUM(C22:J22)</f>
        <v>3</v>
      </c>
      <c r="L22" s="16" t="n">
        <f aca="false">SUMPRODUCT(C22:J22,Returns!B26:I26)/K22</f>
        <v>-0.0266621575524555</v>
      </c>
      <c r="M22" s="16" t="n">
        <v>0</v>
      </c>
      <c r="N22" s="16" t="n">
        <v>0</v>
      </c>
      <c r="O22" s="16" t="n">
        <f aca="false">L22+M22+N22</f>
        <v>-0.0266621575524555</v>
      </c>
      <c r="P22" s="21" t="n">
        <f aca="false">P21*(1+O22)</f>
        <v>1.6985328765942</v>
      </c>
      <c r="Q22" s="21" t="n">
        <f aca="false">MAX($P$5:P22)</f>
        <v>1.74505993964345</v>
      </c>
      <c r="R22" s="16" t="n">
        <f aca="false">P22/Q22-1</f>
        <v>-0.0266621575524555</v>
      </c>
      <c r="S22" s="16" t="n">
        <f aca="false">O22-Benchmark_RF!D22</f>
        <v>-0.0314365207564005</v>
      </c>
    </row>
    <row r="23" customFormat="false" ht="15" hidden="false" customHeight="true" outlineLevel="0" collapsed="false">
      <c r="A23" s="1" t="n">
        <v>26</v>
      </c>
      <c r="B23" s="13" t="n">
        <f aca="false">Returns!A27</f>
        <v>42767</v>
      </c>
      <c r="C23" s="17" t="n">
        <f aca="false">IF(Rankings!C23&lt;=3,1,0)</f>
        <v>0</v>
      </c>
      <c r="D23" s="17" t="n">
        <f aca="false">IF(Rankings!D23&lt;=3,1,0)</f>
        <v>0</v>
      </c>
      <c r="E23" s="17" t="n">
        <f aca="false">IF(Rankings!E23&lt;=3,1,0)</f>
        <v>0</v>
      </c>
      <c r="F23" s="17" t="n">
        <f aca="false">IF(Rankings!F23&lt;=3,1,0)</f>
        <v>1</v>
      </c>
      <c r="G23" s="17" t="n">
        <f aca="false">IF(Rankings!G23&lt;=3,1,0)</f>
        <v>0</v>
      </c>
      <c r="H23" s="17" t="n">
        <f aca="false">IF(Rankings!H23&lt;=3,1,0)</f>
        <v>0</v>
      </c>
      <c r="I23" s="17" t="n">
        <f aca="false">IF(Rankings!I23&lt;=3,1,0)</f>
        <v>1</v>
      </c>
      <c r="J23" s="17" t="n">
        <f aca="false">IF(Rankings!J23&lt;=3,1,0)</f>
        <v>1</v>
      </c>
      <c r="K23" s="20" t="n">
        <f aca="false">SUM(C23:J23)</f>
        <v>3</v>
      </c>
      <c r="L23" s="16" t="n">
        <f aca="false">SUMPRODUCT(C23:J23,Returns!B27:I27)/K23</f>
        <v>-0.0184125884429352</v>
      </c>
      <c r="M23" s="16" t="n">
        <v>0</v>
      </c>
      <c r="N23" s="16" t="n">
        <v>0</v>
      </c>
      <c r="O23" s="16" t="n">
        <f aca="false">L23+M23+N23</f>
        <v>-0.0184125884429352</v>
      </c>
      <c r="P23" s="21" t="n">
        <f aca="false">P22*(1+O23)</f>
        <v>1.66725848978068</v>
      </c>
      <c r="Q23" s="21" t="n">
        <f aca="false">MAX($P$5:P23)</f>
        <v>1.74505993964345</v>
      </c>
      <c r="R23" s="16" t="n">
        <f aca="false">P23/Q23-1</f>
        <v>-0.0445838266613766</v>
      </c>
      <c r="S23" s="16" t="n">
        <f aca="false">O23-Benchmark_RF!D23</f>
        <v>-0.0232340709647379</v>
      </c>
    </row>
    <row r="24" customFormat="false" ht="15" hidden="false" customHeight="true" outlineLevel="0" collapsed="false">
      <c r="A24" s="1" t="n">
        <v>27</v>
      </c>
      <c r="B24" s="13" t="n">
        <f aca="false">Returns!A28</f>
        <v>42795</v>
      </c>
      <c r="C24" s="17" t="n">
        <f aca="false">IF(Rankings!C23&lt;=3,1,0)</f>
        <v>0</v>
      </c>
      <c r="D24" s="17" t="n">
        <f aca="false">IF(Rankings!D23&lt;=3,1,0)</f>
        <v>0</v>
      </c>
      <c r="E24" s="17" t="n">
        <f aca="false">IF(Rankings!E23&lt;=3,1,0)</f>
        <v>0</v>
      </c>
      <c r="F24" s="17" t="n">
        <f aca="false">IF(Rankings!F23&lt;=3,1,0)</f>
        <v>1</v>
      </c>
      <c r="G24" s="17" t="n">
        <f aca="false">IF(Rankings!G23&lt;=3,1,0)</f>
        <v>0</v>
      </c>
      <c r="H24" s="17" t="n">
        <f aca="false">IF(Rankings!H23&lt;=3,1,0)</f>
        <v>0</v>
      </c>
      <c r="I24" s="17" t="n">
        <f aca="false">IF(Rankings!I23&lt;=3,1,0)</f>
        <v>1</v>
      </c>
      <c r="J24" s="17" t="n">
        <f aca="false">IF(Rankings!J23&lt;=3,1,0)</f>
        <v>1</v>
      </c>
      <c r="K24" s="20" t="n">
        <f aca="false">SUM(C24:J24)</f>
        <v>3</v>
      </c>
      <c r="L24" s="16" t="n">
        <f aca="false">SUMPRODUCT(C24:J24,Returns!B28:I28)/K24</f>
        <v>0.0555193411924437</v>
      </c>
      <c r="M24" s="16" t="n">
        <v>0</v>
      </c>
      <c r="N24" s="16" t="n">
        <v>0</v>
      </c>
      <c r="O24" s="16" t="n">
        <f aca="false">L24+M24+N24</f>
        <v>0.0555193411924437</v>
      </c>
      <c r="P24" s="21" t="n">
        <f aca="false">P23*(1+O24)</f>
        <v>1.75982358273081</v>
      </c>
      <c r="Q24" s="21" t="n">
        <f aca="false">MAX($P$5:P24)</f>
        <v>1.75982358273081</v>
      </c>
      <c r="R24" s="16" t="n">
        <f aca="false">P24/Q24-1</f>
        <v>0</v>
      </c>
      <c r="S24" s="16" t="n">
        <f aca="false">O24-Benchmark_RF!D24</f>
        <v>0.0506740710679721</v>
      </c>
    </row>
    <row r="25" customFormat="false" ht="15" hidden="false" customHeight="true" outlineLevel="0" collapsed="false">
      <c r="A25" s="1" t="n">
        <v>28</v>
      </c>
      <c r="B25" s="13" t="n">
        <f aca="false">Returns!A29</f>
        <v>42826</v>
      </c>
      <c r="C25" s="17" t="n">
        <f aca="false">IF(Rankings!C23&lt;=3,1,0)</f>
        <v>0</v>
      </c>
      <c r="D25" s="17" t="n">
        <f aca="false">IF(Rankings!D23&lt;=3,1,0)</f>
        <v>0</v>
      </c>
      <c r="E25" s="17" t="n">
        <f aca="false">IF(Rankings!E23&lt;=3,1,0)</f>
        <v>0</v>
      </c>
      <c r="F25" s="17" t="n">
        <f aca="false">IF(Rankings!F23&lt;=3,1,0)</f>
        <v>1</v>
      </c>
      <c r="G25" s="17" t="n">
        <f aca="false">IF(Rankings!G23&lt;=3,1,0)</f>
        <v>0</v>
      </c>
      <c r="H25" s="17" t="n">
        <f aca="false">IF(Rankings!H23&lt;=3,1,0)</f>
        <v>0</v>
      </c>
      <c r="I25" s="17" t="n">
        <f aca="false">IF(Rankings!I23&lt;=3,1,0)</f>
        <v>1</v>
      </c>
      <c r="J25" s="17" t="n">
        <f aca="false">IF(Rankings!J23&lt;=3,1,0)</f>
        <v>1</v>
      </c>
      <c r="K25" s="20" t="n">
        <f aca="false">SUM(C25:J25)</f>
        <v>3</v>
      </c>
      <c r="L25" s="16" t="n">
        <f aca="false">SUMPRODUCT(C25:J25,Returns!B29:I29)/K25</f>
        <v>0.0898812918853335</v>
      </c>
      <c r="M25" s="16" t="n">
        <v>0</v>
      </c>
      <c r="N25" s="16" t="n">
        <v>0</v>
      </c>
      <c r="O25" s="16" t="n">
        <f aca="false">L25+M25+N25</f>
        <v>0.0898812918853335</v>
      </c>
      <c r="P25" s="21" t="n">
        <f aca="false">P24*(1+O25)</f>
        <v>1.91799879983693</v>
      </c>
      <c r="Q25" s="21" t="n">
        <f aca="false">MAX($P$5:P25)</f>
        <v>1.91799879983693</v>
      </c>
      <c r="R25" s="16" t="n">
        <f aca="false">P25/Q25-1</f>
        <v>0</v>
      </c>
      <c r="S25" s="16" t="n">
        <f aca="false">O25-Benchmark_RF!D25</f>
        <v>0.0850255129325782</v>
      </c>
    </row>
    <row r="26" customFormat="false" ht="15" hidden="false" customHeight="true" outlineLevel="0" collapsed="false">
      <c r="A26" s="1" t="n">
        <v>29</v>
      </c>
      <c r="B26" s="13" t="n">
        <f aca="false">Returns!A30</f>
        <v>42856</v>
      </c>
      <c r="C26" s="17" t="n">
        <f aca="false">IF(Rankings!C23&lt;=3,1,0)</f>
        <v>0</v>
      </c>
      <c r="D26" s="17" t="n">
        <f aca="false">IF(Rankings!D23&lt;=3,1,0)</f>
        <v>0</v>
      </c>
      <c r="E26" s="17" t="n">
        <f aca="false">IF(Rankings!E23&lt;=3,1,0)</f>
        <v>0</v>
      </c>
      <c r="F26" s="17" t="n">
        <f aca="false">IF(Rankings!F23&lt;=3,1,0)</f>
        <v>1</v>
      </c>
      <c r="G26" s="17" t="n">
        <f aca="false">IF(Rankings!G23&lt;=3,1,0)</f>
        <v>0</v>
      </c>
      <c r="H26" s="17" t="n">
        <f aca="false">IF(Rankings!H23&lt;=3,1,0)</f>
        <v>0</v>
      </c>
      <c r="I26" s="17" t="n">
        <f aca="false">IF(Rankings!I23&lt;=3,1,0)</f>
        <v>1</v>
      </c>
      <c r="J26" s="17" t="n">
        <f aca="false">IF(Rankings!J23&lt;=3,1,0)</f>
        <v>1</v>
      </c>
      <c r="K26" s="20" t="n">
        <f aca="false">SUM(C26:J26)</f>
        <v>3</v>
      </c>
      <c r="L26" s="16" t="n">
        <f aca="false">SUMPRODUCT(C26:J26,Returns!B30:I30)/K26</f>
        <v>0.270640393267754</v>
      </c>
      <c r="M26" s="16" t="n">
        <v>0</v>
      </c>
      <c r="N26" s="16" t="n">
        <v>0</v>
      </c>
      <c r="O26" s="16" t="n">
        <f aca="false">L26+M26+N26</f>
        <v>0.270640393267754</v>
      </c>
      <c r="P26" s="21" t="n">
        <f aca="false">P25*(1+O26)</f>
        <v>2.43708674931188</v>
      </c>
      <c r="Q26" s="21" t="n">
        <f aca="false">MAX($P$5:P26)</f>
        <v>2.43708674931188</v>
      </c>
      <c r="R26" s="16" t="n">
        <f aca="false">P26/Q26-1</f>
        <v>0</v>
      </c>
      <c r="S26" s="16" t="n">
        <f aca="false">O26-Benchmark_RF!D26</f>
        <v>0.265784614314999</v>
      </c>
    </row>
    <row r="27" customFormat="false" ht="15" hidden="false" customHeight="true" outlineLevel="0" collapsed="false">
      <c r="A27" s="1" t="n">
        <v>30</v>
      </c>
      <c r="B27" s="13" t="n">
        <f aca="false">Returns!A31</f>
        <v>42887</v>
      </c>
      <c r="C27" s="17" t="n">
        <f aca="false">IF(Rankings!C23&lt;=3,1,0)</f>
        <v>0</v>
      </c>
      <c r="D27" s="17" t="n">
        <f aca="false">IF(Rankings!D23&lt;=3,1,0)</f>
        <v>0</v>
      </c>
      <c r="E27" s="17" t="n">
        <f aca="false">IF(Rankings!E23&lt;=3,1,0)</f>
        <v>0</v>
      </c>
      <c r="F27" s="17" t="n">
        <f aca="false">IF(Rankings!F23&lt;=3,1,0)</f>
        <v>1</v>
      </c>
      <c r="G27" s="17" t="n">
        <f aca="false">IF(Rankings!G23&lt;=3,1,0)</f>
        <v>0</v>
      </c>
      <c r="H27" s="17" t="n">
        <f aca="false">IF(Rankings!H23&lt;=3,1,0)</f>
        <v>0</v>
      </c>
      <c r="I27" s="17" t="n">
        <f aca="false">IF(Rankings!I23&lt;=3,1,0)</f>
        <v>1</v>
      </c>
      <c r="J27" s="17" t="n">
        <f aca="false">IF(Rankings!J23&lt;=3,1,0)</f>
        <v>1</v>
      </c>
      <c r="K27" s="20" t="n">
        <f aca="false">SUM(C27:J27)</f>
        <v>3</v>
      </c>
      <c r="L27" s="16" t="n">
        <f aca="false">SUMPRODUCT(C27:J27,Returns!B31:I31)/K27</f>
        <v>0.076201183254645</v>
      </c>
      <c r="M27" s="16" t="n">
        <v>0</v>
      </c>
      <c r="N27" s="16" t="n">
        <v>0</v>
      </c>
      <c r="O27" s="16" t="n">
        <f aca="false">L27+M27+N27</f>
        <v>0.076201183254645</v>
      </c>
      <c r="P27" s="21" t="n">
        <f aca="false">P26*(1+O27)</f>
        <v>2.62279564330366</v>
      </c>
      <c r="Q27" s="21" t="n">
        <f aca="false">MAX($P$5:P27)</f>
        <v>2.62279564330366</v>
      </c>
      <c r="R27" s="16" t="n">
        <f aca="false">P27/Q27-1</f>
        <v>0</v>
      </c>
      <c r="S27" s="16" t="n">
        <f aca="false">O27-Benchmark_RF!D27</f>
        <v>0.0713407428779143</v>
      </c>
    </row>
    <row r="28" customFormat="false" ht="15" hidden="false" customHeight="true" outlineLevel="0" collapsed="false">
      <c r="A28" s="1" t="n">
        <v>31</v>
      </c>
      <c r="B28" s="13" t="n">
        <f aca="false">Returns!A32</f>
        <v>42917</v>
      </c>
      <c r="C28" s="17" t="n">
        <f aca="false">IF(Rankings!C23&lt;=3,1,0)</f>
        <v>0</v>
      </c>
      <c r="D28" s="17" t="n">
        <f aca="false">IF(Rankings!D23&lt;=3,1,0)</f>
        <v>0</v>
      </c>
      <c r="E28" s="17" t="n">
        <f aca="false">IF(Rankings!E23&lt;=3,1,0)</f>
        <v>0</v>
      </c>
      <c r="F28" s="17" t="n">
        <f aca="false">IF(Rankings!F23&lt;=3,1,0)</f>
        <v>1</v>
      </c>
      <c r="G28" s="17" t="n">
        <f aca="false">IF(Rankings!G23&lt;=3,1,0)</f>
        <v>0</v>
      </c>
      <c r="H28" s="17" t="n">
        <f aca="false">IF(Rankings!H23&lt;=3,1,0)</f>
        <v>0</v>
      </c>
      <c r="I28" s="17" t="n">
        <f aca="false">IF(Rankings!I23&lt;=3,1,0)</f>
        <v>1</v>
      </c>
      <c r="J28" s="17" t="n">
        <f aca="false">IF(Rankings!J23&lt;=3,1,0)</f>
        <v>1</v>
      </c>
      <c r="K28" s="20" t="n">
        <f aca="false">SUM(C28:J28)</f>
        <v>3</v>
      </c>
      <c r="L28" s="16" t="n">
        <f aca="false">SUMPRODUCT(C28:J28,Returns!B32:I32)/K28</f>
        <v>-0.0280798672894424</v>
      </c>
      <c r="M28" s="16" t="n">
        <v>0</v>
      </c>
      <c r="N28" s="16" t="n">
        <v>0</v>
      </c>
      <c r="O28" s="16" t="n">
        <f aca="false">L28+M28+N28</f>
        <v>-0.0280798672894424</v>
      </c>
      <c r="P28" s="21" t="n">
        <f aca="false">P27*(1+O28)</f>
        <v>2.54914788971237</v>
      </c>
      <c r="Q28" s="21" t="n">
        <f aca="false">MAX($P$5:P28)</f>
        <v>2.62279564330366</v>
      </c>
      <c r="R28" s="16" t="n">
        <f aca="false">P28/Q28-1</f>
        <v>-0.0280798672894425</v>
      </c>
      <c r="S28" s="16" t="n">
        <f aca="false">O28-Benchmark_RF!D28</f>
        <v>-0.0329402286609688</v>
      </c>
    </row>
    <row r="29" customFormat="false" ht="15" hidden="false" customHeight="true" outlineLevel="0" collapsed="false">
      <c r="A29" s="1" t="n">
        <v>32</v>
      </c>
      <c r="B29" s="13" t="n">
        <f aca="false">Returns!A33</f>
        <v>42948</v>
      </c>
      <c r="C29" s="17" t="n">
        <f aca="false">IF(Rankings!C35&lt;=3,1,0)</f>
        <v>1</v>
      </c>
      <c r="D29" s="17" t="n">
        <f aca="false">IF(Rankings!D35&lt;=3,1,0)</f>
        <v>0</v>
      </c>
      <c r="E29" s="17" t="n">
        <f aca="false">IF(Rankings!E35&lt;=3,1,0)</f>
        <v>0</v>
      </c>
      <c r="F29" s="17" t="n">
        <f aca="false">IF(Rankings!F35&lt;=3,1,0)</f>
        <v>0</v>
      </c>
      <c r="G29" s="17" t="n">
        <f aca="false">IF(Rankings!G35&lt;=3,1,0)</f>
        <v>0</v>
      </c>
      <c r="H29" s="17" t="n">
        <f aca="false">IF(Rankings!H35&lt;=3,1,0)</f>
        <v>1</v>
      </c>
      <c r="I29" s="17" t="n">
        <f aca="false">IF(Rankings!I35&lt;=3,1,0)</f>
        <v>1</v>
      </c>
      <c r="J29" s="17" t="n">
        <f aca="false">IF(Rankings!J35&lt;=3,1,0)</f>
        <v>0</v>
      </c>
      <c r="K29" s="20" t="n">
        <f aca="false">SUM(C29:J29)</f>
        <v>3</v>
      </c>
      <c r="L29" s="16" t="n">
        <f aca="false">SUMPRODUCT(C29:J29,Returns!B33:I33)/K29</f>
        <v>-0.174469149048491</v>
      </c>
      <c r="M29" s="16" t="n">
        <f aca="false">-2*Assumptions!$B$13</f>
        <v>-0.007</v>
      </c>
      <c r="N29" s="16" t="n">
        <f aca="false">-Assumptions!$B$16*MAX(0,(1+O17)*(1+O18)*(1+O19)*(1+O20)*(1+O21)*(1+O22)*(1+O23)*(1+O24)*(1+O25)*(1+O26)*(1+O27)*(1+O28)-1)</f>
        <v>-0.225342669094756</v>
      </c>
      <c r="O29" s="16" t="n">
        <f aca="false">L29+M29+N29</f>
        <v>-0.406811818143247</v>
      </c>
      <c r="P29" s="21" t="n">
        <f aca="false">P28*(1+O29)</f>
        <v>1.51212440198246</v>
      </c>
      <c r="Q29" s="21" t="n">
        <f aca="false">MAX($P$5:P29)</f>
        <v>2.62279564330366</v>
      </c>
      <c r="R29" s="16" t="n">
        <f aca="false">P29/Q29-1</f>
        <v>-0.42346846356745</v>
      </c>
      <c r="S29" s="16" t="n">
        <f aca="false">O29-Benchmark_RF!D29</f>
        <v>-0.411671626476429</v>
      </c>
    </row>
    <row r="30" customFormat="false" ht="15" hidden="false" customHeight="true" outlineLevel="0" collapsed="false">
      <c r="A30" s="1" t="n">
        <v>33</v>
      </c>
      <c r="B30" s="13" t="n">
        <f aca="false">Returns!A34</f>
        <v>42979</v>
      </c>
      <c r="C30" s="17" t="n">
        <f aca="false">IF(Rankings!C35&lt;=3,1,0)</f>
        <v>1</v>
      </c>
      <c r="D30" s="17" t="n">
        <f aca="false">IF(Rankings!D35&lt;=3,1,0)</f>
        <v>0</v>
      </c>
      <c r="E30" s="17" t="n">
        <f aca="false">IF(Rankings!E35&lt;=3,1,0)</f>
        <v>0</v>
      </c>
      <c r="F30" s="17" t="n">
        <f aca="false">IF(Rankings!F35&lt;=3,1,0)</f>
        <v>0</v>
      </c>
      <c r="G30" s="17" t="n">
        <f aca="false">IF(Rankings!G35&lt;=3,1,0)</f>
        <v>0</v>
      </c>
      <c r="H30" s="17" t="n">
        <f aca="false">IF(Rankings!H35&lt;=3,1,0)</f>
        <v>1</v>
      </c>
      <c r="I30" s="17" t="n">
        <f aca="false">IF(Rankings!I35&lt;=3,1,0)</f>
        <v>1</v>
      </c>
      <c r="J30" s="17" t="n">
        <f aca="false">IF(Rankings!J35&lt;=3,1,0)</f>
        <v>0</v>
      </c>
      <c r="K30" s="20" t="n">
        <f aca="false">SUM(C30:J30)</f>
        <v>3</v>
      </c>
      <c r="L30" s="16" t="n">
        <f aca="false">SUMPRODUCT(C30:J30,Returns!B34:I34)/K30</f>
        <v>0.0854444000340889</v>
      </c>
      <c r="M30" s="16" t="n">
        <v>0</v>
      </c>
      <c r="N30" s="16" t="n">
        <v>0</v>
      </c>
      <c r="O30" s="16" t="n">
        <f aca="false">L30+M30+N30</f>
        <v>0.0854444000340889</v>
      </c>
      <c r="P30" s="21" t="n">
        <f aca="false">P29*(1+O30)</f>
        <v>1.64132696428675</v>
      </c>
      <c r="Q30" s="21" t="n">
        <f aca="false">MAX($P$5:P30)</f>
        <v>2.62279564330366</v>
      </c>
      <c r="R30" s="16" t="n">
        <f aca="false">P30/Q30-1</f>
        <v>-0.37420707233624</v>
      </c>
      <c r="S30" s="16" t="n">
        <f aca="false">O30-Benchmark_RF!D30</f>
        <v>0.0805839596573582</v>
      </c>
    </row>
    <row r="31" customFormat="false" ht="15" hidden="false" customHeight="true" outlineLevel="0" collapsed="false">
      <c r="A31" s="1" t="n">
        <v>34</v>
      </c>
      <c r="B31" s="13" t="n">
        <f aca="false">Returns!A35</f>
        <v>43009</v>
      </c>
      <c r="C31" s="17" t="n">
        <f aca="false">IF(Rankings!C35&lt;=3,1,0)</f>
        <v>1</v>
      </c>
      <c r="D31" s="17" t="n">
        <f aca="false">IF(Rankings!D35&lt;=3,1,0)</f>
        <v>0</v>
      </c>
      <c r="E31" s="17" t="n">
        <f aca="false">IF(Rankings!E35&lt;=3,1,0)</f>
        <v>0</v>
      </c>
      <c r="F31" s="17" t="n">
        <f aca="false">IF(Rankings!F35&lt;=3,1,0)</f>
        <v>0</v>
      </c>
      <c r="G31" s="17" t="n">
        <f aca="false">IF(Rankings!G35&lt;=3,1,0)</f>
        <v>0</v>
      </c>
      <c r="H31" s="17" t="n">
        <f aca="false">IF(Rankings!H35&lt;=3,1,0)</f>
        <v>1</v>
      </c>
      <c r="I31" s="17" t="n">
        <f aca="false">IF(Rankings!I35&lt;=3,1,0)</f>
        <v>1</v>
      </c>
      <c r="J31" s="17" t="n">
        <f aca="false">IF(Rankings!J35&lt;=3,1,0)</f>
        <v>0</v>
      </c>
      <c r="K31" s="20" t="n">
        <f aca="false">SUM(C31:J31)</f>
        <v>3</v>
      </c>
      <c r="L31" s="16" t="n">
        <f aca="false">SUMPRODUCT(C31:J31,Returns!B35:I35)/K31</f>
        <v>-0.0417851280120312</v>
      </c>
      <c r="M31" s="16" t="n">
        <v>0</v>
      </c>
      <c r="N31" s="16" t="n">
        <v>0</v>
      </c>
      <c r="O31" s="16" t="n">
        <f aca="false">L31+M31+N31</f>
        <v>-0.0417851280120312</v>
      </c>
      <c r="P31" s="21" t="n">
        <f aca="false">P30*(1+O31)</f>
        <v>1.57274390697443</v>
      </c>
      <c r="Q31" s="21" t="n">
        <f aca="false">MAX($P$5:P31)</f>
        <v>2.62279564330366</v>
      </c>
      <c r="R31" s="16" t="n">
        <f aca="false">P31/Q31-1</f>
        <v>-0.400355909927694</v>
      </c>
      <c r="S31" s="16" t="n">
        <f aca="false">O31-Benchmark_RF!D31</f>
        <v>-0.0466455683887619</v>
      </c>
    </row>
    <row r="32" customFormat="false" ht="15" hidden="false" customHeight="true" outlineLevel="0" collapsed="false">
      <c r="A32" s="1" t="n">
        <v>35</v>
      </c>
      <c r="B32" s="13" t="n">
        <f aca="false">Returns!A36</f>
        <v>43040</v>
      </c>
      <c r="C32" s="17" t="n">
        <f aca="false">IF(Rankings!C35&lt;=3,1,0)</f>
        <v>1</v>
      </c>
      <c r="D32" s="17" t="n">
        <f aca="false">IF(Rankings!D35&lt;=3,1,0)</f>
        <v>0</v>
      </c>
      <c r="E32" s="17" t="n">
        <f aca="false">IF(Rankings!E35&lt;=3,1,0)</f>
        <v>0</v>
      </c>
      <c r="F32" s="17" t="n">
        <f aca="false">IF(Rankings!F35&lt;=3,1,0)</f>
        <v>0</v>
      </c>
      <c r="G32" s="17" t="n">
        <f aca="false">IF(Rankings!G35&lt;=3,1,0)</f>
        <v>0</v>
      </c>
      <c r="H32" s="17" t="n">
        <f aca="false">IF(Rankings!H35&lt;=3,1,0)</f>
        <v>1</v>
      </c>
      <c r="I32" s="17" t="n">
        <f aca="false">IF(Rankings!I35&lt;=3,1,0)</f>
        <v>1</v>
      </c>
      <c r="J32" s="17" t="n">
        <f aca="false">IF(Rankings!J35&lt;=3,1,0)</f>
        <v>0</v>
      </c>
      <c r="K32" s="20" t="n">
        <f aca="false">SUM(C32:J32)</f>
        <v>3</v>
      </c>
      <c r="L32" s="16" t="n">
        <f aca="false">SUMPRODUCT(C32:J32,Returns!B36:I36)/K32</f>
        <v>0.198663953853108</v>
      </c>
      <c r="M32" s="16" t="n">
        <v>0</v>
      </c>
      <c r="N32" s="16" t="n">
        <v>0</v>
      </c>
      <c r="O32" s="16" t="n">
        <f aca="false">L32+M32+N32</f>
        <v>0.198663953853108</v>
      </c>
      <c r="P32" s="21" t="n">
        <f aca="false">P31*(1+O32)</f>
        <v>1.88519142993236</v>
      </c>
      <c r="Q32" s="21" t="n">
        <f aca="false">MAX($P$5:P32)</f>
        <v>2.62279564330366</v>
      </c>
      <c r="R32" s="16" t="n">
        <f aca="false">P32/Q32-1</f>
        <v>-0.28122824408928</v>
      </c>
      <c r="S32" s="16" t="n">
        <f aca="false">O32-Benchmark_RF!D32</f>
        <v>0.193803592481582</v>
      </c>
    </row>
    <row r="33" customFormat="false" ht="15" hidden="false" customHeight="true" outlineLevel="0" collapsed="false">
      <c r="A33" s="1" t="n">
        <v>36</v>
      </c>
      <c r="B33" s="13" t="n">
        <f aca="false">Returns!A37</f>
        <v>43070</v>
      </c>
      <c r="C33" s="17" t="n">
        <f aca="false">IF(Rankings!C35&lt;=3,1,0)</f>
        <v>1</v>
      </c>
      <c r="D33" s="17" t="n">
        <f aca="false">IF(Rankings!D35&lt;=3,1,0)</f>
        <v>0</v>
      </c>
      <c r="E33" s="17" t="n">
        <f aca="false">IF(Rankings!E35&lt;=3,1,0)</f>
        <v>0</v>
      </c>
      <c r="F33" s="17" t="n">
        <f aca="false">IF(Rankings!F35&lt;=3,1,0)</f>
        <v>0</v>
      </c>
      <c r="G33" s="17" t="n">
        <f aca="false">IF(Rankings!G35&lt;=3,1,0)</f>
        <v>0</v>
      </c>
      <c r="H33" s="17" t="n">
        <f aca="false">IF(Rankings!H35&lt;=3,1,0)</f>
        <v>1</v>
      </c>
      <c r="I33" s="17" t="n">
        <f aca="false">IF(Rankings!I35&lt;=3,1,0)</f>
        <v>1</v>
      </c>
      <c r="J33" s="17" t="n">
        <f aca="false">IF(Rankings!J35&lt;=3,1,0)</f>
        <v>0</v>
      </c>
      <c r="K33" s="20" t="n">
        <f aca="false">SUM(C33:J33)</f>
        <v>3</v>
      </c>
      <c r="L33" s="16" t="n">
        <f aca="false">SUMPRODUCT(C33:J33,Returns!B37:I37)/K33</f>
        <v>-0.00541163057791246</v>
      </c>
      <c r="M33" s="16" t="n">
        <v>0</v>
      </c>
      <c r="N33" s="16" t="n">
        <v>0</v>
      </c>
      <c r="O33" s="16" t="n">
        <f aca="false">L33+M33+N33</f>
        <v>-0.00541163057791246</v>
      </c>
      <c r="P33" s="21" t="n">
        <f aca="false">P32*(1+O33)</f>
        <v>1.87498947034492</v>
      </c>
      <c r="Q33" s="21" t="n">
        <f aca="false">MAX($P$5:P33)</f>
        <v>2.62279564330366</v>
      </c>
      <c r="R33" s="16" t="n">
        <f aca="false">P33/Q33-1</f>
        <v>-0.285117971302106</v>
      </c>
      <c r="S33" s="16" t="n">
        <f aca="false">O33-Benchmark_RF!D33</f>
        <v>-0.0102720709546432</v>
      </c>
    </row>
    <row r="34" customFormat="false" ht="15" hidden="false" customHeight="true" outlineLevel="0" collapsed="false">
      <c r="A34" s="1" t="n">
        <v>37</v>
      </c>
      <c r="B34" s="13" t="n">
        <f aca="false">Returns!A38</f>
        <v>43101</v>
      </c>
      <c r="C34" s="17" t="n">
        <f aca="false">IF(Rankings!C35&lt;=3,1,0)</f>
        <v>1</v>
      </c>
      <c r="D34" s="17" t="n">
        <f aca="false">IF(Rankings!D35&lt;=3,1,0)</f>
        <v>0</v>
      </c>
      <c r="E34" s="17" t="n">
        <f aca="false">IF(Rankings!E35&lt;=3,1,0)</f>
        <v>0</v>
      </c>
      <c r="F34" s="17" t="n">
        <f aca="false">IF(Rankings!F35&lt;=3,1,0)</f>
        <v>0</v>
      </c>
      <c r="G34" s="17" t="n">
        <f aca="false">IF(Rankings!G35&lt;=3,1,0)</f>
        <v>0</v>
      </c>
      <c r="H34" s="17" t="n">
        <f aca="false">IF(Rankings!H35&lt;=3,1,0)</f>
        <v>1</v>
      </c>
      <c r="I34" s="17" t="n">
        <f aca="false">IF(Rankings!I35&lt;=3,1,0)</f>
        <v>1</v>
      </c>
      <c r="J34" s="17" t="n">
        <f aca="false">IF(Rankings!J35&lt;=3,1,0)</f>
        <v>0</v>
      </c>
      <c r="K34" s="20" t="n">
        <f aca="false">SUM(C34:J34)</f>
        <v>3</v>
      </c>
      <c r="L34" s="16" t="n">
        <f aca="false">SUMPRODUCT(C34:J34,Returns!B38:I38)/K34</f>
        <v>0.0438907120904307</v>
      </c>
      <c r="M34" s="16" t="n">
        <v>0</v>
      </c>
      <c r="N34" s="16" t="n">
        <v>0</v>
      </c>
      <c r="O34" s="16" t="n">
        <f aca="false">L34+M34+N34</f>
        <v>0.0438907120904307</v>
      </c>
      <c r="P34" s="21" t="n">
        <f aca="false">P33*(1+O34)</f>
        <v>1.95728409336042</v>
      </c>
      <c r="Q34" s="21" t="n">
        <f aca="false">MAX($P$5:P34)</f>
        <v>2.62279564330366</v>
      </c>
      <c r="R34" s="16" t="n">
        <f aca="false">P34/Q34-1</f>
        <v>-0.253741290001904</v>
      </c>
      <c r="S34" s="16" t="n">
        <f aca="false">O34-Benchmark_RF!D34</f>
        <v>0.0388652999515945</v>
      </c>
    </row>
    <row r="35" customFormat="false" ht="15" hidden="false" customHeight="true" outlineLevel="0" collapsed="false">
      <c r="A35" s="1" t="n">
        <v>38</v>
      </c>
      <c r="B35" s="13" t="n">
        <f aca="false">Returns!A39</f>
        <v>43132</v>
      </c>
      <c r="C35" s="17" t="n">
        <f aca="false">IF(Rankings!C35&lt;=3,1,0)</f>
        <v>1</v>
      </c>
      <c r="D35" s="17" t="n">
        <f aca="false">IF(Rankings!D35&lt;=3,1,0)</f>
        <v>0</v>
      </c>
      <c r="E35" s="17" t="n">
        <f aca="false">IF(Rankings!E35&lt;=3,1,0)</f>
        <v>0</v>
      </c>
      <c r="F35" s="17" t="n">
        <f aca="false">IF(Rankings!F35&lt;=3,1,0)</f>
        <v>0</v>
      </c>
      <c r="G35" s="17" t="n">
        <f aca="false">IF(Rankings!G35&lt;=3,1,0)</f>
        <v>0</v>
      </c>
      <c r="H35" s="17" t="n">
        <f aca="false">IF(Rankings!H35&lt;=3,1,0)</f>
        <v>1</v>
      </c>
      <c r="I35" s="17" t="n">
        <f aca="false">IF(Rankings!I35&lt;=3,1,0)</f>
        <v>1</v>
      </c>
      <c r="J35" s="17" t="n">
        <f aca="false">IF(Rankings!J35&lt;=3,1,0)</f>
        <v>0</v>
      </c>
      <c r="K35" s="20" t="n">
        <f aca="false">SUM(C35:J35)</f>
        <v>3</v>
      </c>
      <c r="L35" s="16" t="n">
        <f aca="false">SUMPRODUCT(C35:J35,Returns!B39:I39)/K35</f>
        <v>0.00640017013773212</v>
      </c>
      <c r="M35" s="16" t="n">
        <v>0</v>
      </c>
      <c r="N35" s="16" t="n">
        <v>0</v>
      </c>
      <c r="O35" s="16" t="n">
        <f aca="false">L35+M35+N35</f>
        <v>0.00640017013773212</v>
      </c>
      <c r="P35" s="21" t="n">
        <f aca="false">P34*(1+O35)</f>
        <v>1.9698110445658</v>
      </c>
      <c r="Q35" s="21" t="n">
        <f aca="false">MAX($P$5:P35)</f>
        <v>2.62279564330366</v>
      </c>
      <c r="R35" s="16" t="n">
        <f aca="false">P35/Q35-1</f>
        <v>-0.248965107291152</v>
      </c>
      <c r="S35" s="16" t="n">
        <f aca="false">O35-Benchmark_RF!D35</f>
        <v>0.00134936775885723</v>
      </c>
    </row>
    <row r="36" customFormat="false" ht="15" hidden="false" customHeight="true" outlineLevel="0" collapsed="false">
      <c r="A36" s="1" t="n">
        <v>39</v>
      </c>
      <c r="B36" s="13" t="n">
        <f aca="false">Returns!A40</f>
        <v>43160</v>
      </c>
      <c r="C36" s="17" t="n">
        <f aca="false">IF(Rankings!C35&lt;=3,1,0)</f>
        <v>1</v>
      </c>
      <c r="D36" s="17" t="n">
        <f aca="false">IF(Rankings!D35&lt;=3,1,0)</f>
        <v>0</v>
      </c>
      <c r="E36" s="17" t="n">
        <f aca="false">IF(Rankings!E35&lt;=3,1,0)</f>
        <v>0</v>
      </c>
      <c r="F36" s="17" t="n">
        <f aca="false">IF(Rankings!F35&lt;=3,1,0)</f>
        <v>0</v>
      </c>
      <c r="G36" s="17" t="n">
        <f aca="false">IF(Rankings!G35&lt;=3,1,0)</f>
        <v>0</v>
      </c>
      <c r="H36" s="17" t="n">
        <f aca="false">IF(Rankings!H35&lt;=3,1,0)</f>
        <v>1</v>
      </c>
      <c r="I36" s="17" t="n">
        <f aca="false">IF(Rankings!I35&lt;=3,1,0)</f>
        <v>1</v>
      </c>
      <c r="J36" s="17" t="n">
        <f aca="false">IF(Rankings!J35&lt;=3,1,0)</f>
        <v>0</v>
      </c>
      <c r="K36" s="20" t="n">
        <f aca="false">SUM(C36:J36)</f>
        <v>3</v>
      </c>
      <c r="L36" s="16" t="n">
        <f aca="false">SUMPRODUCT(C36:J36,Returns!B40:I40)/K36</f>
        <v>0.16258681096176</v>
      </c>
      <c r="M36" s="16" t="n">
        <v>0</v>
      </c>
      <c r="N36" s="16" t="n">
        <v>0</v>
      </c>
      <c r="O36" s="16" t="n">
        <f aca="false">L36+M36+N36</f>
        <v>0.16258681096176</v>
      </c>
      <c r="P36" s="21" t="n">
        <f aca="false">P35*(1+O36)</f>
        <v>2.29007634049901</v>
      </c>
      <c r="Q36" s="21" t="n">
        <f aca="false">MAX($P$5:P36)</f>
        <v>2.62279564330366</v>
      </c>
      <c r="R36" s="16" t="n">
        <f aca="false">P36/Q36-1</f>
        <v>-0.126856739164613</v>
      </c>
      <c r="S36" s="16" t="n">
        <f aca="false">O36-Benchmark_RF!D36</f>
        <v>0.157514802889644</v>
      </c>
    </row>
    <row r="37" customFormat="false" ht="15" hidden="false" customHeight="true" outlineLevel="0" collapsed="false">
      <c r="A37" s="1" t="n">
        <v>40</v>
      </c>
      <c r="B37" s="13" t="n">
        <f aca="false">Returns!A41</f>
        <v>43191</v>
      </c>
      <c r="C37" s="17" t="n">
        <f aca="false">IF(Rankings!C35&lt;=3,1,0)</f>
        <v>1</v>
      </c>
      <c r="D37" s="17" t="n">
        <f aca="false">IF(Rankings!D35&lt;=3,1,0)</f>
        <v>0</v>
      </c>
      <c r="E37" s="17" t="n">
        <f aca="false">IF(Rankings!E35&lt;=3,1,0)</f>
        <v>0</v>
      </c>
      <c r="F37" s="17" t="n">
        <f aca="false">IF(Rankings!F35&lt;=3,1,0)</f>
        <v>0</v>
      </c>
      <c r="G37" s="17" t="n">
        <f aca="false">IF(Rankings!G35&lt;=3,1,0)</f>
        <v>0</v>
      </c>
      <c r="H37" s="17" t="n">
        <f aca="false">IF(Rankings!H35&lt;=3,1,0)</f>
        <v>1</v>
      </c>
      <c r="I37" s="17" t="n">
        <f aca="false">IF(Rankings!I35&lt;=3,1,0)</f>
        <v>1</v>
      </c>
      <c r="J37" s="17" t="n">
        <f aca="false">IF(Rankings!J35&lt;=3,1,0)</f>
        <v>0</v>
      </c>
      <c r="K37" s="20" t="n">
        <f aca="false">SUM(C37:J37)</f>
        <v>3</v>
      </c>
      <c r="L37" s="16" t="n">
        <f aca="false">SUMPRODUCT(C37:J37,Returns!B41:I41)/K37</f>
        <v>0.00174644939924751</v>
      </c>
      <c r="M37" s="16" t="n">
        <v>0</v>
      </c>
      <c r="N37" s="16" t="n">
        <v>0</v>
      </c>
      <c r="O37" s="16" t="n">
        <f aca="false">L37+M37+N37</f>
        <v>0.00174644939924751</v>
      </c>
      <c r="P37" s="21" t="n">
        <f aca="false">P36*(1+O37)</f>
        <v>2.2940758429481</v>
      </c>
      <c r="Q37" s="21" t="n">
        <f aca="false">MAX($P$5:P37)</f>
        <v>2.62279564330366</v>
      </c>
      <c r="R37" s="16" t="n">
        <f aca="false">P37/Q37-1</f>
        <v>-0.12533183864127</v>
      </c>
      <c r="S37" s="16" t="n">
        <f aca="false">O37-Benchmark_RF!D37</f>
        <v>-0.00330805841842585</v>
      </c>
    </row>
    <row r="38" customFormat="false" ht="15" hidden="false" customHeight="true" outlineLevel="0" collapsed="false">
      <c r="A38" s="1" t="n">
        <v>41</v>
      </c>
      <c r="B38" s="13" t="n">
        <f aca="false">Returns!A42</f>
        <v>43221</v>
      </c>
      <c r="C38" s="17" t="n">
        <f aca="false">IF(Rankings!C35&lt;=3,1,0)</f>
        <v>1</v>
      </c>
      <c r="D38" s="17" t="n">
        <f aca="false">IF(Rankings!D35&lt;=3,1,0)</f>
        <v>0</v>
      </c>
      <c r="E38" s="17" t="n">
        <f aca="false">IF(Rankings!E35&lt;=3,1,0)</f>
        <v>0</v>
      </c>
      <c r="F38" s="17" t="n">
        <f aca="false">IF(Rankings!F35&lt;=3,1,0)</f>
        <v>0</v>
      </c>
      <c r="G38" s="17" t="n">
        <f aca="false">IF(Rankings!G35&lt;=3,1,0)</f>
        <v>0</v>
      </c>
      <c r="H38" s="17" t="n">
        <f aca="false">IF(Rankings!H35&lt;=3,1,0)</f>
        <v>1</v>
      </c>
      <c r="I38" s="17" t="n">
        <f aca="false">IF(Rankings!I35&lt;=3,1,0)</f>
        <v>1</v>
      </c>
      <c r="J38" s="17" t="n">
        <f aca="false">IF(Rankings!J35&lt;=3,1,0)</f>
        <v>0</v>
      </c>
      <c r="K38" s="20" t="n">
        <f aca="false">SUM(C38:J38)</f>
        <v>3</v>
      </c>
      <c r="L38" s="16" t="n">
        <f aca="false">SUMPRODUCT(C38:J38,Returns!B42:I42)/K38</f>
        <v>0.00552686656571329</v>
      </c>
      <c r="M38" s="16" t="n">
        <v>0</v>
      </c>
      <c r="N38" s="16" t="n">
        <v>0</v>
      </c>
      <c r="O38" s="16" t="n">
        <f aca="false">L38+M38+N38</f>
        <v>0.00552686656571329</v>
      </c>
      <c r="P38" s="21" t="n">
        <f aca="false">P37*(1+O38)</f>
        <v>2.3067548940237</v>
      </c>
      <c r="Q38" s="21" t="n">
        <f aca="false">MAX($P$5:P38)</f>
        <v>2.62279564330366</v>
      </c>
      <c r="R38" s="16" t="n">
        <f aca="false">P38/Q38-1</f>
        <v>-0.120497664424162</v>
      </c>
      <c r="S38" s="16" t="n">
        <f aca="false">O38-Benchmark_RF!D38</f>
        <v>0.000455331429379331</v>
      </c>
    </row>
    <row r="39" customFormat="false" ht="15" hidden="false" customHeight="true" outlineLevel="0" collapsed="false">
      <c r="A39" s="1" t="n">
        <v>42</v>
      </c>
      <c r="B39" s="13" t="n">
        <f aca="false">Returns!A43</f>
        <v>43252</v>
      </c>
      <c r="C39" s="17" t="n">
        <f aca="false">IF(Rankings!C35&lt;=3,1,0)</f>
        <v>1</v>
      </c>
      <c r="D39" s="17" t="n">
        <f aca="false">IF(Rankings!D35&lt;=3,1,0)</f>
        <v>0</v>
      </c>
      <c r="E39" s="17" t="n">
        <f aca="false">IF(Rankings!E35&lt;=3,1,0)</f>
        <v>0</v>
      </c>
      <c r="F39" s="17" t="n">
        <f aca="false">IF(Rankings!F35&lt;=3,1,0)</f>
        <v>0</v>
      </c>
      <c r="G39" s="17" t="n">
        <f aca="false">IF(Rankings!G35&lt;=3,1,0)</f>
        <v>0</v>
      </c>
      <c r="H39" s="17" t="n">
        <f aca="false">IF(Rankings!H35&lt;=3,1,0)</f>
        <v>1</v>
      </c>
      <c r="I39" s="17" t="n">
        <f aca="false">IF(Rankings!I35&lt;=3,1,0)</f>
        <v>1</v>
      </c>
      <c r="J39" s="17" t="n">
        <f aca="false">IF(Rankings!J35&lt;=3,1,0)</f>
        <v>0</v>
      </c>
      <c r="K39" s="20" t="n">
        <f aca="false">SUM(C39:J39)</f>
        <v>3</v>
      </c>
      <c r="L39" s="16" t="n">
        <f aca="false">SUMPRODUCT(C39:J39,Returns!B43:I43)/K39</f>
        <v>0.0131532733999149</v>
      </c>
      <c r="M39" s="16" t="n">
        <v>0</v>
      </c>
      <c r="N39" s="16" t="n">
        <v>0</v>
      </c>
      <c r="O39" s="16" t="n">
        <f aca="false">L39+M39+N39</f>
        <v>0.0131532733999149</v>
      </c>
      <c r="P39" s="21" t="n">
        <f aca="false">P38*(1+O39)</f>
        <v>2.33709627181139</v>
      </c>
      <c r="Q39" s="21" t="n">
        <f aca="false">MAX($P$5:P39)</f>
        <v>2.62279564330366</v>
      </c>
      <c r="R39" s="16" t="n">
        <f aca="false">P39/Q39-1</f>
        <v>-0.108929329748469</v>
      </c>
      <c r="S39" s="16" t="n">
        <f aca="false">O39-Benchmark_RF!D39</f>
        <v>0.00768768668796719</v>
      </c>
    </row>
    <row r="40" customFormat="false" ht="15" hidden="false" customHeight="true" outlineLevel="0" collapsed="false">
      <c r="A40" s="1" t="n">
        <v>43</v>
      </c>
      <c r="B40" s="13" t="n">
        <f aca="false">Returns!A44</f>
        <v>43282</v>
      </c>
      <c r="C40" s="17" t="n">
        <f aca="false">IF(Rankings!C35&lt;=3,1,0)</f>
        <v>1</v>
      </c>
      <c r="D40" s="17" t="n">
        <f aca="false">IF(Rankings!D35&lt;=3,1,0)</f>
        <v>0</v>
      </c>
      <c r="E40" s="17" t="n">
        <f aca="false">IF(Rankings!E35&lt;=3,1,0)</f>
        <v>0</v>
      </c>
      <c r="F40" s="17" t="n">
        <f aca="false">IF(Rankings!F35&lt;=3,1,0)</f>
        <v>0</v>
      </c>
      <c r="G40" s="17" t="n">
        <f aca="false">IF(Rankings!G35&lt;=3,1,0)</f>
        <v>0</v>
      </c>
      <c r="H40" s="17" t="n">
        <f aca="false">IF(Rankings!H35&lt;=3,1,0)</f>
        <v>1</v>
      </c>
      <c r="I40" s="17" t="n">
        <f aca="false">IF(Rankings!I35&lt;=3,1,0)</f>
        <v>1</v>
      </c>
      <c r="J40" s="17" t="n">
        <f aca="false">IF(Rankings!J35&lt;=3,1,0)</f>
        <v>0</v>
      </c>
      <c r="K40" s="20" t="n">
        <f aca="false">SUM(C40:J40)</f>
        <v>3</v>
      </c>
      <c r="L40" s="16" t="n">
        <f aca="false">SUMPRODUCT(C40:J40,Returns!B44:I44)/K40</f>
        <v>0.0353443201961799</v>
      </c>
      <c r="M40" s="16" t="n">
        <v>0</v>
      </c>
      <c r="N40" s="16" t="n">
        <v>0</v>
      </c>
      <c r="O40" s="16" t="n">
        <f aca="false">L40+M40+N40</f>
        <v>0.0353443201961799</v>
      </c>
      <c r="P40" s="21" t="n">
        <f aca="false">P39*(1+O40)</f>
        <v>2.41969935077159</v>
      </c>
      <c r="Q40" s="21" t="n">
        <f aca="false">MAX($P$5:P40)</f>
        <v>2.62279564330366</v>
      </c>
      <c r="R40" s="16" t="n">
        <f aca="false">P40/Q40-1</f>
        <v>-0.0774350426616748</v>
      </c>
      <c r="S40" s="16" t="n">
        <f aca="false">O40-Benchmark_RF!D40</f>
        <v>0.0291269764031297</v>
      </c>
    </row>
    <row r="41" customFormat="false" ht="15" hidden="false" customHeight="true" outlineLevel="0" collapsed="false">
      <c r="A41" s="1" t="n">
        <v>44</v>
      </c>
      <c r="B41" s="13" t="n">
        <f aca="false">Returns!A45</f>
        <v>43313</v>
      </c>
      <c r="C41" s="17" t="n">
        <f aca="false">IF(Rankings!C47&lt;=3,1,0)</f>
        <v>1</v>
      </c>
      <c r="D41" s="17" t="n">
        <f aca="false">IF(Rankings!D47&lt;=3,1,0)</f>
        <v>1</v>
      </c>
      <c r="E41" s="17" t="n">
        <f aca="false">IF(Rankings!E47&lt;=3,1,0)</f>
        <v>0</v>
      </c>
      <c r="F41" s="17" t="n">
        <f aca="false">IF(Rankings!F47&lt;=3,1,0)</f>
        <v>0</v>
      </c>
      <c r="G41" s="17" t="n">
        <f aca="false">IF(Rankings!G47&lt;=3,1,0)</f>
        <v>0</v>
      </c>
      <c r="H41" s="17" t="n">
        <f aca="false">IF(Rankings!H47&lt;=3,1,0)</f>
        <v>1</v>
      </c>
      <c r="I41" s="17" t="n">
        <f aca="false">IF(Rankings!I47&lt;=3,1,0)</f>
        <v>0</v>
      </c>
      <c r="J41" s="17" t="n">
        <f aca="false">IF(Rankings!J47&lt;=3,1,0)</f>
        <v>0</v>
      </c>
      <c r="K41" s="20" t="n">
        <f aca="false">SUM(C41:J41)</f>
        <v>3</v>
      </c>
      <c r="L41" s="16" t="n">
        <f aca="false">SUMPRODUCT(C41:J41,Returns!B45:I45)/K41</f>
        <v>0.0116891494674037</v>
      </c>
      <c r="M41" s="16" t="n">
        <f aca="false">-2*Assumptions!$B$13</f>
        <v>-0.007</v>
      </c>
      <c r="N41" s="16" t="n">
        <f aca="false">-Assumptions!$B$16*MAX(0,(1+O29)*(1+O30)*(1+O31)*(1+O32)*(1+O33)*(1+O34)*(1+O35)*(1+O36)*(1+O37)*(1+O38)*(1+O39)*(1+O40)-1)</f>
        <v>-0</v>
      </c>
      <c r="O41" s="16" t="n">
        <f aca="false">L41+M41+N41</f>
        <v>0.00468914946740366</v>
      </c>
      <c r="P41" s="21" t="n">
        <f aca="false">P40*(1+O41)</f>
        <v>2.43104568269353</v>
      </c>
      <c r="Q41" s="21" t="n">
        <f aca="false">MAX($P$5:P41)</f>
        <v>2.62279564330366</v>
      </c>
      <c r="R41" s="16" t="n">
        <f aca="false">P41/Q41-1</f>
        <v>-0.0731089976833264</v>
      </c>
      <c r="S41" s="16" t="n">
        <f aca="false">O41-Benchmark_RF!D41</f>
        <v>-0.00155053199388207</v>
      </c>
    </row>
    <row r="42" customFormat="false" ht="15" hidden="false" customHeight="true" outlineLevel="0" collapsed="false">
      <c r="A42" s="1" t="n">
        <v>45</v>
      </c>
      <c r="B42" s="13" t="n">
        <f aca="false">Returns!A46</f>
        <v>43344</v>
      </c>
      <c r="C42" s="17" t="n">
        <f aca="false">IF(Rankings!C47&lt;=3,1,0)</f>
        <v>1</v>
      </c>
      <c r="D42" s="17" t="n">
        <f aca="false">IF(Rankings!D47&lt;=3,1,0)</f>
        <v>1</v>
      </c>
      <c r="E42" s="17" t="n">
        <f aca="false">IF(Rankings!E47&lt;=3,1,0)</f>
        <v>0</v>
      </c>
      <c r="F42" s="17" t="n">
        <f aca="false">IF(Rankings!F47&lt;=3,1,0)</f>
        <v>0</v>
      </c>
      <c r="G42" s="17" t="n">
        <f aca="false">IF(Rankings!G47&lt;=3,1,0)</f>
        <v>0</v>
      </c>
      <c r="H42" s="17" t="n">
        <f aca="false">IF(Rankings!H47&lt;=3,1,0)</f>
        <v>1</v>
      </c>
      <c r="I42" s="17" t="n">
        <f aca="false">IF(Rankings!I47&lt;=3,1,0)</f>
        <v>0</v>
      </c>
      <c r="J42" s="17" t="n">
        <f aca="false">IF(Rankings!J47&lt;=3,1,0)</f>
        <v>0</v>
      </c>
      <c r="K42" s="20" t="n">
        <f aca="false">SUM(C42:J42)</f>
        <v>3</v>
      </c>
      <c r="L42" s="16" t="n">
        <f aca="false">SUMPRODUCT(C42:J42,Returns!B46:I46)/K42</f>
        <v>0.0170046286093908</v>
      </c>
      <c r="M42" s="16" t="n">
        <v>0</v>
      </c>
      <c r="N42" s="16" t="n">
        <v>0</v>
      </c>
      <c r="O42" s="16" t="n">
        <f aca="false">L42+M42+N42</f>
        <v>0.0170046286093908</v>
      </c>
      <c r="P42" s="21" t="n">
        <f aca="false">P41*(1+O42)</f>
        <v>2.4723847116602</v>
      </c>
      <c r="Q42" s="21" t="n">
        <f aca="false">MAX($P$5:P42)</f>
        <v>2.62279564330366</v>
      </c>
      <c r="R42" s="16" t="n">
        <f aca="false">P42/Q42-1</f>
        <v>-0.0573475604275455</v>
      </c>
      <c r="S42" s="16" t="n">
        <f aca="false">O42-Benchmark_RF!D42</f>
        <v>0.0107649471481051</v>
      </c>
    </row>
    <row r="43" customFormat="false" ht="15" hidden="false" customHeight="true" outlineLevel="0" collapsed="false">
      <c r="A43" s="1" t="n">
        <v>46</v>
      </c>
      <c r="B43" s="13" t="n">
        <f aca="false">Returns!A47</f>
        <v>43374</v>
      </c>
      <c r="C43" s="17" t="n">
        <f aca="false">IF(Rankings!C47&lt;=3,1,0)</f>
        <v>1</v>
      </c>
      <c r="D43" s="17" t="n">
        <f aca="false">IF(Rankings!D47&lt;=3,1,0)</f>
        <v>1</v>
      </c>
      <c r="E43" s="17" t="n">
        <f aca="false">IF(Rankings!E47&lt;=3,1,0)</f>
        <v>0</v>
      </c>
      <c r="F43" s="17" t="n">
        <f aca="false">IF(Rankings!F47&lt;=3,1,0)</f>
        <v>0</v>
      </c>
      <c r="G43" s="17" t="n">
        <f aca="false">IF(Rankings!G47&lt;=3,1,0)</f>
        <v>0</v>
      </c>
      <c r="H43" s="17" t="n">
        <f aca="false">IF(Rankings!H47&lt;=3,1,0)</f>
        <v>1</v>
      </c>
      <c r="I43" s="17" t="n">
        <f aca="false">IF(Rankings!I47&lt;=3,1,0)</f>
        <v>0</v>
      </c>
      <c r="J43" s="17" t="n">
        <f aca="false">IF(Rankings!J47&lt;=3,1,0)</f>
        <v>0</v>
      </c>
      <c r="K43" s="20" t="n">
        <f aca="false">SUM(C43:J43)</f>
        <v>3</v>
      </c>
      <c r="L43" s="16" t="n">
        <f aca="false">SUMPRODUCT(C43:J43,Returns!B47:I47)/K43</f>
        <v>0.0542865642524783</v>
      </c>
      <c r="M43" s="16" t="n">
        <v>0</v>
      </c>
      <c r="N43" s="16" t="n">
        <v>0</v>
      </c>
      <c r="O43" s="16" t="n">
        <f aca="false">L43+M43+N43</f>
        <v>0.0542865642524783</v>
      </c>
      <c r="P43" s="21" t="n">
        <f aca="false">P42*(1+O43)</f>
        <v>2.60660198316659</v>
      </c>
      <c r="Q43" s="21" t="n">
        <f aca="false">MAX($P$5:P43)</f>
        <v>2.62279564330366</v>
      </c>
      <c r="R43" s="16" t="n">
        <f aca="false">P43/Q43-1</f>
        <v>-0.00617419819893994</v>
      </c>
      <c r="S43" s="16" t="n">
        <f aca="false">O43-Benchmark_RF!D43</f>
        <v>0.0472396258567404</v>
      </c>
    </row>
    <row r="44" customFormat="false" ht="15" hidden="false" customHeight="true" outlineLevel="0" collapsed="false">
      <c r="A44" s="1" t="n">
        <v>47</v>
      </c>
      <c r="B44" s="13" t="n">
        <f aca="false">Returns!A48</f>
        <v>43405</v>
      </c>
      <c r="C44" s="17" t="n">
        <f aca="false">IF(Rankings!C47&lt;=3,1,0)</f>
        <v>1</v>
      </c>
      <c r="D44" s="17" t="n">
        <f aca="false">IF(Rankings!D47&lt;=3,1,0)</f>
        <v>1</v>
      </c>
      <c r="E44" s="17" t="n">
        <f aca="false">IF(Rankings!E47&lt;=3,1,0)</f>
        <v>0</v>
      </c>
      <c r="F44" s="17" t="n">
        <f aca="false">IF(Rankings!F47&lt;=3,1,0)</f>
        <v>0</v>
      </c>
      <c r="G44" s="17" t="n">
        <f aca="false">IF(Rankings!G47&lt;=3,1,0)</f>
        <v>0</v>
      </c>
      <c r="H44" s="17" t="n">
        <f aca="false">IF(Rankings!H47&lt;=3,1,0)</f>
        <v>1</v>
      </c>
      <c r="I44" s="17" t="n">
        <f aca="false">IF(Rankings!I47&lt;=3,1,0)</f>
        <v>0</v>
      </c>
      <c r="J44" s="17" t="n">
        <f aca="false">IF(Rankings!J47&lt;=3,1,0)</f>
        <v>0</v>
      </c>
      <c r="K44" s="20" t="n">
        <f aca="false">SUM(C44:J44)</f>
        <v>3</v>
      </c>
      <c r="L44" s="16" t="n">
        <f aca="false">SUMPRODUCT(C44:J44,Returns!B48:I48)/K44</f>
        <v>-0.0262971075382217</v>
      </c>
      <c r="M44" s="16" t="n">
        <v>0</v>
      </c>
      <c r="N44" s="16" t="n">
        <v>0</v>
      </c>
      <c r="O44" s="16" t="n">
        <f aca="false">L44+M44+N44</f>
        <v>-0.0262971075382217</v>
      </c>
      <c r="P44" s="21" t="n">
        <f aca="false">P43*(1+O44)</f>
        <v>2.53805589050591</v>
      </c>
      <c r="Q44" s="21" t="n">
        <f aca="false">MAX($P$5:P44)</f>
        <v>2.62279564330366</v>
      </c>
      <c r="R44" s="16" t="n">
        <f aca="false">P44/Q44-1</f>
        <v>-0.0323089421831618</v>
      </c>
      <c r="S44" s="16" t="n">
        <f aca="false">O44-Benchmark_RF!D44</f>
        <v>-0.0333488284039303</v>
      </c>
    </row>
    <row r="45" customFormat="false" ht="15" hidden="false" customHeight="true" outlineLevel="0" collapsed="false">
      <c r="A45" s="1" t="n">
        <v>48</v>
      </c>
      <c r="B45" s="13" t="n">
        <f aca="false">Returns!A49</f>
        <v>43435</v>
      </c>
      <c r="C45" s="17" t="n">
        <f aca="false">IF(Rankings!C47&lt;=3,1,0)</f>
        <v>1</v>
      </c>
      <c r="D45" s="17" t="n">
        <f aca="false">IF(Rankings!D47&lt;=3,1,0)</f>
        <v>1</v>
      </c>
      <c r="E45" s="17" t="n">
        <f aca="false">IF(Rankings!E47&lt;=3,1,0)</f>
        <v>0</v>
      </c>
      <c r="F45" s="17" t="n">
        <f aca="false">IF(Rankings!F47&lt;=3,1,0)</f>
        <v>0</v>
      </c>
      <c r="G45" s="17" t="n">
        <f aca="false">IF(Rankings!G47&lt;=3,1,0)</f>
        <v>0</v>
      </c>
      <c r="H45" s="17" t="n">
        <f aca="false">IF(Rankings!H47&lt;=3,1,0)</f>
        <v>1</v>
      </c>
      <c r="I45" s="17" t="n">
        <f aca="false">IF(Rankings!I47&lt;=3,1,0)</f>
        <v>0</v>
      </c>
      <c r="J45" s="17" t="n">
        <f aca="false">IF(Rankings!J47&lt;=3,1,0)</f>
        <v>0</v>
      </c>
      <c r="K45" s="20" t="n">
        <f aca="false">SUM(C45:J45)</f>
        <v>3</v>
      </c>
      <c r="L45" s="16" t="n">
        <f aca="false">SUMPRODUCT(C45:J45,Returns!B49:I49)/K45</f>
        <v>-0.0899930474117492</v>
      </c>
      <c r="M45" s="16" t="n">
        <v>0</v>
      </c>
      <c r="N45" s="16" t="n">
        <v>0</v>
      </c>
      <c r="O45" s="16" t="n">
        <f aca="false">L45+M45+N45</f>
        <v>-0.0899930474117492</v>
      </c>
      <c r="P45" s="21" t="n">
        <f aca="false">P44*(1+O45)</f>
        <v>2.30964850641795</v>
      </c>
      <c r="Q45" s="21" t="n">
        <f aca="false">MAX($P$5:P45)</f>
        <v>2.62279564330366</v>
      </c>
      <c r="R45" s="16" t="n">
        <f aca="false">P45/Q45-1</f>
        <v>-0.119394409429198</v>
      </c>
      <c r="S45" s="16" t="n">
        <f aca="false">O45-Benchmark_RF!D45</f>
        <v>-0.0981933971544474</v>
      </c>
    </row>
    <row r="46" customFormat="false" ht="15" hidden="false" customHeight="true" outlineLevel="0" collapsed="false">
      <c r="A46" s="1" t="n">
        <v>49</v>
      </c>
      <c r="B46" s="13" t="n">
        <f aca="false">Returns!A50</f>
        <v>43466</v>
      </c>
      <c r="C46" s="17" t="n">
        <f aca="false">IF(Rankings!C47&lt;=3,1,0)</f>
        <v>1</v>
      </c>
      <c r="D46" s="17" t="n">
        <f aca="false">IF(Rankings!D47&lt;=3,1,0)</f>
        <v>1</v>
      </c>
      <c r="E46" s="17" t="n">
        <f aca="false">IF(Rankings!E47&lt;=3,1,0)</f>
        <v>0</v>
      </c>
      <c r="F46" s="17" t="n">
        <f aca="false">IF(Rankings!F47&lt;=3,1,0)</f>
        <v>0</v>
      </c>
      <c r="G46" s="17" t="n">
        <f aca="false">IF(Rankings!G47&lt;=3,1,0)</f>
        <v>0</v>
      </c>
      <c r="H46" s="17" t="n">
        <f aca="false">IF(Rankings!H47&lt;=3,1,0)</f>
        <v>1</v>
      </c>
      <c r="I46" s="17" t="n">
        <f aca="false">IF(Rankings!I47&lt;=3,1,0)</f>
        <v>0</v>
      </c>
      <c r="J46" s="17" t="n">
        <f aca="false">IF(Rankings!J47&lt;=3,1,0)</f>
        <v>0</v>
      </c>
      <c r="K46" s="20" t="n">
        <f aca="false">SUM(C46:J46)</f>
        <v>3</v>
      </c>
      <c r="L46" s="16" t="n">
        <f aca="false">SUMPRODUCT(C46:J46,Returns!B50:I50)/K46</f>
        <v>0.107967541715683</v>
      </c>
      <c r="M46" s="16" t="n">
        <v>0</v>
      </c>
      <c r="N46" s="16" t="n">
        <v>0</v>
      </c>
      <c r="O46" s="16" t="n">
        <f aca="false">L46+M46+N46</f>
        <v>0.107967541715683</v>
      </c>
      <c r="P46" s="21" t="n">
        <f aca="false">P45*(1+O46)</f>
        <v>2.55901557788319</v>
      </c>
      <c r="Q46" s="21" t="n">
        <f aca="false">MAX($P$5:P46)</f>
        <v>2.62279564330366</v>
      </c>
      <c r="R46" s="16" t="n">
        <f aca="false">P46/Q46-1</f>
        <v>-0.0243175885941817</v>
      </c>
      <c r="S46" s="16" t="n">
        <f aca="false">O46-Benchmark_RF!D46</f>
        <v>0.0997638404036472</v>
      </c>
    </row>
    <row r="47" customFormat="false" ht="15" hidden="false" customHeight="true" outlineLevel="0" collapsed="false">
      <c r="A47" s="1" t="n">
        <v>50</v>
      </c>
      <c r="B47" s="13" t="n">
        <f aca="false">Returns!A51</f>
        <v>43497</v>
      </c>
      <c r="C47" s="17" t="n">
        <f aca="false">IF(Rankings!C47&lt;=3,1,0)</f>
        <v>1</v>
      </c>
      <c r="D47" s="17" t="n">
        <f aca="false">IF(Rankings!D47&lt;=3,1,0)</f>
        <v>1</v>
      </c>
      <c r="E47" s="17" t="n">
        <f aca="false">IF(Rankings!E47&lt;=3,1,0)</f>
        <v>0</v>
      </c>
      <c r="F47" s="17" t="n">
        <f aca="false">IF(Rankings!F47&lt;=3,1,0)</f>
        <v>0</v>
      </c>
      <c r="G47" s="17" t="n">
        <f aca="false">IF(Rankings!G47&lt;=3,1,0)</f>
        <v>0</v>
      </c>
      <c r="H47" s="17" t="n">
        <f aca="false">IF(Rankings!H47&lt;=3,1,0)</f>
        <v>1</v>
      </c>
      <c r="I47" s="17" t="n">
        <f aca="false">IF(Rankings!I47&lt;=3,1,0)</f>
        <v>0</v>
      </c>
      <c r="J47" s="17" t="n">
        <f aca="false">IF(Rankings!J47&lt;=3,1,0)</f>
        <v>0</v>
      </c>
      <c r="K47" s="20" t="n">
        <f aca="false">SUM(C47:J47)</f>
        <v>3</v>
      </c>
      <c r="L47" s="16" t="n">
        <f aca="false">SUMPRODUCT(C47:J47,Returns!B51:I51)/K47</f>
        <v>0.0222364095703905</v>
      </c>
      <c r="M47" s="16" t="n">
        <v>0</v>
      </c>
      <c r="N47" s="16" t="n">
        <v>0</v>
      </c>
      <c r="O47" s="16" t="n">
        <f aca="false">L47+M47+N47</f>
        <v>0.0222364095703905</v>
      </c>
      <c r="P47" s="21" t="n">
        <f aca="false">P46*(1+O47)</f>
        <v>2.61591889637001</v>
      </c>
      <c r="Q47" s="21" t="n">
        <f aca="false">MAX($P$5:P47)</f>
        <v>2.62279564330366</v>
      </c>
      <c r="R47" s="16" t="n">
        <f aca="false">P47/Q47-1</f>
        <v>-0.0026219148835358</v>
      </c>
      <c r="S47" s="16" t="n">
        <f aca="false">O47-Benchmark_RF!D47</f>
        <v>0.0138433913550441</v>
      </c>
    </row>
    <row r="48" customFormat="false" ht="15" hidden="false" customHeight="true" outlineLevel="0" collapsed="false">
      <c r="A48" s="1" t="n">
        <v>51</v>
      </c>
      <c r="B48" s="13" t="n">
        <f aca="false">Returns!A52</f>
        <v>43525</v>
      </c>
      <c r="C48" s="17" t="n">
        <f aca="false">IF(Rankings!C47&lt;=3,1,0)</f>
        <v>1</v>
      </c>
      <c r="D48" s="17" t="n">
        <f aca="false">IF(Rankings!D47&lt;=3,1,0)</f>
        <v>1</v>
      </c>
      <c r="E48" s="17" t="n">
        <f aca="false">IF(Rankings!E47&lt;=3,1,0)</f>
        <v>0</v>
      </c>
      <c r="F48" s="17" t="n">
        <f aca="false">IF(Rankings!F47&lt;=3,1,0)</f>
        <v>0</v>
      </c>
      <c r="G48" s="17" t="n">
        <f aca="false">IF(Rankings!G47&lt;=3,1,0)</f>
        <v>0</v>
      </c>
      <c r="H48" s="17" t="n">
        <f aca="false">IF(Rankings!H47&lt;=3,1,0)</f>
        <v>1</v>
      </c>
      <c r="I48" s="17" t="n">
        <f aca="false">IF(Rankings!I47&lt;=3,1,0)</f>
        <v>0</v>
      </c>
      <c r="J48" s="17" t="n">
        <f aca="false">IF(Rankings!J47&lt;=3,1,0)</f>
        <v>0</v>
      </c>
      <c r="K48" s="20" t="n">
        <f aca="false">SUM(C48:J48)</f>
        <v>3</v>
      </c>
      <c r="L48" s="16" t="n">
        <f aca="false">SUMPRODUCT(C48:J48,Returns!B52:I52)/K48</f>
        <v>-0.00884471660749109</v>
      </c>
      <c r="M48" s="16" t="n">
        <v>0</v>
      </c>
      <c r="N48" s="16" t="n">
        <v>0</v>
      </c>
      <c r="O48" s="16" t="n">
        <f aca="false">L48+M48+N48</f>
        <v>-0.00884471660749109</v>
      </c>
      <c r="P48" s="21" t="n">
        <f aca="false">P47*(1+O48)</f>
        <v>2.59278183506344</v>
      </c>
      <c r="Q48" s="21" t="n">
        <f aca="false">MAX($P$5:P48)</f>
        <v>2.62279564330366</v>
      </c>
      <c r="R48" s="16" t="n">
        <f aca="false">P48/Q48-1</f>
        <v>-0.0114434413969131</v>
      </c>
      <c r="S48" s="16" t="n">
        <f aca="false">O48-Benchmark_RF!D48</f>
        <v>-0.0172324137247201</v>
      </c>
    </row>
    <row r="49" customFormat="false" ht="15" hidden="false" customHeight="true" outlineLevel="0" collapsed="false">
      <c r="A49" s="1" t="n">
        <v>52</v>
      </c>
      <c r="B49" s="13" t="n">
        <f aca="false">Returns!A53</f>
        <v>43556</v>
      </c>
      <c r="C49" s="17" t="n">
        <f aca="false">IF(Rankings!C47&lt;=3,1,0)</f>
        <v>1</v>
      </c>
      <c r="D49" s="17" t="n">
        <f aca="false">IF(Rankings!D47&lt;=3,1,0)</f>
        <v>1</v>
      </c>
      <c r="E49" s="17" t="n">
        <f aca="false">IF(Rankings!E47&lt;=3,1,0)</f>
        <v>0</v>
      </c>
      <c r="F49" s="17" t="n">
        <f aca="false">IF(Rankings!F47&lt;=3,1,0)</f>
        <v>0</v>
      </c>
      <c r="G49" s="17" t="n">
        <f aca="false">IF(Rankings!G47&lt;=3,1,0)</f>
        <v>0</v>
      </c>
      <c r="H49" s="17" t="n">
        <f aca="false">IF(Rankings!H47&lt;=3,1,0)</f>
        <v>1</v>
      </c>
      <c r="I49" s="17" t="n">
        <f aca="false">IF(Rankings!I47&lt;=3,1,0)</f>
        <v>0</v>
      </c>
      <c r="J49" s="17" t="n">
        <f aca="false">IF(Rankings!J47&lt;=3,1,0)</f>
        <v>0</v>
      </c>
      <c r="K49" s="20" t="n">
        <f aca="false">SUM(C49:J49)</f>
        <v>3</v>
      </c>
      <c r="L49" s="16" t="n">
        <f aca="false">SUMPRODUCT(C49:J49,Returns!B53:I53)/K49</f>
        <v>-0.0279402234750481</v>
      </c>
      <c r="M49" s="16" t="n">
        <v>0</v>
      </c>
      <c r="N49" s="16" t="n">
        <v>0</v>
      </c>
      <c r="O49" s="16" t="n">
        <f aca="false">L49+M49+N49</f>
        <v>-0.0279402234750481</v>
      </c>
      <c r="P49" s="21" t="n">
        <f aca="false">P48*(1+O49)</f>
        <v>2.52033893116972</v>
      </c>
      <c r="Q49" s="21" t="n">
        <f aca="false">MAX($P$5:P49)</f>
        <v>2.62279564330366</v>
      </c>
      <c r="R49" s="16" t="n">
        <f aca="false">P49/Q49-1</f>
        <v>-0.0390639325620078</v>
      </c>
      <c r="S49" s="16" t="n">
        <f aca="false">O49-Benchmark_RF!D49</f>
        <v>-0.0366371713521552</v>
      </c>
    </row>
    <row r="50" customFormat="false" ht="15" hidden="false" customHeight="true" outlineLevel="0" collapsed="false">
      <c r="A50" s="1" t="n">
        <v>53</v>
      </c>
      <c r="B50" s="13" t="n">
        <f aca="false">Returns!A54</f>
        <v>43586</v>
      </c>
      <c r="C50" s="17" t="n">
        <f aca="false">IF(Rankings!C47&lt;=3,1,0)</f>
        <v>1</v>
      </c>
      <c r="D50" s="17" t="n">
        <f aca="false">IF(Rankings!D47&lt;=3,1,0)</f>
        <v>1</v>
      </c>
      <c r="E50" s="17" t="n">
        <f aca="false">IF(Rankings!E47&lt;=3,1,0)</f>
        <v>0</v>
      </c>
      <c r="F50" s="17" t="n">
        <f aca="false">IF(Rankings!F47&lt;=3,1,0)</f>
        <v>0</v>
      </c>
      <c r="G50" s="17" t="n">
        <f aca="false">IF(Rankings!G47&lt;=3,1,0)</f>
        <v>0</v>
      </c>
      <c r="H50" s="17" t="n">
        <f aca="false">IF(Rankings!H47&lt;=3,1,0)</f>
        <v>1</v>
      </c>
      <c r="I50" s="17" t="n">
        <f aca="false">IF(Rankings!I47&lt;=3,1,0)</f>
        <v>0</v>
      </c>
      <c r="J50" s="17" t="n">
        <f aca="false">IF(Rankings!J47&lt;=3,1,0)</f>
        <v>0</v>
      </c>
      <c r="K50" s="20" t="n">
        <f aca="false">SUM(C50:J50)</f>
        <v>3</v>
      </c>
      <c r="L50" s="16" t="n">
        <f aca="false">SUMPRODUCT(C50:J50,Returns!B54:I54)/K50</f>
        <v>-0.0162601138390756</v>
      </c>
      <c r="M50" s="16" t="n">
        <v>0</v>
      </c>
      <c r="N50" s="16" t="n">
        <v>0</v>
      </c>
      <c r="O50" s="16" t="n">
        <f aca="false">L50+M50+N50</f>
        <v>-0.0162601138390756</v>
      </c>
      <c r="P50" s="21" t="n">
        <f aca="false">P49*(1+O50)</f>
        <v>2.47935793323584</v>
      </c>
      <c r="Q50" s="21" t="n">
        <f aca="false">MAX($P$5:P50)</f>
        <v>2.62279564330366</v>
      </c>
      <c r="R50" s="16" t="n">
        <f aca="false">P50/Q50-1</f>
        <v>-0.0546888624106232</v>
      </c>
      <c r="S50" s="16" t="n">
        <f aca="false">O50-Benchmark_RF!D50</f>
        <v>-0.0261795565117437</v>
      </c>
    </row>
    <row r="51" customFormat="false" ht="15" hidden="false" customHeight="true" outlineLevel="0" collapsed="false">
      <c r="A51" s="1" t="n">
        <v>54</v>
      </c>
      <c r="B51" s="13" t="n">
        <f aca="false">Returns!A55</f>
        <v>43617</v>
      </c>
      <c r="C51" s="17" t="n">
        <f aca="false">IF(Rankings!C47&lt;=3,1,0)</f>
        <v>1</v>
      </c>
      <c r="D51" s="17" t="n">
        <f aca="false">IF(Rankings!D47&lt;=3,1,0)</f>
        <v>1</v>
      </c>
      <c r="E51" s="17" t="n">
        <f aca="false">IF(Rankings!E47&lt;=3,1,0)</f>
        <v>0</v>
      </c>
      <c r="F51" s="17" t="n">
        <f aca="false">IF(Rankings!F47&lt;=3,1,0)</f>
        <v>0</v>
      </c>
      <c r="G51" s="17" t="n">
        <f aca="false">IF(Rankings!G47&lt;=3,1,0)</f>
        <v>0</v>
      </c>
      <c r="H51" s="17" t="n">
        <f aca="false">IF(Rankings!H47&lt;=3,1,0)</f>
        <v>1</v>
      </c>
      <c r="I51" s="17" t="n">
        <f aca="false">IF(Rankings!I47&lt;=3,1,0)</f>
        <v>0</v>
      </c>
      <c r="J51" s="17" t="n">
        <f aca="false">IF(Rankings!J47&lt;=3,1,0)</f>
        <v>0</v>
      </c>
      <c r="K51" s="20" t="n">
        <f aca="false">SUM(C51:J51)</f>
        <v>3</v>
      </c>
      <c r="L51" s="16" t="n">
        <f aca="false">SUMPRODUCT(C51:J51,Returns!B55:I55)/K51</f>
        <v>-0.0588868580150793</v>
      </c>
      <c r="M51" s="16" t="n">
        <v>0</v>
      </c>
      <c r="N51" s="16" t="n">
        <v>0</v>
      </c>
      <c r="O51" s="16" t="n">
        <f aca="false">L51+M51+N51</f>
        <v>-0.0588868580150793</v>
      </c>
      <c r="P51" s="21" t="n">
        <f aca="false">P50*(1+O51)</f>
        <v>2.33335633465282</v>
      </c>
      <c r="Q51" s="21" t="n">
        <f aca="false">MAX($P$5:P51)</f>
        <v>2.62279564330366</v>
      </c>
      <c r="R51" s="16" t="n">
        <f aca="false">P51/Q51-1</f>
        <v>-0.110355265149922</v>
      </c>
      <c r="S51" s="16" t="n">
        <f aca="false">O51-Benchmark_RF!D51</f>
        <v>-0.068928376041966</v>
      </c>
    </row>
    <row r="52" customFormat="false" ht="15" hidden="false" customHeight="true" outlineLevel="0" collapsed="false">
      <c r="A52" s="1" t="n">
        <v>55</v>
      </c>
      <c r="B52" s="13" t="n">
        <f aca="false">Returns!A56</f>
        <v>43647</v>
      </c>
      <c r="C52" s="17" t="n">
        <f aca="false">IF(Rankings!C47&lt;=3,1,0)</f>
        <v>1</v>
      </c>
      <c r="D52" s="17" t="n">
        <f aca="false">IF(Rankings!D47&lt;=3,1,0)</f>
        <v>1</v>
      </c>
      <c r="E52" s="17" t="n">
        <f aca="false">IF(Rankings!E47&lt;=3,1,0)</f>
        <v>0</v>
      </c>
      <c r="F52" s="17" t="n">
        <f aca="false">IF(Rankings!F47&lt;=3,1,0)</f>
        <v>0</v>
      </c>
      <c r="G52" s="17" t="n">
        <f aca="false">IF(Rankings!G47&lt;=3,1,0)</f>
        <v>0</v>
      </c>
      <c r="H52" s="17" t="n">
        <f aca="false">IF(Rankings!H47&lt;=3,1,0)</f>
        <v>1</v>
      </c>
      <c r="I52" s="17" t="n">
        <f aca="false">IF(Rankings!I47&lt;=3,1,0)</f>
        <v>0</v>
      </c>
      <c r="J52" s="17" t="n">
        <f aca="false">IF(Rankings!J47&lt;=3,1,0)</f>
        <v>0</v>
      </c>
      <c r="K52" s="20" t="n">
        <f aca="false">SUM(C52:J52)</f>
        <v>3</v>
      </c>
      <c r="L52" s="16" t="n">
        <f aca="false">SUMPRODUCT(C52:J52,Returns!B56:I56)/K52</f>
        <v>0.00105152650937979</v>
      </c>
      <c r="M52" s="16" t="n">
        <v>0</v>
      </c>
      <c r="N52" s="16" t="n">
        <v>0</v>
      </c>
      <c r="O52" s="16" t="n">
        <f aca="false">L52+M52+N52</f>
        <v>0.00105152650937979</v>
      </c>
      <c r="P52" s="21" t="n">
        <f aca="false">P51*(1+O52)</f>
        <v>2.33580992069454</v>
      </c>
      <c r="Q52" s="21" t="n">
        <f aca="false">MAX($P$5:P52)</f>
        <v>2.62279564330366</v>
      </c>
      <c r="R52" s="16" t="n">
        <f aca="false">P52/Q52-1</f>
        <v>-0.109419780127297</v>
      </c>
      <c r="S52" s="16" t="n">
        <f aca="false">O52-Benchmark_RF!D52</f>
        <v>-0.00973920033163478</v>
      </c>
    </row>
    <row r="53" customFormat="false" ht="15" hidden="false" customHeight="true" outlineLevel="0" collapsed="false">
      <c r="A53" s="1" t="n">
        <v>56</v>
      </c>
      <c r="B53" s="13" t="n">
        <f aca="false">Returns!A57</f>
        <v>43678</v>
      </c>
      <c r="C53" s="17" t="n">
        <f aca="false">IF(Rankings!C59&lt;=3,1,0)</f>
        <v>1</v>
      </c>
      <c r="D53" s="17" t="n">
        <f aca="false">IF(Rankings!D59&lt;=3,1,0)</f>
        <v>1</v>
      </c>
      <c r="E53" s="17" t="n">
        <f aca="false">IF(Rankings!E59&lt;=3,1,0)</f>
        <v>0</v>
      </c>
      <c r="F53" s="17" t="n">
        <f aca="false">IF(Rankings!F59&lt;=3,1,0)</f>
        <v>0</v>
      </c>
      <c r="G53" s="17" t="n">
        <f aca="false">IF(Rankings!G59&lt;=3,1,0)</f>
        <v>1</v>
      </c>
      <c r="H53" s="17" t="n">
        <f aca="false">IF(Rankings!H59&lt;=3,1,0)</f>
        <v>0</v>
      </c>
      <c r="I53" s="17" t="n">
        <f aca="false">IF(Rankings!I59&lt;=3,1,0)</f>
        <v>0</v>
      </c>
      <c r="J53" s="17" t="n">
        <f aca="false">IF(Rankings!J59&lt;=3,1,0)</f>
        <v>0</v>
      </c>
      <c r="K53" s="20" t="n">
        <f aca="false">SUM(C53:J53)</f>
        <v>3</v>
      </c>
      <c r="L53" s="16" t="n">
        <f aca="false">SUMPRODUCT(C53:J53,Returns!B57:I57)/K53</f>
        <v>-0.110651697808881</v>
      </c>
      <c r="M53" s="16" t="n">
        <f aca="false">-2*Assumptions!$B$13</f>
        <v>-0.007</v>
      </c>
      <c r="N53" s="16" t="n">
        <f aca="false">-Assumptions!$B$16*MAX(0,(1+O41)*(1+O42)*(1+O43)*(1+O44)*(1+O45)*(1+O46)*(1+O47)*(1+O48)*(1+O49)*(1+O50)*(1+O51)*(1+O52)-1)</f>
        <v>-0</v>
      </c>
      <c r="O53" s="16" t="n">
        <f aca="false">L53+M53+N53</f>
        <v>-0.117651697808881</v>
      </c>
      <c r="P53" s="21" t="n">
        <f aca="false">P52*(1+O53)</f>
        <v>2.060997917766</v>
      </c>
      <c r="Q53" s="21" t="n">
        <f aca="false">MAX($P$5:P53)</f>
        <v>2.62279564330366</v>
      </c>
      <c r="R53" s="16" t="n">
        <f aca="false">P53/Q53-1</f>
        <v>-0.214198055030327</v>
      </c>
      <c r="S53" s="16" t="n">
        <f aca="false">O53-Benchmark_RF!D53</f>
        <v>-0.12844486837967</v>
      </c>
    </row>
    <row r="54" customFormat="false" ht="15" hidden="false" customHeight="true" outlineLevel="0" collapsed="false">
      <c r="A54" s="1" t="n">
        <v>57</v>
      </c>
      <c r="B54" s="13" t="n">
        <f aca="false">Returns!A58</f>
        <v>43709</v>
      </c>
      <c r="C54" s="17" t="n">
        <f aca="false">IF(Rankings!C59&lt;=3,1,0)</f>
        <v>1</v>
      </c>
      <c r="D54" s="17" t="n">
        <f aca="false">IF(Rankings!D59&lt;=3,1,0)</f>
        <v>1</v>
      </c>
      <c r="E54" s="17" t="n">
        <f aca="false">IF(Rankings!E59&lt;=3,1,0)</f>
        <v>0</v>
      </c>
      <c r="F54" s="17" t="n">
        <f aca="false">IF(Rankings!F59&lt;=3,1,0)</f>
        <v>0</v>
      </c>
      <c r="G54" s="17" t="n">
        <f aca="false">IF(Rankings!G59&lt;=3,1,0)</f>
        <v>1</v>
      </c>
      <c r="H54" s="17" t="n">
        <f aca="false">IF(Rankings!H59&lt;=3,1,0)</f>
        <v>0</v>
      </c>
      <c r="I54" s="17" t="n">
        <f aca="false">IF(Rankings!I59&lt;=3,1,0)</f>
        <v>0</v>
      </c>
      <c r="J54" s="17" t="n">
        <f aca="false">IF(Rankings!J59&lt;=3,1,0)</f>
        <v>0</v>
      </c>
      <c r="K54" s="20" t="n">
        <f aca="false">SUM(C54:J54)</f>
        <v>3</v>
      </c>
      <c r="L54" s="16" t="n">
        <f aca="false">SUMPRODUCT(C54:J54,Returns!B58:I58)/K54</f>
        <v>0.0405322136370472</v>
      </c>
      <c r="M54" s="16" t="n">
        <v>0</v>
      </c>
      <c r="N54" s="16" t="n">
        <v>0</v>
      </c>
      <c r="O54" s="16" t="n">
        <f aca="false">L54+M54+N54</f>
        <v>0.0405322136370472</v>
      </c>
      <c r="P54" s="21" t="n">
        <f aca="false">P53*(1+O54)</f>
        <v>2.1445347256744</v>
      </c>
      <c r="Q54" s="21" t="n">
        <f aca="false">MAX($P$5:P54)</f>
        <v>2.62279564330366</v>
      </c>
      <c r="R54" s="16" t="n">
        <f aca="false">P54/Q54-1</f>
        <v>-0.182347762720409</v>
      </c>
      <c r="S54" s="16" t="n">
        <f aca="false">O54-Benchmark_RF!D54</f>
        <v>0.0297620759482867</v>
      </c>
    </row>
    <row r="55" customFormat="false" ht="15" hidden="false" customHeight="true" outlineLevel="0" collapsed="false">
      <c r="A55" s="1" t="n">
        <v>58</v>
      </c>
      <c r="B55" s="13" t="n">
        <f aca="false">Returns!A59</f>
        <v>43739</v>
      </c>
      <c r="C55" s="17" t="n">
        <f aca="false">IF(Rankings!C59&lt;=3,1,0)</f>
        <v>1</v>
      </c>
      <c r="D55" s="17" t="n">
        <f aca="false">IF(Rankings!D59&lt;=3,1,0)</f>
        <v>1</v>
      </c>
      <c r="E55" s="17" t="n">
        <f aca="false">IF(Rankings!E59&lt;=3,1,0)</f>
        <v>0</v>
      </c>
      <c r="F55" s="17" t="n">
        <f aca="false">IF(Rankings!F59&lt;=3,1,0)</f>
        <v>0</v>
      </c>
      <c r="G55" s="17" t="n">
        <f aca="false">IF(Rankings!G59&lt;=3,1,0)</f>
        <v>1</v>
      </c>
      <c r="H55" s="17" t="n">
        <f aca="false">IF(Rankings!H59&lt;=3,1,0)</f>
        <v>0</v>
      </c>
      <c r="I55" s="17" t="n">
        <f aca="false">IF(Rankings!I59&lt;=3,1,0)</f>
        <v>0</v>
      </c>
      <c r="J55" s="17" t="n">
        <f aca="false">IF(Rankings!J59&lt;=3,1,0)</f>
        <v>0</v>
      </c>
      <c r="K55" s="20" t="n">
        <f aca="false">SUM(C55:J55)</f>
        <v>3</v>
      </c>
      <c r="L55" s="16" t="n">
        <f aca="false">SUMPRODUCT(C55:J55,Returns!B59:I59)/K55</f>
        <v>0.0464683635840029</v>
      </c>
      <c r="M55" s="16" t="n">
        <v>0</v>
      </c>
      <c r="N55" s="16" t="n">
        <v>0</v>
      </c>
      <c r="O55" s="16" t="n">
        <f aca="false">L55+M55+N55</f>
        <v>0.0464683635840029</v>
      </c>
      <c r="P55" s="21" t="n">
        <f aca="false">P54*(1+O55)</f>
        <v>2.24418774502556</v>
      </c>
      <c r="Q55" s="21" t="n">
        <f aca="false">MAX($P$5:P55)</f>
        <v>2.62279564330366</v>
      </c>
      <c r="R55" s="16" t="n">
        <f aca="false">P55/Q55-1</f>
        <v>-0.144352801273228</v>
      </c>
      <c r="S55" s="16" t="n">
        <f aca="false">O55-Benchmark_RF!D55</f>
        <v>0.0360451573152227</v>
      </c>
    </row>
    <row r="56" customFormat="false" ht="15" hidden="false" customHeight="true" outlineLevel="0" collapsed="false">
      <c r="A56" s="1" t="n">
        <v>59</v>
      </c>
      <c r="B56" s="13" t="n">
        <f aca="false">Returns!A60</f>
        <v>43770</v>
      </c>
      <c r="C56" s="17" t="n">
        <f aca="false">IF(Rankings!C59&lt;=3,1,0)</f>
        <v>1</v>
      </c>
      <c r="D56" s="17" t="n">
        <f aca="false">IF(Rankings!D59&lt;=3,1,0)</f>
        <v>1</v>
      </c>
      <c r="E56" s="17" t="n">
        <f aca="false">IF(Rankings!E59&lt;=3,1,0)</f>
        <v>0</v>
      </c>
      <c r="F56" s="17" t="n">
        <f aca="false">IF(Rankings!F59&lt;=3,1,0)</f>
        <v>0</v>
      </c>
      <c r="G56" s="17" t="n">
        <f aca="false">IF(Rankings!G59&lt;=3,1,0)</f>
        <v>1</v>
      </c>
      <c r="H56" s="17" t="n">
        <f aca="false">IF(Rankings!H59&lt;=3,1,0)</f>
        <v>0</v>
      </c>
      <c r="I56" s="17" t="n">
        <f aca="false">IF(Rankings!I59&lt;=3,1,0)</f>
        <v>0</v>
      </c>
      <c r="J56" s="17" t="n">
        <f aca="false">IF(Rankings!J59&lt;=3,1,0)</f>
        <v>0</v>
      </c>
      <c r="K56" s="20" t="n">
        <f aca="false">SUM(C56:J56)</f>
        <v>3</v>
      </c>
      <c r="L56" s="16" t="n">
        <f aca="false">SUMPRODUCT(C56:J56,Returns!B60:I60)/K56</f>
        <v>0.113770682657545</v>
      </c>
      <c r="M56" s="16" t="n">
        <v>0</v>
      </c>
      <c r="N56" s="16" t="n">
        <v>0</v>
      </c>
      <c r="O56" s="16" t="n">
        <f aca="false">L56+M56+N56</f>
        <v>0.113770682657545</v>
      </c>
      <c r="P56" s="21" t="n">
        <f aca="false">P55*(1+O56)</f>
        <v>2.49951051678881</v>
      </c>
      <c r="Q56" s="21" t="n">
        <f aca="false">MAX($P$5:P56)</f>
        <v>2.62279564330366</v>
      </c>
      <c r="R56" s="16" t="n">
        <f aca="false">P56/Q56-1</f>
        <v>-0.0470052353600663</v>
      </c>
      <c r="S56" s="16" t="n">
        <f aca="false">O56-Benchmark_RF!D56</f>
        <v>0.103191176548589</v>
      </c>
    </row>
    <row r="57" customFormat="false" ht="15" hidden="false" customHeight="true" outlineLevel="0" collapsed="false">
      <c r="A57" s="1" t="n">
        <v>60</v>
      </c>
      <c r="B57" s="13" t="n">
        <f aca="false">Returns!A61</f>
        <v>43800</v>
      </c>
      <c r="C57" s="17" t="n">
        <f aca="false">IF(Rankings!C59&lt;=3,1,0)</f>
        <v>1</v>
      </c>
      <c r="D57" s="17" t="n">
        <f aca="false">IF(Rankings!D59&lt;=3,1,0)</f>
        <v>1</v>
      </c>
      <c r="E57" s="17" t="n">
        <f aca="false">IF(Rankings!E59&lt;=3,1,0)</f>
        <v>0</v>
      </c>
      <c r="F57" s="17" t="n">
        <f aca="false">IF(Rankings!F59&lt;=3,1,0)</f>
        <v>0</v>
      </c>
      <c r="G57" s="17" t="n">
        <f aca="false">IF(Rankings!G59&lt;=3,1,0)</f>
        <v>1</v>
      </c>
      <c r="H57" s="17" t="n">
        <f aca="false">IF(Rankings!H59&lt;=3,1,0)</f>
        <v>0</v>
      </c>
      <c r="I57" s="17" t="n">
        <f aca="false">IF(Rankings!I59&lt;=3,1,0)</f>
        <v>0</v>
      </c>
      <c r="J57" s="17" t="n">
        <f aca="false">IF(Rankings!J59&lt;=3,1,0)</f>
        <v>0</v>
      </c>
      <c r="K57" s="20" t="n">
        <f aca="false">SUM(C57:J57)</f>
        <v>3</v>
      </c>
      <c r="L57" s="16" t="n">
        <f aca="false">SUMPRODUCT(C57:J57,Returns!B61:I61)/K57</f>
        <v>0.0617675419665565</v>
      </c>
      <c r="M57" s="16" t="n">
        <v>0</v>
      </c>
      <c r="N57" s="16" t="n">
        <v>0</v>
      </c>
      <c r="O57" s="16" t="n">
        <f aca="false">L57+M57+N57</f>
        <v>0.0617675419665565</v>
      </c>
      <c r="P57" s="21" t="n">
        <f aca="false">P56*(1+O57)</f>
        <v>2.65389913753042</v>
      </c>
      <c r="Q57" s="21" t="n">
        <f aca="false">MAX($P$5:P57)</f>
        <v>2.65389913753042</v>
      </c>
      <c r="R57" s="16" t="n">
        <f aca="false">P57/Q57-1</f>
        <v>0</v>
      </c>
      <c r="S57" s="16" t="n">
        <f aca="false">O57-Benchmark_RF!D57</f>
        <v>0.0511988731769254</v>
      </c>
    </row>
    <row r="58" customFormat="false" ht="15" hidden="false" customHeight="true" outlineLevel="0" collapsed="false">
      <c r="A58" s="1" t="n">
        <v>61</v>
      </c>
      <c r="B58" s="13" t="n">
        <f aca="false">Returns!A62</f>
        <v>43831</v>
      </c>
      <c r="C58" s="17" t="n">
        <f aca="false">IF(Rankings!C59&lt;=3,1,0)</f>
        <v>1</v>
      </c>
      <c r="D58" s="17" t="n">
        <f aca="false">IF(Rankings!D59&lt;=3,1,0)</f>
        <v>1</v>
      </c>
      <c r="E58" s="17" t="n">
        <f aca="false">IF(Rankings!E59&lt;=3,1,0)</f>
        <v>0</v>
      </c>
      <c r="F58" s="17" t="n">
        <f aca="false">IF(Rankings!F59&lt;=3,1,0)</f>
        <v>0</v>
      </c>
      <c r="G58" s="17" t="n">
        <f aca="false">IF(Rankings!G59&lt;=3,1,0)</f>
        <v>1</v>
      </c>
      <c r="H58" s="17" t="n">
        <f aca="false">IF(Rankings!H59&lt;=3,1,0)</f>
        <v>0</v>
      </c>
      <c r="I58" s="17" t="n">
        <f aca="false">IF(Rankings!I59&lt;=3,1,0)</f>
        <v>0</v>
      </c>
      <c r="J58" s="17" t="n">
        <f aca="false">IF(Rankings!J59&lt;=3,1,0)</f>
        <v>0</v>
      </c>
      <c r="K58" s="20" t="n">
        <f aca="false">SUM(C58:J58)</f>
        <v>3</v>
      </c>
      <c r="L58" s="16" t="n">
        <f aca="false">SUMPRODUCT(C58:J58,Returns!B62:I62)/K58</f>
        <v>0.0570261482538779</v>
      </c>
      <c r="M58" s="16" t="n">
        <v>0</v>
      </c>
      <c r="N58" s="16" t="n">
        <v>0</v>
      </c>
      <c r="O58" s="16" t="n">
        <f aca="false">L58+M58+N58</f>
        <v>0.0570261482538779</v>
      </c>
      <c r="P58" s="21" t="n">
        <f aca="false">P57*(1+O58)</f>
        <v>2.80524078319807</v>
      </c>
      <c r="Q58" s="21" t="n">
        <f aca="false">MAX($P$5:P58)</f>
        <v>2.80524078319807</v>
      </c>
      <c r="R58" s="16" t="n">
        <f aca="false">P58/Q58-1</f>
        <v>0</v>
      </c>
      <c r="S58" s="16" t="n">
        <f aca="false">O58-Benchmark_RF!D58</f>
        <v>0.0465003216583207</v>
      </c>
    </row>
    <row r="59" customFormat="false" ht="15" hidden="false" customHeight="true" outlineLevel="0" collapsed="false">
      <c r="A59" s="1" t="n">
        <v>62</v>
      </c>
      <c r="B59" s="13" t="n">
        <f aca="false">Returns!A63</f>
        <v>43862</v>
      </c>
      <c r="C59" s="17" t="n">
        <f aca="false">IF(Rankings!C59&lt;=3,1,0)</f>
        <v>1</v>
      </c>
      <c r="D59" s="17" t="n">
        <f aca="false">IF(Rankings!D59&lt;=3,1,0)</f>
        <v>1</v>
      </c>
      <c r="E59" s="17" t="n">
        <f aca="false">IF(Rankings!E59&lt;=3,1,0)</f>
        <v>0</v>
      </c>
      <c r="F59" s="17" t="n">
        <f aca="false">IF(Rankings!F59&lt;=3,1,0)</f>
        <v>0</v>
      </c>
      <c r="G59" s="17" t="n">
        <f aca="false">IF(Rankings!G59&lt;=3,1,0)</f>
        <v>1</v>
      </c>
      <c r="H59" s="17" t="n">
        <f aca="false">IF(Rankings!H59&lt;=3,1,0)</f>
        <v>0</v>
      </c>
      <c r="I59" s="17" t="n">
        <f aca="false">IF(Rankings!I59&lt;=3,1,0)</f>
        <v>0</v>
      </c>
      <c r="J59" s="17" t="n">
        <f aca="false">IF(Rankings!J59&lt;=3,1,0)</f>
        <v>0</v>
      </c>
      <c r="K59" s="20" t="n">
        <f aca="false">SUM(C59:J59)</f>
        <v>3</v>
      </c>
      <c r="L59" s="16" t="n">
        <f aca="false">SUMPRODUCT(C59:J59,Returns!B63:I63)/K59</f>
        <v>-0.050061536583541</v>
      </c>
      <c r="M59" s="16" t="n">
        <v>0</v>
      </c>
      <c r="N59" s="16" t="n">
        <v>0</v>
      </c>
      <c r="O59" s="16" t="n">
        <f aca="false">L59+M59+N59</f>
        <v>-0.050061536583541</v>
      </c>
      <c r="P59" s="21" t="n">
        <f aca="false">P58*(1+O59)</f>
        <v>2.66480611910435</v>
      </c>
      <c r="Q59" s="21" t="n">
        <f aca="false">MAX($P$5:P59)</f>
        <v>2.80524078319807</v>
      </c>
      <c r="R59" s="16" t="n">
        <f aca="false">P59/Q59-1</f>
        <v>-0.050061536583541</v>
      </c>
      <c r="S59" s="16" t="n">
        <f aca="false">O59-Benchmark_RF!D59</f>
        <v>-0.0605818672405004</v>
      </c>
    </row>
    <row r="60" customFormat="false" ht="15" hidden="false" customHeight="true" outlineLevel="0" collapsed="false">
      <c r="A60" s="1" t="n">
        <v>63</v>
      </c>
      <c r="B60" s="13" t="n">
        <f aca="false">Returns!A64</f>
        <v>43891</v>
      </c>
      <c r="C60" s="17" t="n">
        <f aca="false">IF(Rankings!C59&lt;=3,1,0)</f>
        <v>1</v>
      </c>
      <c r="D60" s="17" t="n">
        <f aca="false">IF(Rankings!D59&lt;=3,1,0)</f>
        <v>1</v>
      </c>
      <c r="E60" s="17" t="n">
        <f aca="false">IF(Rankings!E59&lt;=3,1,0)</f>
        <v>0</v>
      </c>
      <c r="F60" s="17" t="n">
        <f aca="false">IF(Rankings!F59&lt;=3,1,0)</f>
        <v>0</v>
      </c>
      <c r="G60" s="17" t="n">
        <f aca="false">IF(Rankings!G59&lt;=3,1,0)</f>
        <v>1</v>
      </c>
      <c r="H60" s="17" t="n">
        <f aca="false">IF(Rankings!H59&lt;=3,1,0)</f>
        <v>0</v>
      </c>
      <c r="I60" s="17" t="n">
        <f aca="false">IF(Rankings!I59&lt;=3,1,0)</f>
        <v>0</v>
      </c>
      <c r="J60" s="17" t="n">
        <f aca="false">IF(Rankings!J59&lt;=3,1,0)</f>
        <v>0</v>
      </c>
      <c r="K60" s="20" t="n">
        <f aca="false">SUM(C60:J60)</f>
        <v>3</v>
      </c>
      <c r="L60" s="16" t="n">
        <f aca="false">SUMPRODUCT(C60:J60,Returns!B64:I64)/K60</f>
        <v>-0.313158054321772</v>
      </c>
      <c r="M60" s="16" t="n">
        <v>0</v>
      </c>
      <c r="N60" s="16" t="n">
        <v>0</v>
      </c>
      <c r="O60" s="16" t="n">
        <f aca="false">L60+M60+N60</f>
        <v>-0.313158054321772</v>
      </c>
      <c r="P60" s="21" t="n">
        <f aca="false">P59*(1+O60)</f>
        <v>1.83030061970088</v>
      </c>
      <c r="Q60" s="21" t="n">
        <f aca="false">MAX($P$5:P60)</f>
        <v>2.80524078319807</v>
      </c>
      <c r="R60" s="16" t="n">
        <f aca="false">P60/Q60-1</f>
        <v>-0.347542417512454</v>
      </c>
      <c r="S60" s="16" t="n">
        <f aca="false">O60-Benchmark_RF!D60</f>
        <v>-0.322057139352565</v>
      </c>
    </row>
    <row r="61" customFormat="false" ht="15" hidden="false" customHeight="true" outlineLevel="0" collapsed="false">
      <c r="A61" s="1" t="n">
        <v>64</v>
      </c>
      <c r="B61" s="13" t="n">
        <f aca="false">Returns!A65</f>
        <v>43922</v>
      </c>
      <c r="C61" s="17" t="n">
        <f aca="false">IF(Rankings!C59&lt;=3,1,0)</f>
        <v>1</v>
      </c>
      <c r="D61" s="17" t="n">
        <f aca="false">IF(Rankings!D59&lt;=3,1,0)</f>
        <v>1</v>
      </c>
      <c r="E61" s="17" t="n">
        <f aca="false">IF(Rankings!E59&lt;=3,1,0)</f>
        <v>0</v>
      </c>
      <c r="F61" s="17" t="n">
        <f aca="false">IF(Rankings!F59&lt;=3,1,0)</f>
        <v>0</v>
      </c>
      <c r="G61" s="17" t="n">
        <f aca="false">IF(Rankings!G59&lt;=3,1,0)</f>
        <v>1</v>
      </c>
      <c r="H61" s="17" t="n">
        <f aca="false">IF(Rankings!H59&lt;=3,1,0)</f>
        <v>0</v>
      </c>
      <c r="I61" s="17" t="n">
        <f aca="false">IF(Rankings!I59&lt;=3,1,0)</f>
        <v>0</v>
      </c>
      <c r="J61" s="17" t="n">
        <f aca="false">IF(Rankings!J59&lt;=3,1,0)</f>
        <v>0</v>
      </c>
      <c r="K61" s="20" t="n">
        <f aca="false">SUM(C61:J61)</f>
        <v>3</v>
      </c>
      <c r="L61" s="16" t="n">
        <f aca="false">SUMPRODUCT(C61:J61,Returns!B65:I65)/K61</f>
        <v>0.215221752144148</v>
      </c>
      <c r="M61" s="16" t="n">
        <v>0</v>
      </c>
      <c r="N61" s="16" t="n">
        <v>0</v>
      </c>
      <c r="O61" s="16" t="n">
        <f aca="false">L61+M61+N61</f>
        <v>0.215221752144148</v>
      </c>
      <c r="P61" s="21" t="n">
        <f aca="false">P60*(1+O61)</f>
        <v>2.22422112602342</v>
      </c>
      <c r="Q61" s="21" t="n">
        <f aca="false">MAX($P$5:P61)</f>
        <v>2.80524078319807</v>
      </c>
      <c r="R61" s="16" t="n">
        <f aca="false">P61/Q61-1</f>
        <v>-0.207119353409749</v>
      </c>
      <c r="S61" s="16" t="n">
        <f aca="false">O61-Benchmark_RF!D61</f>
        <v>0.208621686903788</v>
      </c>
    </row>
    <row r="62" customFormat="false" ht="15" hidden="false" customHeight="true" outlineLevel="0" collapsed="false">
      <c r="A62" s="1" t="n">
        <v>65</v>
      </c>
      <c r="B62" s="13" t="n">
        <f aca="false">Returns!A66</f>
        <v>43952</v>
      </c>
      <c r="C62" s="17" t="n">
        <f aca="false">IF(Rankings!C59&lt;=3,1,0)</f>
        <v>1</v>
      </c>
      <c r="D62" s="17" t="n">
        <f aca="false">IF(Rankings!D59&lt;=3,1,0)</f>
        <v>1</v>
      </c>
      <c r="E62" s="17" t="n">
        <f aca="false">IF(Rankings!E59&lt;=3,1,0)</f>
        <v>0</v>
      </c>
      <c r="F62" s="17" t="n">
        <f aca="false">IF(Rankings!F59&lt;=3,1,0)</f>
        <v>0</v>
      </c>
      <c r="G62" s="17" t="n">
        <f aca="false">IF(Rankings!G59&lt;=3,1,0)</f>
        <v>1</v>
      </c>
      <c r="H62" s="17" t="n">
        <f aca="false">IF(Rankings!H59&lt;=3,1,0)</f>
        <v>0</v>
      </c>
      <c r="I62" s="17" t="n">
        <f aca="false">IF(Rankings!I59&lt;=3,1,0)</f>
        <v>0</v>
      </c>
      <c r="J62" s="17" t="n">
        <f aca="false">IF(Rankings!J59&lt;=3,1,0)</f>
        <v>0</v>
      </c>
      <c r="K62" s="20" t="n">
        <f aca="false">SUM(C62:J62)</f>
        <v>3</v>
      </c>
      <c r="L62" s="16" t="n">
        <f aca="false">SUMPRODUCT(C62:J62,Returns!B66:I66)/K62</f>
        <v>0.00419199855372232</v>
      </c>
      <c r="M62" s="16" t="n">
        <v>0</v>
      </c>
      <c r="N62" s="16" t="n">
        <v>0</v>
      </c>
      <c r="O62" s="16" t="n">
        <f aca="false">L62+M62+N62</f>
        <v>0.00419199855372232</v>
      </c>
      <c r="P62" s="21" t="n">
        <f aca="false">P61*(1+O62)</f>
        <v>2.23354505776687</v>
      </c>
      <c r="Q62" s="21" t="n">
        <f aca="false">MAX($P$5:P62)</f>
        <v>2.80524078319807</v>
      </c>
      <c r="R62" s="16" t="n">
        <f aca="false">P62/Q62-1</f>
        <v>-0.203795598885968</v>
      </c>
      <c r="S62" s="16" t="n">
        <f aca="false">O62-Benchmark_RF!D62</f>
        <v>-0.00233571551298029</v>
      </c>
    </row>
    <row r="63" customFormat="false" ht="15" hidden="false" customHeight="true" outlineLevel="0" collapsed="false">
      <c r="A63" s="1" t="n">
        <v>66</v>
      </c>
      <c r="B63" s="13" t="n">
        <f aca="false">Returns!A67</f>
        <v>43983</v>
      </c>
      <c r="C63" s="17" t="n">
        <f aca="false">IF(Rankings!C59&lt;=3,1,0)</f>
        <v>1</v>
      </c>
      <c r="D63" s="17" t="n">
        <f aca="false">IF(Rankings!D59&lt;=3,1,0)</f>
        <v>1</v>
      </c>
      <c r="E63" s="17" t="n">
        <f aca="false">IF(Rankings!E59&lt;=3,1,0)</f>
        <v>0</v>
      </c>
      <c r="F63" s="17" t="n">
        <f aca="false">IF(Rankings!F59&lt;=3,1,0)</f>
        <v>0</v>
      </c>
      <c r="G63" s="17" t="n">
        <f aca="false">IF(Rankings!G59&lt;=3,1,0)</f>
        <v>1</v>
      </c>
      <c r="H63" s="17" t="n">
        <f aca="false">IF(Rankings!H59&lt;=3,1,0)</f>
        <v>0</v>
      </c>
      <c r="I63" s="17" t="n">
        <f aca="false">IF(Rankings!I59&lt;=3,1,0)</f>
        <v>0</v>
      </c>
      <c r="J63" s="17" t="n">
        <f aca="false">IF(Rankings!J59&lt;=3,1,0)</f>
        <v>0</v>
      </c>
      <c r="K63" s="20" t="n">
        <f aca="false">SUM(C63:J63)</f>
        <v>3</v>
      </c>
      <c r="L63" s="16" t="n">
        <f aca="false">SUMPRODUCT(C63:J63,Returns!B67:I67)/K63</f>
        <v>0.0308383693157115</v>
      </c>
      <c r="M63" s="16" t="n">
        <v>0</v>
      </c>
      <c r="N63" s="16" t="n">
        <v>0</v>
      </c>
      <c r="O63" s="16" t="n">
        <f aca="false">L63+M63+N63</f>
        <v>0.0308383693157115</v>
      </c>
      <c r="P63" s="21" t="n">
        <f aca="false">P62*(1+O63)</f>
        <v>2.30242394514157</v>
      </c>
      <c r="Q63" s="21" t="n">
        <f aca="false">MAX($P$5:P63)</f>
        <v>2.80524078319807</v>
      </c>
      <c r="R63" s="16" t="n">
        <f aca="false">P63/Q63-1</f>
        <v>-0.179241953513619</v>
      </c>
      <c r="S63" s="16" t="n">
        <f aca="false">O63-Benchmark_RF!D63</f>
        <v>0.0253027235203651</v>
      </c>
    </row>
    <row r="64" customFormat="false" ht="15" hidden="false" customHeight="true" outlineLevel="0" collapsed="false">
      <c r="A64" s="1" t="n">
        <v>67</v>
      </c>
      <c r="B64" s="13" t="n">
        <f aca="false">Returns!A68</f>
        <v>44013</v>
      </c>
      <c r="C64" s="17" t="n">
        <f aca="false">IF(Rankings!C59&lt;=3,1,0)</f>
        <v>1</v>
      </c>
      <c r="D64" s="17" t="n">
        <f aca="false">IF(Rankings!D59&lt;=3,1,0)</f>
        <v>1</v>
      </c>
      <c r="E64" s="17" t="n">
        <f aca="false">IF(Rankings!E59&lt;=3,1,0)</f>
        <v>0</v>
      </c>
      <c r="F64" s="17" t="n">
        <f aca="false">IF(Rankings!F59&lt;=3,1,0)</f>
        <v>0</v>
      </c>
      <c r="G64" s="17" t="n">
        <f aca="false">IF(Rankings!G59&lt;=3,1,0)</f>
        <v>1</v>
      </c>
      <c r="H64" s="17" t="n">
        <f aca="false">IF(Rankings!H59&lt;=3,1,0)</f>
        <v>0</v>
      </c>
      <c r="I64" s="17" t="n">
        <f aca="false">IF(Rankings!I59&lt;=3,1,0)</f>
        <v>0</v>
      </c>
      <c r="J64" s="17" t="n">
        <f aca="false">IF(Rankings!J59&lt;=3,1,0)</f>
        <v>0</v>
      </c>
      <c r="K64" s="20" t="n">
        <f aca="false">SUM(C64:J64)</f>
        <v>3</v>
      </c>
      <c r="L64" s="16" t="n">
        <f aca="false">SUMPRODUCT(C64:J64,Returns!B68:I68)/K64</f>
        <v>0.171616233273445</v>
      </c>
      <c r="M64" s="16" t="n">
        <v>0</v>
      </c>
      <c r="N64" s="16" t="n">
        <v>0</v>
      </c>
      <c r="O64" s="16" t="n">
        <f aca="false">L64+M64+N64</f>
        <v>0.171616233273445</v>
      </c>
      <c r="P64" s="21" t="n">
        <f aca="false">P63*(1+O64)</f>
        <v>2.69755727000535</v>
      </c>
      <c r="Q64" s="21" t="n">
        <f aca="false">MAX($P$5:P64)</f>
        <v>2.80524078319807</v>
      </c>
      <c r="R64" s="16" t="n">
        <f aca="false">P64/Q64-1</f>
        <v>-0.0383865491467547</v>
      </c>
      <c r="S64" s="16" t="n">
        <f aca="false">O64-Benchmark_RF!D64</f>
        <v>0.166061297316803</v>
      </c>
    </row>
    <row r="65" customFormat="false" ht="15" hidden="false" customHeight="true" outlineLevel="0" collapsed="false">
      <c r="A65" s="1" t="n">
        <v>68</v>
      </c>
      <c r="B65" s="13" t="n">
        <f aca="false">Returns!A69</f>
        <v>44044</v>
      </c>
      <c r="C65" s="17" t="n">
        <f aca="false">IF(Rankings!C71&lt;=3,1,0)</f>
        <v>0</v>
      </c>
      <c r="D65" s="17" t="n">
        <f aca="false">IF(Rankings!D71&lt;=3,1,0)</f>
        <v>0</v>
      </c>
      <c r="E65" s="17" t="n">
        <f aca="false">IF(Rankings!E71&lt;=3,1,0)</f>
        <v>0</v>
      </c>
      <c r="F65" s="17" t="n">
        <f aca="false">IF(Rankings!F71&lt;=3,1,0)</f>
        <v>1</v>
      </c>
      <c r="G65" s="17" t="n">
        <f aca="false">IF(Rankings!G71&lt;=3,1,0)</f>
        <v>1</v>
      </c>
      <c r="H65" s="17" t="n">
        <f aca="false">IF(Rankings!H71&lt;=3,1,0)</f>
        <v>0</v>
      </c>
      <c r="I65" s="17" t="n">
        <f aca="false">IF(Rankings!I71&lt;=3,1,0)</f>
        <v>1</v>
      </c>
      <c r="J65" s="17" t="n">
        <f aca="false">IF(Rankings!J71&lt;=3,1,0)</f>
        <v>0</v>
      </c>
      <c r="K65" s="20" t="n">
        <f aca="false">SUM(C65:J65)</f>
        <v>3</v>
      </c>
      <c r="L65" s="16" t="n">
        <f aca="false">SUMPRODUCT(C65:J65,Returns!B69:I69)/K65</f>
        <v>0.0770279551473437</v>
      </c>
      <c r="M65" s="16" t="n">
        <f aca="false">-2*Assumptions!$B$13</f>
        <v>-0.007</v>
      </c>
      <c r="N65" s="16" t="n">
        <f aca="false">-Assumptions!$B$16*MAX(0,(1+O53)*(1+O54)*(1+O55)*(1+O56)*(1+O57)*(1+O58)*(1+O59)*(1+O60)*(1+O61)*(1+O62)*(1+O63)*(1+O64)-1)</f>
        <v>-0.0232305299827167</v>
      </c>
      <c r="O65" s="16" t="n">
        <f aca="false">L65+M65+N65</f>
        <v>0.046797425164627</v>
      </c>
      <c r="P65" s="21" t="n">
        <f aca="false">P64*(1+O65)</f>
        <v>2.82379600447572</v>
      </c>
      <c r="Q65" s="21" t="n">
        <f aca="false">MAX($P$5:P65)</f>
        <v>2.82379600447572</v>
      </c>
      <c r="R65" s="16" t="n">
        <f aca="false">P65/Q65-1</f>
        <v>0</v>
      </c>
      <c r="S65" s="16" t="n">
        <f aca="false">O65-Benchmark_RF!D65</f>
        <v>0.041071564983307</v>
      </c>
    </row>
    <row r="66" customFormat="false" ht="15" hidden="false" customHeight="true" outlineLevel="0" collapsed="false">
      <c r="A66" s="1" t="n">
        <v>69</v>
      </c>
      <c r="B66" s="13" t="n">
        <f aca="false">Returns!A70</f>
        <v>44075</v>
      </c>
      <c r="C66" s="17" t="n">
        <f aca="false">IF(Rankings!C71&lt;=3,1,0)</f>
        <v>0</v>
      </c>
      <c r="D66" s="17" t="n">
        <f aca="false">IF(Rankings!D71&lt;=3,1,0)</f>
        <v>0</v>
      </c>
      <c r="E66" s="17" t="n">
        <f aca="false">IF(Rankings!E71&lt;=3,1,0)</f>
        <v>0</v>
      </c>
      <c r="F66" s="17" t="n">
        <f aca="false">IF(Rankings!F71&lt;=3,1,0)</f>
        <v>1</v>
      </c>
      <c r="G66" s="17" t="n">
        <f aca="false">IF(Rankings!G71&lt;=3,1,0)</f>
        <v>1</v>
      </c>
      <c r="H66" s="17" t="n">
        <f aca="false">IF(Rankings!H71&lt;=3,1,0)</f>
        <v>0</v>
      </c>
      <c r="I66" s="17" t="n">
        <f aca="false">IF(Rankings!I71&lt;=3,1,0)</f>
        <v>1</v>
      </c>
      <c r="J66" s="17" t="n">
        <f aca="false">IF(Rankings!J71&lt;=3,1,0)</f>
        <v>0</v>
      </c>
      <c r="K66" s="20" t="n">
        <f aca="false">SUM(C66:J66)</f>
        <v>3</v>
      </c>
      <c r="L66" s="16" t="n">
        <f aca="false">SUMPRODUCT(C66:J66,Returns!B70:I70)/K66</f>
        <v>0.00984998767590058</v>
      </c>
      <c r="M66" s="16" t="n">
        <v>0</v>
      </c>
      <c r="N66" s="16" t="n">
        <v>0</v>
      </c>
      <c r="O66" s="16" t="n">
        <f aca="false">L66+M66+N66</f>
        <v>0.00984998767590058</v>
      </c>
      <c r="P66" s="21" t="n">
        <f aca="false">P65*(1+O66)</f>
        <v>2.85161036031907</v>
      </c>
      <c r="Q66" s="21" t="n">
        <f aca="false">MAX($P$5:P66)</f>
        <v>2.85161036031907</v>
      </c>
      <c r="R66" s="16" t="n">
        <f aca="false">P66/Q66-1</f>
        <v>0</v>
      </c>
      <c r="S66" s="16" t="n">
        <f aca="false">O66-Benchmark_RF!D66</f>
        <v>0.004118884187255</v>
      </c>
    </row>
    <row r="67" customFormat="false" ht="15" hidden="false" customHeight="true" outlineLevel="0" collapsed="false">
      <c r="A67" s="1" t="n">
        <v>70</v>
      </c>
      <c r="B67" s="13" t="n">
        <f aca="false">Returns!A71</f>
        <v>44105</v>
      </c>
      <c r="C67" s="17" t="n">
        <f aca="false">IF(Rankings!C71&lt;=3,1,0)</f>
        <v>0</v>
      </c>
      <c r="D67" s="17" t="n">
        <f aca="false">IF(Rankings!D71&lt;=3,1,0)</f>
        <v>0</v>
      </c>
      <c r="E67" s="17" t="n">
        <f aca="false">IF(Rankings!E71&lt;=3,1,0)</f>
        <v>0</v>
      </c>
      <c r="F67" s="17" t="n">
        <f aca="false">IF(Rankings!F71&lt;=3,1,0)</f>
        <v>1</v>
      </c>
      <c r="G67" s="17" t="n">
        <f aca="false">IF(Rankings!G71&lt;=3,1,0)</f>
        <v>1</v>
      </c>
      <c r="H67" s="17" t="n">
        <f aca="false">IF(Rankings!H71&lt;=3,1,0)</f>
        <v>0</v>
      </c>
      <c r="I67" s="17" t="n">
        <f aca="false">IF(Rankings!I71&lt;=3,1,0)</f>
        <v>1</v>
      </c>
      <c r="J67" s="17" t="n">
        <f aca="false">IF(Rankings!J71&lt;=3,1,0)</f>
        <v>0</v>
      </c>
      <c r="K67" s="20" t="n">
        <f aca="false">SUM(C67:J67)</f>
        <v>3</v>
      </c>
      <c r="L67" s="16" t="n">
        <f aca="false">SUMPRODUCT(C67:J67,Returns!B71:I71)/K67</f>
        <v>0.0661894059440293</v>
      </c>
      <c r="M67" s="16" t="n">
        <v>0</v>
      </c>
      <c r="N67" s="16" t="n">
        <v>0</v>
      </c>
      <c r="O67" s="16" t="n">
        <f aca="false">L67+M67+N67</f>
        <v>0.0661894059440293</v>
      </c>
      <c r="P67" s="21" t="n">
        <f aca="false">P66*(1+O67)</f>
        <v>3.04035675605243</v>
      </c>
      <c r="Q67" s="21" t="n">
        <f aca="false">MAX($P$5:P67)</f>
        <v>3.04035675605243</v>
      </c>
      <c r="R67" s="16" t="n">
        <f aca="false">P67/Q67-1</f>
        <v>0</v>
      </c>
      <c r="S67" s="16" t="n">
        <f aca="false">O67-Benchmark_RF!D67</f>
        <v>0.0604115955109255</v>
      </c>
    </row>
    <row r="68" customFormat="false" ht="15" hidden="false" customHeight="true" outlineLevel="0" collapsed="false">
      <c r="A68" s="1" t="n">
        <v>71</v>
      </c>
      <c r="B68" s="13" t="n">
        <f aca="false">Returns!A72</f>
        <v>44136</v>
      </c>
      <c r="C68" s="17" t="n">
        <f aca="false">IF(Rankings!C71&lt;=3,1,0)</f>
        <v>0</v>
      </c>
      <c r="D68" s="17" t="n">
        <f aca="false">IF(Rankings!D71&lt;=3,1,0)</f>
        <v>0</v>
      </c>
      <c r="E68" s="17" t="n">
        <f aca="false">IF(Rankings!E71&lt;=3,1,0)</f>
        <v>0</v>
      </c>
      <c r="F68" s="17" t="n">
        <f aca="false">IF(Rankings!F71&lt;=3,1,0)</f>
        <v>1</v>
      </c>
      <c r="G68" s="17" t="n">
        <f aca="false">IF(Rankings!G71&lt;=3,1,0)</f>
        <v>1</v>
      </c>
      <c r="H68" s="17" t="n">
        <f aca="false">IF(Rankings!H71&lt;=3,1,0)</f>
        <v>0</v>
      </c>
      <c r="I68" s="17" t="n">
        <f aca="false">IF(Rankings!I71&lt;=3,1,0)</f>
        <v>1</v>
      </c>
      <c r="J68" s="17" t="n">
        <f aca="false">IF(Rankings!J71&lt;=3,1,0)</f>
        <v>0</v>
      </c>
      <c r="K68" s="20" t="n">
        <f aca="false">SUM(C68:J68)</f>
        <v>3</v>
      </c>
      <c r="L68" s="16" t="n">
        <f aca="false">SUMPRODUCT(C68:J68,Returns!B72:I72)/K68</f>
        <v>0.00467911261791095</v>
      </c>
      <c r="M68" s="16" t="n">
        <v>0</v>
      </c>
      <c r="N68" s="16" t="n">
        <v>0</v>
      </c>
      <c r="O68" s="16" t="n">
        <f aca="false">L68+M68+N68</f>
        <v>0.00467911261791095</v>
      </c>
      <c r="P68" s="21" t="n">
        <f aca="false">P67*(1+O68)</f>
        <v>3.05458292771262</v>
      </c>
      <c r="Q68" s="21" t="n">
        <f aca="false">MAX($P$5:P68)</f>
        <v>3.05458292771262</v>
      </c>
      <c r="R68" s="16" t="n">
        <f aca="false">P68/Q68-1</f>
        <v>0</v>
      </c>
      <c r="S68" s="16" t="n">
        <f aca="false">O68-Benchmark_RF!D68</f>
        <v>-0.00108477428780055</v>
      </c>
    </row>
    <row r="69" customFormat="false" ht="15" hidden="false" customHeight="true" outlineLevel="0" collapsed="false">
      <c r="A69" s="1" t="n">
        <v>72</v>
      </c>
      <c r="B69" s="13" t="n">
        <f aca="false">Returns!A73</f>
        <v>44166</v>
      </c>
      <c r="C69" s="17" t="n">
        <f aca="false">IF(Rankings!C71&lt;=3,1,0)</f>
        <v>0</v>
      </c>
      <c r="D69" s="17" t="n">
        <f aca="false">IF(Rankings!D71&lt;=3,1,0)</f>
        <v>0</v>
      </c>
      <c r="E69" s="17" t="n">
        <f aca="false">IF(Rankings!E71&lt;=3,1,0)</f>
        <v>0</v>
      </c>
      <c r="F69" s="17" t="n">
        <f aca="false">IF(Rankings!F71&lt;=3,1,0)</f>
        <v>1</v>
      </c>
      <c r="G69" s="17" t="n">
        <f aca="false">IF(Rankings!G71&lt;=3,1,0)</f>
        <v>1</v>
      </c>
      <c r="H69" s="17" t="n">
        <f aca="false">IF(Rankings!H71&lt;=3,1,0)</f>
        <v>0</v>
      </c>
      <c r="I69" s="17" t="n">
        <f aca="false">IF(Rankings!I71&lt;=3,1,0)</f>
        <v>1</v>
      </c>
      <c r="J69" s="17" t="n">
        <f aca="false">IF(Rankings!J71&lt;=3,1,0)</f>
        <v>0</v>
      </c>
      <c r="K69" s="20" t="n">
        <f aca="false">SUM(C69:J69)</f>
        <v>3</v>
      </c>
      <c r="L69" s="16" t="n">
        <f aca="false">SUMPRODUCT(C69:J69,Returns!B73:I73)/K69</f>
        <v>0.0989590997158844</v>
      </c>
      <c r="M69" s="16" t="n">
        <v>0</v>
      </c>
      <c r="N69" s="16" t="n">
        <v>0</v>
      </c>
      <c r="O69" s="16" t="n">
        <f aca="false">L69+M69+N69</f>
        <v>0.0989590997158844</v>
      </c>
      <c r="P69" s="21" t="n">
        <f aca="false">P68*(1+O69)</f>
        <v>3.35686170424657</v>
      </c>
      <c r="Q69" s="21" t="n">
        <f aca="false">MAX($P$5:P69)</f>
        <v>3.35686170424657</v>
      </c>
      <c r="R69" s="16" t="n">
        <f aca="false">P69/Q69-1</f>
        <v>0</v>
      </c>
      <c r="S69" s="16" t="n">
        <f aca="false">O69-Benchmark_RF!D69</f>
        <v>0.0932196232106858</v>
      </c>
    </row>
    <row r="70" customFormat="false" ht="15" hidden="false" customHeight="true" outlineLevel="0" collapsed="false">
      <c r="A70" s="1" t="n">
        <v>73</v>
      </c>
      <c r="B70" s="13" t="n">
        <f aca="false">Returns!A74</f>
        <v>44197</v>
      </c>
      <c r="C70" s="17" t="n">
        <f aca="false">IF(Rankings!C71&lt;=3,1,0)</f>
        <v>0</v>
      </c>
      <c r="D70" s="17" t="n">
        <f aca="false">IF(Rankings!D71&lt;=3,1,0)</f>
        <v>0</v>
      </c>
      <c r="E70" s="17" t="n">
        <f aca="false">IF(Rankings!E71&lt;=3,1,0)</f>
        <v>0</v>
      </c>
      <c r="F70" s="17" t="n">
        <f aca="false">IF(Rankings!F71&lt;=3,1,0)</f>
        <v>1</v>
      </c>
      <c r="G70" s="17" t="n">
        <f aca="false">IF(Rankings!G71&lt;=3,1,0)</f>
        <v>1</v>
      </c>
      <c r="H70" s="17" t="n">
        <f aca="false">IF(Rankings!H71&lt;=3,1,0)</f>
        <v>0</v>
      </c>
      <c r="I70" s="17" t="n">
        <f aca="false">IF(Rankings!I71&lt;=3,1,0)</f>
        <v>1</v>
      </c>
      <c r="J70" s="17" t="n">
        <f aca="false">IF(Rankings!J71&lt;=3,1,0)</f>
        <v>0</v>
      </c>
      <c r="K70" s="20" t="n">
        <f aca="false">SUM(C70:J70)</f>
        <v>3</v>
      </c>
      <c r="L70" s="16" t="n">
        <f aca="false">SUMPRODUCT(C70:J70,Returns!B74:I74)/K70</f>
        <v>0.0354289464366383</v>
      </c>
      <c r="M70" s="16" t="n">
        <v>0</v>
      </c>
      <c r="N70" s="16" t="n">
        <v>0</v>
      </c>
      <c r="O70" s="16" t="n">
        <f aca="false">L70+M70+N70</f>
        <v>0.0354289464366383</v>
      </c>
      <c r="P70" s="21" t="n">
        <f aca="false">P69*(1+O70)</f>
        <v>3.47579177776153</v>
      </c>
      <c r="Q70" s="21" t="n">
        <f aca="false">MAX($P$5:P70)</f>
        <v>3.47579177776153</v>
      </c>
      <c r="R70" s="16" t="n">
        <f aca="false">P70/Q70-1</f>
        <v>0</v>
      </c>
      <c r="S70" s="16" t="n">
        <f aca="false">O70-Benchmark_RF!D70</f>
        <v>0.0296560637511546</v>
      </c>
    </row>
    <row r="71" customFormat="false" ht="15" hidden="false" customHeight="true" outlineLevel="0" collapsed="false">
      <c r="A71" s="1" t="n">
        <v>74</v>
      </c>
      <c r="B71" s="13" t="n">
        <f aca="false">Returns!A75</f>
        <v>44228</v>
      </c>
      <c r="C71" s="17" t="n">
        <f aca="false">IF(Rankings!C71&lt;=3,1,0)</f>
        <v>0</v>
      </c>
      <c r="D71" s="17" t="n">
        <f aca="false">IF(Rankings!D71&lt;=3,1,0)</f>
        <v>0</v>
      </c>
      <c r="E71" s="17" t="n">
        <f aca="false">IF(Rankings!E71&lt;=3,1,0)</f>
        <v>0</v>
      </c>
      <c r="F71" s="17" t="n">
        <f aca="false">IF(Rankings!F71&lt;=3,1,0)</f>
        <v>1</v>
      </c>
      <c r="G71" s="17" t="n">
        <f aca="false">IF(Rankings!G71&lt;=3,1,0)</f>
        <v>1</v>
      </c>
      <c r="H71" s="17" t="n">
        <f aca="false">IF(Rankings!H71&lt;=3,1,0)</f>
        <v>0</v>
      </c>
      <c r="I71" s="17" t="n">
        <f aca="false">IF(Rankings!I71&lt;=3,1,0)</f>
        <v>1</v>
      </c>
      <c r="J71" s="17" t="n">
        <f aca="false">IF(Rankings!J71&lt;=3,1,0)</f>
        <v>0</v>
      </c>
      <c r="K71" s="20" t="n">
        <f aca="false">SUM(C71:J71)</f>
        <v>3</v>
      </c>
      <c r="L71" s="16" t="n">
        <f aca="false">SUMPRODUCT(C71:J71,Returns!B75:I75)/K71</f>
        <v>0.0537828125337307</v>
      </c>
      <c r="M71" s="16" t="n">
        <v>0</v>
      </c>
      <c r="N71" s="16" t="n">
        <v>0</v>
      </c>
      <c r="O71" s="16" t="n">
        <f aca="false">L71+M71+N71</f>
        <v>0.0537828125337307</v>
      </c>
      <c r="P71" s="21" t="n">
        <f aca="false">P70*(1+O71)</f>
        <v>3.66272963535116</v>
      </c>
      <c r="Q71" s="21" t="n">
        <f aca="false">MAX($P$5:P71)</f>
        <v>3.66272963535116</v>
      </c>
      <c r="R71" s="16" t="n">
        <f aca="false">P71/Q71-1</f>
        <v>0</v>
      </c>
      <c r="S71" s="16" t="n">
        <f aca="false">O71-Benchmark_RF!D71</f>
        <v>0.0479795072039662</v>
      </c>
    </row>
    <row r="72" customFormat="false" ht="15" hidden="false" customHeight="true" outlineLevel="0" collapsed="false">
      <c r="A72" s="1" t="n">
        <v>75</v>
      </c>
      <c r="B72" s="13" t="n">
        <f aca="false">Returns!A76</f>
        <v>44256</v>
      </c>
      <c r="C72" s="17" t="n">
        <f aca="false">IF(Rankings!C71&lt;=3,1,0)</f>
        <v>0</v>
      </c>
      <c r="D72" s="17" t="n">
        <f aca="false">IF(Rankings!D71&lt;=3,1,0)</f>
        <v>0</v>
      </c>
      <c r="E72" s="17" t="n">
        <f aca="false">IF(Rankings!E71&lt;=3,1,0)</f>
        <v>0</v>
      </c>
      <c r="F72" s="17" t="n">
        <f aca="false">IF(Rankings!F71&lt;=3,1,0)</f>
        <v>1</v>
      </c>
      <c r="G72" s="17" t="n">
        <f aca="false">IF(Rankings!G71&lt;=3,1,0)</f>
        <v>1</v>
      </c>
      <c r="H72" s="17" t="n">
        <f aca="false">IF(Rankings!H71&lt;=3,1,0)</f>
        <v>0</v>
      </c>
      <c r="I72" s="17" t="n">
        <f aca="false">IF(Rankings!I71&lt;=3,1,0)</f>
        <v>1</v>
      </c>
      <c r="J72" s="17" t="n">
        <f aca="false">IF(Rankings!J71&lt;=3,1,0)</f>
        <v>0</v>
      </c>
      <c r="K72" s="20" t="n">
        <f aca="false">SUM(C72:J72)</f>
        <v>3</v>
      </c>
      <c r="L72" s="16" t="n">
        <f aca="false">SUMPRODUCT(C72:J72,Returns!B76:I76)/K72</f>
        <v>-0.0595841533782388</v>
      </c>
      <c r="M72" s="16" t="n">
        <v>0</v>
      </c>
      <c r="N72" s="16" t="n">
        <v>0</v>
      </c>
      <c r="O72" s="16" t="n">
        <f aca="false">L72+M72+N72</f>
        <v>-0.0595841533782388</v>
      </c>
      <c r="P72" s="21" t="n">
        <f aca="false">P71*(1+O72)</f>
        <v>3.44448899097537</v>
      </c>
      <c r="Q72" s="21" t="n">
        <f aca="false">MAX($P$5:P72)</f>
        <v>3.66272963535116</v>
      </c>
      <c r="R72" s="16" t="n">
        <f aca="false">P72/Q72-1</f>
        <v>-0.0595841533782386</v>
      </c>
      <c r="S72" s="16" t="n">
        <f aca="false">O72-Benchmark_RF!D72</f>
        <v>-0.0655743084489088</v>
      </c>
    </row>
    <row r="73" customFormat="false" ht="15" hidden="false" customHeight="true" outlineLevel="0" collapsed="false">
      <c r="A73" s="1" t="n">
        <v>76</v>
      </c>
      <c r="B73" s="13" t="n">
        <f aca="false">Returns!A77</f>
        <v>44287</v>
      </c>
      <c r="C73" s="17" t="n">
        <f aca="false">IF(Rankings!C71&lt;=3,1,0)</f>
        <v>0</v>
      </c>
      <c r="D73" s="17" t="n">
        <f aca="false">IF(Rankings!D71&lt;=3,1,0)</f>
        <v>0</v>
      </c>
      <c r="E73" s="17" t="n">
        <f aca="false">IF(Rankings!E71&lt;=3,1,0)</f>
        <v>0</v>
      </c>
      <c r="F73" s="17" t="n">
        <f aca="false">IF(Rankings!F71&lt;=3,1,0)</f>
        <v>1</v>
      </c>
      <c r="G73" s="17" t="n">
        <f aca="false">IF(Rankings!G71&lt;=3,1,0)</f>
        <v>1</v>
      </c>
      <c r="H73" s="17" t="n">
        <f aca="false">IF(Rankings!H71&lt;=3,1,0)</f>
        <v>0</v>
      </c>
      <c r="I73" s="17" t="n">
        <f aca="false">IF(Rankings!I71&lt;=3,1,0)</f>
        <v>1</v>
      </c>
      <c r="J73" s="17" t="n">
        <f aca="false">IF(Rankings!J71&lt;=3,1,0)</f>
        <v>0</v>
      </c>
      <c r="K73" s="20" t="n">
        <f aca="false">SUM(C73:J73)</f>
        <v>3</v>
      </c>
      <c r="L73" s="16" t="n">
        <f aca="false">SUMPRODUCT(C73:J73,Returns!B77:I77)/K73</f>
        <v>-0.0466246026297214</v>
      </c>
      <c r="M73" s="16" t="n">
        <v>0</v>
      </c>
      <c r="N73" s="16" t="n">
        <v>0</v>
      </c>
      <c r="O73" s="16" t="n">
        <f aca="false">L73+M73+N73</f>
        <v>-0.0466246026297214</v>
      </c>
      <c r="P73" s="21" t="n">
        <f aca="false">P72*(1+O73)</f>
        <v>3.2838910605087</v>
      </c>
      <c r="Q73" s="21" t="n">
        <f aca="false">MAX($P$5:P73)</f>
        <v>3.66272963535116</v>
      </c>
      <c r="R73" s="16" t="n">
        <f aca="false">P73/Q73-1</f>
        <v>-0.103430668533671</v>
      </c>
      <c r="S73" s="16" t="n">
        <f aca="false">O73-Benchmark_RF!D73</f>
        <v>-0.0525729996083474</v>
      </c>
    </row>
    <row r="74" customFormat="false" ht="15" hidden="false" customHeight="true" outlineLevel="0" collapsed="false">
      <c r="A74" s="1" t="n">
        <v>77</v>
      </c>
      <c r="B74" s="13" t="n">
        <f aca="false">Returns!A78</f>
        <v>44317</v>
      </c>
      <c r="C74" s="17" t="n">
        <f aca="false">IF(Rankings!C71&lt;=3,1,0)</f>
        <v>0</v>
      </c>
      <c r="D74" s="17" t="n">
        <f aca="false">IF(Rankings!D71&lt;=3,1,0)</f>
        <v>0</v>
      </c>
      <c r="E74" s="17" t="n">
        <f aca="false">IF(Rankings!E71&lt;=3,1,0)</f>
        <v>0</v>
      </c>
      <c r="F74" s="17" t="n">
        <f aca="false">IF(Rankings!F71&lt;=3,1,0)</f>
        <v>1</v>
      </c>
      <c r="G74" s="17" t="n">
        <f aca="false">IF(Rankings!G71&lt;=3,1,0)</f>
        <v>1</v>
      </c>
      <c r="H74" s="17" t="n">
        <f aca="false">IF(Rankings!H71&lt;=3,1,0)</f>
        <v>0</v>
      </c>
      <c r="I74" s="17" t="n">
        <f aca="false">IF(Rankings!I71&lt;=3,1,0)</f>
        <v>1</v>
      </c>
      <c r="J74" s="17" t="n">
        <f aca="false">IF(Rankings!J71&lt;=3,1,0)</f>
        <v>0</v>
      </c>
      <c r="K74" s="20" t="n">
        <f aca="false">SUM(C74:J74)</f>
        <v>3</v>
      </c>
      <c r="L74" s="16" t="n">
        <f aca="false">SUMPRODUCT(C74:J74,Returns!B78:I78)/K74</f>
        <v>0.069929820214433</v>
      </c>
      <c r="M74" s="16" t="n">
        <v>0</v>
      </c>
      <c r="N74" s="16" t="n">
        <v>0</v>
      </c>
      <c r="O74" s="16" t="n">
        <f aca="false">L74+M74+N74</f>
        <v>0.069929820214433</v>
      </c>
      <c r="P74" s="21" t="n">
        <f aca="false">P73*(1+O74)</f>
        <v>3.51353297197385</v>
      </c>
      <c r="Q74" s="21" t="n">
        <f aca="false">MAX($P$5:P74)</f>
        <v>3.66272963535116</v>
      </c>
      <c r="R74" s="16" t="n">
        <f aca="false">P74/Q74-1</f>
        <v>-0.0407337363744567</v>
      </c>
      <c r="S74" s="16" t="n">
        <f aca="false">O74-Benchmark_RF!D74</f>
        <v>0.0640082052807744</v>
      </c>
    </row>
    <row r="75" customFormat="false" ht="15" hidden="false" customHeight="true" outlineLevel="0" collapsed="false">
      <c r="A75" s="1" t="n">
        <v>78</v>
      </c>
      <c r="B75" s="13" t="n">
        <f aca="false">Returns!A79</f>
        <v>44348</v>
      </c>
      <c r="C75" s="17" t="n">
        <f aca="false">IF(Rankings!C71&lt;=3,1,0)</f>
        <v>0</v>
      </c>
      <c r="D75" s="17" t="n">
        <f aca="false">IF(Rankings!D71&lt;=3,1,0)</f>
        <v>0</v>
      </c>
      <c r="E75" s="17" t="n">
        <f aca="false">IF(Rankings!E71&lt;=3,1,0)</f>
        <v>0</v>
      </c>
      <c r="F75" s="17" t="n">
        <f aca="false">IF(Rankings!F71&lt;=3,1,0)</f>
        <v>1</v>
      </c>
      <c r="G75" s="17" t="n">
        <f aca="false">IF(Rankings!G71&lt;=3,1,0)</f>
        <v>1</v>
      </c>
      <c r="H75" s="17" t="n">
        <f aca="false">IF(Rankings!H71&lt;=3,1,0)</f>
        <v>0</v>
      </c>
      <c r="I75" s="17" t="n">
        <f aca="false">IF(Rankings!I71&lt;=3,1,0)</f>
        <v>1</v>
      </c>
      <c r="J75" s="17" t="n">
        <f aca="false">IF(Rankings!J71&lt;=3,1,0)</f>
        <v>0</v>
      </c>
      <c r="K75" s="20" t="n">
        <f aca="false">SUM(C75:J75)</f>
        <v>3</v>
      </c>
      <c r="L75" s="16" t="n">
        <f aca="false">SUMPRODUCT(C75:J75,Returns!B79:I79)/K75</f>
        <v>-0.039236983878745</v>
      </c>
      <c r="M75" s="16" t="n">
        <v>0</v>
      </c>
      <c r="N75" s="16" t="n">
        <v>0</v>
      </c>
      <c r="O75" s="16" t="n">
        <f aca="false">L75+M75+N75</f>
        <v>-0.039236983878745</v>
      </c>
      <c r="P75" s="21" t="n">
        <f aca="false">P74*(1+O75)</f>
        <v>3.37567253539508</v>
      </c>
      <c r="Q75" s="21" t="n">
        <f aca="false">MAX($P$5:P75)</f>
        <v>3.66272963535116</v>
      </c>
      <c r="R75" s="16" t="n">
        <f aca="false">P75/Q75-1</f>
        <v>-0.078372451295756</v>
      </c>
      <c r="S75" s="16" t="n">
        <f aca="false">O75-Benchmark_RF!D75</f>
        <v>-0.0451221220145526</v>
      </c>
    </row>
    <row r="76" customFormat="false" ht="15" hidden="false" customHeight="true" outlineLevel="0" collapsed="false">
      <c r="A76" s="1" t="n">
        <v>79</v>
      </c>
      <c r="B76" s="13" t="n">
        <f aca="false">Returns!A80</f>
        <v>44378</v>
      </c>
      <c r="C76" s="17" t="n">
        <f aca="false">IF(Rankings!C71&lt;=3,1,0)</f>
        <v>0</v>
      </c>
      <c r="D76" s="17" t="n">
        <f aca="false">IF(Rankings!D71&lt;=3,1,0)</f>
        <v>0</v>
      </c>
      <c r="E76" s="17" t="n">
        <f aca="false">IF(Rankings!E71&lt;=3,1,0)</f>
        <v>0</v>
      </c>
      <c r="F76" s="17" t="n">
        <f aca="false">IF(Rankings!F71&lt;=3,1,0)</f>
        <v>1</v>
      </c>
      <c r="G76" s="17" t="n">
        <f aca="false">IF(Rankings!G71&lt;=3,1,0)</f>
        <v>1</v>
      </c>
      <c r="H76" s="17" t="n">
        <f aca="false">IF(Rankings!H71&lt;=3,1,0)</f>
        <v>0</v>
      </c>
      <c r="I76" s="17" t="n">
        <f aca="false">IF(Rankings!I71&lt;=3,1,0)</f>
        <v>1</v>
      </c>
      <c r="J76" s="17" t="n">
        <f aca="false">IF(Rankings!J71&lt;=3,1,0)</f>
        <v>0</v>
      </c>
      <c r="K76" s="20" t="n">
        <f aca="false">SUM(C76:J76)</f>
        <v>3</v>
      </c>
      <c r="L76" s="16" t="n">
        <f aca="false">SUMPRODUCT(C76:J76,Returns!B80:I80)/K76</f>
        <v>-0.00757912920104971</v>
      </c>
      <c r="M76" s="16" t="n">
        <v>0</v>
      </c>
      <c r="N76" s="16" t="n">
        <v>0</v>
      </c>
      <c r="O76" s="16" t="n">
        <f aca="false">L76+M76+N76</f>
        <v>-0.00757912920104971</v>
      </c>
      <c r="P76" s="21" t="n">
        <f aca="false">P75*(1+O76)</f>
        <v>3.35008787710888</v>
      </c>
      <c r="Q76" s="21" t="n">
        <f aca="false">MAX($P$5:P76)</f>
        <v>3.66272963535116</v>
      </c>
      <c r="R76" s="16" t="n">
        <f aca="false">P76/Q76-1</f>
        <v>-0.0853575855626322</v>
      </c>
      <c r="S76" s="16" t="n">
        <f aca="false">O76-Benchmark_RF!D76</f>
        <v>-0.0134151920752024</v>
      </c>
    </row>
    <row r="77" customFormat="false" ht="15" hidden="false" customHeight="true" outlineLevel="0" collapsed="false">
      <c r="A77" s="1" t="n">
        <v>80</v>
      </c>
      <c r="B77" s="13" t="n">
        <f aca="false">Returns!A81</f>
        <v>44409</v>
      </c>
      <c r="C77" s="17" t="n">
        <f aca="false">IF(Rankings!C83&lt;=3,1,0)</f>
        <v>1</v>
      </c>
      <c r="D77" s="17" t="n">
        <f aca="false">IF(Rankings!D83&lt;=3,1,0)</f>
        <v>1</v>
      </c>
      <c r="E77" s="17" t="n">
        <f aca="false">IF(Rankings!E83&lt;=3,1,0)</f>
        <v>0</v>
      </c>
      <c r="F77" s="17" t="n">
        <f aca="false">IF(Rankings!F83&lt;=3,1,0)</f>
        <v>1</v>
      </c>
      <c r="G77" s="17" t="n">
        <f aca="false">IF(Rankings!G83&lt;=3,1,0)</f>
        <v>0</v>
      </c>
      <c r="H77" s="17" t="n">
        <f aca="false">IF(Rankings!H83&lt;=3,1,0)</f>
        <v>0</v>
      </c>
      <c r="I77" s="17" t="n">
        <f aca="false">IF(Rankings!I83&lt;=3,1,0)</f>
        <v>0</v>
      </c>
      <c r="J77" s="17" t="n">
        <f aca="false">IF(Rankings!J83&lt;=3,1,0)</f>
        <v>0</v>
      </c>
      <c r="K77" s="20" t="n">
        <f aca="false">SUM(C77:J77)</f>
        <v>3</v>
      </c>
      <c r="L77" s="16" t="n">
        <f aca="false">SUMPRODUCT(C77:J77,Returns!B81:I81)/K77</f>
        <v>0.0822933502238807</v>
      </c>
      <c r="M77" s="16" t="n">
        <f aca="false">-2*Assumptions!$B$13</f>
        <v>-0.007</v>
      </c>
      <c r="N77" s="16" t="n">
        <f aca="false">-Assumptions!$B$16*MAX(0,(1+O65)*(1+O66)*(1+O67)*(1+O68)*(1+O69)*(1+O70)*(1+O71)*(1+O72)*(1+O73)*(1+O74)*(1+O75)*(1+O76)-1)</f>
        <v>-0.0362845275441864</v>
      </c>
      <c r="O77" s="16" t="n">
        <f aca="false">L77+M77+N77</f>
        <v>0.0390088226796943</v>
      </c>
      <c r="P77" s="21" t="n">
        <f aca="false">P76*(1+O77)</f>
        <v>3.48077086106842</v>
      </c>
      <c r="Q77" s="21" t="n">
        <f aca="false">MAX($P$5:P77)</f>
        <v>3.66272963535116</v>
      </c>
      <c r="R77" s="16" t="n">
        <f aca="false">P77/Q77-1</f>
        <v>-0.0496784618025173</v>
      </c>
      <c r="S77" s="16" t="n">
        <f aca="false">O77-Benchmark_RF!D77</f>
        <v>0.0331752611611826</v>
      </c>
    </row>
    <row r="78" customFormat="false" ht="15" hidden="false" customHeight="true" outlineLevel="0" collapsed="false">
      <c r="A78" s="1" t="n">
        <v>81</v>
      </c>
      <c r="B78" s="13" t="n">
        <f aca="false">Returns!A82</f>
        <v>44440</v>
      </c>
      <c r="C78" s="17" t="n">
        <f aca="false">IF(Rankings!C83&lt;=3,1,0)</f>
        <v>1</v>
      </c>
      <c r="D78" s="17" t="n">
        <f aca="false">IF(Rankings!D83&lt;=3,1,0)</f>
        <v>1</v>
      </c>
      <c r="E78" s="17" t="n">
        <f aca="false">IF(Rankings!E83&lt;=3,1,0)</f>
        <v>0</v>
      </c>
      <c r="F78" s="17" t="n">
        <f aca="false">IF(Rankings!F83&lt;=3,1,0)</f>
        <v>1</v>
      </c>
      <c r="G78" s="17" t="n">
        <f aca="false">IF(Rankings!G83&lt;=3,1,0)</f>
        <v>0</v>
      </c>
      <c r="H78" s="17" t="n">
        <f aca="false">IF(Rankings!H83&lt;=3,1,0)</f>
        <v>0</v>
      </c>
      <c r="I78" s="17" t="n">
        <f aca="false">IF(Rankings!I83&lt;=3,1,0)</f>
        <v>0</v>
      </c>
      <c r="J78" s="17" t="n">
        <f aca="false">IF(Rankings!J83&lt;=3,1,0)</f>
        <v>0</v>
      </c>
      <c r="K78" s="20" t="n">
        <f aca="false">SUM(C78:J78)</f>
        <v>3</v>
      </c>
      <c r="L78" s="16" t="n">
        <f aca="false">SUMPRODUCT(C78:J78,Returns!B82:I82)/K78</f>
        <v>-0.0425416156620153</v>
      </c>
      <c r="M78" s="16" t="n">
        <v>0</v>
      </c>
      <c r="N78" s="16" t="n">
        <v>0</v>
      </c>
      <c r="O78" s="16" t="n">
        <f aca="false">L78+M78+N78</f>
        <v>-0.0425416156620153</v>
      </c>
      <c r="P78" s="21" t="n">
        <f aca="false">P77*(1+O78)</f>
        <v>3.3326932448893</v>
      </c>
      <c r="Q78" s="21" t="n">
        <f aca="false">MAX($P$5:P78)</f>
        <v>3.66272963535116</v>
      </c>
      <c r="R78" s="16" t="n">
        <f aca="false">P78/Q78-1</f>
        <v>-0.0901066754358499</v>
      </c>
      <c r="S78" s="16" t="n">
        <f aca="false">O78-Benchmark_RF!D78</f>
        <v>-0.0486419673369987</v>
      </c>
    </row>
    <row r="79" customFormat="false" ht="15" hidden="false" customHeight="true" outlineLevel="0" collapsed="false">
      <c r="A79" s="1" t="n">
        <v>82</v>
      </c>
      <c r="B79" s="13" t="n">
        <f aca="false">Returns!A83</f>
        <v>44470</v>
      </c>
      <c r="C79" s="17" t="n">
        <f aca="false">IF(Rankings!C83&lt;=3,1,0)</f>
        <v>1</v>
      </c>
      <c r="D79" s="17" t="n">
        <f aca="false">IF(Rankings!D83&lt;=3,1,0)</f>
        <v>1</v>
      </c>
      <c r="E79" s="17" t="n">
        <f aca="false">IF(Rankings!E83&lt;=3,1,0)</f>
        <v>0</v>
      </c>
      <c r="F79" s="17" t="n">
        <f aca="false">IF(Rankings!F83&lt;=3,1,0)</f>
        <v>1</v>
      </c>
      <c r="G79" s="17" t="n">
        <f aca="false">IF(Rankings!G83&lt;=3,1,0)</f>
        <v>0</v>
      </c>
      <c r="H79" s="17" t="n">
        <f aca="false">IF(Rankings!H83&lt;=3,1,0)</f>
        <v>0</v>
      </c>
      <c r="I79" s="17" t="n">
        <f aca="false">IF(Rankings!I83&lt;=3,1,0)</f>
        <v>0</v>
      </c>
      <c r="J79" s="17" t="n">
        <f aca="false">IF(Rankings!J83&lt;=3,1,0)</f>
        <v>0</v>
      </c>
      <c r="K79" s="20" t="n">
        <f aca="false">SUM(C79:J79)</f>
        <v>3</v>
      </c>
      <c r="L79" s="16" t="n">
        <f aca="false">SUMPRODUCT(C79:J79,Returns!B83:I83)/K79</f>
        <v>0.0153164425736314</v>
      </c>
      <c r="M79" s="16" t="n">
        <v>0</v>
      </c>
      <c r="N79" s="16" t="n">
        <v>0</v>
      </c>
      <c r="O79" s="16" t="n">
        <f aca="false">L79+M79+N79</f>
        <v>0.0153164425736314</v>
      </c>
      <c r="P79" s="21" t="n">
        <f aca="false">P78*(1+O79)</f>
        <v>3.38373824959018</v>
      </c>
      <c r="Q79" s="21" t="n">
        <f aca="false">MAX($P$5:P79)</f>
        <v>3.66272963535116</v>
      </c>
      <c r="R79" s="16" t="n">
        <f aca="false">P79/Q79-1</f>
        <v>-0.0761703465820325</v>
      </c>
      <c r="S79" s="16" t="n">
        <f aca="false">O79-Benchmark_RF!D79</f>
        <v>0.00874676871467609</v>
      </c>
    </row>
    <row r="80" customFormat="false" ht="15" hidden="false" customHeight="true" outlineLevel="0" collapsed="false">
      <c r="A80" s="1" t="n">
        <v>83</v>
      </c>
      <c r="B80" s="13" t="n">
        <f aca="false">Returns!A84</f>
        <v>44501</v>
      </c>
      <c r="C80" s="17" t="n">
        <f aca="false">IF(Rankings!C83&lt;=3,1,0)</f>
        <v>1</v>
      </c>
      <c r="D80" s="17" t="n">
        <f aca="false">IF(Rankings!D83&lt;=3,1,0)</f>
        <v>1</v>
      </c>
      <c r="E80" s="17" t="n">
        <f aca="false">IF(Rankings!E83&lt;=3,1,0)</f>
        <v>0</v>
      </c>
      <c r="F80" s="17" t="n">
        <f aca="false">IF(Rankings!F83&lt;=3,1,0)</f>
        <v>1</v>
      </c>
      <c r="G80" s="17" t="n">
        <f aca="false">IF(Rankings!G83&lt;=3,1,0)</f>
        <v>0</v>
      </c>
      <c r="H80" s="17" t="n">
        <f aca="false">IF(Rankings!H83&lt;=3,1,0)</f>
        <v>0</v>
      </c>
      <c r="I80" s="17" t="n">
        <f aca="false">IF(Rankings!I83&lt;=3,1,0)</f>
        <v>0</v>
      </c>
      <c r="J80" s="17" t="n">
        <f aca="false">IF(Rankings!J83&lt;=3,1,0)</f>
        <v>0</v>
      </c>
      <c r="K80" s="20" t="n">
        <f aca="false">SUM(C80:J80)</f>
        <v>3</v>
      </c>
      <c r="L80" s="16" t="n">
        <f aca="false">SUMPRODUCT(C80:J80,Returns!B84:I84)/K80</f>
        <v>0.0233246373767554</v>
      </c>
      <c r="M80" s="16" t="n">
        <v>0</v>
      </c>
      <c r="N80" s="16" t="n">
        <v>0</v>
      </c>
      <c r="O80" s="16" t="n">
        <f aca="false">L80+M80+N80</f>
        <v>0.0233246373767554</v>
      </c>
      <c r="P80" s="21" t="n">
        <f aca="false">P79*(1+O80)</f>
        <v>3.46266271723973</v>
      </c>
      <c r="Q80" s="21" t="n">
        <f aca="false">MAX($P$5:P80)</f>
        <v>3.66272963535116</v>
      </c>
      <c r="R80" s="16" t="n">
        <f aca="false">P80/Q80-1</f>
        <v>-0.0546223549181647</v>
      </c>
      <c r="S80" s="16" t="n">
        <f aca="false">O80-Benchmark_RF!D80</f>
        <v>0.016502912024568</v>
      </c>
    </row>
    <row r="81" customFormat="false" ht="15" hidden="false" customHeight="true" outlineLevel="0" collapsed="false">
      <c r="A81" s="1" t="n">
        <v>84</v>
      </c>
      <c r="B81" s="13" t="n">
        <f aca="false">Returns!A85</f>
        <v>44531</v>
      </c>
      <c r="C81" s="17" t="n">
        <f aca="false">IF(Rankings!C83&lt;=3,1,0)</f>
        <v>1</v>
      </c>
      <c r="D81" s="17" t="n">
        <f aca="false">IF(Rankings!D83&lt;=3,1,0)</f>
        <v>1</v>
      </c>
      <c r="E81" s="17" t="n">
        <f aca="false">IF(Rankings!E83&lt;=3,1,0)</f>
        <v>0</v>
      </c>
      <c r="F81" s="17" t="n">
        <f aca="false">IF(Rankings!F83&lt;=3,1,0)</f>
        <v>1</v>
      </c>
      <c r="G81" s="17" t="n">
        <f aca="false">IF(Rankings!G83&lt;=3,1,0)</f>
        <v>0</v>
      </c>
      <c r="H81" s="17" t="n">
        <f aca="false">IF(Rankings!H83&lt;=3,1,0)</f>
        <v>0</v>
      </c>
      <c r="I81" s="17" t="n">
        <f aca="false">IF(Rankings!I83&lt;=3,1,0)</f>
        <v>0</v>
      </c>
      <c r="J81" s="17" t="n">
        <f aca="false">IF(Rankings!J83&lt;=3,1,0)</f>
        <v>0</v>
      </c>
      <c r="K81" s="20" t="n">
        <f aca="false">SUM(C81:J81)</f>
        <v>3</v>
      </c>
      <c r="L81" s="16" t="n">
        <f aca="false">SUMPRODUCT(C81:J81,Returns!B85:I85)/K81</f>
        <v>-0.0359418445840664</v>
      </c>
      <c r="M81" s="16" t="n">
        <v>0</v>
      </c>
      <c r="N81" s="16" t="n">
        <v>0</v>
      </c>
      <c r="O81" s="16" t="n">
        <f aca="false">L81+M81+N81</f>
        <v>-0.0359418445840664</v>
      </c>
      <c r="P81" s="21" t="n">
        <f aca="false">P80*(1+O81)</f>
        <v>3.33820823200966</v>
      </c>
      <c r="Q81" s="21" t="n">
        <f aca="false">MAX($P$5:P81)</f>
        <v>3.66272963535116</v>
      </c>
      <c r="R81" s="16" t="n">
        <f aca="false">P81/Q81-1</f>
        <v>-0.0886009713109467</v>
      </c>
      <c r="S81" s="16" t="n">
        <f aca="false">O81-Benchmark_RF!D81</f>
        <v>-0.0442112575954292</v>
      </c>
    </row>
    <row r="82" customFormat="false" ht="15" hidden="false" customHeight="true" outlineLevel="0" collapsed="false">
      <c r="A82" s="1" t="n">
        <v>85</v>
      </c>
      <c r="B82" s="13" t="n">
        <f aca="false">Returns!A86</f>
        <v>44562</v>
      </c>
      <c r="C82" s="17" t="n">
        <f aca="false">IF(Rankings!C83&lt;=3,1,0)</f>
        <v>1</v>
      </c>
      <c r="D82" s="17" t="n">
        <f aca="false">IF(Rankings!D83&lt;=3,1,0)</f>
        <v>1</v>
      </c>
      <c r="E82" s="17" t="n">
        <f aca="false">IF(Rankings!E83&lt;=3,1,0)</f>
        <v>0</v>
      </c>
      <c r="F82" s="17" t="n">
        <f aca="false">IF(Rankings!F83&lt;=3,1,0)</f>
        <v>1</v>
      </c>
      <c r="G82" s="17" t="n">
        <f aca="false">IF(Rankings!G83&lt;=3,1,0)</f>
        <v>0</v>
      </c>
      <c r="H82" s="17" t="n">
        <f aca="false">IF(Rankings!H83&lt;=3,1,0)</f>
        <v>0</v>
      </c>
      <c r="I82" s="17" t="n">
        <f aca="false">IF(Rankings!I83&lt;=3,1,0)</f>
        <v>0</v>
      </c>
      <c r="J82" s="17" t="n">
        <f aca="false">IF(Rankings!J83&lt;=3,1,0)</f>
        <v>0</v>
      </c>
      <c r="K82" s="20" t="n">
        <f aca="false">SUM(C82:J82)</f>
        <v>3</v>
      </c>
      <c r="L82" s="16" t="n">
        <f aca="false">SUMPRODUCT(C82:J82,Returns!B86:I86)/K82</f>
        <v>0.0273201106018807</v>
      </c>
      <c r="M82" s="16" t="n">
        <v>0</v>
      </c>
      <c r="N82" s="16" t="n">
        <v>0</v>
      </c>
      <c r="O82" s="16" t="n">
        <f aca="false">L82+M82+N82</f>
        <v>0.0273201106018807</v>
      </c>
      <c r="P82" s="21" t="n">
        <f aca="false">P81*(1+O82)</f>
        <v>3.42940845012027</v>
      </c>
      <c r="Q82" s="21" t="n">
        <f aca="false">MAX($P$5:P82)</f>
        <v>3.66272963535116</v>
      </c>
      <c r="R82" s="16" t="n">
        <f aca="false">P82/Q82-1</f>
        <v>-0.0637014490447151</v>
      </c>
      <c r="S82" s="16" t="n">
        <f aca="false">O82-Benchmark_RF!D82</f>
        <v>0.0191910869298454</v>
      </c>
    </row>
    <row r="83" customFormat="false" ht="15" hidden="false" customHeight="true" outlineLevel="0" collapsed="false">
      <c r="A83" s="1" t="n">
        <v>86</v>
      </c>
      <c r="B83" s="13" t="n">
        <f aca="false">Returns!A87</f>
        <v>44593</v>
      </c>
      <c r="C83" s="17" t="n">
        <f aca="false">IF(Rankings!C83&lt;=3,1,0)</f>
        <v>1</v>
      </c>
      <c r="D83" s="17" t="n">
        <f aca="false">IF(Rankings!D83&lt;=3,1,0)</f>
        <v>1</v>
      </c>
      <c r="E83" s="17" t="n">
        <f aca="false">IF(Rankings!E83&lt;=3,1,0)</f>
        <v>0</v>
      </c>
      <c r="F83" s="17" t="n">
        <f aca="false">IF(Rankings!F83&lt;=3,1,0)</f>
        <v>1</v>
      </c>
      <c r="G83" s="17" t="n">
        <f aca="false">IF(Rankings!G83&lt;=3,1,0)</f>
        <v>0</v>
      </c>
      <c r="H83" s="17" t="n">
        <f aca="false">IF(Rankings!H83&lt;=3,1,0)</f>
        <v>0</v>
      </c>
      <c r="I83" s="17" t="n">
        <f aca="false">IF(Rankings!I83&lt;=3,1,0)</f>
        <v>0</v>
      </c>
      <c r="J83" s="17" t="n">
        <f aca="false">IF(Rankings!J83&lt;=3,1,0)</f>
        <v>0</v>
      </c>
      <c r="K83" s="20" t="n">
        <f aca="false">SUM(C83:J83)</f>
        <v>3</v>
      </c>
      <c r="L83" s="16" t="n">
        <f aca="false">SUMPRODUCT(C83:J83,Returns!B87:I87)/K83</f>
        <v>0.00268182670477268</v>
      </c>
      <c r="M83" s="16" t="n">
        <v>0</v>
      </c>
      <c r="N83" s="16" t="n">
        <v>0</v>
      </c>
      <c r="O83" s="16" t="n">
        <f aca="false">L83+M83+N83</f>
        <v>0.00268182670477268</v>
      </c>
      <c r="P83" s="21" t="n">
        <f aca="false">P82*(1+O83)</f>
        <v>3.43860552928337</v>
      </c>
      <c r="Q83" s="21" t="n">
        <f aca="false">MAX($P$5:P83)</f>
        <v>3.66272963535116</v>
      </c>
      <c r="R83" s="16" t="n">
        <f aca="false">P83/Q83-1</f>
        <v>-0.0611904585871232</v>
      </c>
      <c r="S83" s="16" t="n">
        <f aca="false">O83-Benchmark_RF!D83</f>
        <v>-0.00558476996951984</v>
      </c>
    </row>
    <row r="84" customFormat="false" ht="15" hidden="false" customHeight="true" outlineLevel="0" collapsed="false">
      <c r="A84" s="1" t="n">
        <v>87</v>
      </c>
      <c r="B84" s="13" t="n">
        <f aca="false">Returns!A88</f>
        <v>44621</v>
      </c>
      <c r="C84" s="17" t="n">
        <f aca="false">IF(Rankings!C83&lt;=3,1,0)</f>
        <v>1</v>
      </c>
      <c r="D84" s="17" t="n">
        <f aca="false">IF(Rankings!D83&lt;=3,1,0)</f>
        <v>1</v>
      </c>
      <c r="E84" s="17" t="n">
        <f aca="false">IF(Rankings!E83&lt;=3,1,0)</f>
        <v>0</v>
      </c>
      <c r="F84" s="17" t="n">
        <f aca="false">IF(Rankings!F83&lt;=3,1,0)</f>
        <v>1</v>
      </c>
      <c r="G84" s="17" t="n">
        <f aca="false">IF(Rankings!G83&lt;=3,1,0)</f>
        <v>0</v>
      </c>
      <c r="H84" s="17" t="n">
        <f aca="false">IF(Rankings!H83&lt;=3,1,0)</f>
        <v>0</v>
      </c>
      <c r="I84" s="17" t="n">
        <f aca="false">IF(Rankings!I83&lt;=3,1,0)</f>
        <v>0</v>
      </c>
      <c r="J84" s="17" t="n">
        <f aca="false">IF(Rankings!J83&lt;=3,1,0)</f>
        <v>0</v>
      </c>
      <c r="K84" s="20" t="n">
        <f aca="false">SUM(C84:J84)</f>
        <v>3</v>
      </c>
      <c r="L84" s="16" t="n">
        <f aca="false">SUMPRODUCT(C84:J84,Returns!B88:I88)/K84</f>
        <v>-0.0643035907904623</v>
      </c>
      <c r="M84" s="16" t="n">
        <v>0</v>
      </c>
      <c r="N84" s="16" t="n">
        <v>0</v>
      </c>
      <c r="O84" s="16" t="n">
        <f aca="false">L84+M84+N84</f>
        <v>-0.0643035907904623</v>
      </c>
      <c r="P84" s="21" t="n">
        <f aca="false">P83*(1+O84)</f>
        <v>3.21749084643851</v>
      </c>
      <c r="Q84" s="21" t="n">
        <f aca="false">MAX($P$5:P84)</f>
        <v>3.66272963535116</v>
      </c>
      <c r="R84" s="16" t="n">
        <f aca="false">P84/Q84-1</f>
        <v>-0.121559283168319</v>
      </c>
      <c r="S84" s="16" t="n">
        <f aca="false">O84-Benchmark_RF!D84</f>
        <v>-0.0736048659969519</v>
      </c>
    </row>
    <row r="85" customFormat="false" ht="15" hidden="false" customHeight="true" outlineLevel="0" collapsed="false">
      <c r="A85" s="1" t="n">
        <v>88</v>
      </c>
      <c r="B85" s="13" t="n">
        <f aca="false">Returns!A89</f>
        <v>44652</v>
      </c>
      <c r="C85" s="17" t="n">
        <f aca="false">IF(Rankings!C83&lt;=3,1,0)</f>
        <v>1</v>
      </c>
      <c r="D85" s="17" t="n">
        <f aca="false">IF(Rankings!D83&lt;=3,1,0)</f>
        <v>1</v>
      </c>
      <c r="E85" s="17" t="n">
        <f aca="false">IF(Rankings!E83&lt;=3,1,0)</f>
        <v>0</v>
      </c>
      <c r="F85" s="17" t="n">
        <f aca="false">IF(Rankings!F83&lt;=3,1,0)</f>
        <v>1</v>
      </c>
      <c r="G85" s="17" t="n">
        <f aca="false">IF(Rankings!G83&lt;=3,1,0)</f>
        <v>0</v>
      </c>
      <c r="H85" s="17" t="n">
        <f aca="false">IF(Rankings!H83&lt;=3,1,0)</f>
        <v>0</v>
      </c>
      <c r="I85" s="17" t="n">
        <f aca="false">IF(Rankings!I83&lt;=3,1,0)</f>
        <v>0</v>
      </c>
      <c r="J85" s="17" t="n">
        <f aca="false">IF(Rankings!J83&lt;=3,1,0)</f>
        <v>0</v>
      </c>
      <c r="K85" s="20" t="n">
        <f aca="false">SUM(C85:J85)</f>
        <v>3</v>
      </c>
      <c r="L85" s="16" t="n">
        <f aca="false">SUMPRODUCT(C85:J85,Returns!B89:I89)/K85</f>
        <v>0.0420226502533174</v>
      </c>
      <c r="M85" s="16" t="n">
        <v>0</v>
      </c>
      <c r="N85" s="16" t="n">
        <v>0</v>
      </c>
      <c r="O85" s="16" t="n">
        <f aca="false">L85+M85+N85</f>
        <v>0.0420226502533174</v>
      </c>
      <c r="P85" s="21" t="n">
        <f aca="false">P84*(1+O85)</f>
        <v>3.35269833897165</v>
      </c>
      <c r="Q85" s="21" t="n">
        <f aca="false">MAX($P$5:P85)</f>
        <v>3.66272963535116</v>
      </c>
      <c r="R85" s="16" t="n">
        <f aca="false">P85/Q85-1</f>
        <v>-0.0846448761566273</v>
      </c>
      <c r="S85" s="16" t="n">
        <f aca="false">O85-Benchmark_RF!D85</f>
        <v>0.0309008353459668</v>
      </c>
    </row>
    <row r="86" customFormat="false" ht="15" hidden="false" customHeight="true" outlineLevel="0" collapsed="false">
      <c r="A86" s="1" t="n">
        <v>89</v>
      </c>
      <c r="B86" s="13" t="n">
        <f aca="false">Returns!A90</f>
        <v>44682</v>
      </c>
      <c r="C86" s="17" t="n">
        <f aca="false">IF(Rankings!C83&lt;=3,1,0)</f>
        <v>1</v>
      </c>
      <c r="D86" s="17" t="n">
        <f aca="false">IF(Rankings!D83&lt;=3,1,0)</f>
        <v>1</v>
      </c>
      <c r="E86" s="17" t="n">
        <f aca="false">IF(Rankings!E83&lt;=3,1,0)</f>
        <v>0</v>
      </c>
      <c r="F86" s="17" t="n">
        <f aca="false">IF(Rankings!F83&lt;=3,1,0)</f>
        <v>1</v>
      </c>
      <c r="G86" s="17" t="n">
        <f aca="false">IF(Rankings!G83&lt;=3,1,0)</f>
        <v>0</v>
      </c>
      <c r="H86" s="17" t="n">
        <f aca="false">IF(Rankings!H83&lt;=3,1,0)</f>
        <v>0</v>
      </c>
      <c r="I86" s="17" t="n">
        <f aca="false">IF(Rankings!I83&lt;=3,1,0)</f>
        <v>0</v>
      </c>
      <c r="J86" s="17" t="n">
        <f aca="false">IF(Rankings!J83&lt;=3,1,0)</f>
        <v>0</v>
      </c>
      <c r="K86" s="20" t="n">
        <f aca="false">SUM(C86:J86)</f>
        <v>3</v>
      </c>
      <c r="L86" s="16" t="n">
        <f aca="false">SUMPRODUCT(C86:J86,Returns!B90:I90)/K86</f>
        <v>-0.0757190630944391</v>
      </c>
      <c r="M86" s="16" t="n">
        <v>0</v>
      </c>
      <c r="N86" s="16" t="n">
        <v>0</v>
      </c>
      <c r="O86" s="16" t="n">
        <f aca="false">L86+M86+N86</f>
        <v>-0.0757190630944391</v>
      </c>
      <c r="P86" s="21" t="n">
        <f aca="false">P85*(1+O86)</f>
        <v>3.09883516190643</v>
      </c>
      <c r="Q86" s="21" t="n">
        <f aca="false">MAX($P$5:P86)</f>
        <v>3.66272963535116</v>
      </c>
      <c r="R86" s="16" t="n">
        <f aca="false">P86/Q86-1</f>
        <v>-0.153954708532742</v>
      </c>
      <c r="S86" s="16" t="n">
        <f aca="false">O86-Benchmark_RF!D86</f>
        <v>-0.0870096217115572</v>
      </c>
    </row>
    <row r="87" customFormat="false" ht="15" hidden="false" customHeight="true" outlineLevel="0" collapsed="false">
      <c r="A87" s="1" t="n">
        <v>90</v>
      </c>
      <c r="B87" s="13" t="n">
        <f aca="false">Returns!A91</f>
        <v>44713</v>
      </c>
      <c r="C87" s="17" t="n">
        <f aca="false">IF(Rankings!C83&lt;=3,1,0)</f>
        <v>1</v>
      </c>
      <c r="D87" s="17" t="n">
        <f aca="false">IF(Rankings!D83&lt;=3,1,0)</f>
        <v>1</v>
      </c>
      <c r="E87" s="17" t="n">
        <f aca="false">IF(Rankings!E83&lt;=3,1,0)</f>
        <v>0</v>
      </c>
      <c r="F87" s="17" t="n">
        <f aca="false">IF(Rankings!F83&lt;=3,1,0)</f>
        <v>1</v>
      </c>
      <c r="G87" s="17" t="n">
        <f aca="false">IF(Rankings!G83&lt;=3,1,0)</f>
        <v>0</v>
      </c>
      <c r="H87" s="17" t="n">
        <f aca="false">IF(Rankings!H83&lt;=3,1,0)</f>
        <v>0</v>
      </c>
      <c r="I87" s="17" t="n">
        <f aca="false">IF(Rankings!I83&lt;=3,1,0)</f>
        <v>0</v>
      </c>
      <c r="J87" s="17" t="n">
        <f aca="false">IF(Rankings!J83&lt;=3,1,0)</f>
        <v>0</v>
      </c>
      <c r="K87" s="20" t="n">
        <f aca="false">SUM(C87:J87)</f>
        <v>3</v>
      </c>
      <c r="L87" s="16" t="n">
        <f aca="false">SUMPRODUCT(C87:J87,Returns!B91:I91)/K87</f>
        <v>-0.0798904564071765</v>
      </c>
      <c r="M87" s="16" t="n">
        <v>0</v>
      </c>
      <c r="N87" s="16" t="n">
        <v>0</v>
      </c>
      <c r="O87" s="16" t="n">
        <f aca="false">L87+M87+N87</f>
        <v>-0.0798904564071765</v>
      </c>
      <c r="P87" s="21" t="n">
        <f aca="false">P86*(1+O87)</f>
        <v>2.85126780649112</v>
      </c>
      <c r="Q87" s="21" t="n">
        <f aca="false">MAX($P$5:P87)</f>
        <v>3.66272963535116</v>
      </c>
      <c r="R87" s="16" t="n">
        <f aca="false">P87/Q87-1</f>
        <v>-0.221545653009204</v>
      </c>
      <c r="S87" s="16" t="n">
        <f aca="false">O87-Benchmark_RF!D87</f>
        <v>-0.0916640047754034</v>
      </c>
    </row>
    <row r="88" customFormat="false" ht="15" hidden="false" customHeight="true" outlineLevel="0" collapsed="false">
      <c r="A88" s="1" t="n">
        <v>91</v>
      </c>
      <c r="B88" s="13" t="n">
        <f aca="false">Returns!A92</f>
        <v>44743</v>
      </c>
      <c r="C88" s="17" t="n">
        <f aca="false">IF(Rankings!C83&lt;=3,1,0)</f>
        <v>1</v>
      </c>
      <c r="D88" s="17" t="n">
        <f aca="false">IF(Rankings!D83&lt;=3,1,0)</f>
        <v>1</v>
      </c>
      <c r="E88" s="17" t="n">
        <f aca="false">IF(Rankings!E83&lt;=3,1,0)</f>
        <v>0</v>
      </c>
      <c r="F88" s="17" t="n">
        <f aca="false">IF(Rankings!F83&lt;=3,1,0)</f>
        <v>1</v>
      </c>
      <c r="G88" s="17" t="n">
        <f aca="false">IF(Rankings!G83&lt;=3,1,0)</f>
        <v>0</v>
      </c>
      <c r="H88" s="17" t="n">
        <f aca="false">IF(Rankings!H83&lt;=3,1,0)</f>
        <v>0</v>
      </c>
      <c r="I88" s="17" t="n">
        <f aca="false">IF(Rankings!I83&lt;=3,1,0)</f>
        <v>0</v>
      </c>
      <c r="J88" s="17" t="n">
        <f aca="false">IF(Rankings!J83&lt;=3,1,0)</f>
        <v>0</v>
      </c>
      <c r="K88" s="20" t="n">
        <f aca="false">SUM(C88:J88)</f>
        <v>3</v>
      </c>
      <c r="L88" s="16" t="n">
        <f aca="false">SUMPRODUCT(C88:J88,Returns!B92:I92)/K88</f>
        <v>0.021355638233198</v>
      </c>
      <c r="M88" s="16" t="n">
        <v>0</v>
      </c>
      <c r="N88" s="16" t="n">
        <v>0</v>
      </c>
      <c r="O88" s="16" t="n">
        <f aca="false">L88+M88+N88</f>
        <v>0.021355638233198</v>
      </c>
      <c r="P88" s="21" t="n">
        <f aca="false">P87*(1+O88)</f>
        <v>2.91215845027251</v>
      </c>
      <c r="Q88" s="21" t="n">
        <f aca="false">MAX($P$5:P88)</f>
        <v>3.66272963535116</v>
      </c>
      <c r="R88" s="16" t="n">
        <f aca="false">P88/Q88-1</f>
        <v>-0.204921263593808</v>
      </c>
      <c r="S88" s="16" t="n">
        <f aca="false">O88-Benchmark_RF!D88</f>
        <v>0.00918000711213836</v>
      </c>
    </row>
    <row r="89" customFormat="false" ht="15" hidden="false" customHeight="true" outlineLevel="0" collapsed="false">
      <c r="A89" s="1" t="n">
        <v>92</v>
      </c>
      <c r="B89" s="13" t="n">
        <f aca="false">Returns!A93</f>
        <v>44774</v>
      </c>
      <c r="C89" s="17" t="n">
        <f aca="false">IF(Rankings!C95&lt;=3,1,0)</f>
        <v>0</v>
      </c>
      <c r="D89" s="17" t="n">
        <f aca="false">IF(Rankings!D95&lt;=3,1,0)</f>
        <v>1</v>
      </c>
      <c r="E89" s="17" t="n">
        <f aca="false">IF(Rankings!E95&lt;=3,1,0)</f>
        <v>0</v>
      </c>
      <c r="F89" s="17" t="n">
        <f aca="false">IF(Rankings!F95&lt;=3,1,0)</f>
        <v>0</v>
      </c>
      <c r="G89" s="17" t="n">
        <f aca="false">IF(Rankings!G95&lt;=3,1,0)</f>
        <v>1</v>
      </c>
      <c r="H89" s="17" t="n">
        <f aca="false">IF(Rankings!H95&lt;=3,1,0)</f>
        <v>0</v>
      </c>
      <c r="I89" s="17" t="n">
        <f aca="false">IF(Rankings!I95&lt;=3,1,0)</f>
        <v>1</v>
      </c>
      <c r="J89" s="17" t="n">
        <f aca="false">IF(Rankings!J95&lt;=3,1,0)</f>
        <v>0</v>
      </c>
      <c r="K89" s="20" t="n">
        <f aca="false">SUM(C89:J89)</f>
        <v>3</v>
      </c>
      <c r="L89" s="16" t="n">
        <f aca="false">SUMPRODUCT(C89:J89,Returns!B93:I93)/K89</f>
        <v>0.15216587181785</v>
      </c>
      <c r="M89" s="16" t="n">
        <f aca="false">-2*Assumptions!$B$13</f>
        <v>-0.007</v>
      </c>
      <c r="N89" s="16" t="n">
        <f aca="false">-Assumptions!$B$16*MAX(0,(1+O77)*(1+O78)*(1+O79)*(1+O80)*(1+O81)*(1+O82)*(1+O83)*(1+O84)*(1+O85)*(1+O86)*(1+O87)*(1+O88)-1)</f>
        <v>-0</v>
      </c>
      <c r="O89" s="16" t="n">
        <f aca="false">L89+M89+N89</f>
        <v>0.14516587181785</v>
      </c>
      <c r="P89" s="21" t="n">
        <f aca="false">P88*(1+O89)</f>
        <v>3.33490447057804</v>
      </c>
      <c r="Q89" s="21" t="n">
        <f aca="false">MAX($P$5:P89)</f>
        <v>3.66272963535116</v>
      </c>
      <c r="R89" s="16" t="n">
        <f aca="false">P89/Q89-1</f>
        <v>-0.0895029656595682</v>
      </c>
      <c r="S89" s="16" t="n">
        <f aca="false">O89-Benchmark_RF!D89</f>
        <v>0.132917323154685</v>
      </c>
    </row>
    <row r="90" customFormat="false" ht="15" hidden="false" customHeight="true" outlineLevel="0" collapsed="false">
      <c r="A90" s="1" t="n">
        <v>93</v>
      </c>
      <c r="B90" s="13" t="n">
        <f aca="false">Returns!A94</f>
        <v>44805</v>
      </c>
      <c r="C90" s="17" t="n">
        <f aca="false">IF(Rankings!C95&lt;=3,1,0)</f>
        <v>0</v>
      </c>
      <c r="D90" s="17" t="n">
        <f aca="false">IF(Rankings!D95&lt;=3,1,0)</f>
        <v>1</v>
      </c>
      <c r="E90" s="17" t="n">
        <f aca="false">IF(Rankings!E95&lt;=3,1,0)</f>
        <v>0</v>
      </c>
      <c r="F90" s="17" t="n">
        <f aca="false">IF(Rankings!F95&lt;=3,1,0)</f>
        <v>0</v>
      </c>
      <c r="G90" s="17" t="n">
        <f aca="false">IF(Rankings!G95&lt;=3,1,0)</f>
        <v>1</v>
      </c>
      <c r="H90" s="17" t="n">
        <f aca="false">IF(Rankings!H95&lt;=3,1,0)</f>
        <v>0</v>
      </c>
      <c r="I90" s="17" t="n">
        <f aca="false">IF(Rankings!I95&lt;=3,1,0)</f>
        <v>1</v>
      </c>
      <c r="J90" s="17" t="n">
        <f aca="false">IF(Rankings!J95&lt;=3,1,0)</f>
        <v>0</v>
      </c>
      <c r="K90" s="20" t="n">
        <f aca="false">SUM(C90:J90)</f>
        <v>3</v>
      </c>
      <c r="L90" s="16" t="n">
        <f aca="false">SUMPRODUCT(C90:J90,Returns!B94:I94)/K90</f>
        <v>-0.0731890873578067</v>
      </c>
      <c r="M90" s="16" t="n">
        <v>0</v>
      </c>
      <c r="N90" s="16" t="n">
        <v>0</v>
      </c>
      <c r="O90" s="16" t="n">
        <f aca="false">L90+M90+N90</f>
        <v>-0.0731890873578067</v>
      </c>
      <c r="P90" s="21" t="n">
        <f aca="false">P89*(1+O90)</f>
        <v>3.09082585595096</v>
      </c>
      <c r="Q90" s="21" t="n">
        <f aca="false">MAX($P$5:P90)</f>
        <v>3.66272963535116</v>
      </c>
      <c r="R90" s="16" t="n">
        <f aca="false">P90/Q90-1</f>
        <v>-0.156141412644934</v>
      </c>
      <c r="S90" s="16" t="n">
        <f aca="false">O90-Benchmark_RF!D90</f>
        <v>-0.0856124027523603</v>
      </c>
    </row>
    <row r="91" customFormat="false" ht="15" hidden="false" customHeight="true" outlineLevel="0" collapsed="false">
      <c r="A91" s="1" t="n">
        <v>94</v>
      </c>
      <c r="B91" s="13" t="n">
        <f aca="false">Returns!A95</f>
        <v>44835</v>
      </c>
      <c r="C91" s="17" t="n">
        <f aca="false">IF(Rankings!C95&lt;=3,1,0)</f>
        <v>0</v>
      </c>
      <c r="D91" s="17" t="n">
        <f aca="false">IF(Rankings!D95&lt;=3,1,0)</f>
        <v>1</v>
      </c>
      <c r="E91" s="17" t="n">
        <f aca="false">IF(Rankings!E95&lt;=3,1,0)</f>
        <v>0</v>
      </c>
      <c r="F91" s="17" t="n">
        <f aca="false">IF(Rankings!F95&lt;=3,1,0)</f>
        <v>0</v>
      </c>
      <c r="G91" s="17" t="n">
        <f aca="false">IF(Rankings!G95&lt;=3,1,0)</f>
        <v>1</v>
      </c>
      <c r="H91" s="17" t="n">
        <f aca="false">IF(Rankings!H95&lt;=3,1,0)</f>
        <v>0</v>
      </c>
      <c r="I91" s="17" t="n">
        <f aca="false">IF(Rankings!I95&lt;=3,1,0)</f>
        <v>1</v>
      </c>
      <c r="J91" s="17" t="n">
        <f aca="false">IF(Rankings!J95&lt;=3,1,0)</f>
        <v>0</v>
      </c>
      <c r="K91" s="20" t="n">
        <f aca="false">SUM(C91:J91)</f>
        <v>3</v>
      </c>
      <c r="L91" s="16" t="n">
        <f aca="false">SUMPRODUCT(C91:J91,Returns!B95:I95)/K91</f>
        <v>-0.0630228203599335</v>
      </c>
      <c r="M91" s="16" t="n">
        <v>0</v>
      </c>
      <c r="N91" s="16" t="n">
        <v>0</v>
      </c>
      <c r="O91" s="16" t="n">
        <f aca="false">L91+M91+N91</f>
        <v>-0.0630228203599335</v>
      </c>
      <c r="P91" s="21" t="n">
        <f aca="false">P90*(1+O91)</f>
        <v>2.89603329326753</v>
      </c>
      <c r="Q91" s="21" t="n">
        <f aca="false">MAX($P$5:P91)</f>
        <v>3.66272963535116</v>
      </c>
      <c r="R91" s="16" t="n">
        <f aca="false">P91/Q91-1</f>
        <v>-0.209323760804999</v>
      </c>
      <c r="S91" s="16" t="n">
        <f aca="false">O91-Benchmark_RF!D91</f>
        <v>-0.0752276254319407</v>
      </c>
    </row>
    <row r="92" customFormat="false" ht="15" hidden="false" customHeight="true" outlineLevel="0" collapsed="false">
      <c r="A92" s="1" t="n">
        <v>95</v>
      </c>
      <c r="B92" s="13" t="n">
        <f aca="false">Returns!A96</f>
        <v>44866</v>
      </c>
      <c r="C92" s="17" t="n">
        <f aca="false">IF(Rankings!C95&lt;=3,1,0)</f>
        <v>0</v>
      </c>
      <c r="D92" s="17" t="n">
        <f aca="false">IF(Rankings!D95&lt;=3,1,0)</f>
        <v>1</v>
      </c>
      <c r="E92" s="17" t="n">
        <f aca="false">IF(Rankings!E95&lt;=3,1,0)</f>
        <v>0</v>
      </c>
      <c r="F92" s="17" t="n">
        <f aca="false">IF(Rankings!F95&lt;=3,1,0)</f>
        <v>0</v>
      </c>
      <c r="G92" s="17" t="n">
        <f aca="false">IF(Rankings!G95&lt;=3,1,0)</f>
        <v>1</v>
      </c>
      <c r="H92" s="17" t="n">
        <f aca="false">IF(Rankings!H95&lt;=3,1,0)</f>
        <v>0</v>
      </c>
      <c r="I92" s="17" t="n">
        <f aca="false">IF(Rankings!I95&lt;=3,1,0)</f>
        <v>1</v>
      </c>
      <c r="J92" s="17" t="n">
        <f aca="false">IF(Rankings!J95&lt;=3,1,0)</f>
        <v>0</v>
      </c>
      <c r="K92" s="20" t="n">
        <f aca="false">SUM(C92:J92)</f>
        <v>3</v>
      </c>
      <c r="L92" s="16" t="n">
        <f aca="false">SUMPRODUCT(C92:J92,Returns!B96:I96)/K92</f>
        <v>0.048146302705306</v>
      </c>
      <c r="M92" s="16" t="n">
        <v>0</v>
      </c>
      <c r="N92" s="16" t="n">
        <v>0</v>
      </c>
      <c r="O92" s="16" t="n">
        <f aca="false">L92+M92+N92</f>
        <v>0.048146302705306</v>
      </c>
      <c r="P92" s="21" t="n">
        <f aca="false">P91*(1+O92)</f>
        <v>3.03546658884983</v>
      </c>
      <c r="Q92" s="21" t="n">
        <f aca="false">MAX($P$5:P92)</f>
        <v>3.66272963535116</v>
      </c>
      <c r="R92" s="16" t="n">
        <f aca="false">P92/Q92-1</f>
        <v>-0.171255623250824</v>
      </c>
      <c r="S92" s="16" t="n">
        <f aca="false">O92-Benchmark_RF!D92</f>
        <v>0.0350633280011741</v>
      </c>
    </row>
    <row r="93" customFormat="false" ht="15" hidden="false" customHeight="true" outlineLevel="0" collapsed="false">
      <c r="A93" s="1" t="n">
        <v>96</v>
      </c>
      <c r="B93" s="13" t="n">
        <f aca="false">Returns!A97</f>
        <v>44896</v>
      </c>
      <c r="C93" s="17" t="n">
        <f aca="false">IF(Rankings!C95&lt;=3,1,0)</f>
        <v>0</v>
      </c>
      <c r="D93" s="17" t="n">
        <f aca="false">IF(Rankings!D95&lt;=3,1,0)</f>
        <v>1</v>
      </c>
      <c r="E93" s="17" t="n">
        <f aca="false">IF(Rankings!E95&lt;=3,1,0)</f>
        <v>0</v>
      </c>
      <c r="F93" s="17" t="n">
        <f aca="false">IF(Rankings!F95&lt;=3,1,0)</f>
        <v>0</v>
      </c>
      <c r="G93" s="17" t="n">
        <f aca="false">IF(Rankings!G95&lt;=3,1,0)</f>
        <v>1</v>
      </c>
      <c r="H93" s="17" t="n">
        <f aca="false">IF(Rankings!H95&lt;=3,1,0)</f>
        <v>0</v>
      </c>
      <c r="I93" s="17" t="n">
        <f aca="false">IF(Rankings!I95&lt;=3,1,0)</f>
        <v>1</v>
      </c>
      <c r="J93" s="17" t="n">
        <f aca="false">IF(Rankings!J95&lt;=3,1,0)</f>
        <v>0</v>
      </c>
      <c r="K93" s="20" t="n">
        <f aca="false">SUM(C93:J93)</f>
        <v>3</v>
      </c>
      <c r="L93" s="16" t="n">
        <f aca="false">SUMPRODUCT(C93:J93,Returns!B97:I97)/K93</f>
        <v>-0.108107380681647</v>
      </c>
      <c r="M93" s="16" t="n">
        <v>0</v>
      </c>
      <c r="N93" s="16" t="n">
        <v>0</v>
      </c>
      <c r="O93" s="16" t="n">
        <f aca="false">L93+M93+N93</f>
        <v>-0.108107380681647</v>
      </c>
      <c r="P93" s="21" t="n">
        <f aca="false">P92*(1+O93)</f>
        <v>2.70731024678262</v>
      </c>
      <c r="Q93" s="21" t="n">
        <f aca="false">MAX($P$5:P93)</f>
        <v>3.66272963535116</v>
      </c>
      <c r="R93" s="16" t="n">
        <f aca="false">P93/Q93-1</f>
        <v>-0.260849007075821</v>
      </c>
      <c r="S93" s="16" t="n">
        <f aca="false">O93-Benchmark_RF!D93</f>
        <v>-0.121248122057993</v>
      </c>
    </row>
    <row r="94" customFormat="false" ht="15" hidden="false" customHeight="true" outlineLevel="0" collapsed="false">
      <c r="A94" s="1" t="n">
        <v>97</v>
      </c>
      <c r="B94" s="13" t="n">
        <f aca="false">Returns!A98</f>
        <v>44927</v>
      </c>
      <c r="C94" s="17" t="n">
        <f aca="false">IF(Rankings!C95&lt;=3,1,0)</f>
        <v>0</v>
      </c>
      <c r="D94" s="17" t="n">
        <f aca="false">IF(Rankings!D95&lt;=3,1,0)</f>
        <v>1</v>
      </c>
      <c r="E94" s="17" t="n">
        <f aca="false">IF(Rankings!E95&lt;=3,1,0)</f>
        <v>0</v>
      </c>
      <c r="F94" s="17" t="n">
        <f aca="false">IF(Rankings!F95&lt;=3,1,0)</f>
        <v>0</v>
      </c>
      <c r="G94" s="17" t="n">
        <f aca="false">IF(Rankings!G95&lt;=3,1,0)</f>
        <v>1</v>
      </c>
      <c r="H94" s="17" t="n">
        <f aca="false">IF(Rankings!H95&lt;=3,1,0)</f>
        <v>0</v>
      </c>
      <c r="I94" s="17" t="n">
        <f aca="false">IF(Rankings!I95&lt;=3,1,0)</f>
        <v>1</v>
      </c>
      <c r="J94" s="17" t="n">
        <f aca="false">IF(Rankings!J95&lt;=3,1,0)</f>
        <v>0</v>
      </c>
      <c r="K94" s="20" t="n">
        <f aca="false">SUM(C94:J94)</f>
        <v>3</v>
      </c>
      <c r="L94" s="16" t="n">
        <f aca="false">SUMPRODUCT(C94:J94,Returns!B98:I98)/K94</f>
        <v>-0.0532965782613595</v>
      </c>
      <c r="M94" s="16" t="n">
        <v>0</v>
      </c>
      <c r="N94" s="16" t="n">
        <v>0</v>
      </c>
      <c r="O94" s="16" t="n">
        <f aca="false">L94+M94+N94</f>
        <v>-0.0532965782613595</v>
      </c>
      <c r="P94" s="21" t="n">
        <f aca="false">P93*(1+O94)</f>
        <v>2.56301987433719</v>
      </c>
      <c r="Q94" s="21" t="n">
        <f aca="false">MAX($P$5:P94)</f>
        <v>3.66272963535116</v>
      </c>
      <c r="R94" s="16" t="n">
        <f aca="false">P94/Q94-1</f>
        <v>-0.300243225817166</v>
      </c>
      <c r="S94" s="16" t="n">
        <f aca="false">O94-Benchmark_RF!D94</f>
        <v>-0.0670560342896891</v>
      </c>
    </row>
    <row r="95" customFormat="false" ht="15" hidden="false" customHeight="true" outlineLevel="0" collapsed="false">
      <c r="A95" s="1" t="n">
        <v>98</v>
      </c>
      <c r="B95" s="13" t="n">
        <f aca="false">Returns!A99</f>
        <v>44958</v>
      </c>
      <c r="C95" s="17" t="n">
        <f aca="false">IF(Rankings!C95&lt;=3,1,0)</f>
        <v>0</v>
      </c>
      <c r="D95" s="17" t="n">
        <f aca="false">IF(Rankings!D95&lt;=3,1,0)</f>
        <v>1</v>
      </c>
      <c r="E95" s="17" t="n">
        <f aca="false">IF(Rankings!E95&lt;=3,1,0)</f>
        <v>0</v>
      </c>
      <c r="F95" s="17" t="n">
        <f aca="false">IF(Rankings!F95&lt;=3,1,0)</f>
        <v>0</v>
      </c>
      <c r="G95" s="17" t="n">
        <f aca="false">IF(Rankings!G95&lt;=3,1,0)</f>
        <v>1</v>
      </c>
      <c r="H95" s="17" t="n">
        <f aca="false">IF(Rankings!H95&lt;=3,1,0)</f>
        <v>0</v>
      </c>
      <c r="I95" s="17" t="n">
        <f aca="false">IF(Rankings!I95&lt;=3,1,0)</f>
        <v>1</v>
      </c>
      <c r="J95" s="17" t="n">
        <f aca="false">IF(Rankings!J95&lt;=3,1,0)</f>
        <v>0</v>
      </c>
      <c r="K95" s="20" t="n">
        <f aca="false">SUM(C95:J95)</f>
        <v>3</v>
      </c>
      <c r="L95" s="16" t="n">
        <f aca="false">SUMPRODUCT(C95:J95,Returns!B99:I99)/K95</f>
        <v>0.0416326268285693</v>
      </c>
      <c r="M95" s="16" t="n">
        <v>0</v>
      </c>
      <c r="N95" s="16" t="n">
        <v>0</v>
      </c>
      <c r="O95" s="16" t="n">
        <f aca="false">L95+M95+N95</f>
        <v>0.0416326268285693</v>
      </c>
      <c r="P95" s="21" t="n">
        <f aca="false">P94*(1+O95)</f>
        <v>2.66972512431968</v>
      </c>
      <c r="Q95" s="21" t="n">
        <f aca="false">MAX($P$5:P95)</f>
        <v>3.66272963535116</v>
      </c>
      <c r="R95" s="16" t="n">
        <f aca="false">P95/Q95-1</f>
        <v>-0.271110513166849</v>
      </c>
      <c r="S95" s="16" t="n">
        <f aca="false">O95-Benchmark_RF!D95</f>
        <v>0.0268393025257809</v>
      </c>
    </row>
    <row r="96" customFormat="false" ht="15" hidden="false" customHeight="true" outlineLevel="0" collapsed="false">
      <c r="A96" s="1" t="n">
        <v>99</v>
      </c>
      <c r="B96" s="13" t="n">
        <f aca="false">Returns!A100</f>
        <v>44986</v>
      </c>
      <c r="C96" s="17" t="n">
        <f aca="false">IF(Rankings!C95&lt;=3,1,0)</f>
        <v>0</v>
      </c>
      <c r="D96" s="17" t="n">
        <f aca="false">IF(Rankings!D95&lt;=3,1,0)</f>
        <v>1</v>
      </c>
      <c r="E96" s="17" t="n">
        <f aca="false">IF(Rankings!E95&lt;=3,1,0)</f>
        <v>0</v>
      </c>
      <c r="F96" s="17" t="n">
        <f aca="false">IF(Rankings!F95&lt;=3,1,0)</f>
        <v>0</v>
      </c>
      <c r="G96" s="17" t="n">
        <f aca="false">IF(Rankings!G95&lt;=3,1,0)</f>
        <v>1</v>
      </c>
      <c r="H96" s="17" t="n">
        <f aca="false">IF(Rankings!H95&lt;=3,1,0)</f>
        <v>0</v>
      </c>
      <c r="I96" s="17" t="n">
        <f aca="false">IF(Rankings!I95&lt;=3,1,0)</f>
        <v>1</v>
      </c>
      <c r="J96" s="17" t="n">
        <f aca="false">IF(Rankings!J95&lt;=3,1,0)</f>
        <v>0</v>
      </c>
      <c r="K96" s="20" t="n">
        <f aca="false">SUM(C96:J96)</f>
        <v>3</v>
      </c>
      <c r="L96" s="16" t="n">
        <f aca="false">SUMPRODUCT(C96:J96,Returns!B100:I100)/K96</f>
        <v>-0.0500898077140528</v>
      </c>
      <c r="M96" s="16" t="n">
        <v>0</v>
      </c>
      <c r="N96" s="16" t="n">
        <v>0</v>
      </c>
      <c r="O96" s="16" t="n">
        <f aca="false">L96+M96+N96</f>
        <v>-0.0500898077140528</v>
      </c>
      <c r="P96" s="21" t="n">
        <f aca="false">P95*(1+O96)</f>
        <v>2.53599910619313</v>
      </c>
      <c r="Q96" s="21" t="n">
        <f aca="false">MAX($P$5:P96)</f>
        <v>3.66272963535116</v>
      </c>
      <c r="R96" s="16" t="n">
        <f aca="false">P96/Q96-1</f>
        <v>-0.307620447407116</v>
      </c>
      <c r="S96" s="16" t="n">
        <f aca="false">O96-Benchmark_RF!D96</f>
        <v>-0.0661436499101307</v>
      </c>
    </row>
    <row r="97" customFormat="false" ht="15" hidden="false" customHeight="true" outlineLevel="0" collapsed="false">
      <c r="A97" s="1" t="n">
        <v>100</v>
      </c>
      <c r="B97" s="13" t="n">
        <f aca="false">Returns!A101</f>
        <v>45017</v>
      </c>
      <c r="C97" s="17" t="n">
        <f aca="false">IF(Rankings!C95&lt;=3,1,0)</f>
        <v>0</v>
      </c>
      <c r="D97" s="17" t="n">
        <f aca="false">IF(Rankings!D95&lt;=3,1,0)</f>
        <v>1</v>
      </c>
      <c r="E97" s="17" t="n">
        <f aca="false">IF(Rankings!E95&lt;=3,1,0)</f>
        <v>0</v>
      </c>
      <c r="F97" s="17" t="n">
        <f aca="false">IF(Rankings!F95&lt;=3,1,0)</f>
        <v>0</v>
      </c>
      <c r="G97" s="17" t="n">
        <f aca="false">IF(Rankings!G95&lt;=3,1,0)</f>
        <v>1</v>
      </c>
      <c r="H97" s="17" t="n">
        <f aca="false">IF(Rankings!H95&lt;=3,1,0)</f>
        <v>0</v>
      </c>
      <c r="I97" s="17" t="n">
        <f aca="false">IF(Rankings!I95&lt;=3,1,0)</f>
        <v>1</v>
      </c>
      <c r="J97" s="17" t="n">
        <f aca="false">IF(Rankings!J95&lt;=3,1,0)</f>
        <v>0</v>
      </c>
      <c r="K97" s="20" t="n">
        <f aca="false">SUM(C97:J97)</f>
        <v>3</v>
      </c>
      <c r="L97" s="16" t="n">
        <f aca="false">SUMPRODUCT(C97:J97,Returns!B101:I101)/K97</f>
        <v>0.0716206818155068</v>
      </c>
      <c r="M97" s="16" t="n">
        <v>0</v>
      </c>
      <c r="N97" s="16" t="n">
        <v>0</v>
      </c>
      <c r="O97" s="16" t="n">
        <f aca="false">L97+M97+N97</f>
        <v>0.0716206818155068</v>
      </c>
      <c r="P97" s="21" t="n">
        <f aca="false">P96*(1+O97)</f>
        <v>2.7176290912622</v>
      </c>
      <c r="Q97" s="21" t="n">
        <f aca="false">MAX($P$5:P97)</f>
        <v>3.66272963535116</v>
      </c>
      <c r="R97" s="16" t="n">
        <f aca="false">P97/Q97-1</f>
        <v>-0.258031751775298</v>
      </c>
      <c r="S97" s="16" t="n">
        <f aca="false">O97-Benchmark_RF!D97</f>
        <v>0.054925608452815</v>
      </c>
    </row>
    <row r="98" customFormat="false" ht="15" hidden="false" customHeight="true" outlineLevel="0" collapsed="false">
      <c r="A98" s="1" t="n">
        <v>101</v>
      </c>
      <c r="B98" s="13" t="n">
        <f aca="false">Returns!A102</f>
        <v>45047</v>
      </c>
      <c r="C98" s="17" t="n">
        <f aca="false">IF(Rankings!C95&lt;=3,1,0)</f>
        <v>0</v>
      </c>
      <c r="D98" s="17" t="n">
        <f aca="false">IF(Rankings!D95&lt;=3,1,0)</f>
        <v>1</v>
      </c>
      <c r="E98" s="17" t="n">
        <f aca="false">IF(Rankings!E95&lt;=3,1,0)</f>
        <v>0</v>
      </c>
      <c r="F98" s="17" t="n">
        <f aca="false">IF(Rankings!F95&lt;=3,1,0)</f>
        <v>0</v>
      </c>
      <c r="G98" s="17" t="n">
        <f aca="false">IF(Rankings!G95&lt;=3,1,0)</f>
        <v>1</v>
      </c>
      <c r="H98" s="17" t="n">
        <f aca="false">IF(Rankings!H95&lt;=3,1,0)</f>
        <v>0</v>
      </c>
      <c r="I98" s="17" t="n">
        <f aca="false">IF(Rankings!I95&lt;=3,1,0)</f>
        <v>1</v>
      </c>
      <c r="J98" s="17" t="n">
        <f aca="false">IF(Rankings!J95&lt;=3,1,0)</f>
        <v>0</v>
      </c>
      <c r="K98" s="20" t="n">
        <f aca="false">SUM(C98:J98)</f>
        <v>3</v>
      </c>
      <c r="L98" s="16" t="n">
        <f aca="false">SUMPRODUCT(C98:J98,Returns!B102:I102)/K98</f>
        <v>0.029105500650817</v>
      </c>
      <c r="M98" s="16" t="n">
        <v>0</v>
      </c>
      <c r="N98" s="16" t="n">
        <v>0</v>
      </c>
      <c r="O98" s="16" t="n">
        <f aca="false">L98+M98+N98</f>
        <v>0.029105500650817</v>
      </c>
      <c r="P98" s="21" t="n">
        <f aca="false">P97*(1+O98)</f>
        <v>2.79672704654661</v>
      </c>
      <c r="Q98" s="21" t="n">
        <f aca="false">MAX($P$5:P98)</f>
        <v>3.66272963535116</v>
      </c>
      <c r="R98" s="16" t="n">
        <f aca="false">P98/Q98-1</f>
        <v>-0.236436394443709</v>
      </c>
      <c r="S98" s="16" t="n">
        <f aca="false">O98-Benchmark_RF!D98</f>
        <v>0.0124104272881252</v>
      </c>
    </row>
    <row r="99" customFormat="false" ht="15" hidden="false" customHeight="true" outlineLevel="0" collapsed="false">
      <c r="A99" s="1" t="n">
        <v>102</v>
      </c>
      <c r="B99" s="13" t="n">
        <f aca="false">Returns!A103</f>
        <v>45078</v>
      </c>
      <c r="C99" s="17" t="n">
        <f aca="false">IF(Rankings!C95&lt;=3,1,0)</f>
        <v>0</v>
      </c>
      <c r="D99" s="17" t="n">
        <f aca="false">IF(Rankings!D95&lt;=3,1,0)</f>
        <v>1</v>
      </c>
      <c r="E99" s="17" t="n">
        <f aca="false">IF(Rankings!E95&lt;=3,1,0)</f>
        <v>0</v>
      </c>
      <c r="F99" s="17" t="n">
        <f aca="false">IF(Rankings!F95&lt;=3,1,0)</f>
        <v>0</v>
      </c>
      <c r="G99" s="17" t="n">
        <f aca="false">IF(Rankings!G95&lt;=3,1,0)</f>
        <v>1</v>
      </c>
      <c r="H99" s="17" t="n">
        <f aca="false">IF(Rankings!H95&lt;=3,1,0)</f>
        <v>0</v>
      </c>
      <c r="I99" s="17" t="n">
        <f aca="false">IF(Rankings!I95&lt;=3,1,0)</f>
        <v>1</v>
      </c>
      <c r="J99" s="17" t="n">
        <f aca="false">IF(Rankings!J95&lt;=3,1,0)</f>
        <v>0</v>
      </c>
      <c r="K99" s="20" t="n">
        <f aca="false">SUM(C99:J99)</f>
        <v>3</v>
      </c>
      <c r="L99" s="16" t="n">
        <f aca="false">SUMPRODUCT(C99:J99,Returns!B103:I103)/K99</f>
        <v>0.00770200346878584</v>
      </c>
      <c r="M99" s="16" t="n">
        <v>0</v>
      </c>
      <c r="N99" s="16" t="n">
        <v>0</v>
      </c>
      <c r="O99" s="16" t="n">
        <f aca="false">L99+M99+N99</f>
        <v>0.00770200346878584</v>
      </c>
      <c r="P99" s="21" t="n">
        <f aca="false">P98*(1+O99)</f>
        <v>2.81826744796036</v>
      </c>
      <c r="Q99" s="21" t="n">
        <f aca="false">MAX($P$5:P99)</f>
        <v>3.66272963535116</v>
      </c>
      <c r="R99" s="16" t="n">
        <f aca="false">P99/Q99-1</f>
        <v>-0.230555424905075</v>
      </c>
      <c r="S99" s="16" t="n">
        <f aca="false">O99-Benchmark_RF!D99</f>
        <v>-0.00900001541006708</v>
      </c>
    </row>
    <row r="100" customFormat="false" ht="15" hidden="false" customHeight="true" outlineLevel="0" collapsed="false">
      <c r="A100" s="1" t="n">
        <v>103</v>
      </c>
      <c r="B100" s="13" t="n">
        <f aca="false">Returns!A104</f>
        <v>45108</v>
      </c>
      <c r="C100" s="17" t="n">
        <f aca="false">IF(Rankings!C95&lt;=3,1,0)</f>
        <v>0</v>
      </c>
      <c r="D100" s="17" t="n">
        <f aca="false">IF(Rankings!D95&lt;=3,1,0)</f>
        <v>1</v>
      </c>
      <c r="E100" s="17" t="n">
        <f aca="false">IF(Rankings!E95&lt;=3,1,0)</f>
        <v>0</v>
      </c>
      <c r="F100" s="17" t="n">
        <f aca="false">IF(Rankings!F95&lt;=3,1,0)</f>
        <v>0</v>
      </c>
      <c r="G100" s="17" t="n">
        <f aca="false">IF(Rankings!G95&lt;=3,1,0)</f>
        <v>1</v>
      </c>
      <c r="H100" s="17" t="n">
        <f aca="false">IF(Rankings!H95&lt;=3,1,0)</f>
        <v>0</v>
      </c>
      <c r="I100" s="17" t="n">
        <f aca="false">IF(Rankings!I95&lt;=3,1,0)</f>
        <v>1</v>
      </c>
      <c r="J100" s="17" t="n">
        <f aca="false">IF(Rankings!J95&lt;=3,1,0)</f>
        <v>0</v>
      </c>
      <c r="K100" s="20" t="n">
        <f aca="false">SUM(C100:J100)</f>
        <v>3</v>
      </c>
      <c r="L100" s="16" t="n">
        <f aca="false">SUMPRODUCT(C100:J100,Returns!B104:I104)/K100</f>
        <v>0.353052047965676</v>
      </c>
      <c r="M100" s="16" t="n">
        <v>0</v>
      </c>
      <c r="N100" s="16" t="n">
        <v>0</v>
      </c>
      <c r="O100" s="16" t="n">
        <f aca="false">L100+M100+N100</f>
        <v>0.353052047965676</v>
      </c>
      <c r="P100" s="21" t="n">
        <f aca="false">P99*(1+O100)</f>
        <v>3.81326254217776</v>
      </c>
      <c r="Q100" s="21" t="n">
        <f aca="false">MAX($P$5:P100)</f>
        <v>3.81326254217776</v>
      </c>
      <c r="R100" s="16" t="n">
        <f aca="false">P100/Q100-1</f>
        <v>0</v>
      </c>
      <c r="S100" s="16" t="n">
        <f aca="false">O100-Benchmark_RF!D100</f>
        <v>0.335721955011882</v>
      </c>
    </row>
    <row r="101" customFormat="false" ht="15" hidden="false" customHeight="true" outlineLevel="0" collapsed="false">
      <c r="A101" s="1" t="n">
        <v>104</v>
      </c>
      <c r="B101" s="13" t="n">
        <f aca="false">Returns!A105</f>
        <v>45139</v>
      </c>
      <c r="C101" s="17" t="n">
        <f aca="false">IF(Rankings!C107&lt;=3,1,0)</f>
        <v>1</v>
      </c>
      <c r="D101" s="17" t="n">
        <f aca="false">IF(Rankings!D107&lt;=3,1,0)</f>
        <v>0</v>
      </c>
      <c r="E101" s="17" t="n">
        <f aca="false">IF(Rankings!E107&lt;=3,1,0)</f>
        <v>0</v>
      </c>
      <c r="F101" s="17" t="n">
        <f aca="false">IF(Rankings!F107&lt;=3,1,0)</f>
        <v>1</v>
      </c>
      <c r="G101" s="17" t="n">
        <f aca="false">IF(Rankings!G107&lt;=3,1,0)</f>
        <v>0</v>
      </c>
      <c r="H101" s="17" t="n">
        <f aca="false">IF(Rankings!H107&lt;=3,1,0)</f>
        <v>1</v>
      </c>
      <c r="I101" s="17" t="n">
        <f aca="false">IF(Rankings!I107&lt;=3,1,0)</f>
        <v>0</v>
      </c>
      <c r="J101" s="17" t="n">
        <f aca="false">IF(Rankings!J107&lt;=3,1,0)</f>
        <v>0</v>
      </c>
      <c r="K101" s="20" t="n">
        <f aca="false">SUM(C101:J101)</f>
        <v>3</v>
      </c>
      <c r="L101" s="16" t="n">
        <f aca="false">SUMPRODUCT(C101:J101,Returns!B105:I105)/K101</f>
        <v>-0.0661234782797656</v>
      </c>
      <c r="M101" s="16" t="n">
        <f aca="false">-2*Assumptions!$B$13</f>
        <v>-0.007</v>
      </c>
      <c r="N101" s="16" t="n">
        <f aca="false">-Assumptions!$B$16*MAX(0,(1+O89)*(1+O90)*(1+O91)*(1+O92)*(1+O93)*(1+O94)*(1+O95)*(1+O96)*(1+O97)*(1+O98)*(1+O99)*(1+O100)-1)</f>
        <v>-0.046414237444099</v>
      </c>
      <c r="O101" s="16" t="n">
        <f aca="false">L101+M101+N101</f>
        <v>-0.119537715723865</v>
      </c>
      <c r="P101" s="21" t="n">
        <f aca="false">P100*(1+O101)</f>
        <v>3.35743384843046</v>
      </c>
      <c r="Q101" s="21" t="n">
        <f aca="false">MAX($P$5:P101)</f>
        <v>3.81326254217776</v>
      </c>
      <c r="R101" s="16" t="n">
        <f aca="false">P101/Q101-1</f>
        <v>-0.119537715723865</v>
      </c>
      <c r="S101" s="16" t="n">
        <f aca="false">O101-Benchmark_RF!D101</f>
        <v>-0.136848905583589</v>
      </c>
    </row>
    <row r="102" customFormat="false" ht="15" hidden="false" customHeight="true" outlineLevel="0" collapsed="false">
      <c r="A102" s="1" t="n">
        <v>105</v>
      </c>
      <c r="B102" s="13" t="n">
        <f aca="false">Returns!A106</f>
        <v>45170</v>
      </c>
      <c r="C102" s="17" t="n">
        <f aca="false">IF(Rankings!C107&lt;=3,1,0)</f>
        <v>1</v>
      </c>
      <c r="D102" s="17" t="n">
        <f aca="false">IF(Rankings!D107&lt;=3,1,0)</f>
        <v>0</v>
      </c>
      <c r="E102" s="17" t="n">
        <f aca="false">IF(Rankings!E107&lt;=3,1,0)</f>
        <v>0</v>
      </c>
      <c r="F102" s="17" t="n">
        <f aca="false">IF(Rankings!F107&lt;=3,1,0)</f>
        <v>1</v>
      </c>
      <c r="G102" s="17" t="n">
        <f aca="false">IF(Rankings!G107&lt;=3,1,0)</f>
        <v>0</v>
      </c>
      <c r="H102" s="17" t="n">
        <f aca="false">IF(Rankings!H107&lt;=3,1,0)</f>
        <v>1</v>
      </c>
      <c r="I102" s="17" t="n">
        <f aca="false">IF(Rankings!I107&lt;=3,1,0)</f>
        <v>0</v>
      </c>
      <c r="J102" s="17" t="n">
        <f aca="false">IF(Rankings!J107&lt;=3,1,0)</f>
        <v>0</v>
      </c>
      <c r="K102" s="20" t="n">
        <f aca="false">SUM(C102:J102)</f>
        <v>3</v>
      </c>
      <c r="L102" s="16" t="n">
        <f aca="false">SUMPRODUCT(C102:J102,Returns!B106:I106)/K102</f>
        <v>0.00281252478283452</v>
      </c>
      <c r="M102" s="16" t="n">
        <v>0</v>
      </c>
      <c r="N102" s="16" t="n">
        <v>0</v>
      </c>
      <c r="O102" s="16" t="n">
        <f aca="false">L102+M102+N102</f>
        <v>0.00281252478283452</v>
      </c>
      <c r="P102" s="21" t="n">
        <f aca="false">P101*(1+O102)</f>
        <v>3.36687671433589</v>
      </c>
      <c r="Q102" s="21" t="n">
        <f aca="false">MAX($P$5:P102)</f>
        <v>3.81326254217776</v>
      </c>
      <c r="R102" s="16" t="n">
        <f aca="false">P102/Q102-1</f>
        <v>-0.117061393728987</v>
      </c>
      <c r="S102" s="16" t="n">
        <f aca="false">O102-Benchmark_RF!D102</f>
        <v>-0.0144202518814292</v>
      </c>
    </row>
    <row r="103" customFormat="false" ht="15" hidden="false" customHeight="true" outlineLevel="0" collapsed="false">
      <c r="A103" s="1" t="n">
        <v>106</v>
      </c>
      <c r="B103" s="13" t="n">
        <f aca="false">Returns!A107</f>
        <v>45200</v>
      </c>
      <c r="C103" s="17" t="n">
        <f aca="false">IF(Rankings!C107&lt;=3,1,0)</f>
        <v>1</v>
      </c>
      <c r="D103" s="17" t="n">
        <f aca="false">IF(Rankings!D107&lt;=3,1,0)</f>
        <v>0</v>
      </c>
      <c r="E103" s="17" t="n">
        <f aca="false">IF(Rankings!E107&lt;=3,1,0)</f>
        <v>0</v>
      </c>
      <c r="F103" s="17" t="n">
        <f aca="false">IF(Rankings!F107&lt;=3,1,0)</f>
        <v>1</v>
      </c>
      <c r="G103" s="17" t="n">
        <f aca="false">IF(Rankings!G107&lt;=3,1,0)</f>
        <v>0</v>
      </c>
      <c r="H103" s="17" t="n">
        <f aca="false">IF(Rankings!H107&lt;=3,1,0)</f>
        <v>1</v>
      </c>
      <c r="I103" s="17" t="n">
        <f aca="false">IF(Rankings!I107&lt;=3,1,0)</f>
        <v>0</v>
      </c>
      <c r="J103" s="17" t="n">
        <f aca="false">IF(Rankings!J107&lt;=3,1,0)</f>
        <v>0</v>
      </c>
      <c r="K103" s="20" t="n">
        <f aca="false">SUM(C103:J103)</f>
        <v>3</v>
      </c>
      <c r="L103" s="16" t="n">
        <f aca="false">SUMPRODUCT(C103:J103,Returns!B107:I107)/K103</f>
        <v>0.110729093966947</v>
      </c>
      <c r="M103" s="16" t="n">
        <v>0</v>
      </c>
      <c r="N103" s="16" t="n">
        <v>0</v>
      </c>
      <c r="O103" s="16" t="n">
        <f aca="false">L103+M103+N103</f>
        <v>0.110729093966947</v>
      </c>
      <c r="P103" s="21" t="n">
        <f aca="false">P102*(1+O103)</f>
        <v>3.73968792241272</v>
      </c>
      <c r="Q103" s="21" t="n">
        <f aca="false">MAX($P$5:P103)</f>
        <v>3.81326254217776</v>
      </c>
      <c r="R103" s="16" t="n">
        <f aca="false">P103/Q103-1</f>
        <v>-0.0192944018281584</v>
      </c>
      <c r="S103" s="16" t="n">
        <f aca="false">O103-Benchmark_RF!D103</f>
        <v>0.0939229549260882</v>
      </c>
    </row>
    <row r="104" customFormat="false" ht="15" hidden="false" customHeight="true" outlineLevel="0" collapsed="false">
      <c r="A104" s="1" t="n">
        <v>107</v>
      </c>
      <c r="B104" s="13" t="n">
        <f aca="false">Returns!A108</f>
        <v>45231</v>
      </c>
      <c r="C104" s="17" t="n">
        <f aca="false">IF(Rankings!C107&lt;=3,1,0)</f>
        <v>1</v>
      </c>
      <c r="D104" s="17" t="n">
        <f aca="false">IF(Rankings!D107&lt;=3,1,0)</f>
        <v>0</v>
      </c>
      <c r="E104" s="17" t="n">
        <f aca="false">IF(Rankings!E107&lt;=3,1,0)</f>
        <v>0</v>
      </c>
      <c r="F104" s="17" t="n">
        <f aca="false">IF(Rankings!F107&lt;=3,1,0)</f>
        <v>1</v>
      </c>
      <c r="G104" s="17" t="n">
        <f aca="false">IF(Rankings!G107&lt;=3,1,0)</f>
        <v>0</v>
      </c>
      <c r="H104" s="17" t="n">
        <f aca="false">IF(Rankings!H107&lt;=3,1,0)</f>
        <v>1</v>
      </c>
      <c r="I104" s="17" t="n">
        <f aca="false">IF(Rankings!I107&lt;=3,1,0)</f>
        <v>0</v>
      </c>
      <c r="J104" s="17" t="n">
        <f aca="false">IF(Rankings!J107&lt;=3,1,0)</f>
        <v>0</v>
      </c>
      <c r="K104" s="20" t="n">
        <f aca="false">SUM(C104:J104)</f>
        <v>3</v>
      </c>
      <c r="L104" s="16" t="n">
        <f aca="false">SUMPRODUCT(C104:J104,Returns!B108:I108)/K104</f>
        <v>0.0894132742504564</v>
      </c>
      <c r="M104" s="16" t="n">
        <v>0</v>
      </c>
      <c r="N104" s="16" t="n">
        <v>0</v>
      </c>
      <c r="O104" s="16" t="n">
        <f aca="false">L104+M104+N104</f>
        <v>0.0894132742504564</v>
      </c>
      <c r="P104" s="21" t="n">
        <f aca="false">P103*(1+O104)</f>
        <v>4.07406566423053</v>
      </c>
      <c r="Q104" s="21" t="n">
        <f aca="false">MAX($P$5:P104)</f>
        <v>4.07406566423053</v>
      </c>
      <c r="R104" s="16" t="n">
        <f aca="false">P104/Q104-1</f>
        <v>0</v>
      </c>
      <c r="S104" s="16" t="n">
        <f aca="false">O104-Benchmark_RF!D104</f>
        <v>0.0731638032111993</v>
      </c>
    </row>
    <row r="105" customFormat="false" ht="15" hidden="false" customHeight="true" outlineLevel="0" collapsed="false">
      <c r="A105" s="1" t="n">
        <v>108</v>
      </c>
      <c r="B105" s="13" t="n">
        <f aca="false">Returns!A109</f>
        <v>45261</v>
      </c>
      <c r="C105" s="17" t="n">
        <f aca="false">IF(Rankings!C107&lt;=3,1,0)</f>
        <v>1</v>
      </c>
      <c r="D105" s="17" t="n">
        <f aca="false">IF(Rankings!D107&lt;=3,1,0)</f>
        <v>0</v>
      </c>
      <c r="E105" s="17" t="n">
        <f aca="false">IF(Rankings!E107&lt;=3,1,0)</f>
        <v>0</v>
      </c>
      <c r="F105" s="17" t="n">
        <f aca="false">IF(Rankings!F107&lt;=3,1,0)</f>
        <v>1</v>
      </c>
      <c r="G105" s="17" t="n">
        <f aca="false">IF(Rankings!G107&lt;=3,1,0)</f>
        <v>0</v>
      </c>
      <c r="H105" s="17" t="n">
        <f aca="false">IF(Rankings!H107&lt;=3,1,0)</f>
        <v>1</v>
      </c>
      <c r="I105" s="17" t="n">
        <f aca="false">IF(Rankings!I107&lt;=3,1,0)</f>
        <v>0</v>
      </c>
      <c r="J105" s="17" t="n">
        <f aca="false">IF(Rankings!J107&lt;=3,1,0)</f>
        <v>0</v>
      </c>
      <c r="K105" s="20" t="n">
        <f aca="false">SUM(C105:J105)</f>
        <v>3</v>
      </c>
      <c r="L105" s="16" t="n">
        <f aca="false">SUMPRODUCT(C105:J105,Returns!B109:I109)/K105</f>
        <v>0.0221539242205228</v>
      </c>
      <c r="M105" s="16" t="n">
        <v>0</v>
      </c>
      <c r="N105" s="16" t="n">
        <v>0</v>
      </c>
      <c r="O105" s="16" t="n">
        <f aca="false">L105+M105+N105</f>
        <v>0.0221539242205228</v>
      </c>
      <c r="P105" s="21" t="n">
        <f aca="false">P104*(1+O105)</f>
        <v>4.16432220622533</v>
      </c>
      <c r="Q105" s="21" t="n">
        <f aca="false">MAX($P$5:P105)</f>
        <v>4.16432220622533</v>
      </c>
      <c r="R105" s="16" t="n">
        <f aca="false">P105/Q105-1</f>
        <v>0</v>
      </c>
      <c r="S105" s="16" t="n">
        <f aca="false">O105-Benchmark_RF!D105</f>
        <v>0.00591841293968557</v>
      </c>
    </row>
    <row r="106" customFormat="false" ht="15" hidden="false" customHeight="true" outlineLevel="0" collapsed="false">
      <c r="A106" s="1" t="n">
        <v>109</v>
      </c>
      <c r="B106" s="13" t="n">
        <f aca="false">Returns!A110</f>
        <v>45292</v>
      </c>
      <c r="C106" s="17" t="n">
        <f aca="false">IF(Rankings!C107&lt;=3,1,0)</f>
        <v>1</v>
      </c>
      <c r="D106" s="17" t="n">
        <f aca="false">IF(Rankings!D107&lt;=3,1,0)</f>
        <v>0</v>
      </c>
      <c r="E106" s="17" t="n">
        <f aca="false">IF(Rankings!E107&lt;=3,1,0)</f>
        <v>0</v>
      </c>
      <c r="F106" s="17" t="n">
        <f aca="false">IF(Rankings!F107&lt;=3,1,0)</f>
        <v>1</v>
      </c>
      <c r="G106" s="17" t="n">
        <f aca="false">IF(Rankings!G107&lt;=3,1,0)</f>
        <v>0</v>
      </c>
      <c r="H106" s="17" t="n">
        <f aca="false">IF(Rankings!H107&lt;=3,1,0)</f>
        <v>1</v>
      </c>
      <c r="I106" s="17" t="n">
        <f aca="false">IF(Rankings!I107&lt;=3,1,0)</f>
        <v>0</v>
      </c>
      <c r="J106" s="17" t="n">
        <f aca="false">IF(Rankings!J107&lt;=3,1,0)</f>
        <v>0</v>
      </c>
      <c r="K106" s="20" t="n">
        <f aca="false">SUM(C106:J106)</f>
        <v>3</v>
      </c>
      <c r="L106" s="16" t="n">
        <f aca="false">SUMPRODUCT(C106:J106,Returns!B110:I110)/K106</f>
        <v>0.0819995040709863</v>
      </c>
      <c r="M106" s="16" t="n">
        <v>0</v>
      </c>
      <c r="N106" s="16" t="n">
        <v>0</v>
      </c>
      <c r="O106" s="16" t="n">
        <f aca="false">L106+M106+N106</f>
        <v>0.0819995040709863</v>
      </c>
      <c r="P106" s="21" t="n">
        <f aca="false">P105*(1+O106)</f>
        <v>4.5057945619276</v>
      </c>
      <c r="Q106" s="21" t="n">
        <f aca="false">MAX($P$5:P106)</f>
        <v>4.5057945619276</v>
      </c>
      <c r="R106" s="16" t="n">
        <f aca="false">P106/Q106-1</f>
        <v>0</v>
      </c>
      <c r="S106" s="16" t="n">
        <f aca="false">O106-Benchmark_RF!D106</f>
        <v>0.0660105903818844</v>
      </c>
    </row>
    <row r="107" customFormat="false" ht="15" hidden="false" customHeight="true" outlineLevel="0" collapsed="false">
      <c r="A107" s="1" t="n">
        <v>110</v>
      </c>
      <c r="B107" s="13" t="n">
        <f aca="false">Returns!A111</f>
        <v>45323</v>
      </c>
      <c r="C107" s="17" t="n">
        <f aca="false">IF(Rankings!C107&lt;=3,1,0)</f>
        <v>1</v>
      </c>
      <c r="D107" s="17" t="n">
        <f aca="false">IF(Rankings!D107&lt;=3,1,0)</f>
        <v>0</v>
      </c>
      <c r="E107" s="17" t="n">
        <f aca="false">IF(Rankings!E107&lt;=3,1,0)</f>
        <v>0</v>
      </c>
      <c r="F107" s="17" t="n">
        <f aca="false">IF(Rankings!F107&lt;=3,1,0)</f>
        <v>1</v>
      </c>
      <c r="G107" s="17" t="n">
        <f aca="false">IF(Rankings!G107&lt;=3,1,0)</f>
        <v>0</v>
      </c>
      <c r="H107" s="17" t="n">
        <f aca="false">IF(Rankings!H107&lt;=3,1,0)</f>
        <v>1</v>
      </c>
      <c r="I107" s="17" t="n">
        <f aca="false">IF(Rankings!I107&lt;=3,1,0)</f>
        <v>0</v>
      </c>
      <c r="J107" s="17" t="n">
        <f aca="false">IF(Rankings!J107&lt;=3,1,0)</f>
        <v>0</v>
      </c>
      <c r="K107" s="20" t="n">
        <f aca="false">SUM(C107:J107)</f>
        <v>3</v>
      </c>
      <c r="L107" s="16" t="n">
        <f aca="false">SUMPRODUCT(C107:J107,Returns!B111:I111)/K107</f>
        <v>0.0308885502000615</v>
      </c>
      <c r="M107" s="16" t="n">
        <v>0</v>
      </c>
      <c r="N107" s="16" t="n">
        <v>0</v>
      </c>
      <c r="O107" s="16" t="n">
        <f aca="false">L107+M107+N107</f>
        <v>0.0308885502000615</v>
      </c>
      <c r="P107" s="21" t="n">
        <f aca="false">P106*(1+O107)</f>
        <v>4.64497202344486</v>
      </c>
      <c r="Q107" s="21" t="n">
        <f aca="false">MAX($P$5:P107)</f>
        <v>4.64497202344486</v>
      </c>
      <c r="R107" s="16" t="n">
        <f aca="false">P107/Q107-1</f>
        <v>0</v>
      </c>
      <c r="S107" s="16" t="n">
        <f aca="false">O107-Benchmark_RF!D107</f>
        <v>0.0146600195895283</v>
      </c>
    </row>
    <row r="108" customFormat="false" ht="15" hidden="false" customHeight="true" outlineLevel="0" collapsed="false">
      <c r="A108" s="1" t="n">
        <v>111</v>
      </c>
      <c r="B108" s="13" t="n">
        <f aca="false">Returns!A112</f>
        <v>45352</v>
      </c>
      <c r="C108" s="17" t="n">
        <f aca="false">IF(Rankings!C107&lt;=3,1,0)</f>
        <v>1</v>
      </c>
      <c r="D108" s="17" t="n">
        <f aca="false">IF(Rankings!D107&lt;=3,1,0)</f>
        <v>0</v>
      </c>
      <c r="E108" s="17" t="n">
        <f aca="false">IF(Rankings!E107&lt;=3,1,0)</f>
        <v>0</v>
      </c>
      <c r="F108" s="17" t="n">
        <f aca="false">IF(Rankings!F107&lt;=3,1,0)</f>
        <v>1</v>
      </c>
      <c r="G108" s="17" t="n">
        <f aca="false">IF(Rankings!G107&lt;=3,1,0)</f>
        <v>0</v>
      </c>
      <c r="H108" s="17" t="n">
        <f aca="false">IF(Rankings!H107&lt;=3,1,0)</f>
        <v>1</v>
      </c>
      <c r="I108" s="17" t="n">
        <f aca="false">IF(Rankings!I107&lt;=3,1,0)</f>
        <v>0</v>
      </c>
      <c r="J108" s="17" t="n">
        <f aca="false">IF(Rankings!J107&lt;=3,1,0)</f>
        <v>0</v>
      </c>
      <c r="K108" s="20" t="n">
        <f aca="false">SUM(C108:J108)</f>
        <v>3</v>
      </c>
      <c r="L108" s="16" t="n">
        <f aca="false">SUMPRODUCT(C108:J108,Returns!B112:I112)/K108</f>
        <v>0.0160133825106734</v>
      </c>
      <c r="M108" s="16" t="n">
        <v>0</v>
      </c>
      <c r="N108" s="16" t="n">
        <v>0</v>
      </c>
      <c r="O108" s="16" t="n">
        <f aca="false">L108+M108+N108</f>
        <v>0.0160133825106734</v>
      </c>
      <c r="P108" s="21" t="n">
        <f aca="false">P107*(1+O108)</f>
        <v>4.71935373720766</v>
      </c>
      <c r="Q108" s="21" t="n">
        <f aca="false">MAX($P$5:P108)</f>
        <v>4.71935373720766</v>
      </c>
      <c r="R108" s="16" t="n">
        <f aca="false">P108/Q108-1</f>
        <v>0</v>
      </c>
      <c r="S108" s="16" t="n">
        <f aca="false">O108-Benchmark_RF!D108</f>
        <v>-0.00029888135185363</v>
      </c>
    </row>
    <row r="109" customFormat="false" ht="15" hidden="false" customHeight="true" outlineLevel="0" collapsed="false">
      <c r="A109" s="1" t="n">
        <v>112</v>
      </c>
      <c r="B109" s="13" t="n">
        <f aca="false">Returns!A113</f>
        <v>45383</v>
      </c>
      <c r="C109" s="17" t="n">
        <f aca="false">IF(Rankings!C107&lt;=3,1,0)</f>
        <v>1</v>
      </c>
      <c r="D109" s="17" t="n">
        <f aca="false">IF(Rankings!D107&lt;=3,1,0)</f>
        <v>0</v>
      </c>
      <c r="E109" s="17" t="n">
        <f aca="false">IF(Rankings!E107&lt;=3,1,0)</f>
        <v>0</v>
      </c>
      <c r="F109" s="17" t="n">
        <f aca="false">IF(Rankings!F107&lt;=3,1,0)</f>
        <v>1</v>
      </c>
      <c r="G109" s="17" t="n">
        <f aca="false">IF(Rankings!G107&lt;=3,1,0)</f>
        <v>0</v>
      </c>
      <c r="H109" s="17" t="n">
        <f aca="false">IF(Rankings!H107&lt;=3,1,0)</f>
        <v>1</v>
      </c>
      <c r="I109" s="17" t="n">
        <f aca="false">IF(Rankings!I107&lt;=3,1,0)</f>
        <v>0</v>
      </c>
      <c r="J109" s="17" t="n">
        <f aca="false">IF(Rankings!J107&lt;=3,1,0)</f>
        <v>0</v>
      </c>
      <c r="K109" s="20" t="n">
        <f aca="false">SUM(C109:J109)</f>
        <v>3</v>
      </c>
      <c r="L109" s="16" t="n">
        <f aca="false">SUMPRODUCT(C109:J109,Returns!B113:I113)/K109</f>
        <v>0.0941793288737616</v>
      </c>
      <c r="M109" s="16" t="n">
        <v>0</v>
      </c>
      <c r="N109" s="16" t="n">
        <v>0</v>
      </c>
      <c r="O109" s="16" t="n">
        <f aca="false">L109+M109+N109</f>
        <v>0.0941793288737616</v>
      </c>
      <c r="P109" s="21" t="n">
        <f aca="false">P108*(1+O109)</f>
        <v>5.16381930489576</v>
      </c>
      <c r="Q109" s="21" t="n">
        <f aca="false">MAX($P$5:P109)</f>
        <v>5.16381930489576</v>
      </c>
      <c r="R109" s="16" t="n">
        <f aca="false">P109/Q109-1</f>
        <v>0</v>
      </c>
      <c r="S109" s="16" t="n">
        <f aca="false">O109-Benchmark_RF!D109</f>
        <v>0.0777555385883989</v>
      </c>
    </row>
    <row r="110" customFormat="false" ht="15" hidden="false" customHeight="true" outlineLevel="0" collapsed="false">
      <c r="A110" s="1" t="n">
        <v>113</v>
      </c>
      <c r="B110" s="13" t="n">
        <f aca="false">Returns!A114</f>
        <v>45413</v>
      </c>
      <c r="C110" s="17" t="n">
        <f aca="false">IF(Rankings!C107&lt;=3,1,0)</f>
        <v>1</v>
      </c>
      <c r="D110" s="17" t="n">
        <f aca="false">IF(Rankings!D107&lt;=3,1,0)</f>
        <v>0</v>
      </c>
      <c r="E110" s="17" t="n">
        <f aca="false">IF(Rankings!E107&lt;=3,1,0)</f>
        <v>0</v>
      </c>
      <c r="F110" s="17" t="n">
        <f aca="false">IF(Rankings!F107&lt;=3,1,0)</f>
        <v>1</v>
      </c>
      <c r="G110" s="17" t="n">
        <f aca="false">IF(Rankings!G107&lt;=3,1,0)</f>
        <v>0</v>
      </c>
      <c r="H110" s="17" t="n">
        <f aca="false">IF(Rankings!H107&lt;=3,1,0)</f>
        <v>1</v>
      </c>
      <c r="I110" s="17" t="n">
        <f aca="false">IF(Rankings!I107&lt;=3,1,0)</f>
        <v>0</v>
      </c>
      <c r="J110" s="17" t="n">
        <f aca="false">IF(Rankings!J107&lt;=3,1,0)</f>
        <v>0</v>
      </c>
      <c r="K110" s="20" t="n">
        <f aca="false">SUM(C110:J110)</f>
        <v>3</v>
      </c>
      <c r="L110" s="16" t="n">
        <f aca="false">SUMPRODUCT(C110:J110,Returns!B114:I114)/K110</f>
        <v>-0.0115595486886515</v>
      </c>
      <c r="M110" s="16" t="n">
        <v>0</v>
      </c>
      <c r="N110" s="16" t="n">
        <v>0</v>
      </c>
      <c r="O110" s="16" t="n">
        <f aca="false">L110+M110+N110</f>
        <v>-0.0115595486886515</v>
      </c>
      <c r="P110" s="21" t="n">
        <f aca="false">P109*(1+O110)</f>
        <v>5.10412788422142</v>
      </c>
      <c r="Q110" s="21" t="n">
        <f aca="false">MAX($P$5:P110)</f>
        <v>5.16381930489576</v>
      </c>
      <c r="R110" s="16" t="n">
        <f aca="false">P110/Q110-1</f>
        <v>-0.0115595486886514</v>
      </c>
      <c r="S110" s="16" t="n">
        <f aca="false">O110-Benchmark_RF!D110</f>
        <v>-0.0275294229557273</v>
      </c>
    </row>
    <row r="111" customFormat="false" ht="15" hidden="false" customHeight="true" outlineLevel="0" collapsed="false">
      <c r="A111" s="1" t="n">
        <v>114</v>
      </c>
      <c r="B111" s="13" t="n">
        <f aca="false">Returns!A115</f>
        <v>45444</v>
      </c>
      <c r="C111" s="17" t="n">
        <f aca="false">IF(Rankings!C107&lt;=3,1,0)</f>
        <v>1</v>
      </c>
      <c r="D111" s="17" t="n">
        <f aca="false">IF(Rankings!D107&lt;=3,1,0)</f>
        <v>0</v>
      </c>
      <c r="E111" s="17" t="n">
        <f aca="false">IF(Rankings!E107&lt;=3,1,0)</f>
        <v>0</v>
      </c>
      <c r="F111" s="17" t="n">
        <f aca="false">IF(Rankings!F107&lt;=3,1,0)</f>
        <v>1</v>
      </c>
      <c r="G111" s="17" t="n">
        <f aca="false">IF(Rankings!G107&lt;=3,1,0)</f>
        <v>0</v>
      </c>
      <c r="H111" s="17" t="n">
        <f aca="false">IF(Rankings!H107&lt;=3,1,0)</f>
        <v>1</v>
      </c>
      <c r="I111" s="17" t="n">
        <f aca="false">IF(Rankings!I107&lt;=3,1,0)</f>
        <v>0</v>
      </c>
      <c r="J111" s="17" t="n">
        <f aca="false">IF(Rankings!J107&lt;=3,1,0)</f>
        <v>0</v>
      </c>
      <c r="K111" s="20" t="n">
        <f aca="false">SUM(C111:J111)</f>
        <v>3</v>
      </c>
      <c r="L111" s="16" t="n">
        <f aca="false">SUMPRODUCT(C111:J111,Returns!B115:I115)/K111</f>
        <v>0.085586435967484</v>
      </c>
      <c r="M111" s="16" t="n">
        <v>0</v>
      </c>
      <c r="N111" s="16" t="n">
        <v>0</v>
      </c>
      <c r="O111" s="16" t="n">
        <f aca="false">L111+M111+N111</f>
        <v>0.085586435967484</v>
      </c>
      <c r="P111" s="21" t="n">
        <f aca="false">P110*(1+O111)</f>
        <v>5.54097199855418</v>
      </c>
      <c r="Q111" s="21" t="n">
        <f aca="false">MAX($P$5:P111)</f>
        <v>5.54097199855418</v>
      </c>
      <c r="R111" s="16" t="n">
        <f aca="false">P111/Q111-1</f>
        <v>0</v>
      </c>
      <c r="S111" s="16" t="n">
        <f aca="false">O111-Benchmark_RF!D111</f>
        <v>0.070266742431605</v>
      </c>
    </row>
    <row r="112" customFormat="false" ht="15" hidden="false" customHeight="true" outlineLevel="0" collapsed="false">
      <c r="A112" s="1" t="n">
        <v>115</v>
      </c>
      <c r="B112" s="13" t="n">
        <f aca="false">Returns!A116</f>
        <v>45474</v>
      </c>
      <c r="C112" s="17" t="n">
        <f aca="false">IF(Rankings!C107&lt;=3,1,0)</f>
        <v>1</v>
      </c>
      <c r="D112" s="17" t="n">
        <f aca="false">IF(Rankings!D107&lt;=3,1,0)</f>
        <v>0</v>
      </c>
      <c r="E112" s="17" t="n">
        <f aca="false">IF(Rankings!E107&lt;=3,1,0)</f>
        <v>0</v>
      </c>
      <c r="F112" s="17" t="n">
        <f aca="false">IF(Rankings!F107&lt;=3,1,0)</f>
        <v>1</v>
      </c>
      <c r="G112" s="17" t="n">
        <f aca="false">IF(Rankings!G107&lt;=3,1,0)</f>
        <v>0</v>
      </c>
      <c r="H112" s="17" t="n">
        <f aca="false">IF(Rankings!H107&lt;=3,1,0)</f>
        <v>1</v>
      </c>
      <c r="I112" s="17" t="n">
        <f aca="false">IF(Rankings!I107&lt;=3,1,0)</f>
        <v>0</v>
      </c>
      <c r="J112" s="17" t="n">
        <f aca="false">IF(Rankings!J107&lt;=3,1,0)</f>
        <v>0</v>
      </c>
      <c r="K112" s="20" t="n">
        <f aca="false">SUM(C112:J112)</f>
        <v>3</v>
      </c>
      <c r="L112" s="16" t="n">
        <f aca="false">SUMPRODUCT(C112:J112,Returns!B116:I116)/K112</f>
        <v>0.0222135894989143</v>
      </c>
      <c r="M112" s="16" t="n">
        <v>0</v>
      </c>
      <c r="N112" s="16" t="n">
        <v>0</v>
      </c>
      <c r="O112" s="16" t="n">
        <f aca="false">L112+M112+N112</f>
        <v>0.0222135894989143</v>
      </c>
      <c r="P112" s="21" t="n">
        <f aca="false">P111*(1+O112)</f>
        <v>5.66405687595504</v>
      </c>
      <c r="Q112" s="21" t="n">
        <f aca="false">MAX($P$5:P112)</f>
        <v>5.66405687595504</v>
      </c>
      <c r="R112" s="16" t="n">
        <f aca="false">P112/Q112-1</f>
        <v>0</v>
      </c>
      <c r="S112" s="16" t="n">
        <f aca="false">O112-Benchmark_RF!D112</f>
        <v>0.00726441012677193</v>
      </c>
    </row>
    <row r="113" customFormat="false" ht="15" hidden="false" customHeight="true" outlineLevel="0" collapsed="false">
      <c r="A113" s="1" t="n">
        <v>116</v>
      </c>
      <c r="B113" s="13" t="n">
        <f aca="false">Returns!A117</f>
        <v>45505</v>
      </c>
      <c r="C113" s="17" t="n">
        <f aca="false">IF(Rankings!C119&lt;=3,1,0)</f>
        <v>1</v>
      </c>
      <c r="D113" s="17" t="n">
        <f aca="false">IF(Rankings!D119&lt;=3,1,0)</f>
        <v>0</v>
      </c>
      <c r="E113" s="17" t="n">
        <f aca="false">IF(Rankings!E119&lt;=3,1,0)</f>
        <v>0</v>
      </c>
      <c r="F113" s="17" t="n">
        <f aca="false">IF(Rankings!F119&lt;=3,1,0)</f>
        <v>0</v>
      </c>
      <c r="G113" s="17" t="n">
        <f aca="false">IF(Rankings!G119&lt;=3,1,0)</f>
        <v>1</v>
      </c>
      <c r="H113" s="17" t="n">
        <f aca="false">IF(Rankings!H119&lt;=3,1,0)</f>
        <v>1</v>
      </c>
      <c r="I113" s="17" t="n">
        <f aca="false">IF(Rankings!I119&lt;=3,1,0)</f>
        <v>0</v>
      </c>
      <c r="J113" s="17" t="n">
        <f aca="false">IF(Rankings!J119&lt;=3,1,0)</f>
        <v>0</v>
      </c>
      <c r="K113" s="20" t="n">
        <f aca="false">SUM(C113:J113)</f>
        <v>3</v>
      </c>
      <c r="L113" s="16" t="n">
        <f aca="false">SUMPRODUCT(C113:J113,Returns!B117:I117)/K113</f>
        <v>-0.00674963174291573</v>
      </c>
      <c r="M113" s="16" t="n">
        <f aca="false">-2*Assumptions!$B$13</f>
        <v>-0.007</v>
      </c>
      <c r="N113" s="16" t="n">
        <f aca="false">-Assumptions!$B$16*MAX(0,(1+O101)*(1+O102)*(1+O103)*(1+O104)*(1+O105)*(1+O106)*(1+O107)*(1+O108)*(1+O109)*(1+O110)*(1+O111)*(1+O112)-1)</f>
        <v>-0.0728035762017171</v>
      </c>
      <c r="O113" s="16" t="n">
        <f aca="false">L113+M113+N113</f>
        <v>-0.0865532079446328</v>
      </c>
      <c r="P113" s="21" t="n">
        <f aca="false">P112*(1+O113)</f>
        <v>5.17381458336028</v>
      </c>
      <c r="Q113" s="21" t="n">
        <f aca="false">MAX($P$5:P113)</f>
        <v>5.66405687595504</v>
      </c>
      <c r="R113" s="16" t="n">
        <f aca="false">P113/Q113-1</f>
        <v>-0.086553207944633</v>
      </c>
      <c r="S113" s="16" t="n">
        <f aca="false">O113-Benchmark_RF!D113</f>
        <v>-0.100061362676875</v>
      </c>
    </row>
    <row r="114" customFormat="false" ht="15" hidden="false" customHeight="true" outlineLevel="0" collapsed="false">
      <c r="A114" s="1" t="n">
        <v>117</v>
      </c>
      <c r="B114" s="13" t="n">
        <f aca="false">Returns!A118</f>
        <v>45536</v>
      </c>
      <c r="C114" s="17" t="n">
        <f aca="false">IF(Rankings!C119&lt;=3,1,0)</f>
        <v>1</v>
      </c>
      <c r="D114" s="17" t="n">
        <f aca="false">IF(Rankings!D119&lt;=3,1,0)</f>
        <v>0</v>
      </c>
      <c r="E114" s="17" t="n">
        <f aca="false">IF(Rankings!E119&lt;=3,1,0)</f>
        <v>0</v>
      </c>
      <c r="F114" s="17" t="n">
        <f aca="false">IF(Rankings!F119&lt;=3,1,0)</f>
        <v>0</v>
      </c>
      <c r="G114" s="17" t="n">
        <f aca="false">IF(Rankings!G119&lt;=3,1,0)</f>
        <v>1</v>
      </c>
      <c r="H114" s="17" t="n">
        <f aca="false">IF(Rankings!H119&lt;=3,1,0)</f>
        <v>1</v>
      </c>
      <c r="I114" s="17" t="n">
        <f aca="false">IF(Rankings!I119&lt;=3,1,0)</f>
        <v>0</v>
      </c>
      <c r="J114" s="17" t="n">
        <f aca="false">IF(Rankings!J119&lt;=3,1,0)</f>
        <v>0</v>
      </c>
      <c r="K114" s="20" t="n">
        <f aca="false">SUM(C114:J114)</f>
        <v>3</v>
      </c>
      <c r="L114" s="16" t="n">
        <f aca="false">SUMPRODUCT(C114:J114,Returns!B118:I118)/K114</f>
        <v>0.124586408301897</v>
      </c>
      <c r="M114" s="16" t="n">
        <v>0</v>
      </c>
      <c r="N114" s="16" t="n">
        <v>0</v>
      </c>
      <c r="O114" s="16" t="n">
        <f aca="false">L114+M114+N114</f>
        <v>0.124586408301897</v>
      </c>
      <c r="P114" s="21" t="n">
        <f aca="false">P113*(1+O114)</f>
        <v>5.81840155952111</v>
      </c>
      <c r="Q114" s="21" t="n">
        <f aca="false">MAX($P$5:P114)</f>
        <v>5.81840155952111</v>
      </c>
      <c r="R114" s="16" t="n">
        <f aca="false">P114/Q114-1</f>
        <v>0</v>
      </c>
      <c r="S114" s="16" t="n">
        <f aca="false">O114-Benchmark_RF!D114</f>
        <v>0.111121402692699</v>
      </c>
    </row>
    <row r="115" customFormat="false" ht="15" hidden="false" customHeight="true" outlineLevel="0" collapsed="false">
      <c r="A115" s="1" t="n">
        <v>118</v>
      </c>
      <c r="B115" s="13" t="n">
        <f aca="false">Returns!A119</f>
        <v>45566</v>
      </c>
      <c r="C115" s="17" t="n">
        <f aca="false">IF(Rankings!C119&lt;=3,1,0)</f>
        <v>1</v>
      </c>
      <c r="D115" s="17" t="n">
        <f aca="false">IF(Rankings!D119&lt;=3,1,0)</f>
        <v>0</v>
      </c>
      <c r="E115" s="17" t="n">
        <f aca="false">IF(Rankings!E119&lt;=3,1,0)</f>
        <v>0</v>
      </c>
      <c r="F115" s="17" t="n">
        <f aca="false">IF(Rankings!F119&lt;=3,1,0)</f>
        <v>0</v>
      </c>
      <c r="G115" s="17" t="n">
        <f aca="false">IF(Rankings!G119&lt;=3,1,0)</f>
        <v>1</v>
      </c>
      <c r="H115" s="17" t="n">
        <f aca="false">IF(Rankings!H119&lt;=3,1,0)</f>
        <v>1</v>
      </c>
      <c r="I115" s="17" t="n">
        <f aca="false">IF(Rankings!I119&lt;=3,1,0)</f>
        <v>0</v>
      </c>
      <c r="J115" s="17" t="n">
        <f aca="false">IF(Rankings!J119&lt;=3,1,0)</f>
        <v>0</v>
      </c>
      <c r="K115" s="20" t="n">
        <f aca="false">SUM(C115:J115)</f>
        <v>3</v>
      </c>
      <c r="L115" s="16" t="n">
        <f aca="false">SUMPRODUCT(C115:J115,Returns!B119:I119)/K115</f>
        <v>0.154731916935442</v>
      </c>
      <c r="M115" s="16" t="n">
        <v>0</v>
      </c>
      <c r="N115" s="16" t="n">
        <v>0</v>
      </c>
      <c r="O115" s="16" t="n">
        <f aca="false">L115+M115+N115</f>
        <v>0.154731916935442</v>
      </c>
      <c r="P115" s="21" t="n">
        <f aca="false">P114*(1+O115)</f>
        <v>6.71869398632598</v>
      </c>
      <c r="Q115" s="21" t="n">
        <f aca="false">MAX($P$5:P115)</f>
        <v>6.71869398632598</v>
      </c>
      <c r="R115" s="16" t="n">
        <f aca="false">P115/Q115-1</f>
        <v>0</v>
      </c>
      <c r="S115" s="16" t="n">
        <f aca="false">O115-Benchmark_RF!D115</f>
        <v>0.143849187786961</v>
      </c>
    </row>
    <row r="116" customFormat="false" ht="15" hidden="false" customHeight="true" outlineLevel="0" collapsed="false">
      <c r="A116" s="1" t="n">
        <v>119</v>
      </c>
      <c r="B116" s="13" t="n">
        <f aca="false">Returns!A120</f>
        <v>45597</v>
      </c>
      <c r="C116" s="17" t="n">
        <f aca="false">IF(Rankings!C119&lt;=3,1,0)</f>
        <v>1</v>
      </c>
      <c r="D116" s="17" t="n">
        <f aca="false">IF(Rankings!D119&lt;=3,1,0)</f>
        <v>0</v>
      </c>
      <c r="E116" s="17" t="n">
        <f aca="false">IF(Rankings!E119&lt;=3,1,0)</f>
        <v>0</v>
      </c>
      <c r="F116" s="17" t="n">
        <f aca="false">IF(Rankings!F119&lt;=3,1,0)</f>
        <v>0</v>
      </c>
      <c r="G116" s="17" t="n">
        <f aca="false">IF(Rankings!G119&lt;=3,1,0)</f>
        <v>1</v>
      </c>
      <c r="H116" s="17" t="n">
        <f aca="false">IF(Rankings!H119&lt;=3,1,0)</f>
        <v>1</v>
      </c>
      <c r="I116" s="17" t="n">
        <f aca="false">IF(Rankings!I119&lt;=3,1,0)</f>
        <v>0</v>
      </c>
      <c r="J116" s="17" t="n">
        <f aca="false">IF(Rankings!J119&lt;=3,1,0)</f>
        <v>0</v>
      </c>
      <c r="K116" s="20" t="n">
        <f aca="false">SUM(C116:J116)</f>
        <v>3</v>
      </c>
      <c r="L116" s="16" t="n">
        <f aca="false">SUMPRODUCT(C116:J116,Returns!B120:I120)/K116</f>
        <v>0.147735512422479</v>
      </c>
      <c r="M116" s="16" t="n">
        <v>0</v>
      </c>
      <c r="N116" s="16" t="n">
        <v>0</v>
      </c>
      <c r="O116" s="16" t="n">
        <f aca="false">L116+M116+N116</f>
        <v>0.147735512422479</v>
      </c>
      <c r="P116" s="21" t="n">
        <f aca="false">P115*(1+O116)</f>
        <v>7.71128368520568</v>
      </c>
      <c r="Q116" s="21" t="n">
        <f aca="false">MAX($P$5:P116)</f>
        <v>7.71128368520568</v>
      </c>
      <c r="R116" s="16" t="n">
        <f aca="false">P116/Q116-1</f>
        <v>0</v>
      </c>
      <c r="S116" s="16" t="n">
        <f aca="false">O116-Benchmark_RF!D116</f>
        <v>0.136852783273999</v>
      </c>
    </row>
    <row r="117" customFormat="false" ht="15" hidden="false" customHeight="true" outlineLevel="0" collapsed="false">
      <c r="A117" s="1" t="n">
        <v>120</v>
      </c>
      <c r="B117" s="13" t="n">
        <f aca="false">Returns!A121</f>
        <v>45627</v>
      </c>
      <c r="C117" s="17" t="n">
        <f aca="false">IF(Rankings!C119&lt;=3,1,0)</f>
        <v>1</v>
      </c>
      <c r="D117" s="17" t="n">
        <f aca="false">IF(Rankings!D119&lt;=3,1,0)</f>
        <v>0</v>
      </c>
      <c r="E117" s="17" t="n">
        <f aca="false">IF(Rankings!E119&lt;=3,1,0)</f>
        <v>0</v>
      </c>
      <c r="F117" s="17" t="n">
        <f aca="false">IF(Rankings!F119&lt;=3,1,0)</f>
        <v>0</v>
      </c>
      <c r="G117" s="17" t="n">
        <f aca="false">IF(Rankings!G119&lt;=3,1,0)</f>
        <v>1</v>
      </c>
      <c r="H117" s="17" t="n">
        <f aca="false">IF(Rankings!H119&lt;=3,1,0)</f>
        <v>1</v>
      </c>
      <c r="I117" s="17" t="n">
        <f aca="false">IF(Rankings!I119&lt;=3,1,0)</f>
        <v>0</v>
      </c>
      <c r="J117" s="17" t="n">
        <f aca="false">IF(Rankings!J119&lt;=3,1,0)</f>
        <v>0</v>
      </c>
      <c r="K117" s="20" t="n">
        <f aca="false">SUM(C117:J117)</f>
        <v>3</v>
      </c>
      <c r="L117" s="16" t="n">
        <f aca="false">SUMPRODUCT(C117:J117,Returns!B121:I121)/K117</f>
        <v>0.123617236990425</v>
      </c>
      <c r="M117" s="16" t="n">
        <v>0</v>
      </c>
      <c r="N117" s="16" t="n">
        <v>0</v>
      </c>
      <c r="O117" s="16" t="n">
        <f aca="false">L117+M117+N117</f>
        <v>0.123617236990425</v>
      </c>
      <c r="P117" s="21" t="n">
        <f aca="false">P116*(1+O117)</f>
        <v>8.66453126802015</v>
      </c>
      <c r="Q117" s="21" t="n">
        <f aca="false">MAX($P$5:P117)</f>
        <v>8.66453126802015</v>
      </c>
      <c r="R117" s="16" t="n">
        <f aca="false">P117/Q117-1</f>
        <v>0</v>
      </c>
      <c r="S117" s="16" t="n">
        <f aca="false">O117-Benchmark_RF!D117</f>
        <v>0.114241179433917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10" min="3" style="1" width="8"/>
    <col collapsed="false" customWidth="true" hidden="false" outlineLevel="0" max="16" min="11" style="1" width="11"/>
    <col collapsed="false" customWidth="true" hidden="false" outlineLevel="0" max="17" min="17" style="1" width="12"/>
    <col collapsed="false" customWidth="true" hidden="false" outlineLevel="0" max="18" min="18" style="1" width="11"/>
    <col collapsed="false" customWidth="true" hidden="false" outlineLevel="0" max="19" min="19" style="1" width="13"/>
  </cols>
  <sheetData>
    <row r="1" customFormat="false" ht="15.75" hidden="false" customHeight="true" outlineLevel="0" collapsed="false">
      <c r="A1" s="18" t="s">
        <v>83</v>
      </c>
    </row>
    <row r="2" customFormat="false" ht="15" hidden="false" customHeight="true" outlineLevel="0" collapsed="false">
      <c r="A2" s="5" t="s">
        <v>69</v>
      </c>
    </row>
    <row r="4" customFormat="false" ht="15" hidden="false" customHeight="true" outlineLevel="0" collapsed="false">
      <c r="A4" s="12" t="s">
        <v>70</v>
      </c>
      <c r="B4" s="12" t="s">
        <v>51</v>
      </c>
      <c r="C4" s="12" t="s">
        <v>52</v>
      </c>
      <c r="D4" s="12" t="s">
        <v>53</v>
      </c>
      <c r="E4" s="12" t="s">
        <v>54</v>
      </c>
      <c r="F4" s="12" t="s">
        <v>55</v>
      </c>
      <c r="G4" s="12" t="s">
        <v>56</v>
      </c>
      <c r="H4" s="12" t="s">
        <v>57</v>
      </c>
      <c r="I4" s="12" t="s">
        <v>58</v>
      </c>
      <c r="J4" s="12" t="s">
        <v>59</v>
      </c>
      <c r="K4" s="12" t="s">
        <v>71</v>
      </c>
      <c r="L4" s="12" t="s">
        <v>72</v>
      </c>
      <c r="M4" s="12" t="s">
        <v>73</v>
      </c>
      <c r="N4" s="12" t="s">
        <v>74</v>
      </c>
      <c r="O4" s="12" t="s">
        <v>75</v>
      </c>
      <c r="P4" s="12" t="s">
        <v>76</v>
      </c>
      <c r="Q4" s="19" t="s">
        <v>77</v>
      </c>
      <c r="R4" s="19" t="s">
        <v>78</v>
      </c>
      <c r="S4" s="19" t="s">
        <v>79</v>
      </c>
    </row>
    <row r="5" customFormat="false" ht="15" hidden="false" customHeight="true" outlineLevel="0" collapsed="false">
      <c r="A5" s="1" t="n">
        <v>8</v>
      </c>
      <c r="B5" s="13" t="n">
        <f aca="false">Returns!A9</f>
        <v>42217</v>
      </c>
      <c r="C5" s="17" t="n">
        <f aca="false">IF(Rankings!C11&lt;=3,1,0)</f>
        <v>0</v>
      </c>
      <c r="D5" s="17" t="n">
        <f aca="false">IF(Rankings!D11&lt;=3,1,0)</f>
        <v>1</v>
      </c>
      <c r="E5" s="17" t="n">
        <f aca="false">IF(Rankings!E11&lt;=3,1,0)</f>
        <v>0</v>
      </c>
      <c r="F5" s="17" t="n">
        <f aca="false">IF(Rankings!F11&lt;=3,1,0)</f>
        <v>0</v>
      </c>
      <c r="G5" s="17" t="n">
        <f aca="false">IF(Rankings!G11&lt;=3,1,0)</f>
        <v>1</v>
      </c>
      <c r="H5" s="17" t="n">
        <f aca="false">IF(Rankings!H11&lt;=3,1,0)</f>
        <v>1</v>
      </c>
      <c r="I5" s="17" t="n">
        <f aca="false">IF(Rankings!I11&lt;=3,1,0)</f>
        <v>0</v>
      </c>
      <c r="J5" s="17" t="n">
        <f aca="false">IF(Rankings!J11&lt;=3,1,0)</f>
        <v>0</v>
      </c>
      <c r="K5" s="20" t="n">
        <f aca="false">SUM(C5:J5)</f>
        <v>3</v>
      </c>
      <c r="L5" s="16" t="n">
        <f aca="false">SUMPRODUCT(C5:J5,Returns!B9:I9)/K5</f>
        <v>-0.0140221020718288</v>
      </c>
      <c r="M5" s="16" t="n">
        <f aca="false">-2*Assumptions!$B$13</f>
        <v>-0.007</v>
      </c>
      <c r="N5" s="16" t="n">
        <v>0</v>
      </c>
      <c r="O5" s="16" t="n">
        <f aca="false">L5+M5+N5</f>
        <v>-0.0210221020718288</v>
      </c>
      <c r="P5" s="21" t="n">
        <f aca="false">1*(1+O5)</f>
        <v>0.978977897928171</v>
      </c>
      <c r="Q5" s="21" t="n">
        <f aca="false">MAX($P$5:P5)</f>
        <v>0.978977897928171</v>
      </c>
      <c r="R5" s="16" t="n">
        <f aca="false">P5/Q5-1</f>
        <v>0</v>
      </c>
      <c r="S5" s="16" t="n">
        <f aca="false">O5-Benchmark_RF!D5</f>
        <v>-0.026622032581155</v>
      </c>
    </row>
    <row r="6" customFormat="false" ht="15" hidden="false" customHeight="true" outlineLevel="0" collapsed="false">
      <c r="A6" s="1" t="n">
        <v>9</v>
      </c>
      <c r="B6" s="13" t="n">
        <f aca="false">Returns!A10</f>
        <v>42248</v>
      </c>
      <c r="C6" s="17" t="n">
        <f aca="false">IF(Rankings!C11&lt;=3,1,0)</f>
        <v>0</v>
      </c>
      <c r="D6" s="17" t="n">
        <f aca="false">IF(Rankings!D11&lt;=3,1,0)</f>
        <v>1</v>
      </c>
      <c r="E6" s="17" t="n">
        <f aca="false">IF(Rankings!E11&lt;=3,1,0)</f>
        <v>0</v>
      </c>
      <c r="F6" s="17" t="n">
        <f aca="false">IF(Rankings!F11&lt;=3,1,0)</f>
        <v>0</v>
      </c>
      <c r="G6" s="17" t="n">
        <f aca="false">IF(Rankings!G11&lt;=3,1,0)</f>
        <v>1</v>
      </c>
      <c r="H6" s="17" t="n">
        <f aca="false">IF(Rankings!H11&lt;=3,1,0)</f>
        <v>1</v>
      </c>
      <c r="I6" s="17" t="n">
        <f aca="false">IF(Rankings!I11&lt;=3,1,0)</f>
        <v>0</v>
      </c>
      <c r="J6" s="17" t="n">
        <f aca="false">IF(Rankings!J11&lt;=3,1,0)</f>
        <v>0</v>
      </c>
      <c r="K6" s="20" t="n">
        <f aca="false">SUM(C6:J6)</f>
        <v>3</v>
      </c>
      <c r="L6" s="16" t="n">
        <f aca="false">SUMPRODUCT(C6:J6,Returns!B10:I10)/K6</f>
        <v>-0.0311428893468886</v>
      </c>
      <c r="M6" s="16" t="n">
        <v>0</v>
      </c>
      <c r="N6" s="16" t="n">
        <v>0</v>
      </c>
      <c r="O6" s="16" t="n">
        <f aca="false">L6+M6+N6</f>
        <v>-0.0311428893468886</v>
      </c>
      <c r="P6" s="21" t="n">
        <f aca="false">P5*(1+O6)</f>
        <v>0.948489697579945</v>
      </c>
      <c r="Q6" s="21" t="n">
        <f aca="false">MAX($P$5:P6)</f>
        <v>0.978977897928171</v>
      </c>
      <c r="R6" s="16" t="n">
        <f aca="false">P6/Q6-1</f>
        <v>-0.0311428893468886</v>
      </c>
      <c r="S6" s="16" t="n">
        <f aca="false">O6-Benchmark_RF!D6</f>
        <v>-0.0363780717040477</v>
      </c>
    </row>
    <row r="7" customFormat="false" ht="15" hidden="false" customHeight="true" outlineLevel="0" collapsed="false">
      <c r="A7" s="1" t="n">
        <v>10</v>
      </c>
      <c r="B7" s="13" t="n">
        <f aca="false">Returns!A11</f>
        <v>42278</v>
      </c>
      <c r="C7" s="17" t="n">
        <f aca="false">IF(Rankings!C11&lt;=3,1,0)</f>
        <v>0</v>
      </c>
      <c r="D7" s="17" t="n">
        <f aca="false">IF(Rankings!D11&lt;=3,1,0)</f>
        <v>1</v>
      </c>
      <c r="E7" s="17" t="n">
        <f aca="false">IF(Rankings!E11&lt;=3,1,0)</f>
        <v>0</v>
      </c>
      <c r="F7" s="17" t="n">
        <f aca="false">IF(Rankings!F11&lt;=3,1,0)</f>
        <v>0</v>
      </c>
      <c r="G7" s="17" t="n">
        <f aca="false">IF(Rankings!G11&lt;=3,1,0)</f>
        <v>1</v>
      </c>
      <c r="H7" s="17" t="n">
        <f aca="false">IF(Rankings!H11&lt;=3,1,0)</f>
        <v>1</v>
      </c>
      <c r="I7" s="17" t="n">
        <f aca="false">IF(Rankings!I11&lt;=3,1,0)</f>
        <v>0</v>
      </c>
      <c r="J7" s="17" t="n">
        <f aca="false">IF(Rankings!J11&lt;=3,1,0)</f>
        <v>0</v>
      </c>
      <c r="K7" s="20" t="n">
        <f aca="false">SUM(C7:J7)</f>
        <v>3</v>
      </c>
      <c r="L7" s="16" t="n">
        <f aca="false">SUMPRODUCT(C7:J7,Returns!B11:I11)/K7</f>
        <v>-0.00618860853659298</v>
      </c>
      <c r="M7" s="16" t="n">
        <v>0</v>
      </c>
      <c r="N7" s="16" t="n">
        <v>0</v>
      </c>
      <c r="O7" s="16" t="n">
        <f aca="false">L7+M7+N7</f>
        <v>-0.00618860853659298</v>
      </c>
      <c r="P7" s="21" t="n">
        <f aca="false">P6*(1+O7)</f>
        <v>0.942619866140631</v>
      </c>
      <c r="Q7" s="21" t="n">
        <f aca="false">MAX($P$5:P7)</f>
        <v>0.978977897928171</v>
      </c>
      <c r="R7" s="16" t="n">
        <f aca="false">P7/Q7-1</f>
        <v>-0.0371387667326153</v>
      </c>
      <c r="S7" s="16" t="n">
        <f aca="false">O7-Benchmark_RF!D7</f>
        <v>-0.0112958434417523</v>
      </c>
    </row>
    <row r="8" customFormat="false" ht="15" hidden="false" customHeight="true" outlineLevel="0" collapsed="false">
      <c r="A8" s="1" t="n">
        <v>11</v>
      </c>
      <c r="B8" s="13" t="n">
        <f aca="false">Returns!A12</f>
        <v>42309</v>
      </c>
      <c r="C8" s="17" t="n">
        <f aca="false">IF(Rankings!C11&lt;=3,1,0)</f>
        <v>0</v>
      </c>
      <c r="D8" s="17" t="n">
        <f aca="false">IF(Rankings!D11&lt;=3,1,0)</f>
        <v>1</v>
      </c>
      <c r="E8" s="17" t="n">
        <f aca="false">IF(Rankings!E11&lt;=3,1,0)</f>
        <v>0</v>
      </c>
      <c r="F8" s="17" t="n">
        <f aca="false">IF(Rankings!F11&lt;=3,1,0)</f>
        <v>0</v>
      </c>
      <c r="G8" s="17" t="n">
        <f aca="false">IF(Rankings!G11&lt;=3,1,0)</f>
        <v>1</v>
      </c>
      <c r="H8" s="17" t="n">
        <f aca="false">IF(Rankings!H11&lt;=3,1,0)</f>
        <v>1</v>
      </c>
      <c r="I8" s="17" t="n">
        <f aca="false">IF(Rankings!I11&lt;=3,1,0)</f>
        <v>0</v>
      </c>
      <c r="J8" s="17" t="n">
        <f aca="false">IF(Rankings!J11&lt;=3,1,0)</f>
        <v>0</v>
      </c>
      <c r="K8" s="20" t="n">
        <f aca="false">SUM(C8:J8)</f>
        <v>3</v>
      </c>
      <c r="L8" s="16" t="n">
        <f aca="false">SUMPRODUCT(C8:J8,Returns!B12:I12)/K8</f>
        <v>-0.0588787740417329</v>
      </c>
      <c r="M8" s="16" t="n">
        <v>0</v>
      </c>
      <c r="N8" s="16" t="n">
        <v>0</v>
      </c>
      <c r="O8" s="16" t="n">
        <f aca="false">L8+M8+N8</f>
        <v>-0.0588787740417329</v>
      </c>
      <c r="P8" s="21" t="n">
        <f aca="false">P7*(1+O8)</f>
        <v>0.887119564034888</v>
      </c>
      <c r="Q8" s="21" t="n">
        <f aca="false">MAX($P$5:P8)</f>
        <v>0.978977897928171</v>
      </c>
      <c r="R8" s="16" t="n">
        <f aca="false">P8/Q8-1</f>
        <v>-0.09383085571971</v>
      </c>
      <c r="S8" s="16" t="n">
        <f aca="false">O8-Benchmark_RF!D8</f>
        <v>-0.0640374456711581</v>
      </c>
    </row>
    <row r="9" customFormat="false" ht="15" hidden="false" customHeight="true" outlineLevel="0" collapsed="false">
      <c r="A9" s="1" t="n">
        <v>12</v>
      </c>
      <c r="B9" s="13" t="n">
        <f aca="false">Returns!A13</f>
        <v>42339</v>
      </c>
      <c r="C9" s="17" t="n">
        <f aca="false">IF(Rankings!C11&lt;=3,1,0)</f>
        <v>0</v>
      </c>
      <c r="D9" s="17" t="n">
        <f aca="false">IF(Rankings!D11&lt;=3,1,0)</f>
        <v>1</v>
      </c>
      <c r="E9" s="17" t="n">
        <f aca="false">IF(Rankings!E11&lt;=3,1,0)</f>
        <v>0</v>
      </c>
      <c r="F9" s="17" t="n">
        <f aca="false">IF(Rankings!F11&lt;=3,1,0)</f>
        <v>0</v>
      </c>
      <c r="G9" s="17" t="n">
        <f aca="false">IF(Rankings!G11&lt;=3,1,0)</f>
        <v>1</v>
      </c>
      <c r="H9" s="17" t="n">
        <f aca="false">IF(Rankings!H11&lt;=3,1,0)</f>
        <v>1</v>
      </c>
      <c r="I9" s="17" t="n">
        <f aca="false">IF(Rankings!I11&lt;=3,1,0)</f>
        <v>0</v>
      </c>
      <c r="J9" s="17" t="n">
        <f aca="false">IF(Rankings!J11&lt;=3,1,0)</f>
        <v>0</v>
      </c>
      <c r="K9" s="20" t="n">
        <f aca="false">SUM(C9:J9)</f>
        <v>3</v>
      </c>
      <c r="L9" s="16" t="n">
        <f aca="false">SUMPRODUCT(C9:J9,Returns!B13:I13)/K9</f>
        <v>0.000566056093743494</v>
      </c>
      <c r="M9" s="16" t="n">
        <v>0</v>
      </c>
      <c r="N9" s="16" t="n">
        <v>0</v>
      </c>
      <c r="O9" s="16" t="n">
        <f aca="false">L9+M9+N9</f>
        <v>0.000566056093743494</v>
      </c>
      <c r="P9" s="21" t="n">
        <f aca="false">P8*(1+O9)</f>
        <v>0.887621723469989</v>
      </c>
      <c r="Q9" s="21" t="n">
        <f aca="false">MAX($P$5:P9)</f>
        <v>0.978977897928171</v>
      </c>
      <c r="R9" s="16" t="n">
        <f aca="false">P9/Q9-1</f>
        <v>-0.0933179131536277</v>
      </c>
      <c r="S9" s="16" t="n">
        <f aca="false">O9-Benchmark_RF!D9</f>
        <v>-0.00456764910352669</v>
      </c>
    </row>
    <row r="10" customFormat="false" ht="15" hidden="false" customHeight="true" outlineLevel="0" collapsed="false">
      <c r="A10" s="1" t="n">
        <v>13</v>
      </c>
      <c r="B10" s="13" t="n">
        <f aca="false">Returns!A14</f>
        <v>42370</v>
      </c>
      <c r="C10" s="17" t="n">
        <f aca="false">IF(Rankings!C11&lt;=3,1,0)</f>
        <v>0</v>
      </c>
      <c r="D10" s="17" t="n">
        <f aca="false">IF(Rankings!D11&lt;=3,1,0)</f>
        <v>1</v>
      </c>
      <c r="E10" s="17" t="n">
        <f aca="false">IF(Rankings!E11&lt;=3,1,0)</f>
        <v>0</v>
      </c>
      <c r="F10" s="17" t="n">
        <f aca="false">IF(Rankings!F11&lt;=3,1,0)</f>
        <v>0</v>
      </c>
      <c r="G10" s="17" t="n">
        <f aca="false">IF(Rankings!G11&lt;=3,1,0)</f>
        <v>1</v>
      </c>
      <c r="H10" s="17" t="n">
        <f aca="false">IF(Rankings!H11&lt;=3,1,0)</f>
        <v>1</v>
      </c>
      <c r="I10" s="17" t="n">
        <f aca="false">IF(Rankings!I11&lt;=3,1,0)</f>
        <v>0</v>
      </c>
      <c r="J10" s="17" t="n">
        <f aca="false">IF(Rankings!J11&lt;=3,1,0)</f>
        <v>0</v>
      </c>
      <c r="K10" s="20" t="n">
        <f aca="false">SUM(C10:J10)</f>
        <v>3</v>
      </c>
      <c r="L10" s="16" t="n">
        <f aca="false">SUMPRODUCT(C10:J10,Returns!B14:I14)/K10</f>
        <v>-0.0426277117065051</v>
      </c>
      <c r="M10" s="16" t="n">
        <v>0</v>
      </c>
      <c r="N10" s="16" t="n">
        <v>0</v>
      </c>
      <c r="O10" s="16" t="n">
        <f aca="false">L10+M10+N10</f>
        <v>-0.0426277117065051</v>
      </c>
      <c r="P10" s="21" t="n">
        <f aca="false">P9*(1+O10)</f>
        <v>0.849784440537479</v>
      </c>
      <c r="Q10" s="21" t="n">
        <f aca="false">MAX($P$5:P10)</f>
        <v>0.978977897928171</v>
      </c>
      <c r="R10" s="16" t="n">
        <f aca="false">P10/Q10-1</f>
        <v>-0.131967695761167</v>
      </c>
      <c r="S10" s="16" t="n">
        <f aca="false">O10-Benchmark_RF!D10</f>
        <v>-0.0476229144626469</v>
      </c>
    </row>
    <row r="11" customFormat="false" ht="15" hidden="false" customHeight="true" outlineLevel="0" collapsed="false">
      <c r="A11" s="1" t="n">
        <v>14</v>
      </c>
      <c r="B11" s="13" t="n">
        <f aca="false">Returns!A15</f>
        <v>42401</v>
      </c>
      <c r="C11" s="17" t="n">
        <f aca="false">IF(Rankings!C17&lt;=3,1,0)</f>
        <v>1</v>
      </c>
      <c r="D11" s="17" t="n">
        <f aca="false">IF(Rankings!D17&lt;=3,1,0)</f>
        <v>0</v>
      </c>
      <c r="E11" s="17" t="n">
        <f aca="false">IF(Rankings!E17&lt;=3,1,0)</f>
        <v>0</v>
      </c>
      <c r="F11" s="17" t="n">
        <f aca="false">IF(Rankings!F17&lt;=3,1,0)</f>
        <v>0</v>
      </c>
      <c r="G11" s="17" t="n">
        <f aca="false">IF(Rankings!G17&lt;=3,1,0)</f>
        <v>0</v>
      </c>
      <c r="H11" s="17" t="n">
        <f aca="false">IF(Rankings!H17&lt;=3,1,0)</f>
        <v>0</v>
      </c>
      <c r="I11" s="17" t="n">
        <f aca="false">IF(Rankings!I17&lt;=3,1,0)</f>
        <v>1</v>
      </c>
      <c r="J11" s="17" t="n">
        <f aca="false">IF(Rankings!J17&lt;=3,1,0)</f>
        <v>1</v>
      </c>
      <c r="K11" s="20" t="n">
        <f aca="false">SUM(C11:J11)</f>
        <v>3</v>
      </c>
      <c r="L11" s="16" t="n">
        <f aca="false">SUMPRODUCT(C11:J11,Returns!B15:I15)/K11</f>
        <v>-0.0352569607043315</v>
      </c>
      <c r="M11" s="16" t="n">
        <f aca="false">-2*Assumptions!$B$13</f>
        <v>-0.007</v>
      </c>
      <c r="N11" s="16" t="n">
        <f aca="false">-Assumptions!$B$16*MAX(0,(1+O5)*(1+O6)*(1+O7)*(1+O8)*(1+O9)*(1+O10)-1)</f>
        <v>-0</v>
      </c>
      <c r="O11" s="16" t="n">
        <f aca="false">L11+M11+N11</f>
        <v>-0.0422569607043315</v>
      </c>
      <c r="P11" s="21" t="n">
        <f aca="false">P10*(1+O11)</f>
        <v>0.813875132826535</v>
      </c>
      <c r="Q11" s="21" t="n">
        <f aca="false">MAX($P$5:P11)</f>
        <v>0.978977897928171</v>
      </c>
      <c r="R11" s="16" t="n">
        <f aca="false">P11/Q11-1</f>
        <v>-0.168648102731478</v>
      </c>
      <c r="S11" s="16" t="n">
        <f aca="false">O11-Benchmark_RF!D11</f>
        <v>-0.0472934917980146</v>
      </c>
    </row>
    <row r="12" customFormat="false" ht="15" hidden="false" customHeight="true" outlineLevel="0" collapsed="false">
      <c r="A12" s="1" t="n">
        <v>15</v>
      </c>
      <c r="B12" s="13" t="n">
        <f aca="false">Returns!A16</f>
        <v>42430</v>
      </c>
      <c r="C12" s="17" t="n">
        <f aca="false">IF(Rankings!C17&lt;=3,1,0)</f>
        <v>1</v>
      </c>
      <c r="D12" s="17" t="n">
        <f aca="false">IF(Rankings!D17&lt;=3,1,0)</f>
        <v>0</v>
      </c>
      <c r="E12" s="17" t="n">
        <f aca="false">IF(Rankings!E17&lt;=3,1,0)</f>
        <v>0</v>
      </c>
      <c r="F12" s="17" t="n">
        <f aca="false">IF(Rankings!F17&lt;=3,1,0)</f>
        <v>0</v>
      </c>
      <c r="G12" s="17" t="n">
        <f aca="false">IF(Rankings!G17&lt;=3,1,0)</f>
        <v>0</v>
      </c>
      <c r="H12" s="17" t="n">
        <f aca="false">IF(Rankings!H17&lt;=3,1,0)</f>
        <v>0</v>
      </c>
      <c r="I12" s="17" t="n">
        <f aca="false">IF(Rankings!I17&lt;=3,1,0)</f>
        <v>1</v>
      </c>
      <c r="J12" s="17" t="n">
        <f aca="false">IF(Rankings!J17&lt;=3,1,0)</f>
        <v>1</v>
      </c>
      <c r="K12" s="20" t="n">
        <f aca="false">SUM(C12:J12)</f>
        <v>3</v>
      </c>
      <c r="L12" s="16" t="n">
        <f aca="false">SUMPRODUCT(C12:J12,Returns!B16:I16)/K12</f>
        <v>0.119778733749818</v>
      </c>
      <c r="M12" s="16" t="n">
        <v>0</v>
      </c>
      <c r="N12" s="16" t="n">
        <v>0</v>
      </c>
      <c r="O12" s="16" t="n">
        <f aca="false">L12+M12+N12</f>
        <v>0.119778733749818</v>
      </c>
      <c r="P12" s="21" t="n">
        <f aca="false">P11*(1+O12)</f>
        <v>0.911360065666962</v>
      </c>
      <c r="Q12" s="21" t="n">
        <f aca="false">MAX($P$5:P12)</f>
        <v>0.978977897928171</v>
      </c>
      <c r="R12" s="16" t="n">
        <f aca="false">P12/Q12-1</f>
        <v>-0.0690698251761455</v>
      </c>
      <c r="S12" s="16" t="n">
        <f aca="false">O12-Benchmark_RF!D12</f>
        <v>0.114777220114496</v>
      </c>
    </row>
    <row r="13" customFormat="false" ht="15" hidden="false" customHeight="true" outlineLevel="0" collapsed="false">
      <c r="A13" s="1" t="n">
        <v>16</v>
      </c>
      <c r="B13" s="13" t="n">
        <f aca="false">Returns!A17</f>
        <v>42461</v>
      </c>
      <c r="C13" s="17" t="n">
        <f aca="false">IF(Rankings!C17&lt;=3,1,0)</f>
        <v>1</v>
      </c>
      <c r="D13" s="17" t="n">
        <f aca="false">IF(Rankings!D17&lt;=3,1,0)</f>
        <v>0</v>
      </c>
      <c r="E13" s="17" t="n">
        <f aca="false">IF(Rankings!E17&lt;=3,1,0)</f>
        <v>0</v>
      </c>
      <c r="F13" s="17" t="n">
        <f aca="false">IF(Rankings!F17&lt;=3,1,0)</f>
        <v>0</v>
      </c>
      <c r="G13" s="17" t="n">
        <f aca="false">IF(Rankings!G17&lt;=3,1,0)</f>
        <v>0</v>
      </c>
      <c r="H13" s="17" t="n">
        <f aca="false">IF(Rankings!H17&lt;=3,1,0)</f>
        <v>0</v>
      </c>
      <c r="I13" s="17" t="n">
        <f aca="false">IF(Rankings!I17&lt;=3,1,0)</f>
        <v>1</v>
      </c>
      <c r="J13" s="17" t="n">
        <f aca="false">IF(Rankings!J17&lt;=3,1,0)</f>
        <v>1</v>
      </c>
      <c r="K13" s="20" t="n">
        <f aca="false">SUM(C13:J13)</f>
        <v>3</v>
      </c>
      <c r="L13" s="16" t="n">
        <f aca="false">SUMPRODUCT(C13:J13,Returns!B17:I17)/K13</f>
        <v>0.110573073934281</v>
      </c>
      <c r="M13" s="16" t="n">
        <v>0</v>
      </c>
      <c r="N13" s="16" t="n">
        <v>0</v>
      </c>
      <c r="O13" s="16" t="n">
        <f aca="false">L13+M13+N13</f>
        <v>0.110573073934281</v>
      </c>
      <c r="P13" s="21" t="n">
        <f aca="false">P12*(1+O13)</f>
        <v>1.01213194958871</v>
      </c>
      <c r="Q13" s="21" t="n">
        <f aca="false">MAX($P$5:P13)</f>
        <v>1.01213194958871</v>
      </c>
      <c r="R13" s="16" t="n">
        <f aca="false">P13/Q13-1</f>
        <v>0</v>
      </c>
      <c r="S13" s="16" t="n">
        <f aca="false">O13-Benchmark_RF!D13</f>
        <v>0.105571560298959</v>
      </c>
    </row>
    <row r="14" customFormat="false" ht="15" hidden="false" customHeight="true" outlineLevel="0" collapsed="false">
      <c r="A14" s="1" t="n">
        <v>17</v>
      </c>
      <c r="B14" s="13" t="n">
        <f aca="false">Returns!A18</f>
        <v>42491</v>
      </c>
      <c r="C14" s="17" t="n">
        <f aca="false">IF(Rankings!C17&lt;=3,1,0)</f>
        <v>1</v>
      </c>
      <c r="D14" s="17" t="n">
        <f aca="false">IF(Rankings!D17&lt;=3,1,0)</f>
        <v>0</v>
      </c>
      <c r="E14" s="17" t="n">
        <f aca="false">IF(Rankings!E17&lt;=3,1,0)</f>
        <v>0</v>
      </c>
      <c r="F14" s="17" t="n">
        <f aca="false">IF(Rankings!F17&lt;=3,1,0)</f>
        <v>0</v>
      </c>
      <c r="G14" s="17" t="n">
        <f aca="false">IF(Rankings!G17&lt;=3,1,0)</f>
        <v>0</v>
      </c>
      <c r="H14" s="17" t="n">
        <f aca="false">IF(Rankings!H17&lt;=3,1,0)</f>
        <v>0</v>
      </c>
      <c r="I14" s="17" t="n">
        <f aca="false">IF(Rankings!I17&lt;=3,1,0)</f>
        <v>1</v>
      </c>
      <c r="J14" s="17" t="n">
        <f aca="false">IF(Rankings!J17&lt;=3,1,0)</f>
        <v>1</v>
      </c>
      <c r="K14" s="20" t="n">
        <f aca="false">SUM(C14:J14)</f>
        <v>3</v>
      </c>
      <c r="L14" s="16" t="n">
        <f aca="false">SUMPRODUCT(C14:J14,Returns!B18:I18)/K14</f>
        <v>0.0483032837366801</v>
      </c>
      <c r="M14" s="16" t="n">
        <v>0</v>
      </c>
      <c r="N14" s="16" t="n">
        <v>0</v>
      </c>
      <c r="O14" s="16" t="n">
        <f aca="false">L14+M14+N14</f>
        <v>0.0483032837366801</v>
      </c>
      <c r="P14" s="21" t="n">
        <f aca="false">P13*(1+O14)</f>
        <v>1.06102124632865</v>
      </c>
      <c r="Q14" s="21" t="n">
        <f aca="false">MAX($P$5:P14)</f>
        <v>1.06102124632865</v>
      </c>
      <c r="R14" s="16" t="n">
        <f aca="false">P14/Q14-1</f>
        <v>0</v>
      </c>
      <c r="S14" s="16" t="n">
        <f aca="false">O14-Benchmark_RF!D14</f>
        <v>0.0434456085827608</v>
      </c>
    </row>
    <row r="15" customFormat="false" ht="15" hidden="false" customHeight="true" outlineLevel="0" collapsed="false">
      <c r="A15" s="1" t="n">
        <v>18</v>
      </c>
      <c r="B15" s="13" t="n">
        <f aca="false">Returns!A19</f>
        <v>42522</v>
      </c>
      <c r="C15" s="17" t="n">
        <f aca="false">IF(Rankings!C17&lt;=3,1,0)</f>
        <v>1</v>
      </c>
      <c r="D15" s="17" t="n">
        <f aca="false">IF(Rankings!D17&lt;=3,1,0)</f>
        <v>0</v>
      </c>
      <c r="E15" s="17" t="n">
        <f aca="false">IF(Rankings!E17&lt;=3,1,0)</f>
        <v>0</v>
      </c>
      <c r="F15" s="17" t="n">
        <f aca="false">IF(Rankings!F17&lt;=3,1,0)</f>
        <v>0</v>
      </c>
      <c r="G15" s="17" t="n">
        <f aca="false">IF(Rankings!G17&lt;=3,1,0)</f>
        <v>0</v>
      </c>
      <c r="H15" s="17" t="n">
        <f aca="false">IF(Rankings!H17&lt;=3,1,0)</f>
        <v>0</v>
      </c>
      <c r="I15" s="17" t="n">
        <f aca="false">IF(Rankings!I17&lt;=3,1,0)</f>
        <v>1</v>
      </c>
      <c r="J15" s="17" t="n">
        <f aca="false">IF(Rankings!J17&lt;=3,1,0)</f>
        <v>1</v>
      </c>
      <c r="K15" s="20" t="n">
        <f aca="false">SUM(C15:J15)</f>
        <v>3</v>
      </c>
      <c r="L15" s="16" t="n">
        <f aca="false">SUMPRODUCT(C15:J15,Returns!B19:I19)/K15</f>
        <v>0.00620520653502336</v>
      </c>
      <c r="M15" s="16" t="n">
        <v>0</v>
      </c>
      <c r="N15" s="16" t="n">
        <v>0</v>
      </c>
      <c r="O15" s="16" t="n">
        <f aca="false">L15+M15+N15</f>
        <v>0.00620520653502336</v>
      </c>
      <c r="P15" s="21" t="n">
        <f aca="false">P14*(1+O15)</f>
        <v>1.06760510230017</v>
      </c>
      <c r="Q15" s="21" t="n">
        <f aca="false">MAX($P$5:P15)</f>
        <v>1.06760510230017</v>
      </c>
      <c r="R15" s="16" t="n">
        <f aca="false">P15/Q15-1</f>
        <v>0</v>
      </c>
      <c r="S15" s="16" t="n">
        <f aca="false">O15-Benchmark_RF!D15</f>
        <v>0.00141684730487194</v>
      </c>
    </row>
    <row r="16" customFormat="false" ht="15" hidden="false" customHeight="true" outlineLevel="0" collapsed="false">
      <c r="A16" s="1" t="n">
        <v>19</v>
      </c>
      <c r="B16" s="13" t="n">
        <f aca="false">Returns!A20</f>
        <v>42552</v>
      </c>
      <c r="C16" s="17" t="n">
        <f aca="false">IF(Rankings!C17&lt;=3,1,0)</f>
        <v>1</v>
      </c>
      <c r="D16" s="17" t="n">
        <f aca="false">IF(Rankings!D17&lt;=3,1,0)</f>
        <v>0</v>
      </c>
      <c r="E16" s="17" t="n">
        <f aca="false">IF(Rankings!E17&lt;=3,1,0)</f>
        <v>0</v>
      </c>
      <c r="F16" s="17" t="n">
        <f aca="false">IF(Rankings!F17&lt;=3,1,0)</f>
        <v>0</v>
      </c>
      <c r="G16" s="17" t="n">
        <f aca="false">IF(Rankings!G17&lt;=3,1,0)</f>
        <v>0</v>
      </c>
      <c r="H16" s="17" t="n">
        <f aca="false">IF(Rankings!H17&lt;=3,1,0)</f>
        <v>0</v>
      </c>
      <c r="I16" s="17" t="n">
        <f aca="false">IF(Rankings!I17&lt;=3,1,0)</f>
        <v>1</v>
      </c>
      <c r="J16" s="17" t="n">
        <f aca="false">IF(Rankings!J17&lt;=3,1,0)</f>
        <v>1</v>
      </c>
      <c r="K16" s="20" t="n">
        <f aca="false">SUM(C16:J16)</f>
        <v>3</v>
      </c>
      <c r="L16" s="16" t="n">
        <f aca="false">SUMPRODUCT(C16:J16,Returns!B20:I20)/K16</f>
        <v>0.0390200644766629</v>
      </c>
      <c r="M16" s="16" t="n">
        <v>0</v>
      </c>
      <c r="N16" s="16" t="n">
        <v>0</v>
      </c>
      <c r="O16" s="16" t="n">
        <f aca="false">L16+M16+N16</f>
        <v>0.0390200644766629</v>
      </c>
      <c r="P16" s="21" t="n">
        <f aca="false">P15*(1+O16)</f>
        <v>1.10926312222753</v>
      </c>
      <c r="Q16" s="21" t="n">
        <f aca="false">MAX($P$5:P16)</f>
        <v>1.10926312222753</v>
      </c>
      <c r="R16" s="16" t="n">
        <f aca="false">P16/Q16-1</f>
        <v>0</v>
      </c>
      <c r="S16" s="16" t="n">
        <f aca="false">O16-Benchmark_RF!D16</f>
        <v>0.034320699564895</v>
      </c>
    </row>
    <row r="17" customFormat="false" ht="15" hidden="false" customHeight="true" outlineLevel="0" collapsed="false">
      <c r="A17" s="1" t="n">
        <v>20</v>
      </c>
      <c r="B17" s="13" t="n">
        <f aca="false">Returns!A21</f>
        <v>42583</v>
      </c>
      <c r="C17" s="17" t="n">
        <f aca="false">IF(Rankings!C23&lt;=3,1,0)</f>
        <v>0</v>
      </c>
      <c r="D17" s="17" t="n">
        <f aca="false">IF(Rankings!D23&lt;=3,1,0)</f>
        <v>0</v>
      </c>
      <c r="E17" s="17" t="n">
        <f aca="false">IF(Rankings!E23&lt;=3,1,0)</f>
        <v>0</v>
      </c>
      <c r="F17" s="17" t="n">
        <f aca="false">IF(Rankings!F23&lt;=3,1,0)</f>
        <v>1</v>
      </c>
      <c r="G17" s="17" t="n">
        <f aca="false">IF(Rankings!G23&lt;=3,1,0)</f>
        <v>0</v>
      </c>
      <c r="H17" s="17" t="n">
        <f aca="false">IF(Rankings!H23&lt;=3,1,0)</f>
        <v>0</v>
      </c>
      <c r="I17" s="17" t="n">
        <f aca="false">IF(Rankings!I23&lt;=3,1,0)</f>
        <v>1</v>
      </c>
      <c r="J17" s="17" t="n">
        <f aca="false">IF(Rankings!J23&lt;=3,1,0)</f>
        <v>1</v>
      </c>
      <c r="K17" s="20" t="n">
        <f aca="false">SUM(C17:J17)</f>
        <v>3</v>
      </c>
      <c r="L17" s="16" t="n">
        <f aca="false">SUMPRODUCT(C17:J17,Returns!B21:I21)/K17</f>
        <v>0.0260150897068619</v>
      </c>
      <c r="M17" s="16" t="n">
        <f aca="false">-2*Assumptions!$B$13</f>
        <v>-0.007</v>
      </c>
      <c r="N17" s="16" t="n">
        <f aca="false">-Assumptions!$B$16*MAX(0,(1+O11)*(1+O12)*(1+O13)*(1+O14)*(1+O15)*(1+O16)-1)</f>
        <v>-0.0458019709432317</v>
      </c>
      <c r="O17" s="16" t="n">
        <f aca="false">L17+M17+N17</f>
        <v>-0.0267868812363698</v>
      </c>
      <c r="P17" s="21" t="n">
        <f aca="false">P16*(1+O17)</f>
        <v>1.07954942271254</v>
      </c>
      <c r="Q17" s="21" t="n">
        <f aca="false">MAX($P$5:P17)</f>
        <v>1.10926312222753</v>
      </c>
      <c r="R17" s="16" t="n">
        <f aca="false">P17/Q17-1</f>
        <v>-0.02678688123637</v>
      </c>
      <c r="S17" s="16" t="n">
        <f aca="false">O17-Benchmark_RF!D17</f>
        <v>-0.0315437661649569</v>
      </c>
    </row>
    <row r="18" customFormat="false" ht="15" hidden="false" customHeight="true" outlineLevel="0" collapsed="false">
      <c r="A18" s="1" t="n">
        <v>21</v>
      </c>
      <c r="B18" s="13" t="n">
        <f aca="false">Returns!A22</f>
        <v>42614</v>
      </c>
      <c r="C18" s="17" t="n">
        <f aca="false">IF(Rankings!C23&lt;=3,1,0)</f>
        <v>0</v>
      </c>
      <c r="D18" s="17" t="n">
        <f aca="false">IF(Rankings!D23&lt;=3,1,0)</f>
        <v>0</v>
      </c>
      <c r="E18" s="17" t="n">
        <f aca="false">IF(Rankings!E23&lt;=3,1,0)</f>
        <v>0</v>
      </c>
      <c r="F18" s="17" t="n">
        <f aca="false">IF(Rankings!F23&lt;=3,1,0)</f>
        <v>1</v>
      </c>
      <c r="G18" s="17" t="n">
        <f aca="false">IF(Rankings!G23&lt;=3,1,0)</f>
        <v>0</v>
      </c>
      <c r="H18" s="17" t="n">
        <f aca="false">IF(Rankings!H23&lt;=3,1,0)</f>
        <v>0</v>
      </c>
      <c r="I18" s="17" t="n">
        <f aca="false">IF(Rankings!I23&lt;=3,1,0)</f>
        <v>1</v>
      </c>
      <c r="J18" s="17" t="n">
        <f aca="false">IF(Rankings!J23&lt;=3,1,0)</f>
        <v>1</v>
      </c>
      <c r="K18" s="20" t="n">
        <f aca="false">SUM(C18:J18)</f>
        <v>3</v>
      </c>
      <c r="L18" s="16" t="n">
        <f aca="false">SUMPRODUCT(C18:J18,Returns!B22:I22)/K18</f>
        <v>0.196735463209021</v>
      </c>
      <c r="M18" s="16" t="n">
        <v>0</v>
      </c>
      <c r="N18" s="16" t="n">
        <v>0</v>
      </c>
      <c r="O18" s="16" t="n">
        <f aca="false">L18+M18+N18</f>
        <v>0.196735463209021</v>
      </c>
      <c r="P18" s="21" t="n">
        <f aca="false">P17*(1+O18)</f>
        <v>1.29193507844692</v>
      </c>
      <c r="Q18" s="21" t="n">
        <f aca="false">MAX($P$5:P18)</f>
        <v>1.29193507844692</v>
      </c>
      <c r="R18" s="16" t="n">
        <f aca="false">P18/Q18-1</f>
        <v>0</v>
      </c>
      <c r="S18" s="16" t="n">
        <f aca="false">O18-Benchmark_RF!D18</f>
        <v>0.191978578280434</v>
      </c>
    </row>
    <row r="19" customFormat="false" ht="15" hidden="false" customHeight="true" outlineLevel="0" collapsed="false">
      <c r="A19" s="1" t="n">
        <v>22</v>
      </c>
      <c r="B19" s="13" t="n">
        <f aca="false">Returns!A23</f>
        <v>42644</v>
      </c>
      <c r="C19" s="17" t="n">
        <f aca="false">IF(Rankings!C23&lt;=3,1,0)</f>
        <v>0</v>
      </c>
      <c r="D19" s="17" t="n">
        <f aca="false">IF(Rankings!D23&lt;=3,1,0)</f>
        <v>0</v>
      </c>
      <c r="E19" s="17" t="n">
        <f aca="false">IF(Rankings!E23&lt;=3,1,0)</f>
        <v>0</v>
      </c>
      <c r="F19" s="17" t="n">
        <f aca="false">IF(Rankings!F23&lt;=3,1,0)</f>
        <v>1</v>
      </c>
      <c r="G19" s="17" t="n">
        <f aca="false">IF(Rankings!G23&lt;=3,1,0)</f>
        <v>0</v>
      </c>
      <c r="H19" s="17" t="n">
        <f aca="false">IF(Rankings!H23&lt;=3,1,0)</f>
        <v>0</v>
      </c>
      <c r="I19" s="17" t="n">
        <f aca="false">IF(Rankings!I23&lt;=3,1,0)</f>
        <v>1</v>
      </c>
      <c r="J19" s="17" t="n">
        <f aca="false">IF(Rankings!J23&lt;=3,1,0)</f>
        <v>1</v>
      </c>
      <c r="K19" s="20" t="n">
        <f aca="false">SUM(C19:J19)</f>
        <v>3</v>
      </c>
      <c r="L19" s="16" t="n">
        <f aca="false">SUMPRODUCT(C19:J19,Returns!B23:I23)/K19</f>
        <v>0.0798207883609641</v>
      </c>
      <c r="M19" s="16" t="n">
        <v>0</v>
      </c>
      <c r="N19" s="16" t="n">
        <v>0</v>
      </c>
      <c r="O19" s="16" t="n">
        <f aca="false">L19+M19+N19</f>
        <v>0.0798207883609641</v>
      </c>
      <c r="P19" s="21" t="n">
        <f aca="false">P18*(1+O19)</f>
        <v>1.39505835491974</v>
      </c>
      <c r="Q19" s="21" t="n">
        <f aca="false">MAX($P$5:P19)</f>
        <v>1.39505835491974</v>
      </c>
      <c r="R19" s="16" t="n">
        <f aca="false">P19/Q19-1</f>
        <v>0</v>
      </c>
      <c r="S19" s="16" t="n">
        <f aca="false">O19-Benchmark_RF!D19</f>
        <v>0.0750480858448215</v>
      </c>
    </row>
    <row r="20" customFormat="false" ht="15" hidden="false" customHeight="true" outlineLevel="0" collapsed="false">
      <c r="A20" s="1" t="n">
        <v>23</v>
      </c>
      <c r="B20" s="13" t="n">
        <f aca="false">Returns!A24</f>
        <v>42675</v>
      </c>
      <c r="C20" s="17" t="n">
        <f aca="false">IF(Rankings!C23&lt;=3,1,0)</f>
        <v>0</v>
      </c>
      <c r="D20" s="17" t="n">
        <f aca="false">IF(Rankings!D23&lt;=3,1,0)</f>
        <v>0</v>
      </c>
      <c r="E20" s="17" t="n">
        <f aca="false">IF(Rankings!E23&lt;=3,1,0)</f>
        <v>0</v>
      </c>
      <c r="F20" s="17" t="n">
        <f aca="false">IF(Rankings!F23&lt;=3,1,0)</f>
        <v>1</v>
      </c>
      <c r="G20" s="17" t="n">
        <f aca="false">IF(Rankings!G23&lt;=3,1,0)</f>
        <v>0</v>
      </c>
      <c r="H20" s="17" t="n">
        <f aca="false">IF(Rankings!H23&lt;=3,1,0)</f>
        <v>0</v>
      </c>
      <c r="I20" s="17" t="n">
        <f aca="false">IF(Rankings!I23&lt;=3,1,0)</f>
        <v>1</v>
      </c>
      <c r="J20" s="17" t="n">
        <f aca="false">IF(Rankings!J23&lt;=3,1,0)</f>
        <v>1</v>
      </c>
      <c r="K20" s="20" t="n">
        <f aca="false">SUM(C20:J20)</f>
        <v>3</v>
      </c>
      <c r="L20" s="16" t="n">
        <f aca="false">SUMPRODUCT(C20:J20,Returns!B24:I24)/K20</f>
        <v>0.169762588680433</v>
      </c>
      <c r="M20" s="16" t="n">
        <v>0</v>
      </c>
      <c r="N20" s="16" t="n">
        <v>0</v>
      </c>
      <c r="O20" s="16" t="n">
        <f aca="false">L20+M20+N20</f>
        <v>0.169762588680433</v>
      </c>
      <c r="P20" s="21" t="n">
        <f aca="false">P19*(1+O20)</f>
        <v>1.63188707261118</v>
      </c>
      <c r="Q20" s="21" t="n">
        <f aca="false">MAX($P$5:P20)</f>
        <v>1.63188707261118</v>
      </c>
      <c r="R20" s="16" t="n">
        <f aca="false">P20/Q20-1</f>
        <v>0</v>
      </c>
      <c r="S20" s="16" t="n">
        <f aca="false">O20-Benchmark_RF!D20</f>
        <v>0.164934546167895</v>
      </c>
    </row>
    <row r="21" customFormat="false" ht="15" hidden="false" customHeight="true" outlineLevel="0" collapsed="false">
      <c r="A21" s="1" t="n">
        <v>24</v>
      </c>
      <c r="B21" s="13" t="n">
        <f aca="false">Returns!A25</f>
        <v>42705</v>
      </c>
      <c r="C21" s="17" t="n">
        <f aca="false">IF(Rankings!C23&lt;=3,1,0)</f>
        <v>0</v>
      </c>
      <c r="D21" s="17" t="n">
        <f aca="false">IF(Rankings!D23&lt;=3,1,0)</f>
        <v>0</v>
      </c>
      <c r="E21" s="17" t="n">
        <f aca="false">IF(Rankings!E23&lt;=3,1,0)</f>
        <v>0</v>
      </c>
      <c r="F21" s="17" t="n">
        <f aca="false">IF(Rankings!F23&lt;=3,1,0)</f>
        <v>1</v>
      </c>
      <c r="G21" s="17" t="n">
        <f aca="false">IF(Rankings!G23&lt;=3,1,0)</f>
        <v>0</v>
      </c>
      <c r="H21" s="17" t="n">
        <f aca="false">IF(Rankings!H23&lt;=3,1,0)</f>
        <v>0</v>
      </c>
      <c r="I21" s="17" t="n">
        <f aca="false">IF(Rankings!I23&lt;=3,1,0)</f>
        <v>1</v>
      </c>
      <c r="J21" s="17" t="n">
        <f aca="false">IF(Rankings!J23&lt;=3,1,0)</f>
        <v>1</v>
      </c>
      <c r="K21" s="20" t="n">
        <f aca="false">SUM(C21:J21)</f>
        <v>3</v>
      </c>
      <c r="L21" s="16" t="n">
        <f aca="false">SUMPRODUCT(C21:J21,Returns!B25:I25)/K21</f>
        <v>0.115122893744231</v>
      </c>
      <c r="M21" s="16" t="n">
        <v>0</v>
      </c>
      <c r="N21" s="16" t="n">
        <v>0</v>
      </c>
      <c r="O21" s="16" t="n">
        <f aca="false">L21+M21+N21</f>
        <v>0.115122893744231</v>
      </c>
      <c r="P21" s="21" t="n">
        <f aca="false">P20*(1+O21)</f>
        <v>1.81975463467398</v>
      </c>
      <c r="Q21" s="21" t="n">
        <f aca="false">MAX($P$5:P21)</f>
        <v>1.81975463467398</v>
      </c>
      <c r="R21" s="16" t="n">
        <f aca="false">P21/Q21-1</f>
        <v>0</v>
      </c>
      <c r="S21" s="16" t="n">
        <f aca="false">O21-Benchmark_RF!D21</f>
        <v>0.110283076044592</v>
      </c>
    </row>
    <row r="22" customFormat="false" ht="15" hidden="false" customHeight="true" outlineLevel="0" collapsed="false">
      <c r="A22" s="1" t="n">
        <v>25</v>
      </c>
      <c r="B22" s="13" t="n">
        <f aca="false">Returns!A26</f>
        <v>42736</v>
      </c>
      <c r="C22" s="17" t="n">
        <f aca="false">IF(Rankings!C23&lt;=3,1,0)</f>
        <v>0</v>
      </c>
      <c r="D22" s="17" t="n">
        <f aca="false">IF(Rankings!D23&lt;=3,1,0)</f>
        <v>0</v>
      </c>
      <c r="E22" s="17" t="n">
        <f aca="false">IF(Rankings!E23&lt;=3,1,0)</f>
        <v>0</v>
      </c>
      <c r="F22" s="17" t="n">
        <f aca="false">IF(Rankings!F23&lt;=3,1,0)</f>
        <v>1</v>
      </c>
      <c r="G22" s="17" t="n">
        <f aca="false">IF(Rankings!G23&lt;=3,1,0)</f>
        <v>0</v>
      </c>
      <c r="H22" s="17" t="n">
        <f aca="false">IF(Rankings!H23&lt;=3,1,0)</f>
        <v>0</v>
      </c>
      <c r="I22" s="17" t="n">
        <f aca="false">IF(Rankings!I23&lt;=3,1,0)</f>
        <v>1</v>
      </c>
      <c r="J22" s="17" t="n">
        <f aca="false">IF(Rankings!J23&lt;=3,1,0)</f>
        <v>1</v>
      </c>
      <c r="K22" s="20" t="n">
        <f aca="false">SUM(C22:J22)</f>
        <v>3</v>
      </c>
      <c r="L22" s="16" t="n">
        <f aca="false">SUMPRODUCT(C22:J22,Returns!B26:I26)/K22</f>
        <v>-0.0266621575524555</v>
      </c>
      <c r="M22" s="16" t="n">
        <v>0</v>
      </c>
      <c r="N22" s="16" t="n">
        <v>0</v>
      </c>
      <c r="O22" s="16" t="n">
        <f aca="false">L22+M22+N22</f>
        <v>-0.0266621575524555</v>
      </c>
      <c r="P22" s="21" t="n">
        <f aca="false">P21*(1+O22)</f>
        <v>1.77123604989749</v>
      </c>
      <c r="Q22" s="21" t="n">
        <f aca="false">MAX($P$5:P22)</f>
        <v>1.81975463467398</v>
      </c>
      <c r="R22" s="16" t="n">
        <f aca="false">P22/Q22-1</f>
        <v>-0.0266621575524555</v>
      </c>
      <c r="S22" s="16" t="n">
        <f aca="false">O22-Benchmark_RF!D22</f>
        <v>-0.0314365207564005</v>
      </c>
    </row>
    <row r="23" customFormat="false" ht="15" hidden="false" customHeight="true" outlineLevel="0" collapsed="false">
      <c r="A23" s="1" t="n">
        <v>26</v>
      </c>
      <c r="B23" s="13" t="n">
        <f aca="false">Returns!A27</f>
        <v>42767</v>
      </c>
      <c r="C23" s="17" t="n">
        <f aca="false">IF(Rankings!C29&lt;=3,1,0)</f>
        <v>1</v>
      </c>
      <c r="D23" s="17" t="n">
        <f aca="false">IF(Rankings!D29&lt;=3,1,0)</f>
        <v>0</v>
      </c>
      <c r="E23" s="17" t="n">
        <f aca="false">IF(Rankings!E29&lt;=3,1,0)</f>
        <v>0</v>
      </c>
      <c r="F23" s="17" t="n">
        <f aca="false">IF(Rankings!F29&lt;=3,1,0)</f>
        <v>0</v>
      </c>
      <c r="G23" s="17" t="n">
        <f aca="false">IF(Rankings!G29&lt;=3,1,0)</f>
        <v>0</v>
      </c>
      <c r="H23" s="17" t="n">
        <f aca="false">IF(Rankings!H29&lt;=3,1,0)</f>
        <v>1</v>
      </c>
      <c r="I23" s="17" t="n">
        <f aca="false">IF(Rankings!I29&lt;=3,1,0)</f>
        <v>1</v>
      </c>
      <c r="J23" s="17" t="n">
        <f aca="false">IF(Rankings!J29&lt;=3,1,0)</f>
        <v>0</v>
      </c>
      <c r="K23" s="20" t="n">
        <f aca="false">SUM(C23:J23)</f>
        <v>3</v>
      </c>
      <c r="L23" s="16" t="n">
        <f aca="false">SUMPRODUCT(C23:J23,Returns!B27:I27)/K23</f>
        <v>-0.0386471952313383</v>
      </c>
      <c r="M23" s="16" t="n">
        <f aca="false">-2*Assumptions!$B$13</f>
        <v>-0.007</v>
      </c>
      <c r="N23" s="16" t="n">
        <f aca="false">-Assumptions!$B$16*MAX(0,(1+O17)*(1+O18)*(1+O19)*(1+O20)*(1+O21)*(1+O22)-1)</f>
        <v>-0.0895152260638538</v>
      </c>
      <c r="O23" s="16" t="n">
        <f aca="false">L23+M23+N23</f>
        <v>-0.135162421295192</v>
      </c>
      <c r="P23" s="21" t="n">
        <f aca="false">P22*(1+O23)</f>
        <v>1.53183149670802</v>
      </c>
      <c r="Q23" s="21" t="n">
        <f aca="false">MAX($P$5:P23)</f>
        <v>1.81975463467398</v>
      </c>
      <c r="R23" s="16" t="n">
        <f aca="false">P23/Q23-1</f>
        <v>-0.158220857075904</v>
      </c>
      <c r="S23" s="16" t="n">
        <f aca="false">O23-Benchmark_RF!D23</f>
        <v>-0.139983903816995</v>
      </c>
    </row>
    <row r="24" customFormat="false" ht="15" hidden="false" customHeight="true" outlineLevel="0" collapsed="false">
      <c r="A24" s="1" t="n">
        <v>27</v>
      </c>
      <c r="B24" s="13" t="n">
        <f aca="false">Returns!A28</f>
        <v>42795</v>
      </c>
      <c r="C24" s="17" t="n">
        <f aca="false">IF(Rankings!C29&lt;=3,1,0)</f>
        <v>1</v>
      </c>
      <c r="D24" s="17" t="n">
        <f aca="false">IF(Rankings!D29&lt;=3,1,0)</f>
        <v>0</v>
      </c>
      <c r="E24" s="17" t="n">
        <f aca="false">IF(Rankings!E29&lt;=3,1,0)</f>
        <v>0</v>
      </c>
      <c r="F24" s="17" t="n">
        <f aca="false">IF(Rankings!F29&lt;=3,1,0)</f>
        <v>0</v>
      </c>
      <c r="G24" s="17" t="n">
        <f aca="false">IF(Rankings!G29&lt;=3,1,0)</f>
        <v>0</v>
      </c>
      <c r="H24" s="17" t="n">
        <f aca="false">IF(Rankings!H29&lt;=3,1,0)</f>
        <v>1</v>
      </c>
      <c r="I24" s="17" t="n">
        <f aca="false">IF(Rankings!I29&lt;=3,1,0)</f>
        <v>1</v>
      </c>
      <c r="J24" s="17" t="n">
        <f aca="false">IF(Rankings!J29&lt;=3,1,0)</f>
        <v>0</v>
      </c>
      <c r="K24" s="20" t="n">
        <f aca="false">SUM(C24:J24)</f>
        <v>3</v>
      </c>
      <c r="L24" s="16" t="n">
        <f aca="false">SUMPRODUCT(C24:J24,Returns!B28:I28)/K24</f>
        <v>-0.0209091064773171</v>
      </c>
      <c r="M24" s="16" t="n">
        <v>0</v>
      </c>
      <c r="N24" s="16" t="n">
        <v>0</v>
      </c>
      <c r="O24" s="16" t="n">
        <f aca="false">L24+M24+N24</f>
        <v>-0.0209091064773171</v>
      </c>
      <c r="P24" s="21" t="n">
        <f aca="false">P23*(1+O24)</f>
        <v>1.49980226883804</v>
      </c>
      <c r="Q24" s="21" t="n">
        <f aca="false">MAX($P$5:P24)</f>
        <v>1.81975463467398</v>
      </c>
      <c r="R24" s="16" t="n">
        <f aca="false">P24/Q24-1</f>
        <v>-0.175821706805689</v>
      </c>
      <c r="S24" s="16" t="n">
        <f aca="false">O24-Benchmark_RF!D24</f>
        <v>-0.0257543766017888</v>
      </c>
    </row>
    <row r="25" customFormat="false" ht="15" hidden="false" customHeight="true" outlineLevel="0" collapsed="false">
      <c r="A25" s="1" t="n">
        <v>28</v>
      </c>
      <c r="B25" s="13" t="n">
        <f aca="false">Returns!A29</f>
        <v>42826</v>
      </c>
      <c r="C25" s="17" t="n">
        <f aca="false">IF(Rankings!C29&lt;=3,1,0)</f>
        <v>1</v>
      </c>
      <c r="D25" s="17" t="n">
        <f aca="false">IF(Rankings!D29&lt;=3,1,0)</f>
        <v>0</v>
      </c>
      <c r="E25" s="17" t="n">
        <f aca="false">IF(Rankings!E29&lt;=3,1,0)</f>
        <v>0</v>
      </c>
      <c r="F25" s="17" t="n">
        <f aca="false">IF(Rankings!F29&lt;=3,1,0)</f>
        <v>0</v>
      </c>
      <c r="G25" s="17" t="n">
        <f aca="false">IF(Rankings!G29&lt;=3,1,0)</f>
        <v>0</v>
      </c>
      <c r="H25" s="17" t="n">
        <f aca="false">IF(Rankings!H29&lt;=3,1,0)</f>
        <v>1</v>
      </c>
      <c r="I25" s="17" t="n">
        <f aca="false">IF(Rankings!I29&lt;=3,1,0)</f>
        <v>1</v>
      </c>
      <c r="J25" s="17" t="n">
        <f aca="false">IF(Rankings!J29&lt;=3,1,0)</f>
        <v>0</v>
      </c>
      <c r="K25" s="20" t="n">
        <f aca="false">SUM(C25:J25)</f>
        <v>3</v>
      </c>
      <c r="L25" s="16" t="n">
        <f aca="false">SUMPRODUCT(C25:J25,Returns!B29:I29)/K25</f>
        <v>0.0832602770497507</v>
      </c>
      <c r="M25" s="16" t="n">
        <v>0</v>
      </c>
      <c r="N25" s="16" t="n">
        <v>0</v>
      </c>
      <c r="O25" s="16" t="n">
        <f aca="false">L25+M25+N25</f>
        <v>0.0832602770497507</v>
      </c>
      <c r="P25" s="21" t="n">
        <f aca="false">P24*(1+O25)</f>
        <v>1.62467622126134</v>
      </c>
      <c r="Q25" s="21" t="n">
        <f aca="false">MAX($P$5:P25)</f>
        <v>1.81975463467398</v>
      </c>
      <c r="R25" s="16" t="n">
        <f aca="false">P25/Q25-1</f>
        <v>-0.10720039377594</v>
      </c>
      <c r="S25" s="16" t="n">
        <f aca="false">O25-Benchmark_RF!D25</f>
        <v>0.0784044980969955</v>
      </c>
    </row>
    <row r="26" customFormat="false" ht="15" hidden="false" customHeight="true" outlineLevel="0" collapsed="false">
      <c r="A26" s="1" t="n">
        <v>29</v>
      </c>
      <c r="B26" s="13" t="n">
        <f aca="false">Returns!A30</f>
        <v>42856</v>
      </c>
      <c r="C26" s="17" t="n">
        <f aca="false">IF(Rankings!C29&lt;=3,1,0)</f>
        <v>1</v>
      </c>
      <c r="D26" s="17" t="n">
        <f aca="false">IF(Rankings!D29&lt;=3,1,0)</f>
        <v>0</v>
      </c>
      <c r="E26" s="17" t="n">
        <f aca="false">IF(Rankings!E29&lt;=3,1,0)</f>
        <v>0</v>
      </c>
      <c r="F26" s="17" t="n">
        <f aca="false">IF(Rankings!F29&lt;=3,1,0)</f>
        <v>0</v>
      </c>
      <c r="G26" s="17" t="n">
        <f aca="false">IF(Rankings!G29&lt;=3,1,0)</f>
        <v>0</v>
      </c>
      <c r="H26" s="17" t="n">
        <f aca="false">IF(Rankings!H29&lt;=3,1,0)</f>
        <v>1</v>
      </c>
      <c r="I26" s="17" t="n">
        <f aca="false">IF(Rankings!I29&lt;=3,1,0)</f>
        <v>1</v>
      </c>
      <c r="J26" s="17" t="n">
        <f aca="false">IF(Rankings!J29&lt;=3,1,0)</f>
        <v>0</v>
      </c>
      <c r="K26" s="20" t="n">
        <f aca="false">SUM(C26:J26)</f>
        <v>3</v>
      </c>
      <c r="L26" s="16" t="n">
        <f aca="false">SUMPRODUCT(C26:J26,Returns!B30:I30)/K26</f>
        <v>0.288673112759156</v>
      </c>
      <c r="M26" s="16" t="n">
        <v>0</v>
      </c>
      <c r="N26" s="16" t="n">
        <v>0</v>
      </c>
      <c r="O26" s="16" t="n">
        <f aca="false">L26+M26+N26</f>
        <v>0.288673112759156</v>
      </c>
      <c r="P26" s="21" t="n">
        <f aca="false">P25*(1+O26)</f>
        <v>2.09367656327863</v>
      </c>
      <c r="Q26" s="21" t="n">
        <f aca="false">MAX($P$5:P26)</f>
        <v>2.09367656327863</v>
      </c>
      <c r="R26" s="16" t="n">
        <f aca="false">P26/Q26-1</f>
        <v>0</v>
      </c>
      <c r="S26" s="16" t="n">
        <f aca="false">O26-Benchmark_RF!D26</f>
        <v>0.283817333806401</v>
      </c>
    </row>
    <row r="27" customFormat="false" ht="15" hidden="false" customHeight="true" outlineLevel="0" collapsed="false">
      <c r="A27" s="1" t="n">
        <v>30</v>
      </c>
      <c r="B27" s="13" t="n">
        <f aca="false">Returns!A31</f>
        <v>42887</v>
      </c>
      <c r="C27" s="17" t="n">
        <f aca="false">IF(Rankings!C29&lt;=3,1,0)</f>
        <v>1</v>
      </c>
      <c r="D27" s="17" t="n">
        <f aca="false">IF(Rankings!D29&lt;=3,1,0)</f>
        <v>0</v>
      </c>
      <c r="E27" s="17" t="n">
        <f aca="false">IF(Rankings!E29&lt;=3,1,0)</f>
        <v>0</v>
      </c>
      <c r="F27" s="17" t="n">
        <f aca="false">IF(Rankings!F29&lt;=3,1,0)</f>
        <v>0</v>
      </c>
      <c r="G27" s="17" t="n">
        <f aca="false">IF(Rankings!G29&lt;=3,1,0)</f>
        <v>0</v>
      </c>
      <c r="H27" s="17" t="n">
        <f aca="false">IF(Rankings!H29&lt;=3,1,0)</f>
        <v>1</v>
      </c>
      <c r="I27" s="17" t="n">
        <f aca="false">IF(Rankings!I29&lt;=3,1,0)</f>
        <v>1</v>
      </c>
      <c r="J27" s="17" t="n">
        <f aca="false">IF(Rankings!J29&lt;=3,1,0)</f>
        <v>0</v>
      </c>
      <c r="K27" s="20" t="n">
        <f aca="false">SUM(C27:J27)</f>
        <v>3</v>
      </c>
      <c r="L27" s="16" t="n">
        <f aca="false">SUMPRODUCT(C27:J27,Returns!B31:I31)/K27</f>
        <v>-0.00246068943945828</v>
      </c>
      <c r="M27" s="16" t="n">
        <v>0</v>
      </c>
      <c r="N27" s="16" t="n">
        <v>0</v>
      </c>
      <c r="O27" s="16" t="n">
        <f aca="false">L27+M27+N27</f>
        <v>-0.00246068943945828</v>
      </c>
      <c r="P27" s="21" t="n">
        <f aca="false">P26*(1+O27)</f>
        <v>2.08852467546973</v>
      </c>
      <c r="Q27" s="21" t="n">
        <f aca="false">MAX($P$5:P27)</f>
        <v>2.09367656327863</v>
      </c>
      <c r="R27" s="16" t="n">
        <f aca="false">P27/Q27-1</f>
        <v>-0.00246068943945832</v>
      </c>
      <c r="S27" s="16" t="n">
        <f aca="false">O27-Benchmark_RF!D27</f>
        <v>-0.00732112981618901</v>
      </c>
    </row>
    <row r="28" customFormat="false" ht="15" hidden="false" customHeight="true" outlineLevel="0" collapsed="false">
      <c r="A28" s="1" t="n">
        <v>31</v>
      </c>
      <c r="B28" s="13" t="n">
        <f aca="false">Returns!A32</f>
        <v>42917</v>
      </c>
      <c r="C28" s="17" t="n">
        <f aca="false">IF(Rankings!C29&lt;=3,1,0)</f>
        <v>1</v>
      </c>
      <c r="D28" s="17" t="n">
        <f aca="false">IF(Rankings!D29&lt;=3,1,0)</f>
        <v>0</v>
      </c>
      <c r="E28" s="17" t="n">
        <f aca="false">IF(Rankings!E29&lt;=3,1,0)</f>
        <v>0</v>
      </c>
      <c r="F28" s="17" t="n">
        <f aca="false">IF(Rankings!F29&lt;=3,1,0)</f>
        <v>0</v>
      </c>
      <c r="G28" s="17" t="n">
        <f aca="false">IF(Rankings!G29&lt;=3,1,0)</f>
        <v>0</v>
      </c>
      <c r="H28" s="17" t="n">
        <f aca="false">IF(Rankings!H29&lt;=3,1,0)</f>
        <v>1</v>
      </c>
      <c r="I28" s="17" t="n">
        <f aca="false">IF(Rankings!I29&lt;=3,1,0)</f>
        <v>1</v>
      </c>
      <c r="J28" s="17" t="n">
        <f aca="false">IF(Rankings!J29&lt;=3,1,0)</f>
        <v>0</v>
      </c>
      <c r="K28" s="20" t="n">
        <f aca="false">SUM(C28:J28)</f>
        <v>3</v>
      </c>
      <c r="L28" s="16" t="n">
        <f aca="false">SUMPRODUCT(C28:J28,Returns!B32:I32)/K28</f>
        <v>-0.0306418975805093</v>
      </c>
      <c r="M28" s="16" t="n">
        <v>0</v>
      </c>
      <c r="N28" s="16" t="n">
        <v>0</v>
      </c>
      <c r="O28" s="16" t="n">
        <f aca="false">L28+M28+N28</f>
        <v>-0.0306418975805093</v>
      </c>
      <c r="P28" s="21" t="n">
        <f aca="false">P27*(1+O28)</f>
        <v>2.02452831626962</v>
      </c>
      <c r="Q28" s="21" t="n">
        <f aca="false">MAX($P$5:P28)</f>
        <v>2.09367656327863</v>
      </c>
      <c r="R28" s="16" t="n">
        <f aca="false">P28/Q28-1</f>
        <v>-0.0330271868261863</v>
      </c>
      <c r="S28" s="16" t="n">
        <f aca="false">O28-Benchmark_RF!D28</f>
        <v>-0.0355022589520357</v>
      </c>
    </row>
    <row r="29" customFormat="false" ht="15" hidden="false" customHeight="true" outlineLevel="0" collapsed="false">
      <c r="A29" s="1" t="n">
        <v>32</v>
      </c>
      <c r="B29" s="13" t="n">
        <f aca="false">Returns!A33</f>
        <v>42948</v>
      </c>
      <c r="C29" s="17" t="n">
        <f aca="false">IF(Rankings!C35&lt;=3,1,0)</f>
        <v>1</v>
      </c>
      <c r="D29" s="17" t="n">
        <f aca="false">IF(Rankings!D35&lt;=3,1,0)</f>
        <v>0</v>
      </c>
      <c r="E29" s="17" t="n">
        <f aca="false">IF(Rankings!E35&lt;=3,1,0)</f>
        <v>0</v>
      </c>
      <c r="F29" s="17" t="n">
        <f aca="false">IF(Rankings!F35&lt;=3,1,0)</f>
        <v>0</v>
      </c>
      <c r="G29" s="17" t="n">
        <f aca="false">IF(Rankings!G35&lt;=3,1,0)</f>
        <v>0</v>
      </c>
      <c r="H29" s="17" t="n">
        <f aca="false">IF(Rankings!H35&lt;=3,1,0)</f>
        <v>1</v>
      </c>
      <c r="I29" s="17" t="n">
        <f aca="false">IF(Rankings!I35&lt;=3,1,0)</f>
        <v>1</v>
      </c>
      <c r="J29" s="17" t="n">
        <f aca="false">IF(Rankings!J35&lt;=3,1,0)</f>
        <v>0</v>
      </c>
      <c r="K29" s="20" t="n">
        <f aca="false">SUM(C29:J29)</f>
        <v>3</v>
      </c>
      <c r="L29" s="16" t="n">
        <f aca="false">SUMPRODUCT(C29:J29,Returns!B33:I33)/K29</f>
        <v>-0.174469149048491</v>
      </c>
      <c r="M29" s="16" t="n">
        <f aca="false">-2*Assumptions!$B$13</f>
        <v>-0.007</v>
      </c>
      <c r="N29" s="16" t="n">
        <f aca="false">-Assumptions!$B$16*MAX(0,(1+O23)*(1+O24)*(1+O25)*(1+O26)*(1+O27)*(1+O28)-1)</f>
        <v>-0.0214504667280335</v>
      </c>
      <c r="O29" s="16" t="n">
        <f aca="false">L29+M29+N29</f>
        <v>-0.202919615776524</v>
      </c>
      <c r="P29" s="21" t="n">
        <f aca="false">P28*(1+O29)</f>
        <v>1.6137118082035</v>
      </c>
      <c r="Q29" s="21" t="n">
        <f aca="false">MAX($P$5:P29)</f>
        <v>2.09367656327863</v>
      </c>
      <c r="R29" s="16" t="n">
        <f aca="false">P29/Q29-1</f>
        <v>-0.229244938541761</v>
      </c>
      <c r="S29" s="16" t="n">
        <f aca="false">O29-Benchmark_RF!D29</f>
        <v>-0.207779424109706</v>
      </c>
    </row>
    <row r="30" customFormat="false" ht="15" hidden="false" customHeight="true" outlineLevel="0" collapsed="false">
      <c r="A30" s="1" t="n">
        <v>33</v>
      </c>
      <c r="B30" s="13" t="n">
        <f aca="false">Returns!A34</f>
        <v>42979</v>
      </c>
      <c r="C30" s="17" t="n">
        <f aca="false">IF(Rankings!C35&lt;=3,1,0)</f>
        <v>1</v>
      </c>
      <c r="D30" s="17" t="n">
        <f aca="false">IF(Rankings!D35&lt;=3,1,0)</f>
        <v>0</v>
      </c>
      <c r="E30" s="17" t="n">
        <f aca="false">IF(Rankings!E35&lt;=3,1,0)</f>
        <v>0</v>
      </c>
      <c r="F30" s="17" t="n">
        <f aca="false">IF(Rankings!F35&lt;=3,1,0)</f>
        <v>0</v>
      </c>
      <c r="G30" s="17" t="n">
        <f aca="false">IF(Rankings!G35&lt;=3,1,0)</f>
        <v>0</v>
      </c>
      <c r="H30" s="17" t="n">
        <f aca="false">IF(Rankings!H35&lt;=3,1,0)</f>
        <v>1</v>
      </c>
      <c r="I30" s="17" t="n">
        <f aca="false">IF(Rankings!I35&lt;=3,1,0)</f>
        <v>1</v>
      </c>
      <c r="J30" s="17" t="n">
        <f aca="false">IF(Rankings!J35&lt;=3,1,0)</f>
        <v>0</v>
      </c>
      <c r="K30" s="20" t="n">
        <f aca="false">SUM(C30:J30)</f>
        <v>3</v>
      </c>
      <c r="L30" s="16" t="n">
        <f aca="false">SUMPRODUCT(C30:J30,Returns!B34:I34)/K30</f>
        <v>0.0854444000340889</v>
      </c>
      <c r="M30" s="16" t="n">
        <v>0</v>
      </c>
      <c r="N30" s="16" t="n">
        <v>0</v>
      </c>
      <c r="O30" s="16" t="n">
        <f aca="false">L30+M30+N30</f>
        <v>0.0854444000340889</v>
      </c>
      <c r="P30" s="21" t="n">
        <f aca="false">P29*(1+O30)</f>
        <v>1.75159444548337</v>
      </c>
      <c r="Q30" s="21" t="n">
        <f aca="false">MAX($P$5:P30)</f>
        <v>2.09367656327863</v>
      </c>
      <c r="R30" s="16" t="n">
        <f aca="false">P30/Q30-1</f>
        <v>-0.163388234742225</v>
      </c>
      <c r="S30" s="16" t="n">
        <f aca="false">O30-Benchmark_RF!D30</f>
        <v>0.0805839596573582</v>
      </c>
    </row>
    <row r="31" customFormat="false" ht="15" hidden="false" customHeight="true" outlineLevel="0" collapsed="false">
      <c r="A31" s="1" t="n">
        <v>34</v>
      </c>
      <c r="B31" s="13" t="n">
        <f aca="false">Returns!A35</f>
        <v>43009</v>
      </c>
      <c r="C31" s="17" t="n">
        <f aca="false">IF(Rankings!C35&lt;=3,1,0)</f>
        <v>1</v>
      </c>
      <c r="D31" s="17" t="n">
        <f aca="false">IF(Rankings!D35&lt;=3,1,0)</f>
        <v>0</v>
      </c>
      <c r="E31" s="17" t="n">
        <f aca="false">IF(Rankings!E35&lt;=3,1,0)</f>
        <v>0</v>
      </c>
      <c r="F31" s="17" t="n">
        <f aca="false">IF(Rankings!F35&lt;=3,1,0)</f>
        <v>0</v>
      </c>
      <c r="G31" s="17" t="n">
        <f aca="false">IF(Rankings!G35&lt;=3,1,0)</f>
        <v>0</v>
      </c>
      <c r="H31" s="17" t="n">
        <f aca="false">IF(Rankings!H35&lt;=3,1,0)</f>
        <v>1</v>
      </c>
      <c r="I31" s="17" t="n">
        <f aca="false">IF(Rankings!I35&lt;=3,1,0)</f>
        <v>1</v>
      </c>
      <c r="J31" s="17" t="n">
        <f aca="false">IF(Rankings!J35&lt;=3,1,0)</f>
        <v>0</v>
      </c>
      <c r="K31" s="20" t="n">
        <f aca="false">SUM(C31:J31)</f>
        <v>3</v>
      </c>
      <c r="L31" s="16" t="n">
        <f aca="false">SUMPRODUCT(C31:J31,Returns!B35:I35)/K31</f>
        <v>-0.0417851280120312</v>
      </c>
      <c r="M31" s="16" t="n">
        <v>0</v>
      </c>
      <c r="N31" s="16" t="n">
        <v>0</v>
      </c>
      <c r="O31" s="16" t="n">
        <f aca="false">L31+M31+N31</f>
        <v>-0.0417851280120312</v>
      </c>
      <c r="P31" s="21" t="n">
        <f aca="false">P30*(1+O31)</f>
        <v>1.67840384735369</v>
      </c>
      <c r="Q31" s="21" t="n">
        <f aca="false">MAX($P$5:P31)</f>
        <v>2.09367656327863</v>
      </c>
      <c r="R31" s="16" t="n">
        <f aca="false">P31/Q31-1</f>
        <v>-0.198346164449892</v>
      </c>
      <c r="S31" s="16" t="n">
        <f aca="false">O31-Benchmark_RF!D31</f>
        <v>-0.0466455683887619</v>
      </c>
    </row>
    <row r="32" customFormat="false" ht="15" hidden="false" customHeight="true" outlineLevel="0" collapsed="false">
      <c r="A32" s="1" t="n">
        <v>35</v>
      </c>
      <c r="B32" s="13" t="n">
        <f aca="false">Returns!A36</f>
        <v>43040</v>
      </c>
      <c r="C32" s="17" t="n">
        <f aca="false">IF(Rankings!C35&lt;=3,1,0)</f>
        <v>1</v>
      </c>
      <c r="D32" s="17" t="n">
        <f aca="false">IF(Rankings!D35&lt;=3,1,0)</f>
        <v>0</v>
      </c>
      <c r="E32" s="17" t="n">
        <f aca="false">IF(Rankings!E35&lt;=3,1,0)</f>
        <v>0</v>
      </c>
      <c r="F32" s="17" t="n">
        <f aca="false">IF(Rankings!F35&lt;=3,1,0)</f>
        <v>0</v>
      </c>
      <c r="G32" s="17" t="n">
        <f aca="false">IF(Rankings!G35&lt;=3,1,0)</f>
        <v>0</v>
      </c>
      <c r="H32" s="17" t="n">
        <f aca="false">IF(Rankings!H35&lt;=3,1,0)</f>
        <v>1</v>
      </c>
      <c r="I32" s="17" t="n">
        <f aca="false">IF(Rankings!I35&lt;=3,1,0)</f>
        <v>1</v>
      </c>
      <c r="J32" s="17" t="n">
        <f aca="false">IF(Rankings!J35&lt;=3,1,0)</f>
        <v>0</v>
      </c>
      <c r="K32" s="20" t="n">
        <f aca="false">SUM(C32:J32)</f>
        <v>3</v>
      </c>
      <c r="L32" s="16" t="n">
        <f aca="false">SUMPRODUCT(C32:J32,Returns!B36:I36)/K32</f>
        <v>0.198663953853108</v>
      </c>
      <c r="M32" s="16" t="n">
        <v>0</v>
      </c>
      <c r="N32" s="16" t="n">
        <v>0</v>
      </c>
      <c r="O32" s="16" t="n">
        <f aca="false">L32+M32+N32</f>
        <v>0.198663953853108</v>
      </c>
      <c r="P32" s="21" t="n">
        <f aca="false">P31*(1+O32)</f>
        <v>2.01184219183124</v>
      </c>
      <c r="Q32" s="21" t="n">
        <f aca="false">MAX($P$5:P32)</f>
        <v>2.09367656327863</v>
      </c>
      <c r="R32" s="16" t="n">
        <f aca="false">P32/Q32-1</f>
        <v>-0.0390864438579984</v>
      </c>
      <c r="S32" s="16" t="n">
        <f aca="false">O32-Benchmark_RF!D32</f>
        <v>0.193803592481582</v>
      </c>
    </row>
    <row r="33" customFormat="false" ht="15" hidden="false" customHeight="true" outlineLevel="0" collapsed="false">
      <c r="A33" s="1" t="n">
        <v>36</v>
      </c>
      <c r="B33" s="13" t="n">
        <f aca="false">Returns!A37</f>
        <v>43070</v>
      </c>
      <c r="C33" s="17" t="n">
        <f aca="false">IF(Rankings!C35&lt;=3,1,0)</f>
        <v>1</v>
      </c>
      <c r="D33" s="17" t="n">
        <f aca="false">IF(Rankings!D35&lt;=3,1,0)</f>
        <v>0</v>
      </c>
      <c r="E33" s="17" t="n">
        <f aca="false">IF(Rankings!E35&lt;=3,1,0)</f>
        <v>0</v>
      </c>
      <c r="F33" s="17" t="n">
        <f aca="false">IF(Rankings!F35&lt;=3,1,0)</f>
        <v>0</v>
      </c>
      <c r="G33" s="17" t="n">
        <f aca="false">IF(Rankings!G35&lt;=3,1,0)</f>
        <v>0</v>
      </c>
      <c r="H33" s="17" t="n">
        <f aca="false">IF(Rankings!H35&lt;=3,1,0)</f>
        <v>1</v>
      </c>
      <c r="I33" s="17" t="n">
        <f aca="false">IF(Rankings!I35&lt;=3,1,0)</f>
        <v>1</v>
      </c>
      <c r="J33" s="17" t="n">
        <f aca="false">IF(Rankings!J35&lt;=3,1,0)</f>
        <v>0</v>
      </c>
      <c r="K33" s="20" t="n">
        <f aca="false">SUM(C33:J33)</f>
        <v>3</v>
      </c>
      <c r="L33" s="16" t="n">
        <f aca="false">SUMPRODUCT(C33:J33,Returns!B37:I37)/K33</f>
        <v>-0.00541163057791246</v>
      </c>
      <c r="M33" s="16" t="n">
        <v>0</v>
      </c>
      <c r="N33" s="16" t="n">
        <v>0</v>
      </c>
      <c r="O33" s="16" t="n">
        <f aca="false">L33+M33+N33</f>
        <v>-0.00541163057791246</v>
      </c>
      <c r="P33" s="21" t="n">
        <f aca="false">P32*(1+O33)</f>
        <v>2.00095484510799</v>
      </c>
      <c r="Q33" s="21" t="n">
        <f aca="false">MAX($P$5:P33)</f>
        <v>2.09367656327863</v>
      </c>
      <c r="R33" s="16" t="n">
        <f aca="false">P33/Q33-1</f>
        <v>-0.044286553041147</v>
      </c>
      <c r="S33" s="16" t="n">
        <f aca="false">O33-Benchmark_RF!D33</f>
        <v>-0.0102720709546432</v>
      </c>
    </row>
    <row r="34" customFormat="false" ht="15" hidden="false" customHeight="true" outlineLevel="0" collapsed="false">
      <c r="A34" s="1" t="n">
        <v>37</v>
      </c>
      <c r="B34" s="13" t="n">
        <f aca="false">Returns!A38</f>
        <v>43101</v>
      </c>
      <c r="C34" s="17" t="n">
        <f aca="false">IF(Rankings!C35&lt;=3,1,0)</f>
        <v>1</v>
      </c>
      <c r="D34" s="17" t="n">
        <f aca="false">IF(Rankings!D35&lt;=3,1,0)</f>
        <v>0</v>
      </c>
      <c r="E34" s="17" t="n">
        <f aca="false">IF(Rankings!E35&lt;=3,1,0)</f>
        <v>0</v>
      </c>
      <c r="F34" s="17" t="n">
        <f aca="false">IF(Rankings!F35&lt;=3,1,0)</f>
        <v>0</v>
      </c>
      <c r="G34" s="17" t="n">
        <f aca="false">IF(Rankings!G35&lt;=3,1,0)</f>
        <v>0</v>
      </c>
      <c r="H34" s="17" t="n">
        <f aca="false">IF(Rankings!H35&lt;=3,1,0)</f>
        <v>1</v>
      </c>
      <c r="I34" s="17" t="n">
        <f aca="false">IF(Rankings!I35&lt;=3,1,0)</f>
        <v>1</v>
      </c>
      <c r="J34" s="17" t="n">
        <f aca="false">IF(Rankings!J35&lt;=3,1,0)</f>
        <v>0</v>
      </c>
      <c r="K34" s="20" t="n">
        <f aca="false">SUM(C34:J34)</f>
        <v>3</v>
      </c>
      <c r="L34" s="16" t="n">
        <f aca="false">SUMPRODUCT(C34:J34,Returns!B38:I38)/K34</f>
        <v>0.0438907120904307</v>
      </c>
      <c r="M34" s="16" t="n">
        <v>0</v>
      </c>
      <c r="N34" s="16" t="n">
        <v>0</v>
      </c>
      <c r="O34" s="16" t="n">
        <f aca="false">L34+M34+N34</f>
        <v>0.0438907120904307</v>
      </c>
      <c r="P34" s="21" t="n">
        <f aca="false">P33*(1+O34)</f>
        <v>2.08877817812058</v>
      </c>
      <c r="Q34" s="21" t="n">
        <f aca="false">MAX($P$5:P34)</f>
        <v>2.09367656327863</v>
      </c>
      <c r="R34" s="16" t="n">
        <f aca="false">P34/Q34-1</f>
        <v>-0.00233960929972288</v>
      </c>
      <c r="S34" s="16" t="n">
        <f aca="false">O34-Benchmark_RF!D34</f>
        <v>0.0388652999515945</v>
      </c>
    </row>
    <row r="35" customFormat="false" ht="15" hidden="false" customHeight="true" outlineLevel="0" collapsed="false">
      <c r="A35" s="1" t="n">
        <v>38</v>
      </c>
      <c r="B35" s="13" t="n">
        <f aca="false">Returns!A39</f>
        <v>43132</v>
      </c>
      <c r="C35" s="17" t="n">
        <f aca="false">IF(Rankings!C41&lt;=3,1,0)</f>
        <v>0</v>
      </c>
      <c r="D35" s="17" t="n">
        <f aca="false">IF(Rankings!D41&lt;=3,1,0)</f>
        <v>1</v>
      </c>
      <c r="E35" s="17" t="n">
        <f aca="false">IF(Rankings!E41&lt;=3,1,0)</f>
        <v>1</v>
      </c>
      <c r="F35" s="17" t="n">
        <f aca="false">IF(Rankings!F41&lt;=3,1,0)</f>
        <v>0</v>
      </c>
      <c r="G35" s="17" t="n">
        <f aca="false">IF(Rankings!G41&lt;=3,1,0)</f>
        <v>1</v>
      </c>
      <c r="H35" s="17" t="n">
        <f aca="false">IF(Rankings!H41&lt;=3,1,0)</f>
        <v>0</v>
      </c>
      <c r="I35" s="17" t="n">
        <f aca="false">IF(Rankings!I41&lt;=3,1,0)</f>
        <v>0</v>
      </c>
      <c r="J35" s="17" t="n">
        <f aca="false">IF(Rankings!J41&lt;=3,1,0)</f>
        <v>0</v>
      </c>
      <c r="K35" s="20" t="n">
        <f aca="false">SUM(C35:J35)</f>
        <v>3</v>
      </c>
      <c r="L35" s="16" t="n">
        <f aca="false">SUMPRODUCT(C35:J35,Returns!B39:I39)/K35</f>
        <v>-0.0184696090273105</v>
      </c>
      <c r="M35" s="16" t="n">
        <f aca="false">-2*Assumptions!$B$13</f>
        <v>-0.007</v>
      </c>
      <c r="N35" s="16" t="n">
        <f aca="false">-Assumptions!$B$16*MAX(0,(1+O29)*(1+O30)*(1+O31)*(1+O32)*(1+O33)*(1+O34)-1)</f>
        <v>-0.00476035785728142</v>
      </c>
      <c r="O35" s="16" t="n">
        <f aca="false">L35+M35+N35</f>
        <v>-0.0302299668845919</v>
      </c>
      <c r="P35" s="21" t="n">
        <f aca="false">P34*(1+O35)</f>
        <v>2.02563448296673</v>
      </c>
      <c r="Q35" s="21" t="n">
        <f aca="false">MAX($P$5:P35)</f>
        <v>2.09367656327863</v>
      </c>
      <c r="R35" s="16" t="n">
        <f aca="false">P35/Q35-1</f>
        <v>-0.0324988498726613</v>
      </c>
      <c r="S35" s="16" t="n">
        <f aca="false">O35-Benchmark_RF!D35</f>
        <v>-0.0352807692634668</v>
      </c>
    </row>
    <row r="36" customFormat="false" ht="15" hidden="false" customHeight="true" outlineLevel="0" collapsed="false">
      <c r="A36" s="1" t="n">
        <v>39</v>
      </c>
      <c r="B36" s="13" t="n">
        <f aca="false">Returns!A40</f>
        <v>43160</v>
      </c>
      <c r="C36" s="17" t="n">
        <f aca="false">IF(Rankings!C41&lt;=3,1,0)</f>
        <v>0</v>
      </c>
      <c r="D36" s="17" t="n">
        <f aca="false">IF(Rankings!D41&lt;=3,1,0)</f>
        <v>1</v>
      </c>
      <c r="E36" s="17" t="n">
        <f aca="false">IF(Rankings!E41&lt;=3,1,0)</f>
        <v>1</v>
      </c>
      <c r="F36" s="17" t="n">
        <f aca="false">IF(Rankings!F41&lt;=3,1,0)</f>
        <v>0</v>
      </c>
      <c r="G36" s="17" t="n">
        <f aca="false">IF(Rankings!G41&lt;=3,1,0)</f>
        <v>1</v>
      </c>
      <c r="H36" s="17" t="n">
        <f aca="false">IF(Rankings!H41&lt;=3,1,0)</f>
        <v>0</v>
      </c>
      <c r="I36" s="17" t="n">
        <f aca="false">IF(Rankings!I41&lt;=3,1,0)</f>
        <v>0</v>
      </c>
      <c r="J36" s="17" t="n">
        <f aca="false">IF(Rankings!J41&lt;=3,1,0)</f>
        <v>0</v>
      </c>
      <c r="K36" s="20" t="n">
        <f aca="false">SUM(C36:J36)</f>
        <v>3</v>
      </c>
      <c r="L36" s="16" t="n">
        <f aca="false">SUMPRODUCT(C36:J36,Returns!B40:I40)/K36</f>
        <v>0.0679562873305741</v>
      </c>
      <c r="M36" s="16" t="n">
        <v>0</v>
      </c>
      <c r="N36" s="16" t="n">
        <v>0</v>
      </c>
      <c r="O36" s="16" t="n">
        <f aca="false">L36+M36+N36</f>
        <v>0.0679562873305741</v>
      </c>
      <c r="P36" s="21" t="n">
        <f aca="false">P35*(1+O36)</f>
        <v>2.16328908191794</v>
      </c>
      <c r="Q36" s="21" t="n">
        <f aca="false">MAX($P$5:P36)</f>
        <v>2.16328908191794</v>
      </c>
      <c r="R36" s="16" t="n">
        <f aca="false">P36/Q36-1</f>
        <v>0</v>
      </c>
      <c r="S36" s="16" t="n">
        <f aca="false">O36-Benchmark_RF!D36</f>
        <v>0.0628842792584589</v>
      </c>
    </row>
    <row r="37" customFormat="false" ht="15" hidden="false" customHeight="true" outlineLevel="0" collapsed="false">
      <c r="A37" s="1" t="n">
        <v>40</v>
      </c>
      <c r="B37" s="13" t="n">
        <f aca="false">Returns!A41</f>
        <v>43191</v>
      </c>
      <c r="C37" s="17" t="n">
        <f aca="false">IF(Rankings!C41&lt;=3,1,0)</f>
        <v>0</v>
      </c>
      <c r="D37" s="17" t="n">
        <f aca="false">IF(Rankings!D41&lt;=3,1,0)</f>
        <v>1</v>
      </c>
      <c r="E37" s="17" t="n">
        <f aca="false">IF(Rankings!E41&lt;=3,1,0)</f>
        <v>1</v>
      </c>
      <c r="F37" s="17" t="n">
        <f aca="false">IF(Rankings!F41&lt;=3,1,0)</f>
        <v>0</v>
      </c>
      <c r="G37" s="17" t="n">
        <f aca="false">IF(Rankings!G41&lt;=3,1,0)</f>
        <v>1</v>
      </c>
      <c r="H37" s="17" t="n">
        <f aca="false">IF(Rankings!H41&lt;=3,1,0)</f>
        <v>0</v>
      </c>
      <c r="I37" s="17" t="n">
        <f aca="false">IF(Rankings!I41&lt;=3,1,0)</f>
        <v>0</v>
      </c>
      <c r="J37" s="17" t="n">
        <f aca="false">IF(Rankings!J41&lt;=3,1,0)</f>
        <v>0</v>
      </c>
      <c r="K37" s="20" t="n">
        <f aca="false">SUM(C37:J37)</f>
        <v>3</v>
      </c>
      <c r="L37" s="16" t="n">
        <f aca="false">SUMPRODUCT(C37:J37,Returns!B41:I41)/K37</f>
        <v>-0.00294226488968408</v>
      </c>
      <c r="M37" s="16" t="n">
        <v>0</v>
      </c>
      <c r="N37" s="16" t="n">
        <v>0</v>
      </c>
      <c r="O37" s="16" t="n">
        <f aca="false">L37+M37+N37</f>
        <v>-0.00294226488968408</v>
      </c>
      <c r="P37" s="21" t="n">
        <f aca="false">P36*(1+O37)</f>
        <v>2.15692411240598</v>
      </c>
      <c r="Q37" s="21" t="n">
        <f aca="false">MAX($P$5:P37)</f>
        <v>2.16328908191794</v>
      </c>
      <c r="R37" s="16" t="n">
        <f aca="false">P37/Q37-1</f>
        <v>-0.00294226488968408</v>
      </c>
      <c r="S37" s="16" t="n">
        <f aca="false">O37-Benchmark_RF!D37</f>
        <v>-0.00799677270735744</v>
      </c>
    </row>
    <row r="38" customFormat="false" ht="15" hidden="false" customHeight="true" outlineLevel="0" collapsed="false">
      <c r="A38" s="1" t="n">
        <v>41</v>
      </c>
      <c r="B38" s="13" t="n">
        <f aca="false">Returns!A42</f>
        <v>43221</v>
      </c>
      <c r="C38" s="17" t="n">
        <f aca="false">IF(Rankings!C41&lt;=3,1,0)</f>
        <v>0</v>
      </c>
      <c r="D38" s="17" t="n">
        <f aca="false">IF(Rankings!D41&lt;=3,1,0)</f>
        <v>1</v>
      </c>
      <c r="E38" s="17" t="n">
        <f aca="false">IF(Rankings!E41&lt;=3,1,0)</f>
        <v>1</v>
      </c>
      <c r="F38" s="17" t="n">
        <f aca="false">IF(Rankings!F41&lt;=3,1,0)</f>
        <v>0</v>
      </c>
      <c r="G38" s="17" t="n">
        <f aca="false">IF(Rankings!G41&lt;=3,1,0)</f>
        <v>1</v>
      </c>
      <c r="H38" s="17" t="n">
        <f aca="false">IF(Rankings!H41&lt;=3,1,0)</f>
        <v>0</v>
      </c>
      <c r="I38" s="17" t="n">
        <f aca="false">IF(Rankings!I41&lt;=3,1,0)</f>
        <v>0</v>
      </c>
      <c r="J38" s="17" t="n">
        <f aca="false">IF(Rankings!J41&lt;=3,1,0)</f>
        <v>0</v>
      </c>
      <c r="K38" s="20" t="n">
        <f aca="false">SUM(C38:J38)</f>
        <v>3</v>
      </c>
      <c r="L38" s="16" t="n">
        <f aca="false">SUMPRODUCT(C38:J38,Returns!B42:I42)/K38</f>
        <v>-0.0618142436844096</v>
      </c>
      <c r="M38" s="16" t="n">
        <v>0</v>
      </c>
      <c r="N38" s="16" t="n">
        <v>0</v>
      </c>
      <c r="O38" s="16" t="n">
        <f aca="false">L38+M38+N38</f>
        <v>-0.0618142436844096</v>
      </c>
      <c r="P38" s="21" t="n">
        <f aca="false">P37*(1+O38)</f>
        <v>2.02359547971293</v>
      </c>
      <c r="Q38" s="21" t="n">
        <f aca="false">MAX($P$5:P38)</f>
        <v>2.16328908191794</v>
      </c>
      <c r="R38" s="16" t="n">
        <f aca="false">P38/Q38-1</f>
        <v>-0.0645746346952186</v>
      </c>
      <c r="S38" s="16" t="n">
        <f aca="false">O38-Benchmark_RF!D38</f>
        <v>-0.0668857788207436</v>
      </c>
    </row>
    <row r="39" customFormat="false" ht="15" hidden="false" customHeight="true" outlineLevel="0" collapsed="false">
      <c r="A39" s="1" t="n">
        <v>42</v>
      </c>
      <c r="B39" s="13" t="n">
        <f aca="false">Returns!A43</f>
        <v>43252</v>
      </c>
      <c r="C39" s="17" t="n">
        <f aca="false">IF(Rankings!C41&lt;=3,1,0)</f>
        <v>0</v>
      </c>
      <c r="D39" s="17" t="n">
        <f aca="false">IF(Rankings!D41&lt;=3,1,0)</f>
        <v>1</v>
      </c>
      <c r="E39" s="17" t="n">
        <f aca="false">IF(Rankings!E41&lt;=3,1,0)</f>
        <v>1</v>
      </c>
      <c r="F39" s="17" t="n">
        <f aca="false">IF(Rankings!F41&lt;=3,1,0)</f>
        <v>0</v>
      </c>
      <c r="G39" s="17" t="n">
        <f aca="false">IF(Rankings!G41&lt;=3,1,0)</f>
        <v>1</v>
      </c>
      <c r="H39" s="17" t="n">
        <f aca="false">IF(Rankings!H41&lt;=3,1,0)</f>
        <v>0</v>
      </c>
      <c r="I39" s="17" t="n">
        <f aca="false">IF(Rankings!I41&lt;=3,1,0)</f>
        <v>0</v>
      </c>
      <c r="J39" s="17" t="n">
        <f aca="false">IF(Rankings!J41&lt;=3,1,0)</f>
        <v>0</v>
      </c>
      <c r="K39" s="20" t="n">
        <f aca="false">SUM(C39:J39)</f>
        <v>3</v>
      </c>
      <c r="L39" s="16" t="n">
        <f aca="false">SUMPRODUCT(C39:J39,Returns!B43:I43)/K39</f>
        <v>0.0080964582832093</v>
      </c>
      <c r="M39" s="16" t="n">
        <v>0</v>
      </c>
      <c r="N39" s="16" t="n">
        <v>0</v>
      </c>
      <c r="O39" s="16" t="n">
        <f aca="false">L39+M39+N39</f>
        <v>0.0080964582832093</v>
      </c>
      <c r="P39" s="21" t="n">
        <f aca="false">P38*(1+O39)</f>
        <v>2.03997943609652</v>
      </c>
      <c r="Q39" s="21" t="n">
        <f aca="false">MAX($P$5:P39)</f>
        <v>2.16328908191794</v>
      </c>
      <c r="R39" s="16" t="n">
        <f aca="false">P39/Q39-1</f>
        <v>-0.0570010022479726</v>
      </c>
      <c r="S39" s="16" t="n">
        <f aca="false">O39-Benchmark_RF!D39</f>
        <v>0.00263087157126155</v>
      </c>
    </row>
    <row r="40" customFormat="false" ht="15" hidden="false" customHeight="true" outlineLevel="0" collapsed="false">
      <c r="A40" s="1" t="n">
        <v>43</v>
      </c>
      <c r="B40" s="13" t="n">
        <f aca="false">Returns!A44</f>
        <v>43282</v>
      </c>
      <c r="C40" s="17" t="n">
        <f aca="false">IF(Rankings!C41&lt;=3,1,0)</f>
        <v>0</v>
      </c>
      <c r="D40" s="17" t="n">
        <f aca="false">IF(Rankings!D41&lt;=3,1,0)</f>
        <v>1</v>
      </c>
      <c r="E40" s="17" t="n">
        <f aca="false">IF(Rankings!E41&lt;=3,1,0)</f>
        <v>1</v>
      </c>
      <c r="F40" s="17" t="n">
        <f aca="false">IF(Rankings!F41&lt;=3,1,0)</f>
        <v>0</v>
      </c>
      <c r="G40" s="17" t="n">
        <f aca="false">IF(Rankings!G41&lt;=3,1,0)</f>
        <v>1</v>
      </c>
      <c r="H40" s="17" t="n">
        <f aca="false">IF(Rankings!H41&lt;=3,1,0)</f>
        <v>0</v>
      </c>
      <c r="I40" s="17" t="n">
        <f aca="false">IF(Rankings!I41&lt;=3,1,0)</f>
        <v>0</v>
      </c>
      <c r="J40" s="17" t="n">
        <f aca="false">IF(Rankings!J41&lt;=3,1,0)</f>
        <v>0</v>
      </c>
      <c r="K40" s="20" t="n">
        <f aca="false">SUM(C40:J40)</f>
        <v>3</v>
      </c>
      <c r="L40" s="16" t="n">
        <f aca="false">SUMPRODUCT(C40:J40,Returns!B44:I44)/K40</f>
        <v>0.0790020156323539</v>
      </c>
      <c r="M40" s="16" t="n">
        <v>0</v>
      </c>
      <c r="N40" s="16" t="n">
        <v>0</v>
      </c>
      <c r="O40" s="16" t="n">
        <f aca="false">L40+M40+N40</f>
        <v>0.0790020156323539</v>
      </c>
      <c r="P40" s="21" t="n">
        <f aca="false">P39*(1+O40)</f>
        <v>2.2011419233967</v>
      </c>
      <c r="Q40" s="21" t="n">
        <f aca="false">MAX($P$5:P40)</f>
        <v>2.2011419233967</v>
      </c>
      <c r="R40" s="16" t="n">
        <f aca="false">P40/Q40-1</f>
        <v>0</v>
      </c>
      <c r="S40" s="16" t="n">
        <f aca="false">O40-Benchmark_RF!D40</f>
        <v>0.0727846718393038</v>
      </c>
    </row>
    <row r="41" customFormat="false" ht="15" hidden="false" customHeight="true" outlineLevel="0" collapsed="false">
      <c r="A41" s="1" t="n">
        <v>44</v>
      </c>
      <c r="B41" s="13" t="n">
        <f aca="false">Returns!A45</f>
        <v>43313</v>
      </c>
      <c r="C41" s="17" t="n">
        <f aca="false">IF(Rankings!C47&lt;=3,1,0)</f>
        <v>1</v>
      </c>
      <c r="D41" s="17" t="n">
        <f aca="false">IF(Rankings!D47&lt;=3,1,0)</f>
        <v>1</v>
      </c>
      <c r="E41" s="17" t="n">
        <f aca="false">IF(Rankings!E47&lt;=3,1,0)</f>
        <v>0</v>
      </c>
      <c r="F41" s="17" t="n">
        <f aca="false">IF(Rankings!F47&lt;=3,1,0)</f>
        <v>0</v>
      </c>
      <c r="G41" s="17" t="n">
        <f aca="false">IF(Rankings!G47&lt;=3,1,0)</f>
        <v>0</v>
      </c>
      <c r="H41" s="17" t="n">
        <f aca="false">IF(Rankings!H47&lt;=3,1,0)</f>
        <v>1</v>
      </c>
      <c r="I41" s="17" t="n">
        <f aca="false">IF(Rankings!I47&lt;=3,1,0)</f>
        <v>0</v>
      </c>
      <c r="J41" s="17" t="n">
        <f aca="false">IF(Rankings!J47&lt;=3,1,0)</f>
        <v>0</v>
      </c>
      <c r="K41" s="20" t="n">
        <f aca="false">SUM(C41:J41)</f>
        <v>3</v>
      </c>
      <c r="L41" s="16" t="n">
        <f aca="false">SUMPRODUCT(C41:J41,Returns!B45:I45)/K41</f>
        <v>0.0116891494674037</v>
      </c>
      <c r="M41" s="16" t="n">
        <f aca="false">-2*Assumptions!$B$13</f>
        <v>-0.007</v>
      </c>
      <c r="N41" s="16" t="n">
        <f aca="false">-Assumptions!$B$16*MAX(0,(1+O35)*(1+O36)*(1+O37)*(1+O38)*(1+O39)*(1+O40)-1)</f>
        <v>-0.00806910085904069</v>
      </c>
      <c r="O41" s="16" t="n">
        <f aca="false">L41+M41+N41</f>
        <v>-0.00337995139163703</v>
      </c>
      <c r="P41" s="21" t="n">
        <f aca="false">P40*(1+O41)</f>
        <v>2.19370217068952</v>
      </c>
      <c r="Q41" s="21" t="n">
        <f aca="false">MAX($P$5:P41)</f>
        <v>2.2011419233967</v>
      </c>
      <c r="R41" s="16" t="n">
        <f aca="false">P41/Q41-1</f>
        <v>-0.00337995139163716</v>
      </c>
      <c r="S41" s="16" t="n">
        <f aca="false">O41-Benchmark_RF!D41</f>
        <v>-0.00961963285292276</v>
      </c>
    </row>
    <row r="42" customFormat="false" ht="15" hidden="false" customHeight="true" outlineLevel="0" collapsed="false">
      <c r="A42" s="1" t="n">
        <v>45</v>
      </c>
      <c r="B42" s="13" t="n">
        <f aca="false">Returns!A46</f>
        <v>43344</v>
      </c>
      <c r="C42" s="17" t="n">
        <f aca="false">IF(Rankings!C47&lt;=3,1,0)</f>
        <v>1</v>
      </c>
      <c r="D42" s="17" t="n">
        <f aca="false">IF(Rankings!D47&lt;=3,1,0)</f>
        <v>1</v>
      </c>
      <c r="E42" s="17" t="n">
        <f aca="false">IF(Rankings!E47&lt;=3,1,0)</f>
        <v>0</v>
      </c>
      <c r="F42" s="17" t="n">
        <f aca="false">IF(Rankings!F47&lt;=3,1,0)</f>
        <v>0</v>
      </c>
      <c r="G42" s="17" t="n">
        <f aca="false">IF(Rankings!G47&lt;=3,1,0)</f>
        <v>0</v>
      </c>
      <c r="H42" s="17" t="n">
        <f aca="false">IF(Rankings!H47&lt;=3,1,0)</f>
        <v>1</v>
      </c>
      <c r="I42" s="17" t="n">
        <f aca="false">IF(Rankings!I47&lt;=3,1,0)</f>
        <v>0</v>
      </c>
      <c r="J42" s="17" t="n">
        <f aca="false">IF(Rankings!J47&lt;=3,1,0)</f>
        <v>0</v>
      </c>
      <c r="K42" s="20" t="n">
        <f aca="false">SUM(C42:J42)</f>
        <v>3</v>
      </c>
      <c r="L42" s="16" t="n">
        <f aca="false">SUMPRODUCT(C42:J42,Returns!B46:I46)/K42</f>
        <v>0.0170046286093908</v>
      </c>
      <c r="M42" s="16" t="n">
        <v>0</v>
      </c>
      <c r="N42" s="16" t="n">
        <v>0</v>
      </c>
      <c r="O42" s="16" t="n">
        <f aca="false">L42+M42+N42</f>
        <v>0.0170046286093908</v>
      </c>
      <c r="P42" s="21" t="n">
        <f aca="false">P41*(1+O42)</f>
        <v>2.23100526138171</v>
      </c>
      <c r="Q42" s="21" t="n">
        <f aca="false">MAX($P$5:P42)</f>
        <v>2.23100526138171</v>
      </c>
      <c r="R42" s="16" t="n">
        <f aca="false">P42/Q42-1</f>
        <v>0</v>
      </c>
      <c r="S42" s="16" t="n">
        <f aca="false">O42-Benchmark_RF!D42</f>
        <v>0.0107649471481051</v>
      </c>
    </row>
    <row r="43" customFormat="false" ht="15" hidden="false" customHeight="true" outlineLevel="0" collapsed="false">
      <c r="A43" s="1" t="n">
        <v>46</v>
      </c>
      <c r="B43" s="13" t="n">
        <f aca="false">Returns!A47</f>
        <v>43374</v>
      </c>
      <c r="C43" s="17" t="n">
        <f aca="false">IF(Rankings!C47&lt;=3,1,0)</f>
        <v>1</v>
      </c>
      <c r="D43" s="17" t="n">
        <f aca="false">IF(Rankings!D47&lt;=3,1,0)</f>
        <v>1</v>
      </c>
      <c r="E43" s="17" t="n">
        <f aca="false">IF(Rankings!E47&lt;=3,1,0)</f>
        <v>0</v>
      </c>
      <c r="F43" s="17" t="n">
        <f aca="false">IF(Rankings!F47&lt;=3,1,0)</f>
        <v>0</v>
      </c>
      <c r="G43" s="17" t="n">
        <f aca="false">IF(Rankings!G47&lt;=3,1,0)</f>
        <v>0</v>
      </c>
      <c r="H43" s="17" t="n">
        <f aca="false">IF(Rankings!H47&lt;=3,1,0)</f>
        <v>1</v>
      </c>
      <c r="I43" s="17" t="n">
        <f aca="false">IF(Rankings!I47&lt;=3,1,0)</f>
        <v>0</v>
      </c>
      <c r="J43" s="17" t="n">
        <f aca="false">IF(Rankings!J47&lt;=3,1,0)</f>
        <v>0</v>
      </c>
      <c r="K43" s="20" t="n">
        <f aca="false">SUM(C43:J43)</f>
        <v>3</v>
      </c>
      <c r="L43" s="16" t="n">
        <f aca="false">SUMPRODUCT(C43:J43,Returns!B47:I47)/K43</f>
        <v>0.0542865642524783</v>
      </c>
      <c r="M43" s="16" t="n">
        <v>0</v>
      </c>
      <c r="N43" s="16" t="n">
        <v>0</v>
      </c>
      <c r="O43" s="16" t="n">
        <f aca="false">L43+M43+N43</f>
        <v>0.0542865642524783</v>
      </c>
      <c r="P43" s="21" t="n">
        <f aca="false">P42*(1+O43)</f>
        <v>2.35211887185133</v>
      </c>
      <c r="Q43" s="21" t="n">
        <f aca="false">MAX($P$5:P43)</f>
        <v>2.35211887185133</v>
      </c>
      <c r="R43" s="16" t="n">
        <f aca="false">P43/Q43-1</f>
        <v>0</v>
      </c>
      <c r="S43" s="16" t="n">
        <f aca="false">O43-Benchmark_RF!D43</f>
        <v>0.0472396258567404</v>
      </c>
    </row>
    <row r="44" customFormat="false" ht="15" hidden="false" customHeight="true" outlineLevel="0" collapsed="false">
      <c r="A44" s="1" t="n">
        <v>47</v>
      </c>
      <c r="B44" s="13" t="n">
        <f aca="false">Returns!A48</f>
        <v>43405</v>
      </c>
      <c r="C44" s="17" t="n">
        <f aca="false">IF(Rankings!C47&lt;=3,1,0)</f>
        <v>1</v>
      </c>
      <c r="D44" s="17" t="n">
        <f aca="false">IF(Rankings!D47&lt;=3,1,0)</f>
        <v>1</v>
      </c>
      <c r="E44" s="17" t="n">
        <f aca="false">IF(Rankings!E47&lt;=3,1,0)</f>
        <v>0</v>
      </c>
      <c r="F44" s="17" t="n">
        <f aca="false">IF(Rankings!F47&lt;=3,1,0)</f>
        <v>0</v>
      </c>
      <c r="G44" s="17" t="n">
        <f aca="false">IF(Rankings!G47&lt;=3,1,0)</f>
        <v>0</v>
      </c>
      <c r="H44" s="17" t="n">
        <f aca="false">IF(Rankings!H47&lt;=3,1,0)</f>
        <v>1</v>
      </c>
      <c r="I44" s="17" t="n">
        <f aca="false">IF(Rankings!I47&lt;=3,1,0)</f>
        <v>0</v>
      </c>
      <c r="J44" s="17" t="n">
        <f aca="false">IF(Rankings!J47&lt;=3,1,0)</f>
        <v>0</v>
      </c>
      <c r="K44" s="20" t="n">
        <f aca="false">SUM(C44:J44)</f>
        <v>3</v>
      </c>
      <c r="L44" s="16" t="n">
        <f aca="false">SUMPRODUCT(C44:J44,Returns!B48:I48)/K44</f>
        <v>-0.0262971075382217</v>
      </c>
      <c r="M44" s="16" t="n">
        <v>0</v>
      </c>
      <c r="N44" s="16" t="n">
        <v>0</v>
      </c>
      <c r="O44" s="16" t="n">
        <f aca="false">L44+M44+N44</f>
        <v>-0.0262971075382217</v>
      </c>
      <c r="P44" s="21" t="n">
        <f aca="false">P43*(1+O44)</f>
        <v>2.29026494893557</v>
      </c>
      <c r="Q44" s="21" t="n">
        <f aca="false">MAX($P$5:P44)</f>
        <v>2.35211887185133</v>
      </c>
      <c r="R44" s="16" t="n">
        <f aca="false">P44/Q44-1</f>
        <v>-0.0262971075382217</v>
      </c>
      <c r="S44" s="16" t="n">
        <f aca="false">O44-Benchmark_RF!D44</f>
        <v>-0.0333488284039303</v>
      </c>
    </row>
    <row r="45" customFormat="false" ht="15" hidden="false" customHeight="true" outlineLevel="0" collapsed="false">
      <c r="A45" s="1" t="n">
        <v>48</v>
      </c>
      <c r="B45" s="13" t="n">
        <f aca="false">Returns!A49</f>
        <v>43435</v>
      </c>
      <c r="C45" s="17" t="n">
        <f aca="false">IF(Rankings!C47&lt;=3,1,0)</f>
        <v>1</v>
      </c>
      <c r="D45" s="17" t="n">
        <f aca="false">IF(Rankings!D47&lt;=3,1,0)</f>
        <v>1</v>
      </c>
      <c r="E45" s="17" t="n">
        <f aca="false">IF(Rankings!E47&lt;=3,1,0)</f>
        <v>0</v>
      </c>
      <c r="F45" s="17" t="n">
        <f aca="false">IF(Rankings!F47&lt;=3,1,0)</f>
        <v>0</v>
      </c>
      <c r="G45" s="17" t="n">
        <f aca="false">IF(Rankings!G47&lt;=3,1,0)</f>
        <v>0</v>
      </c>
      <c r="H45" s="17" t="n">
        <f aca="false">IF(Rankings!H47&lt;=3,1,0)</f>
        <v>1</v>
      </c>
      <c r="I45" s="17" t="n">
        <f aca="false">IF(Rankings!I47&lt;=3,1,0)</f>
        <v>0</v>
      </c>
      <c r="J45" s="17" t="n">
        <f aca="false">IF(Rankings!J47&lt;=3,1,0)</f>
        <v>0</v>
      </c>
      <c r="K45" s="20" t="n">
        <f aca="false">SUM(C45:J45)</f>
        <v>3</v>
      </c>
      <c r="L45" s="16" t="n">
        <f aca="false">SUMPRODUCT(C45:J45,Returns!B49:I49)/K45</f>
        <v>-0.0899930474117492</v>
      </c>
      <c r="M45" s="16" t="n">
        <v>0</v>
      </c>
      <c r="N45" s="16" t="n">
        <v>0</v>
      </c>
      <c r="O45" s="16" t="n">
        <f aca="false">L45+M45+N45</f>
        <v>-0.0899930474117492</v>
      </c>
      <c r="P45" s="21" t="n">
        <f aca="false">P44*(1+O45)</f>
        <v>2.08415702680055</v>
      </c>
      <c r="Q45" s="21" t="n">
        <f aca="false">MAX($P$5:P45)</f>
        <v>2.35211887185133</v>
      </c>
      <c r="R45" s="16" t="n">
        <f aca="false">P45/Q45-1</f>
        <v>-0.113923598104492</v>
      </c>
      <c r="S45" s="16" t="n">
        <f aca="false">O45-Benchmark_RF!D45</f>
        <v>-0.0981933971544474</v>
      </c>
    </row>
    <row r="46" customFormat="false" ht="15" hidden="false" customHeight="true" outlineLevel="0" collapsed="false">
      <c r="A46" s="1" t="n">
        <v>49</v>
      </c>
      <c r="B46" s="13" t="n">
        <f aca="false">Returns!A50</f>
        <v>43466</v>
      </c>
      <c r="C46" s="17" t="n">
        <f aca="false">IF(Rankings!C47&lt;=3,1,0)</f>
        <v>1</v>
      </c>
      <c r="D46" s="17" t="n">
        <f aca="false">IF(Rankings!D47&lt;=3,1,0)</f>
        <v>1</v>
      </c>
      <c r="E46" s="17" t="n">
        <f aca="false">IF(Rankings!E47&lt;=3,1,0)</f>
        <v>0</v>
      </c>
      <c r="F46" s="17" t="n">
        <f aca="false">IF(Rankings!F47&lt;=3,1,0)</f>
        <v>0</v>
      </c>
      <c r="G46" s="17" t="n">
        <f aca="false">IF(Rankings!G47&lt;=3,1,0)</f>
        <v>0</v>
      </c>
      <c r="H46" s="17" t="n">
        <f aca="false">IF(Rankings!H47&lt;=3,1,0)</f>
        <v>1</v>
      </c>
      <c r="I46" s="17" t="n">
        <f aca="false">IF(Rankings!I47&lt;=3,1,0)</f>
        <v>0</v>
      </c>
      <c r="J46" s="17" t="n">
        <f aca="false">IF(Rankings!J47&lt;=3,1,0)</f>
        <v>0</v>
      </c>
      <c r="K46" s="20" t="n">
        <f aca="false">SUM(C46:J46)</f>
        <v>3</v>
      </c>
      <c r="L46" s="16" t="n">
        <f aca="false">SUMPRODUCT(C46:J46,Returns!B50:I50)/K46</f>
        <v>0.107967541715683</v>
      </c>
      <c r="M46" s="16" t="n">
        <v>0</v>
      </c>
      <c r="N46" s="16" t="n">
        <v>0</v>
      </c>
      <c r="O46" s="16" t="n">
        <f aca="false">L46+M46+N46</f>
        <v>0.107967541715683</v>
      </c>
      <c r="P46" s="21" t="n">
        <f aca="false">P45*(1+O46)</f>
        <v>2.30917833753367</v>
      </c>
      <c r="Q46" s="21" t="n">
        <f aca="false">MAX($P$5:P46)</f>
        <v>2.35211887185133</v>
      </c>
      <c r="R46" s="16" t="n">
        <f aca="false">P46/Q46-1</f>
        <v>-0.0182561072195563</v>
      </c>
      <c r="S46" s="16" t="n">
        <f aca="false">O46-Benchmark_RF!D46</f>
        <v>0.0997638404036472</v>
      </c>
    </row>
    <row r="47" customFormat="false" ht="15" hidden="false" customHeight="true" outlineLevel="0" collapsed="false">
      <c r="A47" s="1" t="n">
        <v>50</v>
      </c>
      <c r="B47" s="13" t="n">
        <f aca="false">Returns!A51</f>
        <v>43497</v>
      </c>
      <c r="C47" s="17" t="n">
        <f aca="false">IF(Rankings!C53&lt;=3,1,0)</f>
        <v>1</v>
      </c>
      <c r="D47" s="17" t="n">
        <f aca="false">IF(Rankings!D53&lt;=3,1,0)</f>
        <v>0</v>
      </c>
      <c r="E47" s="17" t="n">
        <f aca="false">IF(Rankings!E53&lt;=3,1,0)</f>
        <v>1</v>
      </c>
      <c r="F47" s="17" t="n">
        <f aca="false">IF(Rankings!F53&lt;=3,1,0)</f>
        <v>0</v>
      </c>
      <c r="G47" s="17" t="n">
        <f aca="false">IF(Rankings!G53&lt;=3,1,0)</f>
        <v>1</v>
      </c>
      <c r="H47" s="17" t="n">
        <f aca="false">IF(Rankings!H53&lt;=3,1,0)</f>
        <v>0</v>
      </c>
      <c r="I47" s="17" t="n">
        <f aca="false">IF(Rankings!I53&lt;=3,1,0)</f>
        <v>0</v>
      </c>
      <c r="J47" s="17" t="n">
        <f aca="false">IF(Rankings!J53&lt;=3,1,0)</f>
        <v>0</v>
      </c>
      <c r="K47" s="20" t="n">
        <f aca="false">SUM(C47:J47)</f>
        <v>3</v>
      </c>
      <c r="L47" s="16" t="n">
        <f aca="false">SUMPRODUCT(C47:J47,Returns!B51:I51)/K47</f>
        <v>-0.0142734010957963</v>
      </c>
      <c r="M47" s="16" t="n">
        <f aca="false">-2*Assumptions!$B$13</f>
        <v>-0.007</v>
      </c>
      <c r="N47" s="16" t="n">
        <f aca="false">-Assumptions!$B$16*MAX(0,(1+O41)*(1+O42)*(1+O43)*(1+O44)*(1+O45)*(1+O46)-1)</f>
        <v>-0.00736229770024915</v>
      </c>
      <c r="O47" s="16" t="n">
        <f aca="false">L47+M47+N47</f>
        <v>-0.0286356987960455</v>
      </c>
      <c r="P47" s="21" t="n">
        <f aca="false">P46*(1+O47)</f>
        <v>2.2430534021937</v>
      </c>
      <c r="Q47" s="21" t="n">
        <f aca="false">MAX($P$5:P47)</f>
        <v>2.35211887185133</v>
      </c>
      <c r="R47" s="16" t="n">
        <f aca="false">P47/Q47-1</f>
        <v>-0.0463690296280742</v>
      </c>
      <c r="S47" s="16" t="n">
        <f aca="false">O47-Benchmark_RF!D47</f>
        <v>-0.0370287170113919</v>
      </c>
    </row>
    <row r="48" customFormat="false" ht="15" hidden="false" customHeight="true" outlineLevel="0" collapsed="false">
      <c r="A48" s="1" t="n">
        <v>51</v>
      </c>
      <c r="B48" s="13" t="n">
        <f aca="false">Returns!A52</f>
        <v>43525</v>
      </c>
      <c r="C48" s="17" t="n">
        <f aca="false">IF(Rankings!C53&lt;=3,1,0)</f>
        <v>1</v>
      </c>
      <c r="D48" s="17" t="n">
        <f aca="false">IF(Rankings!D53&lt;=3,1,0)</f>
        <v>0</v>
      </c>
      <c r="E48" s="17" t="n">
        <f aca="false">IF(Rankings!E53&lt;=3,1,0)</f>
        <v>1</v>
      </c>
      <c r="F48" s="17" t="n">
        <f aca="false">IF(Rankings!F53&lt;=3,1,0)</f>
        <v>0</v>
      </c>
      <c r="G48" s="17" t="n">
        <f aca="false">IF(Rankings!G53&lt;=3,1,0)</f>
        <v>1</v>
      </c>
      <c r="H48" s="17" t="n">
        <f aca="false">IF(Rankings!H53&lt;=3,1,0)</f>
        <v>0</v>
      </c>
      <c r="I48" s="17" t="n">
        <f aca="false">IF(Rankings!I53&lt;=3,1,0)</f>
        <v>0</v>
      </c>
      <c r="J48" s="17" t="n">
        <f aca="false">IF(Rankings!J53&lt;=3,1,0)</f>
        <v>0</v>
      </c>
      <c r="K48" s="20" t="n">
        <f aca="false">SUM(C48:J48)</f>
        <v>3</v>
      </c>
      <c r="L48" s="16" t="n">
        <f aca="false">SUMPRODUCT(C48:J48,Returns!B52:I52)/K48</f>
        <v>-0.0405339738614489</v>
      </c>
      <c r="M48" s="16" t="n">
        <v>0</v>
      </c>
      <c r="N48" s="16" t="n">
        <v>0</v>
      </c>
      <c r="O48" s="16" t="n">
        <f aca="false">L48+M48+N48</f>
        <v>-0.0405339738614489</v>
      </c>
      <c r="P48" s="21" t="n">
        <f aca="false">P47*(1+O48)</f>
        <v>2.15213353421935</v>
      </c>
      <c r="Q48" s="21" t="n">
        <f aca="false">MAX($P$5:P48)</f>
        <v>2.35211887185133</v>
      </c>
      <c r="R48" s="16" t="n">
        <f aca="false">P48/Q48-1</f>
        <v>-0.0850234824545981</v>
      </c>
      <c r="S48" s="16" t="n">
        <f aca="false">O48-Benchmark_RF!D48</f>
        <v>-0.0489216709786779</v>
      </c>
    </row>
    <row r="49" customFormat="false" ht="15" hidden="false" customHeight="true" outlineLevel="0" collapsed="false">
      <c r="A49" s="1" t="n">
        <v>52</v>
      </c>
      <c r="B49" s="13" t="n">
        <f aca="false">Returns!A53</f>
        <v>43556</v>
      </c>
      <c r="C49" s="17" t="n">
        <f aca="false">IF(Rankings!C53&lt;=3,1,0)</f>
        <v>1</v>
      </c>
      <c r="D49" s="17" t="n">
        <f aca="false">IF(Rankings!D53&lt;=3,1,0)</f>
        <v>0</v>
      </c>
      <c r="E49" s="17" t="n">
        <f aca="false">IF(Rankings!E53&lt;=3,1,0)</f>
        <v>1</v>
      </c>
      <c r="F49" s="17" t="n">
        <f aca="false">IF(Rankings!F53&lt;=3,1,0)</f>
        <v>0</v>
      </c>
      <c r="G49" s="17" t="n">
        <f aca="false">IF(Rankings!G53&lt;=3,1,0)</f>
        <v>1</v>
      </c>
      <c r="H49" s="17" t="n">
        <f aca="false">IF(Rankings!H53&lt;=3,1,0)</f>
        <v>0</v>
      </c>
      <c r="I49" s="17" t="n">
        <f aca="false">IF(Rankings!I53&lt;=3,1,0)</f>
        <v>0</v>
      </c>
      <c r="J49" s="17" t="n">
        <f aca="false">IF(Rankings!J53&lt;=3,1,0)</f>
        <v>0</v>
      </c>
      <c r="K49" s="20" t="n">
        <f aca="false">SUM(C49:J49)</f>
        <v>3</v>
      </c>
      <c r="L49" s="16" t="n">
        <f aca="false">SUMPRODUCT(C49:J49,Returns!B53:I53)/K49</f>
        <v>-0.0589410990776432</v>
      </c>
      <c r="M49" s="16" t="n">
        <v>0</v>
      </c>
      <c r="N49" s="16" t="n">
        <v>0</v>
      </c>
      <c r="O49" s="16" t="n">
        <f aca="false">L49+M49+N49</f>
        <v>-0.0589410990776432</v>
      </c>
      <c r="P49" s="21" t="n">
        <f aca="false">P48*(1+O49)</f>
        <v>2.02528441835061</v>
      </c>
      <c r="Q49" s="21" t="n">
        <f aca="false">MAX($P$5:P49)</f>
        <v>2.35211887185133</v>
      </c>
      <c r="R49" s="16" t="n">
        <f aca="false">P49/Q49-1</f>
        <v>-0.138953204028959</v>
      </c>
      <c r="S49" s="16" t="n">
        <f aca="false">O49-Benchmark_RF!D49</f>
        <v>-0.0676380469547503</v>
      </c>
    </row>
    <row r="50" customFormat="false" ht="15" hidden="false" customHeight="true" outlineLevel="0" collapsed="false">
      <c r="A50" s="1" t="n">
        <v>53</v>
      </c>
      <c r="B50" s="13" t="n">
        <f aca="false">Returns!A54</f>
        <v>43586</v>
      </c>
      <c r="C50" s="17" t="n">
        <f aca="false">IF(Rankings!C53&lt;=3,1,0)</f>
        <v>1</v>
      </c>
      <c r="D50" s="17" t="n">
        <f aca="false">IF(Rankings!D53&lt;=3,1,0)</f>
        <v>0</v>
      </c>
      <c r="E50" s="17" t="n">
        <f aca="false">IF(Rankings!E53&lt;=3,1,0)</f>
        <v>1</v>
      </c>
      <c r="F50" s="17" t="n">
        <f aca="false">IF(Rankings!F53&lt;=3,1,0)</f>
        <v>0</v>
      </c>
      <c r="G50" s="17" t="n">
        <f aca="false">IF(Rankings!G53&lt;=3,1,0)</f>
        <v>1</v>
      </c>
      <c r="H50" s="17" t="n">
        <f aca="false">IF(Rankings!H53&lt;=3,1,0)</f>
        <v>0</v>
      </c>
      <c r="I50" s="17" t="n">
        <f aca="false">IF(Rankings!I53&lt;=3,1,0)</f>
        <v>0</v>
      </c>
      <c r="J50" s="17" t="n">
        <f aca="false">IF(Rankings!J53&lt;=3,1,0)</f>
        <v>0</v>
      </c>
      <c r="K50" s="20" t="n">
        <f aca="false">SUM(C50:J50)</f>
        <v>3</v>
      </c>
      <c r="L50" s="16" t="n">
        <f aca="false">SUMPRODUCT(C50:J50,Returns!B54:I54)/K50</f>
        <v>0.0214041835410681</v>
      </c>
      <c r="M50" s="16" t="n">
        <v>0</v>
      </c>
      <c r="N50" s="16" t="n">
        <v>0</v>
      </c>
      <c r="O50" s="16" t="n">
        <f aca="false">L50+M50+N50</f>
        <v>0.0214041835410681</v>
      </c>
      <c r="P50" s="21" t="n">
        <f aca="false">P49*(1+O50)</f>
        <v>2.06863397776385</v>
      </c>
      <c r="Q50" s="21" t="n">
        <f aca="false">MAX($P$5:P50)</f>
        <v>2.35211887185133</v>
      </c>
      <c r="R50" s="16" t="n">
        <f aca="false">P50/Q50-1</f>
        <v>-0.120523200370546</v>
      </c>
      <c r="S50" s="16" t="n">
        <f aca="false">O50-Benchmark_RF!D50</f>
        <v>0.0114847408684001</v>
      </c>
    </row>
    <row r="51" customFormat="false" ht="15" hidden="false" customHeight="true" outlineLevel="0" collapsed="false">
      <c r="A51" s="1" t="n">
        <v>54</v>
      </c>
      <c r="B51" s="13" t="n">
        <f aca="false">Returns!A55</f>
        <v>43617</v>
      </c>
      <c r="C51" s="17" t="n">
        <f aca="false">IF(Rankings!C53&lt;=3,1,0)</f>
        <v>1</v>
      </c>
      <c r="D51" s="17" t="n">
        <f aca="false">IF(Rankings!D53&lt;=3,1,0)</f>
        <v>0</v>
      </c>
      <c r="E51" s="17" t="n">
        <f aca="false">IF(Rankings!E53&lt;=3,1,0)</f>
        <v>1</v>
      </c>
      <c r="F51" s="17" t="n">
        <f aca="false">IF(Rankings!F53&lt;=3,1,0)</f>
        <v>0</v>
      </c>
      <c r="G51" s="17" t="n">
        <f aca="false">IF(Rankings!G53&lt;=3,1,0)</f>
        <v>1</v>
      </c>
      <c r="H51" s="17" t="n">
        <f aca="false">IF(Rankings!H53&lt;=3,1,0)</f>
        <v>0</v>
      </c>
      <c r="I51" s="17" t="n">
        <f aca="false">IF(Rankings!I53&lt;=3,1,0)</f>
        <v>0</v>
      </c>
      <c r="J51" s="17" t="n">
        <f aca="false">IF(Rankings!J53&lt;=3,1,0)</f>
        <v>0</v>
      </c>
      <c r="K51" s="20" t="n">
        <f aca="false">SUM(C51:J51)</f>
        <v>3</v>
      </c>
      <c r="L51" s="16" t="n">
        <f aca="false">SUMPRODUCT(C51:J51,Returns!B55:I55)/K51</f>
        <v>-0.0744303010910337</v>
      </c>
      <c r="M51" s="16" t="n">
        <v>0</v>
      </c>
      <c r="N51" s="16" t="n">
        <v>0</v>
      </c>
      <c r="O51" s="16" t="n">
        <f aca="false">L51+M51+N51</f>
        <v>-0.0744303010910337</v>
      </c>
      <c r="P51" s="21" t="n">
        <f aca="false">P50*(1+O51)</f>
        <v>1.91466492795174</v>
      </c>
      <c r="Q51" s="21" t="n">
        <f aca="false">MAX($P$5:P51)</f>
        <v>2.35211887185133</v>
      </c>
      <c r="R51" s="16" t="n">
        <f aca="false">P51/Q51-1</f>
        <v>-0.185982923369545</v>
      </c>
      <c r="S51" s="16" t="n">
        <f aca="false">O51-Benchmark_RF!D51</f>
        <v>-0.0844718191179204</v>
      </c>
    </row>
    <row r="52" customFormat="false" ht="15" hidden="false" customHeight="true" outlineLevel="0" collapsed="false">
      <c r="A52" s="1" t="n">
        <v>55</v>
      </c>
      <c r="B52" s="13" t="n">
        <f aca="false">Returns!A56</f>
        <v>43647</v>
      </c>
      <c r="C52" s="17" t="n">
        <f aca="false">IF(Rankings!C53&lt;=3,1,0)</f>
        <v>1</v>
      </c>
      <c r="D52" s="17" t="n">
        <f aca="false">IF(Rankings!D53&lt;=3,1,0)</f>
        <v>0</v>
      </c>
      <c r="E52" s="17" t="n">
        <f aca="false">IF(Rankings!E53&lt;=3,1,0)</f>
        <v>1</v>
      </c>
      <c r="F52" s="17" t="n">
        <f aca="false">IF(Rankings!F53&lt;=3,1,0)</f>
        <v>0</v>
      </c>
      <c r="G52" s="17" t="n">
        <f aca="false">IF(Rankings!G53&lt;=3,1,0)</f>
        <v>1</v>
      </c>
      <c r="H52" s="17" t="n">
        <f aca="false">IF(Rankings!H53&lt;=3,1,0)</f>
        <v>0</v>
      </c>
      <c r="I52" s="17" t="n">
        <f aca="false">IF(Rankings!I53&lt;=3,1,0)</f>
        <v>0</v>
      </c>
      <c r="J52" s="17" t="n">
        <f aca="false">IF(Rankings!J53&lt;=3,1,0)</f>
        <v>0</v>
      </c>
      <c r="K52" s="20" t="n">
        <f aca="false">SUM(C52:J52)</f>
        <v>3</v>
      </c>
      <c r="L52" s="16" t="n">
        <f aca="false">SUMPRODUCT(C52:J52,Returns!B56:I56)/K52</f>
        <v>-0.00844042855070311</v>
      </c>
      <c r="M52" s="16" t="n">
        <v>0</v>
      </c>
      <c r="N52" s="16" t="n">
        <v>0</v>
      </c>
      <c r="O52" s="16" t="n">
        <f aca="false">L52+M52+N52</f>
        <v>-0.00844042855070311</v>
      </c>
      <c r="P52" s="21" t="n">
        <f aca="false">P51*(1+O52)</f>
        <v>1.89850433542883</v>
      </c>
      <c r="Q52" s="21" t="n">
        <f aca="false">MAX($P$5:P52)</f>
        <v>2.35211887185133</v>
      </c>
      <c r="R52" s="16" t="n">
        <f aca="false">P52/Q52-1</f>
        <v>-0.192853576343896</v>
      </c>
      <c r="S52" s="16" t="n">
        <f aca="false">O52-Benchmark_RF!D52</f>
        <v>-0.0192311553917177</v>
      </c>
    </row>
    <row r="53" customFormat="false" ht="15" hidden="false" customHeight="true" outlineLevel="0" collapsed="false">
      <c r="A53" s="1" t="n">
        <v>56</v>
      </c>
      <c r="B53" s="13" t="n">
        <f aca="false">Returns!A57</f>
        <v>43678</v>
      </c>
      <c r="C53" s="17" t="n">
        <f aca="false">IF(Rankings!C59&lt;=3,1,0)</f>
        <v>1</v>
      </c>
      <c r="D53" s="17" t="n">
        <f aca="false">IF(Rankings!D59&lt;=3,1,0)</f>
        <v>1</v>
      </c>
      <c r="E53" s="17" t="n">
        <f aca="false">IF(Rankings!E59&lt;=3,1,0)</f>
        <v>0</v>
      </c>
      <c r="F53" s="17" t="n">
        <f aca="false">IF(Rankings!F59&lt;=3,1,0)</f>
        <v>0</v>
      </c>
      <c r="G53" s="17" t="n">
        <f aca="false">IF(Rankings!G59&lt;=3,1,0)</f>
        <v>1</v>
      </c>
      <c r="H53" s="17" t="n">
        <f aca="false">IF(Rankings!H59&lt;=3,1,0)</f>
        <v>0</v>
      </c>
      <c r="I53" s="17" t="n">
        <f aca="false">IF(Rankings!I59&lt;=3,1,0)</f>
        <v>0</v>
      </c>
      <c r="J53" s="17" t="n">
        <f aca="false">IF(Rankings!J59&lt;=3,1,0)</f>
        <v>0</v>
      </c>
      <c r="K53" s="20" t="n">
        <f aca="false">SUM(C53:J53)</f>
        <v>3</v>
      </c>
      <c r="L53" s="16" t="n">
        <f aca="false">SUMPRODUCT(C53:J53,Returns!B57:I57)/K53</f>
        <v>-0.110651697808881</v>
      </c>
      <c r="M53" s="16" t="n">
        <f aca="false">-2*Assumptions!$B$13</f>
        <v>-0.007</v>
      </c>
      <c r="N53" s="16" t="n">
        <f aca="false">-Assumptions!$B$16*MAX(0,(1+O47)*(1+O48)*(1+O49)*(1+O50)*(1+O51)*(1+O52)-1)</f>
        <v>-0</v>
      </c>
      <c r="O53" s="16" t="n">
        <f aca="false">L53+M53+N53</f>
        <v>-0.117651697808881</v>
      </c>
      <c r="P53" s="21" t="n">
        <f aca="false">P52*(1+O53)</f>
        <v>1.67514207706811</v>
      </c>
      <c r="Q53" s="21" t="n">
        <f aca="false">MAX($P$5:P53)</f>
        <v>2.35211887185133</v>
      </c>
      <c r="R53" s="16" t="n">
        <f aca="false">P53/Q53-1</f>
        <v>-0.287815723467403</v>
      </c>
      <c r="S53" s="16" t="n">
        <f aca="false">O53-Benchmark_RF!D53</f>
        <v>-0.12844486837967</v>
      </c>
    </row>
    <row r="54" customFormat="false" ht="15" hidden="false" customHeight="true" outlineLevel="0" collapsed="false">
      <c r="A54" s="1" t="n">
        <v>57</v>
      </c>
      <c r="B54" s="13" t="n">
        <f aca="false">Returns!A58</f>
        <v>43709</v>
      </c>
      <c r="C54" s="17" t="n">
        <f aca="false">IF(Rankings!C59&lt;=3,1,0)</f>
        <v>1</v>
      </c>
      <c r="D54" s="17" t="n">
        <f aca="false">IF(Rankings!D59&lt;=3,1,0)</f>
        <v>1</v>
      </c>
      <c r="E54" s="17" t="n">
        <f aca="false">IF(Rankings!E59&lt;=3,1,0)</f>
        <v>0</v>
      </c>
      <c r="F54" s="17" t="n">
        <f aca="false">IF(Rankings!F59&lt;=3,1,0)</f>
        <v>0</v>
      </c>
      <c r="G54" s="17" t="n">
        <f aca="false">IF(Rankings!G59&lt;=3,1,0)</f>
        <v>1</v>
      </c>
      <c r="H54" s="17" t="n">
        <f aca="false">IF(Rankings!H59&lt;=3,1,0)</f>
        <v>0</v>
      </c>
      <c r="I54" s="17" t="n">
        <f aca="false">IF(Rankings!I59&lt;=3,1,0)</f>
        <v>0</v>
      </c>
      <c r="J54" s="17" t="n">
        <f aca="false">IF(Rankings!J59&lt;=3,1,0)</f>
        <v>0</v>
      </c>
      <c r="K54" s="20" t="n">
        <f aca="false">SUM(C54:J54)</f>
        <v>3</v>
      </c>
      <c r="L54" s="16" t="n">
        <f aca="false">SUMPRODUCT(C54:J54,Returns!B58:I58)/K54</f>
        <v>0.0405322136370472</v>
      </c>
      <c r="M54" s="16" t="n">
        <v>0</v>
      </c>
      <c r="N54" s="16" t="n">
        <v>0</v>
      </c>
      <c r="O54" s="16" t="n">
        <f aca="false">L54+M54+N54</f>
        <v>0.0405322136370472</v>
      </c>
      <c r="P54" s="21" t="n">
        <f aca="false">P53*(1+O54)</f>
        <v>1.74303929360824</v>
      </c>
      <c r="Q54" s="21" t="n">
        <f aca="false">MAX($P$5:P54)</f>
        <v>2.35211887185133</v>
      </c>
      <c r="R54" s="16" t="n">
        <f aca="false">P54/Q54-1</f>
        <v>-0.258949318222038</v>
      </c>
      <c r="S54" s="16" t="n">
        <f aca="false">O54-Benchmark_RF!D54</f>
        <v>0.0297620759482867</v>
      </c>
    </row>
    <row r="55" customFormat="false" ht="15" hidden="false" customHeight="true" outlineLevel="0" collapsed="false">
      <c r="A55" s="1" t="n">
        <v>58</v>
      </c>
      <c r="B55" s="13" t="n">
        <f aca="false">Returns!A59</f>
        <v>43739</v>
      </c>
      <c r="C55" s="17" t="n">
        <f aca="false">IF(Rankings!C59&lt;=3,1,0)</f>
        <v>1</v>
      </c>
      <c r="D55" s="17" t="n">
        <f aca="false">IF(Rankings!D59&lt;=3,1,0)</f>
        <v>1</v>
      </c>
      <c r="E55" s="17" t="n">
        <f aca="false">IF(Rankings!E59&lt;=3,1,0)</f>
        <v>0</v>
      </c>
      <c r="F55" s="17" t="n">
        <f aca="false">IF(Rankings!F59&lt;=3,1,0)</f>
        <v>0</v>
      </c>
      <c r="G55" s="17" t="n">
        <f aca="false">IF(Rankings!G59&lt;=3,1,0)</f>
        <v>1</v>
      </c>
      <c r="H55" s="17" t="n">
        <f aca="false">IF(Rankings!H59&lt;=3,1,0)</f>
        <v>0</v>
      </c>
      <c r="I55" s="17" t="n">
        <f aca="false">IF(Rankings!I59&lt;=3,1,0)</f>
        <v>0</v>
      </c>
      <c r="J55" s="17" t="n">
        <f aca="false">IF(Rankings!J59&lt;=3,1,0)</f>
        <v>0</v>
      </c>
      <c r="K55" s="20" t="n">
        <f aca="false">SUM(C55:J55)</f>
        <v>3</v>
      </c>
      <c r="L55" s="16" t="n">
        <f aca="false">SUMPRODUCT(C55:J55,Returns!B59:I59)/K55</f>
        <v>0.0464683635840029</v>
      </c>
      <c r="M55" s="16" t="n">
        <v>0</v>
      </c>
      <c r="N55" s="16" t="n">
        <v>0</v>
      </c>
      <c r="O55" s="16" t="n">
        <f aca="false">L55+M55+N55</f>
        <v>0.0464683635840029</v>
      </c>
      <c r="P55" s="21" t="n">
        <f aca="false">P54*(1+O55)</f>
        <v>1.82403547724483</v>
      </c>
      <c r="Q55" s="21" t="n">
        <f aca="false">MAX($P$5:P55)</f>
        <v>2.35211887185133</v>
      </c>
      <c r="R55" s="16" t="n">
        <f aca="false">P55/Q55-1</f>
        <v>-0.224513905707007</v>
      </c>
      <c r="S55" s="16" t="n">
        <f aca="false">O55-Benchmark_RF!D55</f>
        <v>0.0360451573152227</v>
      </c>
    </row>
    <row r="56" customFormat="false" ht="15" hidden="false" customHeight="true" outlineLevel="0" collapsed="false">
      <c r="A56" s="1" t="n">
        <v>59</v>
      </c>
      <c r="B56" s="13" t="n">
        <f aca="false">Returns!A60</f>
        <v>43770</v>
      </c>
      <c r="C56" s="17" t="n">
        <f aca="false">IF(Rankings!C59&lt;=3,1,0)</f>
        <v>1</v>
      </c>
      <c r="D56" s="17" t="n">
        <f aca="false">IF(Rankings!D59&lt;=3,1,0)</f>
        <v>1</v>
      </c>
      <c r="E56" s="17" t="n">
        <f aca="false">IF(Rankings!E59&lt;=3,1,0)</f>
        <v>0</v>
      </c>
      <c r="F56" s="17" t="n">
        <f aca="false">IF(Rankings!F59&lt;=3,1,0)</f>
        <v>0</v>
      </c>
      <c r="G56" s="17" t="n">
        <f aca="false">IF(Rankings!G59&lt;=3,1,0)</f>
        <v>1</v>
      </c>
      <c r="H56" s="17" t="n">
        <f aca="false">IF(Rankings!H59&lt;=3,1,0)</f>
        <v>0</v>
      </c>
      <c r="I56" s="17" t="n">
        <f aca="false">IF(Rankings!I59&lt;=3,1,0)</f>
        <v>0</v>
      </c>
      <c r="J56" s="17" t="n">
        <f aca="false">IF(Rankings!J59&lt;=3,1,0)</f>
        <v>0</v>
      </c>
      <c r="K56" s="20" t="n">
        <f aca="false">SUM(C56:J56)</f>
        <v>3</v>
      </c>
      <c r="L56" s="16" t="n">
        <f aca="false">SUMPRODUCT(C56:J56,Returns!B60:I60)/K56</f>
        <v>0.113770682657545</v>
      </c>
      <c r="M56" s="16" t="n">
        <v>0</v>
      </c>
      <c r="N56" s="16" t="n">
        <v>0</v>
      </c>
      <c r="O56" s="16" t="n">
        <f aca="false">L56+M56+N56</f>
        <v>0.113770682657545</v>
      </c>
      <c r="P56" s="21" t="n">
        <f aca="false">P55*(1+O56)</f>
        <v>2.03155723868255</v>
      </c>
      <c r="Q56" s="21" t="n">
        <f aca="false">MAX($P$5:P56)</f>
        <v>2.35211887185133</v>
      </c>
      <c r="R56" s="16" t="n">
        <f aca="false">P56/Q56-1</f>
        <v>-0.136286323367859</v>
      </c>
      <c r="S56" s="16" t="n">
        <f aca="false">O56-Benchmark_RF!D56</f>
        <v>0.103191176548589</v>
      </c>
    </row>
    <row r="57" customFormat="false" ht="15" hidden="false" customHeight="true" outlineLevel="0" collapsed="false">
      <c r="A57" s="1" t="n">
        <v>60</v>
      </c>
      <c r="B57" s="13" t="n">
        <f aca="false">Returns!A61</f>
        <v>43800</v>
      </c>
      <c r="C57" s="17" t="n">
        <f aca="false">IF(Rankings!C59&lt;=3,1,0)</f>
        <v>1</v>
      </c>
      <c r="D57" s="17" t="n">
        <f aca="false">IF(Rankings!D59&lt;=3,1,0)</f>
        <v>1</v>
      </c>
      <c r="E57" s="17" t="n">
        <f aca="false">IF(Rankings!E59&lt;=3,1,0)</f>
        <v>0</v>
      </c>
      <c r="F57" s="17" t="n">
        <f aca="false">IF(Rankings!F59&lt;=3,1,0)</f>
        <v>0</v>
      </c>
      <c r="G57" s="17" t="n">
        <f aca="false">IF(Rankings!G59&lt;=3,1,0)</f>
        <v>1</v>
      </c>
      <c r="H57" s="17" t="n">
        <f aca="false">IF(Rankings!H59&lt;=3,1,0)</f>
        <v>0</v>
      </c>
      <c r="I57" s="17" t="n">
        <f aca="false">IF(Rankings!I59&lt;=3,1,0)</f>
        <v>0</v>
      </c>
      <c r="J57" s="17" t="n">
        <f aca="false">IF(Rankings!J59&lt;=3,1,0)</f>
        <v>0</v>
      </c>
      <c r="K57" s="20" t="n">
        <f aca="false">SUM(C57:J57)</f>
        <v>3</v>
      </c>
      <c r="L57" s="16" t="n">
        <f aca="false">SUMPRODUCT(C57:J57,Returns!B61:I61)/K57</f>
        <v>0.0617675419665565</v>
      </c>
      <c r="M57" s="16" t="n">
        <v>0</v>
      </c>
      <c r="N57" s="16" t="n">
        <v>0</v>
      </c>
      <c r="O57" s="16" t="n">
        <f aca="false">L57+M57+N57</f>
        <v>0.0617675419665565</v>
      </c>
      <c r="P57" s="21" t="n">
        <f aca="false">P56*(1+O57)</f>
        <v>2.15704153568034</v>
      </c>
      <c r="Q57" s="21" t="n">
        <f aca="false">MAX($P$5:P57)</f>
        <v>2.35211887185133</v>
      </c>
      <c r="R57" s="16" t="n">
        <f aca="false">P57/Q57-1</f>
        <v>-0.0829368525993945</v>
      </c>
      <c r="S57" s="16" t="n">
        <f aca="false">O57-Benchmark_RF!D57</f>
        <v>0.0511988731769254</v>
      </c>
    </row>
    <row r="58" customFormat="false" ht="15" hidden="false" customHeight="true" outlineLevel="0" collapsed="false">
      <c r="A58" s="1" t="n">
        <v>61</v>
      </c>
      <c r="B58" s="13" t="n">
        <f aca="false">Returns!A62</f>
        <v>43831</v>
      </c>
      <c r="C58" s="17" t="n">
        <f aca="false">IF(Rankings!C59&lt;=3,1,0)</f>
        <v>1</v>
      </c>
      <c r="D58" s="17" t="n">
        <f aca="false">IF(Rankings!D59&lt;=3,1,0)</f>
        <v>1</v>
      </c>
      <c r="E58" s="17" t="n">
        <f aca="false">IF(Rankings!E59&lt;=3,1,0)</f>
        <v>0</v>
      </c>
      <c r="F58" s="17" t="n">
        <f aca="false">IF(Rankings!F59&lt;=3,1,0)</f>
        <v>0</v>
      </c>
      <c r="G58" s="17" t="n">
        <f aca="false">IF(Rankings!G59&lt;=3,1,0)</f>
        <v>1</v>
      </c>
      <c r="H58" s="17" t="n">
        <f aca="false">IF(Rankings!H59&lt;=3,1,0)</f>
        <v>0</v>
      </c>
      <c r="I58" s="17" t="n">
        <f aca="false">IF(Rankings!I59&lt;=3,1,0)</f>
        <v>0</v>
      </c>
      <c r="J58" s="17" t="n">
        <f aca="false">IF(Rankings!J59&lt;=3,1,0)</f>
        <v>0</v>
      </c>
      <c r="K58" s="20" t="n">
        <f aca="false">SUM(C58:J58)</f>
        <v>3</v>
      </c>
      <c r="L58" s="16" t="n">
        <f aca="false">SUMPRODUCT(C58:J58,Returns!B62:I62)/K58</f>
        <v>0.0570261482538779</v>
      </c>
      <c r="M58" s="16" t="n">
        <v>0</v>
      </c>
      <c r="N58" s="16" t="n">
        <v>0</v>
      </c>
      <c r="O58" s="16" t="n">
        <f aca="false">L58+M58+N58</f>
        <v>0.0570261482538779</v>
      </c>
      <c r="P58" s="21" t="n">
        <f aca="false">P57*(1+O58)</f>
        <v>2.28004930608382</v>
      </c>
      <c r="Q58" s="21" t="n">
        <f aca="false">MAX($P$5:P58)</f>
        <v>2.35211887185133</v>
      </c>
      <c r="R58" s="16" t="n">
        <f aca="false">P58/Q58-1</f>
        <v>-0.0306402735975598</v>
      </c>
      <c r="S58" s="16" t="n">
        <f aca="false">O58-Benchmark_RF!D58</f>
        <v>0.0465003216583207</v>
      </c>
    </row>
    <row r="59" customFormat="false" ht="15" hidden="false" customHeight="true" outlineLevel="0" collapsed="false">
      <c r="A59" s="1" t="n">
        <v>62</v>
      </c>
      <c r="B59" s="13" t="n">
        <f aca="false">Returns!A63</f>
        <v>43862</v>
      </c>
      <c r="C59" s="17" t="n">
        <f aca="false">IF(Rankings!C65&lt;=3,1,0)</f>
        <v>1</v>
      </c>
      <c r="D59" s="17" t="n">
        <f aca="false">IF(Rankings!D65&lt;=3,1,0)</f>
        <v>0</v>
      </c>
      <c r="E59" s="17" t="n">
        <f aca="false">IF(Rankings!E65&lt;=3,1,0)</f>
        <v>0</v>
      </c>
      <c r="F59" s="17" t="n">
        <f aca="false">IF(Rankings!F65&lt;=3,1,0)</f>
        <v>0</v>
      </c>
      <c r="G59" s="17" t="n">
        <f aca="false">IF(Rankings!G65&lt;=3,1,0)</f>
        <v>0</v>
      </c>
      <c r="H59" s="17" t="n">
        <f aca="false">IF(Rankings!H65&lt;=3,1,0)</f>
        <v>0</v>
      </c>
      <c r="I59" s="17" t="n">
        <f aca="false">IF(Rankings!I65&lt;=3,1,0)</f>
        <v>1</v>
      </c>
      <c r="J59" s="17" t="n">
        <f aca="false">IF(Rankings!J65&lt;=3,1,0)</f>
        <v>1</v>
      </c>
      <c r="K59" s="20" t="n">
        <f aca="false">SUM(C59:J59)</f>
        <v>3</v>
      </c>
      <c r="L59" s="16" t="n">
        <f aca="false">SUMPRODUCT(C59:J59,Returns!B63:I63)/K59</f>
        <v>-0.056107091488582</v>
      </c>
      <c r="M59" s="16" t="n">
        <f aca="false">-2*Assumptions!$B$13</f>
        <v>-0.007</v>
      </c>
      <c r="N59" s="16" t="n">
        <f aca="false">-Assumptions!$B$16*MAX(0,(1+O53)*(1+O54)*(1+O55)*(1+O56)*(1+O57)*(1+O58)-1)</f>
        <v>-0.0301457018191751</v>
      </c>
      <c r="O59" s="16" t="n">
        <f aca="false">L59+M59+N59</f>
        <v>-0.093252793307757</v>
      </c>
      <c r="P59" s="21" t="n">
        <f aca="false">P58*(1+O59)</f>
        <v>2.06742833941209</v>
      </c>
      <c r="Q59" s="21" t="n">
        <f aca="false">MAX($P$5:P59)</f>
        <v>2.35211887185133</v>
      </c>
      <c r="R59" s="16" t="n">
        <f aca="false">P59/Q59-1</f>
        <v>-0.12103577580463</v>
      </c>
      <c r="S59" s="16" t="n">
        <f aca="false">O59-Benchmark_RF!D59</f>
        <v>-0.103773123964717</v>
      </c>
    </row>
    <row r="60" customFormat="false" ht="15" hidden="false" customHeight="true" outlineLevel="0" collapsed="false">
      <c r="A60" s="1" t="n">
        <v>63</v>
      </c>
      <c r="B60" s="13" t="n">
        <f aca="false">Returns!A64</f>
        <v>43891</v>
      </c>
      <c r="C60" s="17" t="n">
        <f aca="false">IF(Rankings!C65&lt;=3,1,0)</f>
        <v>1</v>
      </c>
      <c r="D60" s="17" t="n">
        <f aca="false">IF(Rankings!D65&lt;=3,1,0)</f>
        <v>0</v>
      </c>
      <c r="E60" s="17" t="n">
        <f aca="false">IF(Rankings!E65&lt;=3,1,0)</f>
        <v>0</v>
      </c>
      <c r="F60" s="17" t="n">
        <f aca="false">IF(Rankings!F65&lt;=3,1,0)</f>
        <v>0</v>
      </c>
      <c r="G60" s="17" t="n">
        <f aca="false">IF(Rankings!G65&lt;=3,1,0)</f>
        <v>0</v>
      </c>
      <c r="H60" s="17" t="n">
        <f aca="false">IF(Rankings!H65&lt;=3,1,0)</f>
        <v>0</v>
      </c>
      <c r="I60" s="17" t="n">
        <f aca="false">IF(Rankings!I65&lt;=3,1,0)</f>
        <v>1</v>
      </c>
      <c r="J60" s="17" t="n">
        <f aca="false">IF(Rankings!J65&lt;=3,1,0)</f>
        <v>1</v>
      </c>
      <c r="K60" s="20" t="n">
        <f aca="false">SUM(C60:J60)</f>
        <v>3</v>
      </c>
      <c r="L60" s="16" t="n">
        <f aca="false">SUMPRODUCT(C60:J60,Returns!B64:I64)/K60</f>
        <v>-0.347367357216145</v>
      </c>
      <c r="M60" s="16" t="n">
        <v>0</v>
      </c>
      <c r="N60" s="16" t="n">
        <v>0</v>
      </c>
      <c r="O60" s="16" t="n">
        <f aca="false">L60+M60+N60</f>
        <v>-0.347367357216145</v>
      </c>
      <c r="P60" s="21" t="n">
        <f aca="false">P59*(1+O60)</f>
        <v>1.34927122091675</v>
      </c>
      <c r="Q60" s="21" t="n">
        <f aca="false">MAX($P$5:P60)</f>
        <v>2.35211887185133</v>
      </c>
      <c r="R60" s="16" t="n">
        <f aca="false">P60/Q60-1</f>
        <v>-0.426359255450915</v>
      </c>
      <c r="S60" s="16" t="n">
        <f aca="false">O60-Benchmark_RF!D60</f>
        <v>-0.356266442246938</v>
      </c>
    </row>
    <row r="61" customFormat="false" ht="15" hidden="false" customHeight="true" outlineLevel="0" collapsed="false">
      <c r="A61" s="1" t="n">
        <v>64</v>
      </c>
      <c r="B61" s="13" t="n">
        <f aca="false">Returns!A65</f>
        <v>43922</v>
      </c>
      <c r="C61" s="17" t="n">
        <f aca="false">IF(Rankings!C65&lt;=3,1,0)</f>
        <v>1</v>
      </c>
      <c r="D61" s="17" t="n">
        <f aca="false">IF(Rankings!D65&lt;=3,1,0)</f>
        <v>0</v>
      </c>
      <c r="E61" s="17" t="n">
        <f aca="false">IF(Rankings!E65&lt;=3,1,0)</f>
        <v>0</v>
      </c>
      <c r="F61" s="17" t="n">
        <f aca="false">IF(Rankings!F65&lt;=3,1,0)</f>
        <v>0</v>
      </c>
      <c r="G61" s="17" t="n">
        <f aca="false">IF(Rankings!G65&lt;=3,1,0)</f>
        <v>0</v>
      </c>
      <c r="H61" s="17" t="n">
        <f aca="false">IF(Rankings!H65&lt;=3,1,0)</f>
        <v>0</v>
      </c>
      <c r="I61" s="17" t="n">
        <f aca="false">IF(Rankings!I65&lt;=3,1,0)</f>
        <v>1</v>
      </c>
      <c r="J61" s="17" t="n">
        <f aca="false">IF(Rankings!J65&lt;=3,1,0)</f>
        <v>1</v>
      </c>
      <c r="K61" s="20" t="n">
        <f aca="false">SUM(C61:J61)</f>
        <v>3</v>
      </c>
      <c r="L61" s="16" t="n">
        <f aca="false">SUMPRODUCT(C61:J61,Returns!B65:I65)/K61</f>
        <v>0.171863933709773</v>
      </c>
      <c r="M61" s="16" t="n">
        <v>0</v>
      </c>
      <c r="N61" s="16" t="n">
        <v>0</v>
      </c>
      <c r="O61" s="16" t="n">
        <f aca="false">L61+M61+N61</f>
        <v>0.171863933709773</v>
      </c>
      <c r="P61" s="21" t="n">
        <f aca="false">P60*(1+O61)</f>
        <v>1.58116228058489</v>
      </c>
      <c r="Q61" s="21" t="n">
        <f aca="false">MAX($P$5:P61)</f>
        <v>2.35211887185133</v>
      </c>
      <c r="R61" s="16" t="n">
        <f aca="false">P61/Q61-1</f>
        <v>-0.327771100556506</v>
      </c>
      <c r="S61" s="16" t="n">
        <f aca="false">O61-Benchmark_RF!D61</f>
        <v>0.165263868469413</v>
      </c>
    </row>
    <row r="62" customFormat="false" ht="15" hidden="false" customHeight="true" outlineLevel="0" collapsed="false">
      <c r="A62" s="1" t="n">
        <v>65</v>
      </c>
      <c r="B62" s="13" t="n">
        <f aca="false">Returns!A66</f>
        <v>43952</v>
      </c>
      <c r="C62" s="17" t="n">
        <f aca="false">IF(Rankings!C65&lt;=3,1,0)</f>
        <v>1</v>
      </c>
      <c r="D62" s="17" t="n">
        <f aca="false">IF(Rankings!D65&lt;=3,1,0)</f>
        <v>0</v>
      </c>
      <c r="E62" s="17" t="n">
        <f aca="false">IF(Rankings!E65&lt;=3,1,0)</f>
        <v>0</v>
      </c>
      <c r="F62" s="17" t="n">
        <f aca="false">IF(Rankings!F65&lt;=3,1,0)</f>
        <v>0</v>
      </c>
      <c r="G62" s="17" t="n">
        <f aca="false">IF(Rankings!G65&lt;=3,1,0)</f>
        <v>0</v>
      </c>
      <c r="H62" s="17" t="n">
        <f aca="false">IF(Rankings!H65&lt;=3,1,0)</f>
        <v>0</v>
      </c>
      <c r="I62" s="17" t="n">
        <f aca="false">IF(Rankings!I65&lt;=3,1,0)</f>
        <v>1</v>
      </c>
      <c r="J62" s="17" t="n">
        <f aca="false">IF(Rankings!J65&lt;=3,1,0)</f>
        <v>1</v>
      </c>
      <c r="K62" s="20" t="n">
        <f aca="false">SUM(C62:J62)</f>
        <v>3</v>
      </c>
      <c r="L62" s="16" t="n">
        <f aca="false">SUMPRODUCT(C62:J62,Returns!B66:I66)/K62</f>
        <v>0.167723736041102</v>
      </c>
      <c r="M62" s="16" t="n">
        <v>0</v>
      </c>
      <c r="N62" s="16" t="n">
        <v>0</v>
      </c>
      <c r="O62" s="16" t="n">
        <f aca="false">L62+M62+N62</f>
        <v>0.167723736041102</v>
      </c>
      <c r="P62" s="21" t="n">
        <f aca="false">P61*(1+O62)</f>
        <v>1.84636072557186</v>
      </c>
      <c r="Q62" s="21" t="n">
        <f aca="false">MAX($P$5:P62)</f>
        <v>2.35211887185133</v>
      </c>
      <c r="R62" s="16" t="n">
        <f aca="false">P62/Q62-1</f>
        <v>-0.215022358067045</v>
      </c>
      <c r="S62" s="16" t="n">
        <f aca="false">O62-Benchmark_RF!D62</f>
        <v>0.1611960219744</v>
      </c>
    </row>
    <row r="63" customFormat="false" ht="15" hidden="false" customHeight="true" outlineLevel="0" collapsed="false">
      <c r="A63" s="1" t="n">
        <v>66</v>
      </c>
      <c r="B63" s="13" t="n">
        <f aca="false">Returns!A67</f>
        <v>43983</v>
      </c>
      <c r="C63" s="17" t="n">
        <f aca="false">IF(Rankings!C65&lt;=3,1,0)</f>
        <v>1</v>
      </c>
      <c r="D63" s="17" t="n">
        <f aca="false">IF(Rankings!D65&lt;=3,1,0)</f>
        <v>0</v>
      </c>
      <c r="E63" s="17" t="n">
        <f aca="false">IF(Rankings!E65&lt;=3,1,0)</f>
        <v>0</v>
      </c>
      <c r="F63" s="17" t="n">
        <f aca="false">IF(Rankings!F65&lt;=3,1,0)</f>
        <v>0</v>
      </c>
      <c r="G63" s="17" t="n">
        <f aca="false">IF(Rankings!G65&lt;=3,1,0)</f>
        <v>0</v>
      </c>
      <c r="H63" s="17" t="n">
        <f aca="false">IF(Rankings!H65&lt;=3,1,0)</f>
        <v>0</v>
      </c>
      <c r="I63" s="17" t="n">
        <f aca="false">IF(Rankings!I65&lt;=3,1,0)</f>
        <v>1</v>
      </c>
      <c r="J63" s="17" t="n">
        <f aca="false">IF(Rankings!J65&lt;=3,1,0)</f>
        <v>1</v>
      </c>
      <c r="K63" s="20" t="n">
        <f aca="false">SUM(C63:J63)</f>
        <v>3</v>
      </c>
      <c r="L63" s="16" t="n">
        <f aca="false">SUMPRODUCT(C63:J63,Returns!B67:I67)/K63</f>
        <v>0.0325578110380062</v>
      </c>
      <c r="M63" s="16" t="n">
        <v>0</v>
      </c>
      <c r="N63" s="16" t="n">
        <v>0</v>
      </c>
      <c r="O63" s="16" t="n">
        <f aca="false">L63+M63+N63</f>
        <v>0.0325578110380062</v>
      </c>
      <c r="P63" s="21" t="n">
        <f aca="false">P62*(1+O63)</f>
        <v>1.90647418918302</v>
      </c>
      <c r="Q63" s="21" t="n">
        <f aca="false">MAX($P$5:P63)</f>
        <v>2.35211887185133</v>
      </c>
      <c r="R63" s="16" t="n">
        <f aca="false">P63/Q63-1</f>
        <v>-0.189465204331932</v>
      </c>
      <c r="S63" s="16" t="n">
        <f aca="false">O63-Benchmark_RF!D63</f>
        <v>0.0270221652426598</v>
      </c>
    </row>
    <row r="64" customFormat="false" ht="15" hidden="false" customHeight="true" outlineLevel="0" collapsed="false">
      <c r="A64" s="1" t="n">
        <v>67</v>
      </c>
      <c r="B64" s="13" t="n">
        <f aca="false">Returns!A68</f>
        <v>44013</v>
      </c>
      <c r="C64" s="17" t="n">
        <f aca="false">IF(Rankings!C65&lt;=3,1,0)</f>
        <v>1</v>
      </c>
      <c r="D64" s="17" t="n">
        <f aca="false">IF(Rankings!D65&lt;=3,1,0)</f>
        <v>0</v>
      </c>
      <c r="E64" s="17" t="n">
        <f aca="false">IF(Rankings!E65&lt;=3,1,0)</f>
        <v>0</v>
      </c>
      <c r="F64" s="17" t="n">
        <f aca="false">IF(Rankings!F65&lt;=3,1,0)</f>
        <v>0</v>
      </c>
      <c r="G64" s="17" t="n">
        <f aca="false">IF(Rankings!G65&lt;=3,1,0)</f>
        <v>0</v>
      </c>
      <c r="H64" s="17" t="n">
        <f aca="false">IF(Rankings!H65&lt;=3,1,0)</f>
        <v>0</v>
      </c>
      <c r="I64" s="17" t="n">
        <f aca="false">IF(Rankings!I65&lt;=3,1,0)</f>
        <v>1</v>
      </c>
      <c r="J64" s="17" t="n">
        <f aca="false">IF(Rankings!J65&lt;=3,1,0)</f>
        <v>1</v>
      </c>
      <c r="K64" s="20" t="n">
        <f aca="false">SUM(C64:J64)</f>
        <v>3</v>
      </c>
      <c r="L64" s="16" t="n">
        <f aca="false">SUMPRODUCT(C64:J64,Returns!B68:I68)/K64</f>
        <v>0.102053522715484</v>
      </c>
      <c r="M64" s="16" t="n">
        <v>0</v>
      </c>
      <c r="N64" s="16" t="n">
        <v>0</v>
      </c>
      <c r="O64" s="16" t="n">
        <f aca="false">L64+M64+N64</f>
        <v>0.102053522715484</v>
      </c>
      <c r="P64" s="21" t="n">
        <f aca="false">P63*(1+O64)</f>
        <v>2.1010365961553</v>
      </c>
      <c r="Q64" s="21" t="n">
        <f aca="false">MAX($P$5:P64)</f>
        <v>2.35211887185133</v>
      </c>
      <c r="R64" s="16" t="n">
        <f aca="false">P64/Q64-1</f>
        <v>-0.106747273150531</v>
      </c>
      <c r="S64" s="16" t="n">
        <f aca="false">O64-Benchmark_RF!D64</f>
        <v>0.0964985867588415</v>
      </c>
    </row>
    <row r="65" customFormat="false" ht="15" hidden="false" customHeight="true" outlineLevel="0" collapsed="false">
      <c r="A65" s="1" t="n">
        <v>68</v>
      </c>
      <c r="B65" s="13" t="n">
        <f aca="false">Returns!A69</f>
        <v>44044</v>
      </c>
      <c r="C65" s="17" t="n">
        <f aca="false">IF(Rankings!C71&lt;=3,1,0)</f>
        <v>0</v>
      </c>
      <c r="D65" s="17" t="n">
        <f aca="false">IF(Rankings!D71&lt;=3,1,0)</f>
        <v>0</v>
      </c>
      <c r="E65" s="17" t="n">
        <f aca="false">IF(Rankings!E71&lt;=3,1,0)</f>
        <v>0</v>
      </c>
      <c r="F65" s="17" t="n">
        <f aca="false">IF(Rankings!F71&lt;=3,1,0)</f>
        <v>1</v>
      </c>
      <c r="G65" s="17" t="n">
        <f aca="false">IF(Rankings!G71&lt;=3,1,0)</f>
        <v>1</v>
      </c>
      <c r="H65" s="17" t="n">
        <f aca="false">IF(Rankings!H71&lt;=3,1,0)</f>
        <v>0</v>
      </c>
      <c r="I65" s="17" t="n">
        <f aca="false">IF(Rankings!I71&lt;=3,1,0)</f>
        <v>1</v>
      </c>
      <c r="J65" s="17" t="n">
        <f aca="false">IF(Rankings!J71&lt;=3,1,0)</f>
        <v>0</v>
      </c>
      <c r="K65" s="20" t="n">
        <f aca="false">SUM(C65:J65)</f>
        <v>3</v>
      </c>
      <c r="L65" s="16" t="n">
        <f aca="false">SUMPRODUCT(C65:J65,Returns!B69:I69)/K65</f>
        <v>0.0770279551473437</v>
      </c>
      <c r="M65" s="16" t="n">
        <f aca="false">-2*Assumptions!$B$13</f>
        <v>-0.007</v>
      </c>
      <c r="N65" s="16" t="n">
        <f aca="false">-Assumptions!$B$16*MAX(0,(1+O59)*(1+O60)*(1+O61)*(1+O62)*(1+O63)*(1+O64)-1)</f>
        <v>-0</v>
      </c>
      <c r="O65" s="16" t="n">
        <f aca="false">L65+M65+N65</f>
        <v>0.0700279551473437</v>
      </c>
      <c r="P65" s="21" t="n">
        <f aca="false">P64*(1+O65)</f>
        <v>2.24816789267379</v>
      </c>
      <c r="Q65" s="21" t="n">
        <f aca="false">MAX($P$5:P65)</f>
        <v>2.35211887185133</v>
      </c>
      <c r="R65" s="16" t="n">
        <f aca="false">P65/Q65-1</f>
        <v>-0.0441946112594734</v>
      </c>
      <c r="S65" s="16" t="n">
        <f aca="false">O65-Benchmark_RF!D65</f>
        <v>0.0643020949660237</v>
      </c>
    </row>
    <row r="66" customFormat="false" ht="15" hidden="false" customHeight="true" outlineLevel="0" collapsed="false">
      <c r="A66" s="1" t="n">
        <v>69</v>
      </c>
      <c r="B66" s="13" t="n">
        <f aca="false">Returns!A70</f>
        <v>44075</v>
      </c>
      <c r="C66" s="17" t="n">
        <f aca="false">IF(Rankings!C71&lt;=3,1,0)</f>
        <v>0</v>
      </c>
      <c r="D66" s="17" t="n">
        <f aca="false">IF(Rankings!D71&lt;=3,1,0)</f>
        <v>0</v>
      </c>
      <c r="E66" s="17" t="n">
        <f aca="false">IF(Rankings!E71&lt;=3,1,0)</f>
        <v>0</v>
      </c>
      <c r="F66" s="17" t="n">
        <f aca="false">IF(Rankings!F71&lt;=3,1,0)</f>
        <v>1</v>
      </c>
      <c r="G66" s="17" t="n">
        <f aca="false">IF(Rankings!G71&lt;=3,1,0)</f>
        <v>1</v>
      </c>
      <c r="H66" s="17" t="n">
        <f aca="false">IF(Rankings!H71&lt;=3,1,0)</f>
        <v>0</v>
      </c>
      <c r="I66" s="17" t="n">
        <f aca="false">IF(Rankings!I71&lt;=3,1,0)</f>
        <v>1</v>
      </c>
      <c r="J66" s="17" t="n">
        <f aca="false">IF(Rankings!J71&lt;=3,1,0)</f>
        <v>0</v>
      </c>
      <c r="K66" s="20" t="n">
        <f aca="false">SUM(C66:J66)</f>
        <v>3</v>
      </c>
      <c r="L66" s="16" t="n">
        <f aca="false">SUMPRODUCT(C66:J66,Returns!B70:I70)/K66</f>
        <v>0.00984998767590058</v>
      </c>
      <c r="M66" s="16" t="n">
        <v>0</v>
      </c>
      <c r="N66" s="16" t="n">
        <v>0</v>
      </c>
      <c r="O66" s="16" t="n">
        <f aca="false">L66+M66+N66</f>
        <v>0.00984998767590058</v>
      </c>
      <c r="P66" s="21" t="n">
        <f aca="false">P65*(1+O66)</f>
        <v>2.27031231870998</v>
      </c>
      <c r="Q66" s="21" t="n">
        <f aca="false">MAX($P$5:P66)</f>
        <v>2.35211887185133</v>
      </c>
      <c r="R66" s="16" t="n">
        <f aca="false">P66/Q66-1</f>
        <v>-0.0347799399598198</v>
      </c>
      <c r="S66" s="16" t="n">
        <f aca="false">O66-Benchmark_RF!D66</f>
        <v>0.004118884187255</v>
      </c>
    </row>
    <row r="67" customFormat="false" ht="15" hidden="false" customHeight="true" outlineLevel="0" collapsed="false">
      <c r="A67" s="1" t="n">
        <v>70</v>
      </c>
      <c r="B67" s="13" t="n">
        <f aca="false">Returns!A71</f>
        <v>44105</v>
      </c>
      <c r="C67" s="17" t="n">
        <f aca="false">IF(Rankings!C71&lt;=3,1,0)</f>
        <v>0</v>
      </c>
      <c r="D67" s="17" t="n">
        <f aca="false">IF(Rankings!D71&lt;=3,1,0)</f>
        <v>0</v>
      </c>
      <c r="E67" s="17" t="n">
        <f aca="false">IF(Rankings!E71&lt;=3,1,0)</f>
        <v>0</v>
      </c>
      <c r="F67" s="17" t="n">
        <f aca="false">IF(Rankings!F71&lt;=3,1,0)</f>
        <v>1</v>
      </c>
      <c r="G67" s="17" t="n">
        <f aca="false">IF(Rankings!G71&lt;=3,1,0)</f>
        <v>1</v>
      </c>
      <c r="H67" s="17" t="n">
        <f aca="false">IF(Rankings!H71&lt;=3,1,0)</f>
        <v>0</v>
      </c>
      <c r="I67" s="17" t="n">
        <f aca="false">IF(Rankings!I71&lt;=3,1,0)</f>
        <v>1</v>
      </c>
      <c r="J67" s="17" t="n">
        <f aca="false">IF(Rankings!J71&lt;=3,1,0)</f>
        <v>0</v>
      </c>
      <c r="K67" s="20" t="n">
        <f aca="false">SUM(C67:J67)</f>
        <v>3</v>
      </c>
      <c r="L67" s="16" t="n">
        <f aca="false">SUMPRODUCT(C67:J67,Returns!B71:I71)/K67</f>
        <v>0.0661894059440293</v>
      </c>
      <c r="M67" s="16" t="n">
        <v>0</v>
      </c>
      <c r="N67" s="16" t="n">
        <v>0</v>
      </c>
      <c r="O67" s="16" t="n">
        <f aca="false">L67+M67+N67</f>
        <v>0.0661894059440293</v>
      </c>
      <c r="P67" s="21" t="n">
        <f aca="false">P66*(1+O67)</f>
        <v>2.42058294239281</v>
      </c>
      <c r="Q67" s="21" t="n">
        <f aca="false">MAX($P$5:P67)</f>
        <v>2.42058294239281</v>
      </c>
      <c r="R67" s="16" t="n">
        <f aca="false">P67/Q67-1</f>
        <v>0</v>
      </c>
      <c r="S67" s="16" t="n">
        <f aca="false">O67-Benchmark_RF!D67</f>
        <v>0.0604115955109255</v>
      </c>
    </row>
    <row r="68" customFormat="false" ht="15" hidden="false" customHeight="true" outlineLevel="0" collapsed="false">
      <c r="A68" s="1" t="n">
        <v>71</v>
      </c>
      <c r="B68" s="13" t="n">
        <f aca="false">Returns!A72</f>
        <v>44136</v>
      </c>
      <c r="C68" s="17" t="n">
        <f aca="false">IF(Rankings!C71&lt;=3,1,0)</f>
        <v>0</v>
      </c>
      <c r="D68" s="17" t="n">
        <f aca="false">IF(Rankings!D71&lt;=3,1,0)</f>
        <v>0</v>
      </c>
      <c r="E68" s="17" t="n">
        <f aca="false">IF(Rankings!E71&lt;=3,1,0)</f>
        <v>0</v>
      </c>
      <c r="F68" s="17" t="n">
        <f aca="false">IF(Rankings!F71&lt;=3,1,0)</f>
        <v>1</v>
      </c>
      <c r="G68" s="17" t="n">
        <f aca="false">IF(Rankings!G71&lt;=3,1,0)</f>
        <v>1</v>
      </c>
      <c r="H68" s="17" t="n">
        <f aca="false">IF(Rankings!H71&lt;=3,1,0)</f>
        <v>0</v>
      </c>
      <c r="I68" s="17" t="n">
        <f aca="false">IF(Rankings!I71&lt;=3,1,0)</f>
        <v>1</v>
      </c>
      <c r="J68" s="17" t="n">
        <f aca="false">IF(Rankings!J71&lt;=3,1,0)</f>
        <v>0</v>
      </c>
      <c r="K68" s="20" t="n">
        <f aca="false">SUM(C68:J68)</f>
        <v>3</v>
      </c>
      <c r="L68" s="16" t="n">
        <f aca="false">SUMPRODUCT(C68:J68,Returns!B72:I72)/K68</f>
        <v>0.00467911261791095</v>
      </c>
      <c r="M68" s="16" t="n">
        <v>0</v>
      </c>
      <c r="N68" s="16" t="n">
        <v>0</v>
      </c>
      <c r="O68" s="16" t="n">
        <f aca="false">L68+M68+N68</f>
        <v>0.00467911261791095</v>
      </c>
      <c r="P68" s="21" t="n">
        <f aca="false">P67*(1+O68)</f>
        <v>2.43190912258126</v>
      </c>
      <c r="Q68" s="21" t="n">
        <f aca="false">MAX($P$5:P68)</f>
        <v>2.43190912258126</v>
      </c>
      <c r="R68" s="16" t="n">
        <f aca="false">P68/Q68-1</f>
        <v>0</v>
      </c>
      <c r="S68" s="16" t="n">
        <f aca="false">O68-Benchmark_RF!D68</f>
        <v>-0.00108477428780055</v>
      </c>
    </row>
    <row r="69" customFormat="false" ht="15" hidden="false" customHeight="true" outlineLevel="0" collapsed="false">
      <c r="A69" s="1" t="n">
        <v>72</v>
      </c>
      <c r="B69" s="13" t="n">
        <f aca="false">Returns!A73</f>
        <v>44166</v>
      </c>
      <c r="C69" s="17" t="n">
        <f aca="false">IF(Rankings!C71&lt;=3,1,0)</f>
        <v>0</v>
      </c>
      <c r="D69" s="17" t="n">
        <f aca="false">IF(Rankings!D71&lt;=3,1,0)</f>
        <v>0</v>
      </c>
      <c r="E69" s="17" t="n">
        <f aca="false">IF(Rankings!E71&lt;=3,1,0)</f>
        <v>0</v>
      </c>
      <c r="F69" s="17" t="n">
        <f aca="false">IF(Rankings!F71&lt;=3,1,0)</f>
        <v>1</v>
      </c>
      <c r="G69" s="17" t="n">
        <f aca="false">IF(Rankings!G71&lt;=3,1,0)</f>
        <v>1</v>
      </c>
      <c r="H69" s="17" t="n">
        <f aca="false">IF(Rankings!H71&lt;=3,1,0)</f>
        <v>0</v>
      </c>
      <c r="I69" s="17" t="n">
        <f aca="false">IF(Rankings!I71&lt;=3,1,0)</f>
        <v>1</v>
      </c>
      <c r="J69" s="17" t="n">
        <f aca="false">IF(Rankings!J71&lt;=3,1,0)</f>
        <v>0</v>
      </c>
      <c r="K69" s="20" t="n">
        <f aca="false">SUM(C69:J69)</f>
        <v>3</v>
      </c>
      <c r="L69" s="16" t="n">
        <f aca="false">SUMPRODUCT(C69:J69,Returns!B73:I73)/K69</f>
        <v>0.0989590997158844</v>
      </c>
      <c r="M69" s="16" t="n">
        <v>0</v>
      </c>
      <c r="N69" s="16" t="n">
        <v>0</v>
      </c>
      <c r="O69" s="16" t="n">
        <f aca="false">L69+M69+N69</f>
        <v>0.0989590997158844</v>
      </c>
      <c r="P69" s="21" t="n">
        <f aca="false">P68*(1+O69)</f>
        <v>2.67256865994274</v>
      </c>
      <c r="Q69" s="21" t="n">
        <f aca="false">MAX($P$5:P69)</f>
        <v>2.67256865994274</v>
      </c>
      <c r="R69" s="16" t="n">
        <f aca="false">P69/Q69-1</f>
        <v>0</v>
      </c>
      <c r="S69" s="16" t="n">
        <f aca="false">O69-Benchmark_RF!D69</f>
        <v>0.0932196232106858</v>
      </c>
    </row>
    <row r="70" customFormat="false" ht="15" hidden="false" customHeight="true" outlineLevel="0" collapsed="false">
      <c r="A70" s="1" t="n">
        <v>73</v>
      </c>
      <c r="B70" s="13" t="n">
        <f aca="false">Returns!A74</f>
        <v>44197</v>
      </c>
      <c r="C70" s="17" t="n">
        <f aca="false">IF(Rankings!C71&lt;=3,1,0)</f>
        <v>0</v>
      </c>
      <c r="D70" s="17" t="n">
        <f aca="false">IF(Rankings!D71&lt;=3,1,0)</f>
        <v>0</v>
      </c>
      <c r="E70" s="17" t="n">
        <f aca="false">IF(Rankings!E71&lt;=3,1,0)</f>
        <v>0</v>
      </c>
      <c r="F70" s="17" t="n">
        <f aca="false">IF(Rankings!F71&lt;=3,1,0)</f>
        <v>1</v>
      </c>
      <c r="G70" s="17" t="n">
        <f aca="false">IF(Rankings!G71&lt;=3,1,0)</f>
        <v>1</v>
      </c>
      <c r="H70" s="17" t="n">
        <f aca="false">IF(Rankings!H71&lt;=3,1,0)</f>
        <v>0</v>
      </c>
      <c r="I70" s="17" t="n">
        <f aca="false">IF(Rankings!I71&lt;=3,1,0)</f>
        <v>1</v>
      </c>
      <c r="J70" s="17" t="n">
        <f aca="false">IF(Rankings!J71&lt;=3,1,0)</f>
        <v>0</v>
      </c>
      <c r="K70" s="20" t="n">
        <f aca="false">SUM(C70:J70)</f>
        <v>3</v>
      </c>
      <c r="L70" s="16" t="n">
        <f aca="false">SUMPRODUCT(C70:J70,Returns!B74:I74)/K70</f>
        <v>0.0354289464366383</v>
      </c>
      <c r="M70" s="16" t="n">
        <v>0</v>
      </c>
      <c r="N70" s="16" t="n">
        <v>0</v>
      </c>
      <c r="O70" s="16" t="n">
        <f aca="false">L70+M70+N70</f>
        <v>0.0354289464366383</v>
      </c>
      <c r="P70" s="21" t="n">
        <f aca="false">P69*(1+O70)</f>
        <v>2.76725495184409</v>
      </c>
      <c r="Q70" s="21" t="n">
        <f aca="false">MAX($P$5:P70)</f>
        <v>2.76725495184409</v>
      </c>
      <c r="R70" s="16" t="n">
        <f aca="false">P70/Q70-1</f>
        <v>0</v>
      </c>
      <c r="S70" s="16" t="n">
        <f aca="false">O70-Benchmark_RF!D70</f>
        <v>0.0296560637511546</v>
      </c>
    </row>
    <row r="71" customFormat="false" ht="15" hidden="false" customHeight="true" outlineLevel="0" collapsed="false">
      <c r="A71" s="1" t="n">
        <v>74</v>
      </c>
      <c r="B71" s="13" t="n">
        <f aca="false">Returns!A75</f>
        <v>44228</v>
      </c>
      <c r="C71" s="17" t="n">
        <f aca="false">IF(Rankings!C77&lt;=3,1,0)</f>
        <v>1</v>
      </c>
      <c r="D71" s="17" t="n">
        <f aca="false">IF(Rankings!D77&lt;=3,1,0)</f>
        <v>0</v>
      </c>
      <c r="E71" s="17" t="n">
        <f aca="false">IF(Rankings!E77&lt;=3,1,0)</f>
        <v>0</v>
      </c>
      <c r="F71" s="17" t="n">
        <f aca="false">IF(Rankings!F77&lt;=3,1,0)</f>
        <v>1</v>
      </c>
      <c r="G71" s="17" t="n">
        <f aca="false">IF(Rankings!G77&lt;=3,1,0)</f>
        <v>0</v>
      </c>
      <c r="H71" s="17" t="n">
        <f aca="false">IF(Rankings!H77&lt;=3,1,0)</f>
        <v>1</v>
      </c>
      <c r="I71" s="17" t="n">
        <f aca="false">IF(Rankings!I77&lt;=3,1,0)</f>
        <v>0</v>
      </c>
      <c r="J71" s="17" t="n">
        <f aca="false">IF(Rankings!J77&lt;=3,1,0)</f>
        <v>0</v>
      </c>
      <c r="K71" s="20" t="n">
        <f aca="false">SUM(C71:J71)</f>
        <v>3</v>
      </c>
      <c r="L71" s="16" t="n">
        <f aca="false">SUMPRODUCT(C71:J71,Returns!B75:I75)/K71</f>
        <v>-0.0207936488904526</v>
      </c>
      <c r="M71" s="16" t="n">
        <f aca="false">-2*Assumptions!$B$13</f>
        <v>-0.007</v>
      </c>
      <c r="N71" s="16" t="n">
        <f aca="false">-Assumptions!$B$16*MAX(0,(1+O65)*(1+O66)*(1+O67)*(1+O68)*(1+O69)*(1+O70)-1)</f>
        <v>-0.047563547220542</v>
      </c>
      <c r="O71" s="16" t="n">
        <f aca="false">L71+M71+N71</f>
        <v>-0.0753571961109946</v>
      </c>
      <c r="P71" s="21" t="n">
        <f aca="false">P70*(1+O71)</f>
        <v>2.55872237774886</v>
      </c>
      <c r="Q71" s="21" t="n">
        <f aca="false">MAX($P$5:P71)</f>
        <v>2.76725495184409</v>
      </c>
      <c r="R71" s="16" t="n">
        <f aca="false">P71/Q71-1</f>
        <v>-0.0753571961109946</v>
      </c>
      <c r="S71" s="16" t="n">
        <f aca="false">O71-Benchmark_RF!D71</f>
        <v>-0.0811605014407592</v>
      </c>
    </row>
    <row r="72" customFormat="false" ht="15" hidden="false" customHeight="true" outlineLevel="0" collapsed="false">
      <c r="A72" s="1" t="n">
        <v>75</v>
      </c>
      <c r="B72" s="13" t="n">
        <f aca="false">Returns!A76</f>
        <v>44256</v>
      </c>
      <c r="C72" s="17" t="n">
        <f aca="false">IF(Rankings!C77&lt;=3,1,0)</f>
        <v>1</v>
      </c>
      <c r="D72" s="17" t="n">
        <f aca="false">IF(Rankings!D77&lt;=3,1,0)</f>
        <v>0</v>
      </c>
      <c r="E72" s="17" t="n">
        <f aca="false">IF(Rankings!E77&lt;=3,1,0)</f>
        <v>0</v>
      </c>
      <c r="F72" s="17" t="n">
        <f aca="false">IF(Rankings!F77&lt;=3,1,0)</f>
        <v>1</v>
      </c>
      <c r="G72" s="17" t="n">
        <f aca="false">IF(Rankings!G77&lt;=3,1,0)</f>
        <v>0</v>
      </c>
      <c r="H72" s="17" t="n">
        <f aca="false">IF(Rankings!H77&lt;=3,1,0)</f>
        <v>1</v>
      </c>
      <c r="I72" s="17" t="n">
        <f aca="false">IF(Rankings!I77&lt;=3,1,0)</f>
        <v>0</v>
      </c>
      <c r="J72" s="17" t="n">
        <f aca="false">IF(Rankings!J77&lt;=3,1,0)</f>
        <v>0</v>
      </c>
      <c r="K72" s="20" t="n">
        <f aca="false">SUM(C72:J72)</f>
        <v>3</v>
      </c>
      <c r="L72" s="16" t="n">
        <f aca="false">SUMPRODUCT(C72:J72,Returns!B76:I76)/K72</f>
        <v>-0.0507731183203386</v>
      </c>
      <c r="M72" s="16" t="n">
        <v>0</v>
      </c>
      <c r="N72" s="16" t="n">
        <v>0</v>
      </c>
      <c r="O72" s="16" t="n">
        <f aca="false">L72+M72+N72</f>
        <v>-0.0507731183203386</v>
      </c>
      <c r="P72" s="21" t="n">
        <f aca="false">P71*(1+O72)</f>
        <v>2.42880806371452</v>
      </c>
      <c r="Q72" s="21" t="n">
        <f aca="false">MAX($P$5:P72)</f>
        <v>2.76725495184409</v>
      </c>
      <c r="R72" s="16" t="n">
        <f aca="false">P72/Q72-1</f>
        <v>-0.122304194596901</v>
      </c>
      <c r="S72" s="16" t="n">
        <f aca="false">O72-Benchmark_RF!D72</f>
        <v>-0.0567632733910086</v>
      </c>
    </row>
    <row r="73" customFormat="false" ht="15" hidden="false" customHeight="true" outlineLevel="0" collapsed="false">
      <c r="A73" s="1" t="n">
        <v>76</v>
      </c>
      <c r="B73" s="13" t="n">
        <f aca="false">Returns!A77</f>
        <v>44287</v>
      </c>
      <c r="C73" s="17" t="n">
        <f aca="false">IF(Rankings!C77&lt;=3,1,0)</f>
        <v>1</v>
      </c>
      <c r="D73" s="17" t="n">
        <f aca="false">IF(Rankings!D77&lt;=3,1,0)</f>
        <v>0</v>
      </c>
      <c r="E73" s="17" t="n">
        <f aca="false">IF(Rankings!E77&lt;=3,1,0)</f>
        <v>0</v>
      </c>
      <c r="F73" s="17" t="n">
        <f aca="false">IF(Rankings!F77&lt;=3,1,0)</f>
        <v>1</v>
      </c>
      <c r="G73" s="17" t="n">
        <f aca="false">IF(Rankings!G77&lt;=3,1,0)</f>
        <v>0</v>
      </c>
      <c r="H73" s="17" t="n">
        <f aca="false">IF(Rankings!H77&lt;=3,1,0)</f>
        <v>1</v>
      </c>
      <c r="I73" s="17" t="n">
        <f aca="false">IF(Rankings!I77&lt;=3,1,0)</f>
        <v>0</v>
      </c>
      <c r="J73" s="17" t="n">
        <f aca="false">IF(Rankings!J77&lt;=3,1,0)</f>
        <v>0</v>
      </c>
      <c r="K73" s="20" t="n">
        <f aca="false">SUM(C73:J73)</f>
        <v>3</v>
      </c>
      <c r="L73" s="16" t="n">
        <f aca="false">SUMPRODUCT(C73:J73,Returns!B77:I77)/K73</f>
        <v>-0.0487194908806777</v>
      </c>
      <c r="M73" s="16" t="n">
        <v>0</v>
      </c>
      <c r="N73" s="16" t="n">
        <v>0</v>
      </c>
      <c r="O73" s="16" t="n">
        <f aca="false">L73+M73+N73</f>
        <v>-0.0487194908806777</v>
      </c>
      <c r="P73" s="21" t="n">
        <f aca="false">P72*(1+O73)</f>
        <v>2.31047777140346</v>
      </c>
      <c r="Q73" s="21" t="n">
        <f aca="false">MAX($P$5:P73)</f>
        <v>2.76725495184409</v>
      </c>
      <c r="R73" s="16" t="n">
        <f aca="false">P73/Q73-1</f>
        <v>-0.165065087384246</v>
      </c>
      <c r="S73" s="16" t="n">
        <f aca="false">O73-Benchmark_RF!D73</f>
        <v>-0.0546678878593038</v>
      </c>
    </row>
    <row r="74" customFormat="false" ht="15" hidden="false" customHeight="true" outlineLevel="0" collapsed="false">
      <c r="A74" s="1" t="n">
        <v>77</v>
      </c>
      <c r="B74" s="13" t="n">
        <f aca="false">Returns!A78</f>
        <v>44317</v>
      </c>
      <c r="C74" s="17" t="n">
        <f aca="false">IF(Rankings!C77&lt;=3,1,0)</f>
        <v>1</v>
      </c>
      <c r="D74" s="17" t="n">
        <f aca="false">IF(Rankings!D77&lt;=3,1,0)</f>
        <v>0</v>
      </c>
      <c r="E74" s="17" t="n">
        <f aca="false">IF(Rankings!E77&lt;=3,1,0)</f>
        <v>0</v>
      </c>
      <c r="F74" s="17" t="n">
        <f aca="false">IF(Rankings!F77&lt;=3,1,0)</f>
        <v>1</v>
      </c>
      <c r="G74" s="17" t="n">
        <f aca="false">IF(Rankings!G77&lt;=3,1,0)</f>
        <v>0</v>
      </c>
      <c r="H74" s="17" t="n">
        <f aca="false">IF(Rankings!H77&lt;=3,1,0)</f>
        <v>1</v>
      </c>
      <c r="I74" s="17" t="n">
        <f aca="false">IF(Rankings!I77&lt;=3,1,0)</f>
        <v>0</v>
      </c>
      <c r="J74" s="17" t="n">
        <f aca="false">IF(Rankings!J77&lt;=3,1,0)</f>
        <v>0</v>
      </c>
      <c r="K74" s="20" t="n">
        <f aca="false">SUM(C74:J74)</f>
        <v>3</v>
      </c>
      <c r="L74" s="16" t="n">
        <f aca="false">SUMPRODUCT(C74:J74,Returns!B78:I78)/K74</f>
        <v>0.0371654943556784</v>
      </c>
      <c r="M74" s="16" t="n">
        <v>0</v>
      </c>
      <c r="N74" s="16" t="n">
        <v>0</v>
      </c>
      <c r="O74" s="16" t="n">
        <f aca="false">L74+M74+N74</f>
        <v>0.0371654943556784</v>
      </c>
      <c r="P74" s="21" t="n">
        <f aca="false">P73*(1+O74)</f>
        <v>2.39634781997548</v>
      </c>
      <c r="Q74" s="21" t="n">
        <f aca="false">MAX($P$5:P74)</f>
        <v>2.76725495184409</v>
      </c>
      <c r="R74" s="16" t="n">
        <f aca="false">P74/Q74-1</f>
        <v>-0.134034318602066</v>
      </c>
      <c r="S74" s="16" t="n">
        <f aca="false">O74-Benchmark_RF!D74</f>
        <v>0.0312438794220199</v>
      </c>
    </row>
    <row r="75" customFormat="false" ht="15" hidden="false" customHeight="true" outlineLevel="0" collapsed="false">
      <c r="A75" s="1" t="n">
        <v>78</v>
      </c>
      <c r="B75" s="13" t="n">
        <f aca="false">Returns!A79</f>
        <v>44348</v>
      </c>
      <c r="C75" s="17" t="n">
        <f aca="false">IF(Rankings!C77&lt;=3,1,0)</f>
        <v>1</v>
      </c>
      <c r="D75" s="17" t="n">
        <f aca="false">IF(Rankings!D77&lt;=3,1,0)</f>
        <v>0</v>
      </c>
      <c r="E75" s="17" t="n">
        <f aca="false">IF(Rankings!E77&lt;=3,1,0)</f>
        <v>0</v>
      </c>
      <c r="F75" s="17" t="n">
        <f aca="false">IF(Rankings!F77&lt;=3,1,0)</f>
        <v>1</v>
      </c>
      <c r="G75" s="17" t="n">
        <f aca="false">IF(Rankings!G77&lt;=3,1,0)</f>
        <v>0</v>
      </c>
      <c r="H75" s="17" t="n">
        <f aca="false">IF(Rankings!H77&lt;=3,1,0)</f>
        <v>1</v>
      </c>
      <c r="I75" s="17" t="n">
        <f aca="false">IF(Rankings!I77&lt;=3,1,0)</f>
        <v>0</v>
      </c>
      <c r="J75" s="17" t="n">
        <f aca="false">IF(Rankings!J77&lt;=3,1,0)</f>
        <v>0</v>
      </c>
      <c r="K75" s="20" t="n">
        <f aca="false">SUM(C75:J75)</f>
        <v>3</v>
      </c>
      <c r="L75" s="16" t="n">
        <f aca="false">SUMPRODUCT(C75:J75,Returns!B79:I79)/K75</f>
        <v>-0.0216195084418465</v>
      </c>
      <c r="M75" s="16" t="n">
        <v>0</v>
      </c>
      <c r="N75" s="16" t="n">
        <v>0</v>
      </c>
      <c r="O75" s="16" t="n">
        <f aca="false">L75+M75+N75</f>
        <v>-0.0216195084418465</v>
      </c>
      <c r="P75" s="21" t="n">
        <f aca="false">P74*(1+O75)</f>
        <v>2.34453995805192</v>
      </c>
      <c r="Q75" s="21" t="n">
        <f aca="false">MAX($P$5:P75)</f>
        <v>2.76725495184409</v>
      </c>
      <c r="R75" s="16" t="n">
        <f aca="false">P75/Q75-1</f>
        <v>-0.152756070961398</v>
      </c>
      <c r="S75" s="16" t="n">
        <f aca="false">O75-Benchmark_RF!D75</f>
        <v>-0.0275046465776541</v>
      </c>
    </row>
    <row r="76" customFormat="false" ht="15" hidden="false" customHeight="true" outlineLevel="0" collapsed="false">
      <c r="A76" s="1" t="n">
        <v>79</v>
      </c>
      <c r="B76" s="13" t="n">
        <f aca="false">Returns!A80</f>
        <v>44378</v>
      </c>
      <c r="C76" s="17" t="n">
        <f aca="false">IF(Rankings!C77&lt;=3,1,0)</f>
        <v>1</v>
      </c>
      <c r="D76" s="17" t="n">
        <f aca="false">IF(Rankings!D77&lt;=3,1,0)</f>
        <v>0</v>
      </c>
      <c r="E76" s="17" t="n">
        <f aca="false">IF(Rankings!E77&lt;=3,1,0)</f>
        <v>0</v>
      </c>
      <c r="F76" s="17" t="n">
        <f aca="false">IF(Rankings!F77&lt;=3,1,0)</f>
        <v>1</v>
      </c>
      <c r="G76" s="17" t="n">
        <f aca="false">IF(Rankings!G77&lt;=3,1,0)</f>
        <v>0</v>
      </c>
      <c r="H76" s="17" t="n">
        <f aca="false">IF(Rankings!H77&lt;=3,1,0)</f>
        <v>1</v>
      </c>
      <c r="I76" s="17" t="n">
        <f aca="false">IF(Rankings!I77&lt;=3,1,0)</f>
        <v>0</v>
      </c>
      <c r="J76" s="17" t="n">
        <f aca="false">IF(Rankings!J77&lt;=3,1,0)</f>
        <v>0</v>
      </c>
      <c r="K76" s="20" t="n">
        <f aca="false">SUM(C76:J76)</f>
        <v>3</v>
      </c>
      <c r="L76" s="16" t="n">
        <f aca="false">SUMPRODUCT(C76:J76,Returns!B80:I80)/K76</f>
        <v>-0.00352022994673532</v>
      </c>
      <c r="M76" s="16" t="n">
        <v>0</v>
      </c>
      <c r="N76" s="16" t="n">
        <v>0</v>
      </c>
      <c r="O76" s="16" t="n">
        <f aca="false">L76+M76+N76</f>
        <v>-0.00352022994673532</v>
      </c>
      <c r="P76" s="21" t="n">
        <f aca="false">P75*(1+O76)</f>
        <v>2.33628663828026</v>
      </c>
      <c r="Q76" s="21" t="n">
        <f aca="false">MAX($P$5:P76)</f>
        <v>2.76725495184409</v>
      </c>
      <c r="R76" s="16" t="n">
        <f aca="false">P76/Q76-1</f>
        <v>-0.15573856441259</v>
      </c>
      <c r="S76" s="16" t="n">
        <f aca="false">O76-Benchmark_RF!D76</f>
        <v>-0.00935629282088805</v>
      </c>
    </row>
    <row r="77" customFormat="false" ht="15" hidden="false" customHeight="true" outlineLevel="0" collapsed="false">
      <c r="A77" s="1" t="n">
        <v>80</v>
      </c>
      <c r="B77" s="13" t="n">
        <f aca="false">Returns!A81</f>
        <v>44409</v>
      </c>
      <c r="C77" s="17" t="n">
        <f aca="false">IF(Rankings!C83&lt;=3,1,0)</f>
        <v>1</v>
      </c>
      <c r="D77" s="17" t="n">
        <f aca="false">IF(Rankings!D83&lt;=3,1,0)</f>
        <v>1</v>
      </c>
      <c r="E77" s="17" t="n">
        <f aca="false">IF(Rankings!E83&lt;=3,1,0)</f>
        <v>0</v>
      </c>
      <c r="F77" s="17" t="n">
        <f aca="false">IF(Rankings!F83&lt;=3,1,0)</f>
        <v>1</v>
      </c>
      <c r="G77" s="17" t="n">
        <f aca="false">IF(Rankings!G83&lt;=3,1,0)</f>
        <v>0</v>
      </c>
      <c r="H77" s="17" t="n">
        <f aca="false">IF(Rankings!H83&lt;=3,1,0)</f>
        <v>0</v>
      </c>
      <c r="I77" s="17" t="n">
        <f aca="false">IF(Rankings!I83&lt;=3,1,0)</f>
        <v>0</v>
      </c>
      <c r="J77" s="17" t="n">
        <f aca="false">IF(Rankings!J83&lt;=3,1,0)</f>
        <v>0</v>
      </c>
      <c r="K77" s="20" t="n">
        <f aca="false">SUM(C77:J77)</f>
        <v>3</v>
      </c>
      <c r="L77" s="16" t="n">
        <f aca="false">SUMPRODUCT(C77:J77,Returns!B81:I81)/K77</f>
        <v>0.0822933502238807</v>
      </c>
      <c r="M77" s="16" t="n">
        <f aca="false">-2*Assumptions!$B$13</f>
        <v>-0.007</v>
      </c>
      <c r="N77" s="16" t="n">
        <f aca="false">-Assumptions!$B$16*MAX(0,(1+O71)*(1+O72)*(1+O73)*(1+O74)*(1+O75)*(1+O76)-1)</f>
        <v>-0</v>
      </c>
      <c r="O77" s="16" t="n">
        <f aca="false">L77+M77+N77</f>
        <v>0.0752933502238807</v>
      </c>
      <c r="P77" s="21" t="n">
        <f aca="false">P76*(1+O77)</f>
        <v>2.51219348635967</v>
      </c>
      <c r="Q77" s="21" t="n">
        <f aca="false">MAX($P$5:P77)</f>
        <v>2.76725495184409</v>
      </c>
      <c r="R77" s="16" t="n">
        <f aca="false">P77/Q77-1</f>
        <v>-0.0921712924623905</v>
      </c>
      <c r="S77" s="16" t="n">
        <f aca="false">O77-Benchmark_RF!D77</f>
        <v>0.069459788705369</v>
      </c>
    </row>
    <row r="78" customFormat="false" ht="15" hidden="false" customHeight="true" outlineLevel="0" collapsed="false">
      <c r="A78" s="1" t="n">
        <v>81</v>
      </c>
      <c r="B78" s="13" t="n">
        <f aca="false">Returns!A82</f>
        <v>44440</v>
      </c>
      <c r="C78" s="17" t="n">
        <f aca="false">IF(Rankings!C83&lt;=3,1,0)</f>
        <v>1</v>
      </c>
      <c r="D78" s="17" t="n">
        <f aca="false">IF(Rankings!D83&lt;=3,1,0)</f>
        <v>1</v>
      </c>
      <c r="E78" s="17" t="n">
        <f aca="false">IF(Rankings!E83&lt;=3,1,0)</f>
        <v>0</v>
      </c>
      <c r="F78" s="17" t="n">
        <f aca="false">IF(Rankings!F83&lt;=3,1,0)</f>
        <v>1</v>
      </c>
      <c r="G78" s="17" t="n">
        <f aca="false">IF(Rankings!G83&lt;=3,1,0)</f>
        <v>0</v>
      </c>
      <c r="H78" s="17" t="n">
        <f aca="false">IF(Rankings!H83&lt;=3,1,0)</f>
        <v>0</v>
      </c>
      <c r="I78" s="17" t="n">
        <f aca="false">IF(Rankings!I83&lt;=3,1,0)</f>
        <v>0</v>
      </c>
      <c r="J78" s="17" t="n">
        <f aca="false">IF(Rankings!J83&lt;=3,1,0)</f>
        <v>0</v>
      </c>
      <c r="K78" s="20" t="n">
        <f aca="false">SUM(C78:J78)</f>
        <v>3</v>
      </c>
      <c r="L78" s="16" t="n">
        <f aca="false">SUMPRODUCT(C78:J78,Returns!B82:I82)/K78</f>
        <v>-0.0425416156620153</v>
      </c>
      <c r="M78" s="16" t="n">
        <v>0</v>
      </c>
      <c r="N78" s="16" t="n">
        <v>0</v>
      </c>
      <c r="O78" s="16" t="n">
        <f aca="false">L78+M78+N78</f>
        <v>-0.0425416156620153</v>
      </c>
      <c r="P78" s="21" t="n">
        <f aca="false">P77*(1+O78)</f>
        <v>2.40532071659434</v>
      </c>
      <c r="Q78" s="21" t="n">
        <f aca="false">MAX($P$5:P78)</f>
        <v>2.76725495184409</v>
      </c>
      <c r="R78" s="16" t="n">
        <f aca="false">P78/Q78-1</f>
        <v>-0.1307917924254</v>
      </c>
      <c r="S78" s="16" t="n">
        <f aca="false">O78-Benchmark_RF!D78</f>
        <v>-0.0486419673369987</v>
      </c>
    </row>
    <row r="79" customFormat="false" ht="15" hidden="false" customHeight="true" outlineLevel="0" collapsed="false">
      <c r="A79" s="1" t="n">
        <v>82</v>
      </c>
      <c r="B79" s="13" t="n">
        <f aca="false">Returns!A83</f>
        <v>44470</v>
      </c>
      <c r="C79" s="17" t="n">
        <f aca="false">IF(Rankings!C83&lt;=3,1,0)</f>
        <v>1</v>
      </c>
      <c r="D79" s="17" t="n">
        <f aca="false">IF(Rankings!D83&lt;=3,1,0)</f>
        <v>1</v>
      </c>
      <c r="E79" s="17" t="n">
        <f aca="false">IF(Rankings!E83&lt;=3,1,0)</f>
        <v>0</v>
      </c>
      <c r="F79" s="17" t="n">
        <f aca="false">IF(Rankings!F83&lt;=3,1,0)</f>
        <v>1</v>
      </c>
      <c r="G79" s="17" t="n">
        <f aca="false">IF(Rankings!G83&lt;=3,1,0)</f>
        <v>0</v>
      </c>
      <c r="H79" s="17" t="n">
        <f aca="false">IF(Rankings!H83&lt;=3,1,0)</f>
        <v>0</v>
      </c>
      <c r="I79" s="17" t="n">
        <f aca="false">IF(Rankings!I83&lt;=3,1,0)</f>
        <v>0</v>
      </c>
      <c r="J79" s="17" t="n">
        <f aca="false">IF(Rankings!J83&lt;=3,1,0)</f>
        <v>0</v>
      </c>
      <c r="K79" s="20" t="n">
        <f aca="false">SUM(C79:J79)</f>
        <v>3</v>
      </c>
      <c r="L79" s="16" t="n">
        <f aca="false">SUMPRODUCT(C79:J79,Returns!B83:I83)/K79</f>
        <v>0.0153164425736314</v>
      </c>
      <c r="M79" s="16" t="n">
        <v>0</v>
      </c>
      <c r="N79" s="16" t="n">
        <v>0</v>
      </c>
      <c r="O79" s="16" t="n">
        <f aca="false">L79+M79+N79</f>
        <v>0.0153164425736314</v>
      </c>
      <c r="P79" s="21" t="n">
        <f aca="false">P78*(1+O79)</f>
        <v>2.44216167322122</v>
      </c>
      <c r="Q79" s="21" t="n">
        <f aca="false">MAX($P$5:P79)</f>
        <v>2.76725495184409</v>
      </c>
      <c r="R79" s="16" t="n">
        <f aca="false">P79/Q79-1</f>
        <v>-0.117478614829554</v>
      </c>
      <c r="S79" s="16" t="n">
        <f aca="false">O79-Benchmark_RF!D79</f>
        <v>0.00874676871467609</v>
      </c>
    </row>
    <row r="80" customFormat="false" ht="15" hidden="false" customHeight="true" outlineLevel="0" collapsed="false">
      <c r="A80" s="1" t="n">
        <v>83</v>
      </c>
      <c r="B80" s="13" t="n">
        <f aca="false">Returns!A84</f>
        <v>44501</v>
      </c>
      <c r="C80" s="17" t="n">
        <f aca="false">IF(Rankings!C83&lt;=3,1,0)</f>
        <v>1</v>
      </c>
      <c r="D80" s="17" t="n">
        <f aca="false">IF(Rankings!D83&lt;=3,1,0)</f>
        <v>1</v>
      </c>
      <c r="E80" s="17" t="n">
        <f aca="false">IF(Rankings!E83&lt;=3,1,0)</f>
        <v>0</v>
      </c>
      <c r="F80" s="17" t="n">
        <f aca="false">IF(Rankings!F83&lt;=3,1,0)</f>
        <v>1</v>
      </c>
      <c r="G80" s="17" t="n">
        <f aca="false">IF(Rankings!G83&lt;=3,1,0)</f>
        <v>0</v>
      </c>
      <c r="H80" s="17" t="n">
        <f aca="false">IF(Rankings!H83&lt;=3,1,0)</f>
        <v>0</v>
      </c>
      <c r="I80" s="17" t="n">
        <f aca="false">IF(Rankings!I83&lt;=3,1,0)</f>
        <v>0</v>
      </c>
      <c r="J80" s="17" t="n">
        <f aca="false">IF(Rankings!J83&lt;=3,1,0)</f>
        <v>0</v>
      </c>
      <c r="K80" s="20" t="n">
        <f aca="false">SUM(C80:J80)</f>
        <v>3</v>
      </c>
      <c r="L80" s="16" t="n">
        <f aca="false">SUMPRODUCT(C80:J80,Returns!B84:I84)/K80</f>
        <v>0.0233246373767554</v>
      </c>
      <c r="M80" s="16" t="n">
        <v>0</v>
      </c>
      <c r="N80" s="16" t="n">
        <v>0</v>
      </c>
      <c r="O80" s="16" t="n">
        <f aca="false">L80+M80+N80</f>
        <v>0.0233246373767554</v>
      </c>
      <c r="P80" s="21" t="n">
        <f aca="false">P79*(1+O80)</f>
        <v>2.49912420866452</v>
      </c>
      <c r="Q80" s="21" t="n">
        <f aca="false">MAX($P$5:P80)</f>
        <v>2.76725495184409</v>
      </c>
      <c r="R80" s="16" t="n">
        <f aca="false">P80/Q80-1</f>
        <v>-0.0968941235432216</v>
      </c>
      <c r="S80" s="16" t="n">
        <f aca="false">O80-Benchmark_RF!D80</f>
        <v>0.016502912024568</v>
      </c>
    </row>
    <row r="81" customFormat="false" ht="15" hidden="false" customHeight="true" outlineLevel="0" collapsed="false">
      <c r="A81" s="1" t="n">
        <v>84</v>
      </c>
      <c r="B81" s="13" t="n">
        <f aca="false">Returns!A85</f>
        <v>44531</v>
      </c>
      <c r="C81" s="17" t="n">
        <f aca="false">IF(Rankings!C83&lt;=3,1,0)</f>
        <v>1</v>
      </c>
      <c r="D81" s="17" t="n">
        <f aca="false">IF(Rankings!D83&lt;=3,1,0)</f>
        <v>1</v>
      </c>
      <c r="E81" s="17" t="n">
        <f aca="false">IF(Rankings!E83&lt;=3,1,0)</f>
        <v>0</v>
      </c>
      <c r="F81" s="17" t="n">
        <f aca="false">IF(Rankings!F83&lt;=3,1,0)</f>
        <v>1</v>
      </c>
      <c r="G81" s="17" t="n">
        <f aca="false">IF(Rankings!G83&lt;=3,1,0)</f>
        <v>0</v>
      </c>
      <c r="H81" s="17" t="n">
        <f aca="false">IF(Rankings!H83&lt;=3,1,0)</f>
        <v>0</v>
      </c>
      <c r="I81" s="17" t="n">
        <f aca="false">IF(Rankings!I83&lt;=3,1,0)</f>
        <v>0</v>
      </c>
      <c r="J81" s="17" t="n">
        <f aca="false">IF(Rankings!J83&lt;=3,1,0)</f>
        <v>0</v>
      </c>
      <c r="K81" s="20" t="n">
        <f aca="false">SUM(C81:J81)</f>
        <v>3</v>
      </c>
      <c r="L81" s="16" t="n">
        <f aca="false">SUMPRODUCT(C81:J81,Returns!B85:I85)/K81</f>
        <v>-0.0359418445840664</v>
      </c>
      <c r="M81" s="16" t="n">
        <v>0</v>
      </c>
      <c r="N81" s="16" t="n">
        <v>0</v>
      </c>
      <c r="O81" s="16" t="n">
        <f aca="false">L81+M81+N81</f>
        <v>-0.0359418445840664</v>
      </c>
      <c r="P81" s="21" t="n">
        <f aca="false">P80*(1+O81)</f>
        <v>2.40930107476042</v>
      </c>
      <c r="Q81" s="21" t="n">
        <f aca="false">MAX($P$5:P81)</f>
        <v>2.76725495184409</v>
      </c>
      <c r="R81" s="16" t="n">
        <f aca="false">P81/Q81-1</f>
        <v>-0.129353414597788</v>
      </c>
      <c r="S81" s="16" t="n">
        <f aca="false">O81-Benchmark_RF!D81</f>
        <v>-0.0442112575954292</v>
      </c>
    </row>
    <row r="82" customFormat="false" ht="15" hidden="false" customHeight="true" outlineLevel="0" collapsed="false">
      <c r="A82" s="1" t="n">
        <v>85</v>
      </c>
      <c r="B82" s="13" t="n">
        <f aca="false">Returns!A86</f>
        <v>44562</v>
      </c>
      <c r="C82" s="17" t="n">
        <f aca="false">IF(Rankings!C83&lt;=3,1,0)</f>
        <v>1</v>
      </c>
      <c r="D82" s="17" t="n">
        <f aca="false">IF(Rankings!D83&lt;=3,1,0)</f>
        <v>1</v>
      </c>
      <c r="E82" s="17" t="n">
        <f aca="false">IF(Rankings!E83&lt;=3,1,0)</f>
        <v>0</v>
      </c>
      <c r="F82" s="17" t="n">
        <f aca="false">IF(Rankings!F83&lt;=3,1,0)</f>
        <v>1</v>
      </c>
      <c r="G82" s="17" t="n">
        <f aca="false">IF(Rankings!G83&lt;=3,1,0)</f>
        <v>0</v>
      </c>
      <c r="H82" s="17" t="n">
        <f aca="false">IF(Rankings!H83&lt;=3,1,0)</f>
        <v>0</v>
      </c>
      <c r="I82" s="17" t="n">
        <f aca="false">IF(Rankings!I83&lt;=3,1,0)</f>
        <v>0</v>
      </c>
      <c r="J82" s="17" t="n">
        <f aca="false">IF(Rankings!J83&lt;=3,1,0)</f>
        <v>0</v>
      </c>
      <c r="K82" s="20" t="n">
        <f aca="false">SUM(C82:J82)</f>
        <v>3</v>
      </c>
      <c r="L82" s="16" t="n">
        <f aca="false">SUMPRODUCT(C82:J82,Returns!B86:I86)/K82</f>
        <v>0.0273201106018807</v>
      </c>
      <c r="M82" s="16" t="n">
        <v>0</v>
      </c>
      <c r="N82" s="16" t="n">
        <v>0</v>
      </c>
      <c r="O82" s="16" t="n">
        <f aca="false">L82+M82+N82</f>
        <v>0.0273201106018807</v>
      </c>
      <c r="P82" s="21" t="n">
        <f aca="false">P81*(1+O82)</f>
        <v>2.47512344659611</v>
      </c>
      <c r="Q82" s="21" t="n">
        <f aca="false">MAX($P$5:P82)</f>
        <v>2.76725495184409</v>
      </c>
      <c r="R82" s="16" t="n">
        <f aca="false">P82/Q82-1</f>
        <v>-0.10556725358945</v>
      </c>
      <c r="S82" s="16" t="n">
        <f aca="false">O82-Benchmark_RF!D82</f>
        <v>0.0191910869298454</v>
      </c>
    </row>
    <row r="83" customFormat="false" ht="15" hidden="false" customHeight="true" outlineLevel="0" collapsed="false">
      <c r="A83" s="1" t="n">
        <v>86</v>
      </c>
      <c r="B83" s="13" t="n">
        <f aca="false">Returns!A87</f>
        <v>44593</v>
      </c>
      <c r="C83" s="17" t="n">
        <f aca="false">IF(Rankings!C89&lt;=3,1,0)</f>
        <v>1</v>
      </c>
      <c r="D83" s="17" t="n">
        <f aca="false">IF(Rankings!D89&lt;=3,1,0)</f>
        <v>1</v>
      </c>
      <c r="E83" s="17" t="n">
        <f aca="false">IF(Rankings!E89&lt;=3,1,0)</f>
        <v>0</v>
      </c>
      <c r="F83" s="17" t="n">
        <f aca="false">IF(Rankings!F89&lt;=3,1,0)</f>
        <v>0</v>
      </c>
      <c r="G83" s="17" t="n">
        <f aca="false">IF(Rankings!G89&lt;=3,1,0)</f>
        <v>0</v>
      </c>
      <c r="H83" s="17" t="n">
        <f aca="false">IF(Rankings!H89&lt;=3,1,0)</f>
        <v>0</v>
      </c>
      <c r="I83" s="17" t="n">
        <f aca="false">IF(Rankings!I89&lt;=3,1,0)</f>
        <v>1</v>
      </c>
      <c r="J83" s="17" t="n">
        <f aca="false">IF(Rankings!J89&lt;=3,1,0)</f>
        <v>0</v>
      </c>
      <c r="K83" s="20" t="n">
        <f aca="false">SUM(C83:J83)</f>
        <v>3</v>
      </c>
      <c r="L83" s="16" t="n">
        <f aca="false">SUMPRODUCT(C83:J83,Returns!B87:I87)/K83</f>
        <v>-0.0176533260464273</v>
      </c>
      <c r="M83" s="16" t="n">
        <f aca="false">-2*Assumptions!$B$13</f>
        <v>-0.007</v>
      </c>
      <c r="N83" s="16" t="n">
        <f aca="false">-Assumptions!$B$16*MAX(0,(1+O77)*(1+O78)*(1+O79)*(1+O80)*(1+O81)*(1+O82)-1)</f>
        <v>-0.00891394099771335</v>
      </c>
      <c r="O83" s="16" t="n">
        <f aca="false">L83+M83+N83</f>
        <v>-0.0335672670441407</v>
      </c>
      <c r="P83" s="21" t="n">
        <f aca="false">P82*(1+O83)</f>
        <v>2.392040316897</v>
      </c>
      <c r="Q83" s="21" t="n">
        <f aca="false">MAX($P$5:P83)</f>
        <v>2.76725495184409</v>
      </c>
      <c r="R83" s="16" t="n">
        <f aca="false">P83/Q83-1</f>
        <v>-0.135590916441237</v>
      </c>
      <c r="S83" s="16" t="n">
        <f aca="false">O83-Benchmark_RF!D83</f>
        <v>-0.0418338637184332</v>
      </c>
    </row>
    <row r="84" customFormat="false" ht="15" hidden="false" customHeight="true" outlineLevel="0" collapsed="false">
      <c r="A84" s="1" t="n">
        <v>87</v>
      </c>
      <c r="B84" s="13" t="n">
        <f aca="false">Returns!A88</f>
        <v>44621</v>
      </c>
      <c r="C84" s="17" t="n">
        <f aca="false">IF(Rankings!C89&lt;=3,1,0)</f>
        <v>1</v>
      </c>
      <c r="D84" s="17" t="n">
        <f aca="false">IF(Rankings!D89&lt;=3,1,0)</f>
        <v>1</v>
      </c>
      <c r="E84" s="17" t="n">
        <f aca="false">IF(Rankings!E89&lt;=3,1,0)</f>
        <v>0</v>
      </c>
      <c r="F84" s="17" t="n">
        <f aca="false">IF(Rankings!F89&lt;=3,1,0)</f>
        <v>0</v>
      </c>
      <c r="G84" s="17" t="n">
        <f aca="false">IF(Rankings!G89&lt;=3,1,0)</f>
        <v>0</v>
      </c>
      <c r="H84" s="17" t="n">
        <f aca="false">IF(Rankings!H89&lt;=3,1,0)</f>
        <v>0</v>
      </c>
      <c r="I84" s="17" t="n">
        <f aca="false">IF(Rankings!I89&lt;=3,1,0)</f>
        <v>1</v>
      </c>
      <c r="J84" s="17" t="n">
        <f aca="false">IF(Rankings!J89&lt;=3,1,0)</f>
        <v>0</v>
      </c>
      <c r="K84" s="20" t="n">
        <f aca="false">SUM(C84:J84)</f>
        <v>3</v>
      </c>
      <c r="L84" s="16" t="n">
        <f aca="false">SUMPRODUCT(C84:J84,Returns!B88:I88)/K84</f>
        <v>-0.0740906259480961</v>
      </c>
      <c r="M84" s="16" t="n">
        <v>0</v>
      </c>
      <c r="N84" s="16" t="n">
        <v>0</v>
      </c>
      <c r="O84" s="16" t="n">
        <f aca="false">L84+M84+N84</f>
        <v>-0.0740906259480961</v>
      </c>
      <c r="P84" s="21" t="n">
        <f aca="false">P83*(1+O84)</f>
        <v>2.21481255252502</v>
      </c>
      <c r="Q84" s="21" t="n">
        <f aca="false">MAX($P$5:P84)</f>
        <v>2.76725495184409</v>
      </c>
      <c r="R84" s="16" t="n">
        <f aca="false">P84/Q84-1</f>
        <v>-0.199635526517326</v>
      </c>
      <c r="S84" s="16" t="n">
        <f aca="false">O84-Benchmark_RF!D84</f>
        <v>-0.0833919011545857</v>
      </c>
    </row>
    <row r="85" customFormat="false" ht="15" hidden="false" customHeight="true" outlineLevel="0" collapsed="false">
      <c r="A85" s="1" t="n">
        <v>88</v>
      </c>
      <c r="B85" s="13" t="n">
        <f aca="false">Returns!A89</f>
        <v>44652</v>
      </c>
      <c r="C85" s="17" t="n">
        <f aca="false">IF(Rankings!C89&lt;=3,1,0)</f>
        <v>1</v>
      </c>
      <c r="D85" s="17" t="n">
        <f aca="false">IF(Rankings!D89&lt;=3,1,0)</f>
        <v>1</v>
      </c>
      <c r="E85" s="17" t="n">
        <f aca="false">IF(Rankings!E89&lt;=3,1,0)</f>
        <v>0</v>
      </c>
      <c r="F85" s="17" t="n">
        <f aca="false">IF(Rankings!F89&lt;=3,1,0)</f>
        <v>0</v>
      </c>
      <c r="G85" s="17" t="n">
        <f aca="false">IF(Rankings!G89&lt;=3,1,0)</f>
        <v>0</v>
      </c>
      <c r="H85" s="17" t="n">
        <f aca="false">IF(Rankings!H89&lt;=3,1,0)</f>
        <v>0</v>
      </c>
      <c r="I85" s="17" t="n">
        <f aca="false">IF(Rankings!I89&lt;=3,1,0)</f>
        <v>1</v>
      </c>
      <c r="J85" s="17" t="n">
        <f aca="false">IF(Rankings!J89&lt;=3,1,0)</f>
        <v>0</v>
      </c>
      <c r="K85" s="20" t="n">
        <f aca="false">SUM(C85:J85)</f>
        <v>3</v>
      </c>
      <c r="L85" s="16" t="n">
        <f aca="false">SUMPRODUCT(C85:J85,Returns!B89:I89)/K85</f>
        <v>0.0303134307539305</v>
      </c>
      <c r="M85" s="16" t="n">
        <v>0</v>
      </c>
      <c r="N85" s="16" t="n">
        <v>0</v>
      </c>
      <c r="O85" s="16" t="n">
        <f aca="false">L85+M85+N85</f>
        <v>0.0303134307539305</v>
      </c>
      <c r="P85" s="21" t="n">
        <f aca="false">P84*(1+O85)</f>
        <v>2.28195111946892</v>
      </c>
      <c r="Q85" s="21" t="n">
        <f aca="false">MAX($P$5:P85)</f>
        <v>2.76725495184409</v>
      </c>
      <c r="R85" s="16" t="n">
        <f aca="false">P85/Q85-1</f>
        <v>-0.175373733472503</v>
      </c>
      <c r="S85" s="16" t="n">
        <f aca="false">O85-Benchmark_RF!D85</f>
        <v>0.0191916158465798</v>
      </c>
    </row>
    <row r="86" customFormat="false" ht="15" hidden="false" customHeight="true" outlineLevel="0" collapsed="false">
      <c r="A86" s="1" t="n">
        <v>89</v>
      </c>
      <c r="B86" s="13" t="n">
        <f aca="false">Returns!A90</f>
        <v>44682</v>
      </c>
      <c r="C86" s="17" t="n">
        <f aca="false">IF(Rankings!C89&lt;=3,1,0)</f>
        <v>1</v>
      </c>
      <c r="D86" s="17" t="n">
        <f aca="false">IF(Rankings!D89&lt;=3,1,0)</f>
        <v>1</v>
      </c>
      <c r="E86" s="17" t="n">
        <f aca="false">IF(Rankings!E89&lt;=3,1,0)</f>
        <v>0</v>
      </c>
      <c r="F86" s="17" t="n">
        <f aca="false">IF(Rankings!F89&lt;=3,1,0)</f>
        <v>0</v>
      </c>
      <c r="G86" s="17" t="n">
        <f aca="false">IF(Rankings!G89&lt;=3,1,0)</f>
        <v>0</v>
      </c>
      <c r="H86" s="17" t="n">
        <f aca="false">IF(Rankings!H89&lt;=3,1,0)</f>
        <v>0</v>
      </c>
      <c r="I86" s="17" t="n">
        <f aca="false">IF(Rankings!I89&lt;=3,1,0)</f>
        <v>1</v>
      </c>
      <c r="J86" s="17" t="n">
        <f aca="false">IF(Rankings!J89&lt;=3,1,0)</f>
        <v>0</v>
      </c>
      <c r="K86" s="20" t="n">
        <f aca="false">SUM(C86:J86)</f>
        <v>3</v>
      </c>
      <c r="L86" s="16" t="n">
        <f aca="false">SUMPRODUCT(C86:J86,Returns!B90:I90)/K86</f>
        <v>-0.0750468996589299</v>
      </c>
      <c r="M86" s="16" t="n">
        <v>0</v>
      </c>
      <c r="N86" s="16" t="n">
        <v>0</v>
      </c>
      <c r="O86" s="16" t="n">
        <f aca="false">L86+M86+N86</f>
        <v>-0.0750468996589299</v>
      </c>
      <c r="P86" s="21" t="n">
        <f aca="false">P85*(1+O86)</f>
        <v>2.11069776277956</v>
      </c>
      <c r="Q86" s="21" t="n">
        <f aca="false">MAX($P$5:P86)</f>
        <v>2.76725495184409</v>
      </c>
      <c r="R86" s="16" t="n">
        <f aca="false">P86/Q86-1</f>
        <v>-0.23725937815271</v>
      </c>
      <c r="S86" s="16" t="n">
        <f aca="false">O86-Benchmark_RF!D86</f>
        <v>-0.086337458276048</v>
      </c>
    </row>
    <row r="87" customFormat="false" ht="15" hidden="false" customHeight="true" outlineLevel="0" collapsed="false">
      <c r="A87" s="1" t="n">
        <v>90</v>
      </c>
      <c r="B87" s="13" t="n">
        <f aca="false">Returns!A91</f>
        <v>44713</v>
      </c>
      <c r="C87" s="17" t="n">
        <f aca="false">IF(Rankings!C89&lt;=3,1,0)</f>
        <v>1</v>
      </c>
      <c r="D87" s="17" t="n">
        <f aca="false">IF(Rankings!D89&lt;=3,1,0)</f>
        <v>1</v>
      </c>
      <c r="E87" s="17" t="n">
        <f aca="false">IF(Rankings!E89&lt;=3,1,0)</f>
        <v>0</v>
      </c>
      <c r="F87" s="17" t="n">
        <f aca="false">IF(Rankings!F89&lt;=3,1,0)</f>
        <v>0</v>
      </c>
      <c r="G87" s="17" t="n">
        <f aca="false">IF(Rankings!G89&lt;=3,1,0)</f>
        <v>0</v>
      </c>
      <c r="H87" s="17" t="n">
        <f aca="false">IF(Rankings!H89&lt;=3,1,0)</f>
        <v>0</v>
      </c>
      <c r="I87" s="17" t="n">
        <f aca="false">IF(Rankings!I89&lt;=3,1,0)</f>
        <v>1</v>
      </c>
      <c r="J87" s="17" t="n">
        <f aca="false">IF(Rankings!J89&lt;=3,1,0)</f>
        <v>0</v>
      </c>
      <c r="K87" s="20" t="n">
        <f aca="false">SUM(C87:J87)</f>
        <v>3</v>
      </c>
      <c r="L87" s="16" t="n">
        <f aca="false">SUMPRODUCT(C87:J87,Returns!B91:I91)/K87</f>
        <v>-0.0818782986021601</v>
      </c>
      <c r="M87" s="16" t="n">
        <v>0</v>
      </c>
      <c r="N87" s="16" t="n">
        <v>0</v>
      </c>
      <c r="O87" s="16" t="n">
        <f aca="false">L87+M87+N87</f>
        <v>-0.0818782986021601</v>
      </c>
      <c r="P87" s="21" t="n">
        <f aca="false">P86*(1+O87)</f>
        <v>1.93787742109978</v>
      </c>
      <c r="Q87" s="21" t="n">
        <f aca="false">MAX($P$5:P87)</f>
        <v>2.76725495184409</v>
      </c>
      <c r="R87" s="16" t="n">
        <f aca="false">P87/Q87-1</f>
        <v>-0.29971128254432</v>
      </c>
      <c r="S87" s="16" t="n">
        <f aca="false">O87-Benchmark_RF!D87</f>
        <v>-0.0936518469703869</v>
      </c>
    </row>
    <row r="88" customFormat="false" ht="15" hidden="false" customHeight="true" outlineLevel="0" collapsed="false">
      <c r="A88" s="1" t="n">
        <v>91</v>
      </c>
      <c r="B88" s="13" t="n">
        <f aca="false">Returns!A92</f>
        <v>44743</v>
      </c>
      <c r="C88" s="17" t="n">
        <f aca="false">IF(Rankings!C89&lt;=3,1,0)</f>
        <v>1</v>
      </c>
      <c r="D88" s="17" t="n">
        <f aca="false">IF(Rankings!D89&lt;=3,1,0)</f>
        <v>1</v>
      </c>
      <c r="E88" s="17" t="n">
        <f aca="false">IF(Rankings!E89&lt;=3,1,0)</f>
        <v>0</v>
      </c>
      <c r="F88" s="17" t="n">
        <f aca="false">IF(Rankings!F89&lt;=3,1,0)</f>
        <v>0</v>
      </c>
      <c r="G88" s="17" t="n">
        <f aca="false">IF(Rankings!G89&lt;=3,1,0)</f>
        <v>0</v>
      </c>
      <c r="H88" s="17" t="n">
        <f aca="false">IF(Rankings!H89&lt;=3,1,0)</f>
        <v>0</v>
      </c>
      <c r="I88" s="17" t="n">
        <f aca="false">IF(Rankings!I89&lt;=3,1,0)</f>
        <v>1</v>
      </c>
      <c r="J88" s="17" t="n">
        <f aca="false">IF(Rankings!J89&lt;=3,1,0)</f>
        <v>0</v>
      </c>
      <c r="K88" s="20" t="n">
        <f aca="false">SUM(C88:J88)</f>
        <v>3</v>
      </c>
      <c r="L88" s="16" t="n">
        <f aca="false">SUMPRODUCT(C88:J88,Returns!B92:I92)/K88</f>
        <v>0.0159901774348001</v>
      </c>
      <c r="M88" s="16" t="n">
        <v>0</v>
      </c>
      <c r="N88" s="16" t="n">
        <v>0</v>
      </c>
      <c r="O88" s="16" t="n">
        <f aca="false">L88+M88+N88</f>
        <v>0.0159901774348001</v>
      </c>
      <c r="P88" s="21" t="n">
        <f aca="false">P87*(1+O88)</f>
        <v>1.96886442491006</v>
      </c>
      <c r="Q88" s="21" t="n">
        <f aca="false">MAX($P$5:P88)</f>
        <v>2.76725495184409</v>
      </c>
      <c r="R88" s="16" t="n">
        <f aca="false">P88/Q88-1</f>
        <v>-0.288513541696615</v>
      </c>
      <c r="S88" s="16" t="n">
        <f aca="false">O88-Benchmark_RF!D88</f>
        <v>0.00381454631374038</v>
      </c>
    </row>
    <row r="89" customFormat="false" ht="15" hidden="false" customHeight="true" outlineLevel="0" collapsed="false">
      <c r="A89" s="1" t="n">
        <v>92</v>
      </c>
      <c r="B89" s="13" t="n">
        <f aca="false">Returns!A93</f>
        <v>44774</v>
      </c>
      <c r="C89" s="17" t="n">
        <f aca="false">IF(Rankings!C95&lt;=3,1,0)</f>
        <v>0</v>
      </c>
      <c r="D89" s="17" t="n">
        <f aca="false">IF(Rankings!D95&lt;=3,1,0)</f>
        <v>1</v>
      </c>
      <c r="E89" s="17" t="n">
        <f aca="false">IF(Rankings!E95&lt;=3,1,0)</f>
        <v>0</v>
      </c>
      <c r="F89" s="17" t="n">
        <f aca="false">IF(Rankings!F95&lt;=3,1,0)</f>
        <v>0</v>
      </c>
      <c r="G89" s="17" t="n">
        <f aca="false">IF(Rankings!G95&lt;=3,1,0)</f>
        <v>1</v>
      </c>
      <c r="H89" s="17" t="n">
        <f aca="false">IF(Rankings!H95&lt;=3,1,0)</f>
        <v>0</v>
      </c>
      <c r="I89" s="17" t="n">
        <f aca="false">IF(Rankings!I95&lt;=3,1,0)</f>
        <v>1</v>
      </c>
      <c r="J89" s="17" t="n">
        <f aca="false">IF(Rankings!J95&lt;=3,1,0)</f>
        <v>0</v>
      </c>
      <c r="K89" s="20" t="n">
        <f aca="false">SUM(C89:J89)</f>
        <v>3</v>
      </c>
      <c r="L89" s="16" t="n">
        <f aca="false">SUMPRODUCT(C89:J89,Returns!B93:I93)/K89</f>
        <v>0.15216587181785</v>
      </c>
      <c r="M89" s="16" t="n">
        <f aca="false">-2*Assumptions!$B$13</f>
        <v>-0.007</v>
      </c>
      <c r="N89" s="16" t="n">
        <f aca="false">-Assumptions!$B$16*MAX(0,(1+O83)*(1+O84)*(1+O85)*(1+O86)*(1+O87)*(1+O88)-1)</f>
        <v>-0</v>
      </c>
      <c r="O89" s="16" t="n">
        <f aca="false">L89+M89+N89</f>
        <v>0.14516587181785</v>
      </c>
      <c r="P89" s="21" t="n">
        <f aca="false">P88*(1+O89)</f>
        <v>2.25467634564328</v>
      </c>
      <c r="Q89" s="21" t="n">
        <f aca="false">MAX($P$5:P89)</f>
        <v>2.76725495184409</v>
      </c>
      <c r="R89" s="16" t="n">
        <f aca="false">P89/Q89-1</f>
        <v>-0.185229989690409</v>
      </c>
      <c r="S89" s="16" t="n">
        <f aca="false">O89-Benchmark_RF!D89</f>
        <v>0.132917323154685</v>
      </c>
    </row>
    <row r="90" customFormat="false" ht="15" hidden="false" customHeight="true" outlineLevel="0" collapsed="false">
      <c r="A90" s="1" t="n">
        <v>93</v>
      </c>
      <c r="B90" s="13" t="n">
        <f aca="false">Returns!A94</f>
        <v>44805</v>
      </c>
      <c r="C90" s="17" t="n">
        <f aca="false">IF(Rankings!C95&lt;=3,1,0)</f>
        <v>0</v>
      </c>
      <c r="D90" s="17" t="n">
        <f aca="false">IF(Rankings!D95&lt;=3,1,0)</f>
        <v>1</v>
      </c>
      <c r="E90" s="17" t="n">
        <f aca="false">IF(Rankings!E95&lt;=3,1,0)</f>
        <v>0</v>
      </c>
      <c r="F90" s="17" t="n">
        <f aca="false">IF(Rankings!F95&lt;=3,1,0)</f>
        <v>0</v>
      </c>
      <c r="G90" s="17" t="n">
        <f aca="false">IF(Rankings!G95&lt;=3,1,0)</f>
        <v>1</v>
      </c>
      <c r="H90" s="17" t="n">
        <f aca="false">IF(Rankings!H95&lt;=3,1,0)</f>
        <v>0</v>
      </c>
      <c r="I90" s="17" t="n">
        <f aca="false">IF(Rankings!I95&lt;=3,1,0)</f>
        <v>1</v>
      </c>
      <c r="J90" s="17" t="n">
        <f aca="false">IF(Rankings!J95&lt;=3,1,0)</f>
        <v>0</v>
      </c>
      <c r="K90" s="20" t="n">
        <f aca="false">SUM(C90:J90)</f>
        <v>3</v>
      </c>
      <c r="L90" s="16" t="n">
        <f aca="false">SUMPRODUCT(C90:J90,Returns!B94:I94)/K90</f>
        <v>-0.0731890873578067</v>
      </c>
      <c r="M90" s="16" t="n">
        <v>0</v>
      </c>
      <c r="N90" s="16" t="n">
        <v>0</v>
      </c>
      <c r="O90" s="16" t="n">
        <f aca="false">L90+M90+N90</f>
        <v>-0.0731890873578067</v>
      </c>
      <c r="P90" s="21" t="n">
        <f aca="false">P89*(1+O90)</f>
        <v>2.08965864161841</v>
      </c>
      <c r="Q90" s="21" t="n">
        <f aca="false">MAX($P$5:P90)</f>
        <v>2.76725495184409</v>
      </c>
      <c r="R90" s="16" t="n">
        <f aca="false">P90/Q90-1</f>
        <v>-0.244862263151479</v>
      </c>
      <c r="S90" s="16" t="n">
        <f aca="false">O90-Benchmark_RF!D90</f>
        <v>-0.0856124027523603</v>
      </c>
    </row>
    <row r="91" customFormat="false" ht="15" hidden="false" customHeight="true" outlineLevel="0" collapsed="false">
      <c r="A91" s="1" t="n">
        <v>94</v>
      </c>
      <c r="B91" s="13" t="n">
        <f aca="false">Returns!A95</f>
        <v>44835</v>
      </c>
      <c r="C91" s="17" t="n">
        <f aca="false">IF(Rankings!C95&lt;=3,1,0)</f>
        <v>0</v>
      </c>
      <c r="D91" s="17" t="n">
        <f aca="false">IF(Rankings!D95&lt;=3,1,0)</f>
        <v>1</v>
      </c>
      <c r="E91" s="17" t="n">
        <f aca="false">IF(Rankings!E95&lt;=3,1,0)</f>
        <v>0</v>
      </c>
      <c r="F91" s="17" t="n">
        <f aca="false">IF(Rankings!F95&lt;=3,1,0)</f>
        <v>0</v>
      </c>
      <c r="G91" s="17" t="n">
        <f aca="false">IF(Rankings!G95&lt;=3,1,0)</f>
        <v>1</v>
      </c>
      <c r="H91" s="17" t="n">
        <f aca="false">IF(Rankings!H95&lt;=3,1,0)</f>
        <v>0</v>
      </c>
      <c r="I91" s="17" t="n">
        <f aca="false">IF(Rankings!I95&lt;=3,1,0)</f>
        <v>1</v>
      </c>
      <c r="J91" s="17" t="n">
        <f aca="false">IF(Rankings!J95&lt;=3,1,0)</f>
        <v>0</v>
      </c>
      <c r="K91" s="20" t="n">
        <f aca="false">SUM(C91:J91)</f>
        <v>3</v>
      </c>
      <c r="L91" s="16" t="n">
        <f aca="false">SUMPRODUCT(C91:J91,Returns!B95:I95)/K91</f>
        <v>-0.0630228203599335</v>
      </c>
      <c r="M91" s="16" t="n">
        <v>0</v>
      </c>
      <c r="N91" s="16" t="n">
        <v>0</v>
      </c>
      <c r="O91" s="16" t="n">
        <f aca="false">L91+M91+N91</f>
        <v>-0.0630228203599335</v>
      </c>
      <c r="P91" s="21" t="n">
        <f aca="false">P90*(1+O91)</f>
        <v>1.95796246043411</v>
      </c>
      <c r="Q91" s="21" t="n">
        <f aca="false">MAX($P$5:P91)</f>
        <v>2.76725495184409</v>
      </c>
      <c r="R91" s="16" t="n">
        <f aca="false">P91/Q91-1</f>
        <v>-0.29245317308789</v>
      </c>
      <c r="S91" s="16" t="n">
        <f aca="false">O91-Benchmark_RF!D91</f>
        <v>-0.0752276254319407</v>
      </c>
    </row>
    <row r="92" customFormat="false" ht="15" hidden="false" customHeight="true" outlineLevel="0" collapsed="false">
      <c r="A92" s="1" t="n">
        <v>95</v>
      </c>
      <c r="B92" s="13" t="n">
        <f aca="false">Returns!A96</f>
        <v>44866</v>
      </c>
      <c r="C92" s="17" t="n">
        <f aca="false">IF(Rankings!C95&lt;=3,1,0)</f>
        <v>0</v>
      </c>
      <c r="D92" s="17" t="n">
        <f aca="false">IF(Rankings!D95&lt;=3,1,0)</f>
        <v>1</v>
      </c>
      <c r="E92" s="17" t="n">
        <f aca="false">IF(Rankings!E95&lt;=3,1,0)</f>
        <v>0</v>
      </c>
      <c r="F92" s="17" t="n">
        <f aca="false">IF(Rankings!F95&lt;=3,1,0)</f>
        <v>0</v>
      </c>
      <c r="G92" s="17" t="n">
        <f aca="false">IF(Rankings!G95&lt;=3,1,0)</f>
        <v>1</v>
      </c>
      <c r="H92" s="17" t="n">
        <f aca="false">IF(Rankings!H95&lt;=3,1,0)</f>
        <v>0</v>
      </c>
      <c r="I92" s="17" t="n">
        <f aca="false">IF(Rankings!I95&lt;=3,1,0)</f>
        <v>1</v>
      </c>
      <c r="J92" s="17" t="n">
        <f aca="false">IF(Rankings!J95&lt;=3,1,0)</f>
        <v>0</v>
      </c>
      <c r="K92" s="20" t="n">
        <f aca="false">SUM(C92:J92)</f>
        <v>3</v>
      </c>
      <c r="L92" s="16" t="n">
        <f aca="false">SUMPRODUCT(C92:J92,Returns!B96:I96)/K92</f>
        <v>0.048146302705306</v>
      </c>
      <c r="M92" s="16" t="n">
        <v>0</v>
      </c>
      <c r="N92" s="16" t="n">
        <v>0</v>
      </c>
      <c r="O92" s="16" t="n">
        <f aca="false">L92+M92+N92</f>
        <v>0.048146302705306</v>
      </c>
      <c r="P92" s="21" t="n">
        <f aca="false">P91*(1+O92)</f>
        <v>2.0522311137398</v>
      </c>
      <c r="Q92" s="21" t="n">
        <f aca="false">MAX($P$5:P92)</f>
        <v>2.76725495184409</v>
      </c>
      <c r="R92" s="16" t="n">
        <f aca="false">P92/Q92-1</f>
        <v>-0.258387409381201</v>
      </c>
      <c r="S92" s="16" t="n">
        <f aca="false">O92-Benchmark_RF!D92</f>
        <v>0.0350633280011741</v>
      </c>
    </row>
    <row r="93" customFormat="false" ht="15" hidden="false" customHeight="true" outlineLevel="0" collapsed="false">
      <c r="A93" s="1" t="n">
        <v>96</v>
      </c>
      <c r="B93" s="13" t="n">
        <f aca="false">Returns!A97</f>
        <v>44896</v>
      </c>
      <c r="C93" s="17" t="n">
        <f aca="false">IF(Rankings!C95&lt;=3,1,0)</f>
        <v>0</v>
      </c>
      <c r="D93" s="17" t="n">
        <f aca="false">IF(Rankings!D95&lt;=3,1,0)</f>
        <v>1</v>
      </c>
      <c r="E93" s="17" t="n">
        <f aca="false">IF(Rankings!E95&lt;=3,1,0)</f>
        <v>0</v>
      </c>
      <c r="F93" s="17" t="n">
        <f aca="false">IF(Rankings!F95&lt;=3,1,0)</f>
        <v>0</v>
      </c>
      <c r="G93" s="17" t="n">
        <f aca="false">IF(Rankings!G95&lt;=3,1,0)</f>
        <v>1</v>
      </c>
      <c r="H93" s="17" t="n">
        <f aca="false">IF(Rankings!H95&lt;=3,1,0)</f>
        <v>0</v>
      </c>
      <c r="I93" s="17" t="n">
        <f aca="false">IF(Rankings!I95&lt;=3,1,0)</f>
        <v>1</v>
      </c>
      <c r="J93" s="17" t="n">
        <f aca="false">IF(Rankings!J95&lt;=3,1,0)</f>
        <v>0</v>
      </c>
      <c r="K93" s="20" t="n">
        <f aca="false">SUM(C93:J93)</f>
        <v>3</v>
      </c>
      <c r="L93" s="16" t="n">
        <f aca="false">SUMPRODUCT(C93:J93,Returns!B97:I97)/K93</f>
        <v>-0.108107380681647</v>
      </c>
      <c r="M93" s="16" t="n">
        <v>0</v>
      </c>
      <c r="N93" s="16" t="n">
        <v>0</v>
      </c>
      <c r="O93" s="16" t="n">
        <f aca="false">L93+M93+N93</f>
        <v>-0.108107380681647</v>
      </c>
      <c r="P93" s="21" t="n">
        <f aca="false">P92*(1+O93)</f>
        <v>1.83036978348001</v>
      </c>
      <c r="Q93" s="21" t="n">
        <f aca="false">MAX($P$5:P93)</f>
        <v>2.76725495184409</v>
      </c>
      <c r="R93" s="16" t="n">
        <f aca="false">P93/Q93-1</f>
        <v>-0.33856120403353</v>
      </c>
      <c r="S93" s="16" t="n">
        <f aca="false">O93-Benchmark_RF!D93</f>
        <v>-0.121248122057993</v>
      </c>
    </row>
    <row r="94" customFormat="false" ht="15" hidden="false" customHeight="true" outlineLevel="0" collapsed="false">
      <c r="A94" s="1" t="n">
        <v>97</v>
      </c>
      <c r="B94" s="13" t="n">
        <f aca="false">Returns!A98</f>
        <v>44927</v>
      </c>
      <c r="C94" s="17" t="n">
        <f aca="false">IF(Rankings!C95&lt;=3,1,0)</f>
        <v>0</v>
      </c>
      <c r="D94" s="17" t="n">
        <f aca="false">IF(Rankings!D95&lt;=3,1,0)</f>
        <v>1</v>
      </c>
      <c r="E94" s="17" t="n">
        <f aca="false">IF(Rankings!E95&lt;=3,1,0)</f>
        <v>0</v>
      </c>
      <c r="F94" s="17" t="n">
        <f aca="false">IF(Rankings!F95&lt;=3,1,0)</f>
        <v>0</v>
      </c>
      <c r="G94" s="17" t="n">
        <f aca="false">IF(Rankings!G95&lt;=3,1,0)</f>
        <v>1</v>
      </c>
      <c r="H94" s="17" t="n">
        <f aca="false">IF(Rankings!H95&lt;=3,1,0)</f>
        <v>0</v>
      </c>
      <c r="I94" s="17" t="n">
        <f aca="false">IF(Rankings!I95&lt;=3,1,0)</f>
        <v>1</v>
      </c>
      <c r="J94" s="17" t="n">
        <f aca="false">IF(Rankings!J95&lt;=3,1,0)</f>
        <v>0</v>
      </c>
      <c r="K94" s="20" t="n">
        <f aca="false">SUM(C94:J94)</f>
        <v>3</v>
      </c>
      <c r="L94" s="16" t="n">
        <f aca="false">SUMPRODUCT(C94:J94,Returns!B98:I98)/K94</f>
        <v>-0.0532965782613595</v>
      </c>
      <c r="M94" s="16" t="n">
        <v>0</v>
      </c>
      <c r="N94" s="16" t="n">
        <v>0</v>
      </c>
      <c r="O94" s="16" t="n">
        <f aca="false">L94+M94+N94</f>
        <v>-0.0532965782613595</v>
      </c>
      <c r="P94" s="21" t="n">
        <f aca="false">P93*(1+O94)</f>
        <v>1.73281733706754</v>
      </c>
      <c r="Q94" s="21" t="n">
        <f aca="false">MAX($P$5:P94)</f>
        <v>2.76725495184409</v>
      </c>
      <c r="R94" s="16" t="n">
        <f aca="false">P94/Q94-1</f>
        <v>-0.373813628587856</v>
      </c>
      <c r="S94" s="16" t="n">
        <f aca="false">O94-Benchmark_RF!D94</f>
        <v>-0.0670560342896891</v>
      </c>
    </row>
    <row r="95" customFormat="false" ht="15" hidden="false" customHeight="true" outlineLevel="0" collapsed="false">
      <c r="A95" s="1" t="n">
        <v>98</v>
      </c>
      <c r="B95" s="13" t="n">
        <f aca="false">Returns!A99</f>
        <v>44958</v>
      </c>
      <c r="C95" s="17" t="n">
        <f aca="false">IF(Rankings!C101&lt;=3,1,0)</f>
        <v>0</v>
      </c>
      <c r="D95" s="17" t="n">
        <f aca="false">IF(Rankings!D101&lt;=3,1,0)</f>
        <v>1</v>
      </c>
      <c r="E95" s="17" t="n">
        <f aca="false">IF(Rankings!E101&lt;=3,1,0)</f>
        <v>0</v>
      </c>
      <c r="F95" s="17" t="n">
        <f aca="false">IF(Rankings!F101&lt;=3,1,0)</f>
        <v>0</v>
      </c>
      <c r="G95" s="17" t="n">
        <f aca="false">IF(Rankings!G101&lt;=3,1,0)</f>
        <v>1</v>
      </c>
      <c r="H95" s="17" t="n">
        <f aca="false">IF(Rankings!H101&lt;=3,1,0)</f>
        <v>0</v>
      </c>
      <c r="I95" s="17" t="n">
        <f aca="false">IF(Rankings!I101&lt;=3,1,0)</f>
        <v>0</v>
      </c>
      <c r="J95" s="17" t="n">
        <f aca="false">IF(Rankings!J101&lt;=3,1,0)</f>
        <v>1</v>
      </c>
      <c r="K95" s="20" t="n">
        <f aca="false">SUM(C95:J95)</f>
        <v>3</v>
      </c>
      <c r="L95" s="16" t="n">
        <f aca="false">SUMPRODUCT(C95:J95,Returns!B99:I99)/K95</f>
        <v>-0.00540847399900453</v>
      </c>
      <c r="M95" s="16" t="n">
        <f aca="false">-2*Assumptions!$B$13</f>
        <v>-0.007</v>
      </c>
      <c r="N95" s="16" t="n">
        <f aca="false">-Assumptions!$B$16*MAX(0,(1+O89)*(1+O90)*(1+O91)*(1+O92)*(1+O93)*(1+O94)-1)</f>
        <v>-0</v>
      </c>
      <c r="O95" s="16" t="n">
        <f aca="false">L95+M95+N95</f>
        <v>-0.0124084739990045</v>
      </c>
      <c r="P95" s="21" t="n">
        <f aca="false">P94*(1+O95)</f>
        <v>1.71131571819551</v>
      </c>
      <c r="Q95" s="21" t="n">
        <f aca="false">MAX($P$5:P95)</f>
        <v>2.76725495184409</v>
      </c>
      <c r="R95" s="16" t="n">
        <f aca="false">P95/Q95-1</f>
        <v>-0.381583645896055</v>
      </c>
      <c r="S95" s="16" t="n">
        <f aca="false">O95-Benchmark_RF!D95</f>
        <v>-0.027201798301793</v>
      </c>
    </row>
    <row r="96" customFormat="false" ht="15" hidden="false" customHeight="true" outlineLevel="0" collapsed="false">
      <c r="A96" s="1" t="n">
        <v>99</v>
      </c>
      <c r="B96" s="13" t="n">
        <f aca="false">Returns!A100</f>
        <v>44986</v>
      </c>
      <c r="C96" s="17" t="n">
        <f aca="false">IF(Rankings!C101&lt;=3,1,0)</f>
        <v>0</v>
      </c>
      <c r="D96" s="17" t="n">
        <f aca="false">IF(Rankings!D101&lt;=3,1,0)</f>
        <v>1</v>
      </c>
      <c r="E96" s="17" t="n">
        <f aca="false">IF(Rankings!E101&lt;=3,1,0)</f>
        <v>0</v>
      </c>
      <c r="F96" s="17" t="n">
        <f aca="false">IF(Rankings!F101&lt;=3,1,0)</f>
        <v>0</v>
      </c>
      <c r="G96" s="17" t="n">
        <f aca="false">IF(Rankings!G101&lt;=3,1,0)</f>
        <v>1</v>
      </c>
      <c r="H96" s="17" t="n">
        <f aca="false">IF(Rankings!H101&lt;=3,1,0)</f>
        <v>0</v>
      </c>
      <c r="I96" s="17" t="n">
        <f aca="false">IF(Rankings!I101&lt;=3,1,0)</f>
        <v>0</v>
      </c>
      <c r="J96" s="17" t="n">
        <f aca="false">IF(Rankings!J101&lt;=3,1,0)</f>
        <v>1</v>
      </c>
      <c r="K96" s="20" t="n">
        <f aca="false">SUM(C96:J96)</f>
        <v>3</v>
      </c>
      <c r="L96" s="16" t="n">
        <f aca="false">SUMPRODUCT(C96:J96,Returns!B100:I100)/K96</f>
        <v>0.0121232400987629</v>
      </c>
      <c r="M96" s="16" t="n">
        <v>0</v>
      </c>
      <c r="N96" s="16" t="n">
        <v>0</v>
      </c>
      <c r="O96" s="16" t="n">
        <f aca="false">L96+M96+N96</f>
        <v>0.0121232400987629</v>
      </c>
      <c r="P96" s="21" t="n">
        <f aca="false">P95*(1+O96)</f>
        <v>1.73206240953198</v>
      </c>
      <c r="Q96" s="21" t="n">
        <f aca="false">MAX($P$5:P96)</f>
        <v>2.76725495184409</v>
      </c>
      <c r="R96" s="16" t="n">
        <f aca="false">P96/Q96-1</f>
        <v>-0.374086435954251</v>
      </c>
      <c r="S96" s="16" t="n">
        <f aca="false">O96-Benchmark_RF!D96</f>
        <v>-0.003930602097315</v>
      </c>
    </row>
    <row r="97" customFormat="false" ht="15" hidden="false" customHeight="true" outlineLevel="0" collapsed="false">
      <c r="A97" s="1" t="n">
        <v>100</v>
      </c>
      <c r="B97" s="13" t="n">
        <f aca="false">Returns!A101</f>
        <v>45017</v>
      </c>
      <c r="C97" s="17" t="n">
        <f aca="false">IF(Rankings!C101&lt;=3,1,0)</f>
        <v>0</v>
      </c>
      <c r="D97" s="17" t="n">
        <f aca="false">IF(Rankings!D101&lt;=3,1,0)</f>
        <v>1</v>
      </c>
      <c r="E97" s="17" t="n">
        <f aca="false">IF(Rankings!E101&lt;=3,1,0)</f>
        <v>0</v>
      </c>
      <c r="F97" s="17" t="n">
        <f aca="false">IF(Rankings!F101&lt;=3,1,0)</f>
        <v>0</v>
      </c>
      <c r="G97" s="17" t="n">
        <f aca="false">IF(Rankings!G101&lt;=3,1,0)</f>
        <v>1</v>
      </c>
      <c r="H97" s="17" t="n">
        <f aca="false">IF(Rankings!H101&lt;=3,1,0)</f>
        <v>0</v>
      </c>
      <c r="I97" s="17" t="n">
        <f aca="false">IF(Rankings!I101&lt;=3,1,0)</f>
        <v>0</v>
      </c>
      <c r="J97" s="17" t="n">
        <f aca="false">IF(Rankings!J101&lt;=3,1,0)</f>
        <v>1</v>
      </c>
      <c r="K97" s="20" t="n">
        <f aca="false">SUM(C97:J97)</f>
        <v>3</v>
      </c>
      <c r="L97" s="16" t="n">
        <f aca="false">SUMPRODUCT(C97:J97,Returns!B101:I101)/K97</f>
        <v>0.0285555390347579</v>
      </c>
      <c r="M97" s="16" t="n">
        <v>0</v>
      </c>
      <c r="N97" s="16" t="n">
        <v>0</v>
      </c>
      <c r="O97" s="16" t="n">
        <f aca="false">L97+M97+N97</f>
        <v>0.0285555390347579</v>
      </c>
      <c r="P97" s="21" t="n">
        <f aca="false">P96*(1+O97)</f>
        <v>1.78152238527801</v>
      </c>
      <c r="Q97" s="21" t="n">
        <f aca="false">MAX($P$5:P97)</f>
        <v>2.76725495184409</v>
      </c>
      <c r="R97" s="16" t="n">
        <f aca="false">P97/Q97-1</f>
        <v>-0.356213136743758</v>
      </c>
      <c r="S97" s="16" t="n">
        <f aca="false">O97-Benchmark_RF!D97</f>
        <v>0.011860465672066</v>
      </c>
    </row>
    <row r="98" customFormat="false" ht="15" hidden="false" customHeight="true" outlineLevel="0" collapsed="false">
      <c r="A98" s="1" t="n">
        <v>101</v>
      </c>
      <c r="B98" s="13" t="n">
        <f aca="false">Returns!A102</f>
        <v>45047</v>
      </c>
      <c r="C98" s="17" t="n">
        <f aca="false">IF(Rankings!C101&lt;=3,1,0)</f>
        <v>0</v>
      </c>
      <c r="D98" s="17" t="n">
        <f aca="false">IF(Rankings!D101&lt;=3,1,0)</f>
        <v>1</v>
      </c>
      <c r="E98" s="17" t="n">
        <f aca="false">IF(Rankings!E101&lt;=3,1,0)</f>
        <v>0</v>
      </c>
      <c r="F98" s="17" t="n">
        <f aca="false">IF(Rankings!F101&lt;=3,1,0)</f>
        <v>0</v>
      </c>
      <c r="G98" s="17" t="n">
        <f aca="false">IF(Rankings!G101&lt;=3,1,0)</f>
        <v>1</v>
      </c>
      <c r="H98" s="17" t="n">
        <f aca="false">IF(Rankings!H101&lt;=3,1,0)</f>
        <v>0</v>
      </c>
      <c r="I98" s="17" t="n">
        <f aca="false">IF(Rankings!I101&lt;=3,1,0)</f>
        <v>0</v>
      </c>
      <c r="J98" s="17" t="n">
        <f aca="false">IF(Rankings!J101&lt;=3,1,0)</f>
        <v>1</v>
      </c>
      <c r="K98" s="20" t="n">
        <f aca="false">SUM(C98:J98)</f>
        <v>3</v>
      </c>
      <c r="L98" s="16" t="n">
        <f aca="false">SUMPRODUCT(C98:J98,Returns!B102:I102)/K98</f>
        <v>0.04943014774766</v>
      </c>
      <c r="M98" s="16" t="n">
        <v>0</v>
      </c>
      <c r="N98" s="16" t="n">
        <v>0</v>
      </c>
      <c r="O98" s="16" t="n">
        <f aca="false">L98+M98+N98</f>
        <v>0.04943014774766</v>
      </c>
      <c r="P98" s="21" t="n">
        <f aca="false">P97*(1+O98)</f>
        <v>1.86958329999807</v>
      </c>
      <c r="Q98" s="21" t="n">
        <f aca="false">MAX($P$5:P98)</f>
        <v>2.76725495184409</v>
      </c>
      <c r="R98" s="16" t="n">
        <f aca="false">P98/Q98-1</f>
        <v>-0.324390656974999</v>
      </c>
      <c r="S98" s="16" t="n">
        <f aca="false">O98-Benchmark_RF!D98</f>
        <v>0.0327350743849682</v>
      </c>
    </row>
    <row r="99" customFormat="false" ht="15" hidden="false" customHeight="true" outlineLevel="0" collapsed="false">
      <c r="A99" s="1" t="n">
        <v>102</v>
      </c>
      <c r="B99" s="13" t="n">
        <f aca="false">Returns!A103</f>
        <v>45078</v>
      </c>
      <c r="C99" s="17" t="n">
        <f aca="false">IF(Rankings!C101&lt;=3,1,0)</f>
        <v>0</v>
      </c>
      <c r="D99" s="17" t="n">
        <f aca="false">IF(Rankings!D101&lt;=3,1,0)</f>
        <v>1</v>
      </c>
      <c r="E99" s="17" t="n">
        <f aca="false">IF(Rankings!E101&lt;=3,1,0)</f>
        <v>0</v>
      </c>
      <c r="F99" s="17" t="n">
        <f aca="false">IF(Rankings!F101&lt;=3,1,0)</f>
        <v>0</v>
      </c>
      <c r="G99" s="17" t="n">
        <f aca="false">IF(Rankings!G101&lt;=3,1,0)</f>
        <v>1</v>
      </c>
      <c r="H99" s="17" t="n">
        <f aca="false">IF(Rankings!H101&lt;=3,1,0)</f>
        <v>0</v>
      </c>
      <c r="I99" s="17" t="n">
        <f aca="false">IF(Rankings!I101&lt;=3,1,0)</f>
        <v>0</v>
      </c>
      <c r="J99" s="17" t="n">
        <f aca="false">IF(Rankings!J101&lt;=3,1,0)</f>
        <v>1</v>
      </c>
      <c r="K99" s="20" t="n">
        <f aca="false">SUM(C99:J99)</f>
        <v>3</v>
      </c>
      <c r="L99" s="16" t="n">
        <f aca="false">SUMPRODUCT(C99:J99,Returns!B103:I103)/K99</f>
        <v>-0.0140737311881329</v>
      </c>
      <c r="M99" s="16" t="n">
        <v>0</v>
      </c>
      <c r="N99" s="16" t="n">
        <v>0</v>
      </c>
      <c r="O99" s="16" t="n">
        <f aca="false">L99+M99+N99</f>
        <v>-0.0140737311881329</v>
      </c>
      <c r="P99" s="21" t="n">
        <f aca="false">P98*(1+O99)</f>
        <v>1.84327128720007</v>
      </c>
      <c r="Q99" s="21" t="n">
        <f aca="false">MAX($P$5:P99)</f>
        <v>2.76725495184409</v>
      </c>
      <c r="R99" s="16" t="n">
        <f aca="false">P99/Q99-1</f>
        <v>-0.333899001256924</v>
      </c>
      <c r="S99" s="16" t="n">
        <f aca="false">O99-Benchmark_RF!D99</f>
        <v>-0.0307757500669858</v>
      </c>
    </row>
    <row r="100" customFormat="false" ht="15" hidden="false" customHeight="true" outlineLevel="0" collapsed="false">
      <c r="A100" s="1" t="n">
        <v>103</v>
      </c>
      <c r="B100" s="13" t="n">
        <f aca="false">Returns!A104</f>
        <v>45108</v>
      </c>
      <c r="C100" s="17" t="n">
        <f aca="false">IF(Rankings!C101&lt;=3,1,0)</f>
        <v>0</v>
      </c>
      <c r="D100" s="17" t="n">
        <f aca="false">IF(Rankings!D101&lt;=3,1,0)</f>
        <v>1</v>
      </c>
      <c r="E100" s="17" t="n">
        <f aca="false">IF(Rankings!E101&lt;=3,1,0)</f>
        <v>0</v>
      </c>
      <c r="F100" s="17" t="n">
        <f aca="false">IF(Rankings!F101&lt;=3,1,0)</f>
        <v>0</v>
      </c>
      <c r="G100" s="17" t="n">
        <f aca="false">IF(Rankings!G101&lt;=3,1,0)</f>
        <v>1</v>
      </c>
      <c r="H100" s="17" t="n">
        <f aca="false">IF(Rankings!H101&lt;=3,1,0)</f>
        <v>0</v>
      </c>
      <c r="I100" s="17" t="n">
        <f aca="false">IF(Rankings!I101&lt;=3,1,0)</f>
        <v>0</v>
      </c>
      <c r="J100" s="17" t="n">
        <f aca="false">IF(Rankings!J101&lt;=3,1,0)</f>
        <v>1</v>
      </c>
      <c r="K100" s="20" t="n">
        <f aca="false">SUM(C100:J100)</f>
        <v>3</v>
      </c>
      <c r="L100" s="16" t="n">
        <f aca="false">SUMPRODUCT(C100:J100,Returns!B104:I104)/K100</f>
        <v>0.243106523439589</v>
      </c>
      <c r="M100" s="16" t="n">
        <v>0</v>
      </c>
      <c r="N100" s="16" t="n">
        <v>0</v>
      </c>
      <c r="O100" s="16" t="n">
        <f aca="false">L100+M100+N100</f>
        <v>0.243106523439589</v>
      </c>
      <c r="P100" s="21" t="n">
        <f aca="false">P99*(1+O100)</f>
        <v>2.2913825615873</v>
      </c>
      <c r="Q100" s="21" t="n">
        <f aca="false">MAX($P$5:P100)</f>
        <v>2.76725495184409</v>
      </c>
      <c r="R100" s="16" t="n">
        <f aca="false">P100/Q100-1</f>
        <v>-0.171965503192857</v>
      </c>
      <c r="S100" s="16" t="n">
        <f aca="false">O100-Benchmark_RF!D100</f>
        <v>0.225776430485795</v>
      </c>
    </row>
    <row r="101" customFormat="false" ht="15" hidden="false" customHeight="true" outlineLevel="0" collapsed="false">
      <c r="A101" s="1" t="n">
        <v>104</v>
      </c>
      <c r="B101" s="13" t="n">
        <f aca="false">Returns!A105</f>
        <v>45139</v>
      </c>
      <c r="C101" s="17" t="n">
        <f aca="false">IF(Rankings!C107&lt;=3,1,0)</f>
        <v>1</v>
      </c>
      <c r="D101" s="17" t="n">
        <f aca="false">IF(Rankings!D107&lt;=3,1,0)</f>
        <v>0</v>
      </c>
      <c r="E101" s="17" t="n">
        <f aca="false">IF(Rankings!E107&lt;=3,1,0)</f>
        <v>0</v>
      </c>
      <c r="F101" s="17" t="n">
        <f aca="false">IF(Rankings!F107&lt;=3,1,0)</f>
        <v>1</v>
      </c>
      <c r="G101" s="17" t="n">
        <f aca="false">IF(Rankings!G107&lt;=3,1,0)</f>
        <v>0</v>
      </c>
      <c r="H101" s="17" t="n">
        <f aca="false">IF(Rankings!H107&lt;=3,1,0)</f>
        <v>1</v>
      </c>
      <c r="I101" s="17" t="n">
        <f aca="false">IF(Rankings!I107&lt;=3,1,0)</f>
        <v>0</v>
      </c>
      <c r="J101" s="17" t="n">
        <f aca="false">IF(Rankings!J107&lt;=3,1,0)</f>
        <v>0</v>
      </c>
      <c r="K101" s="20" t="n">
        <f aca="false">SUM(C101:J101)</f>
        <v>3</v>
      </c>
      <c r="L101" s="16" t="n">
        <f aca="false">SUMPRODUCT(C101:J101,Returns!B105:I105)/K101</f>
        <v>-0.0661234782797656</v>
      </c>
      <c r="M101" s="16" t="n">
        <f aca="false">-2*Assumptions!$B$13</f>
        <v>-0.007</v>
      </c>
      <c r="N101" s="16" t="n">
        <f aca="false">-Assumptions!$B$16*MAX(0,(1+O95)*(1+O96)*(1+O97)*(1+O98)*(1+O99)*(1+O100)-1)</f>
        <v>-0.0483517690443664</v>
      </c>
      <c r="O101" s="16" t="n">
        <f aca="false">L101+M101+N101</f>
        <v>-0.121475247324132</v>
      </c>
      <c r="P101" s="21" t="n">
        <f aca="false">P100*(1+O101)</f>
        <v>2.01303629820428</v>
      </c>
      <c r="Q101" s="21" t="n">
        <f aca="false">MAX($P$5:P101)</f>
        <v>2.76725495184409</v>
      </c>
      <c r="R101" s="16" t="n">
        <f aca="false">P101/Q101-1</f>
        <v>-0.272551198485418</v>
      </c>
      <c r="S101" s="16" t="n">
        <f aca="false">O101-Benchmark_RF!D101</f>
        <v>-0.138786437183856</v>
      </c>
    </row>
    <row r="102" customFormat="false" ht="15" hidden="false" customHeight="true" outlineLevel="0" collapsed="false">
      <c r="A102" s="1" t="n">
        <v>105</v>
      </c>
      <c r="B102" s="13" t="n">
        <f aca="false">Returns!A106</f>
        <v>45170</v>
      </c>
      <c r="C102" s="17" t="n">
        <f aca="false">IF(Rankings!C107&lt;=3,1,0)</f>
        <v>1</v>
      </c>
      <c r="D102" s="17" t="n">
        <f aca="false">IF(Rankings!D107&lt;=3,1,0)</f>
        <v>0</v>
      </c>
      <c r="E102" s="17" t="n">
        <f aca="false">IF(Rankings!E107&lt;=3,1,0)</f>
        <v>0</v>
      </c>
      <c r="F102" s="17" t="n">
        <f aca="false">IF(Rankings!F107&lt;=3,1,0)</f>
        <v>1</v>
      </c>
      <c r="G102" s="17" t="n">
        <f aca="false">IF(Rankings!G107&lt;=3,1,0)</f>
        <v>0</v>
      </c>
      <c r="H102" s="17" t="n">
        <f aca="false">IF(Rankings!H107&lt;=3,1,0)</f>
        <v>1</v>
      </c>
      <c r="I102" s="17" t="n">
        <f aca="false">IF(Rankings!I107&lt;=3,1,0)</f>
        <v>0</v>
      </c>
      <c r="J102" s="17" t="n">
        <f aca="false">IF(Rankings!J107&lt;=3,1,0)</f>
        <v>0</v>
      </c>
      <c r="K102" s="20" t="n">
        <f aca="false">SUM(C102:J102)</f>
        <v>3</v>
      </c>
      <c r="L102" s="16" t="n">
        <f aca="false">SUMPRODUCT(C102:J102,Returns!B106:I106)/K102</f>
        <v>0.00281252478283452</v>
      </c>
      <c r="M102" s="16" t="n">
        <v>0</v>
      </c>
      <c r="N102" s="16" t="n">
        <v>0</v>
      </c>
      <c r="O102" s="16" t="n">
        <f aca="false">L102+M102+N102</f>
        <v>0.00281252478283452</v>
      </c>
      <c r="P102" s="21" t="n">
        <f aca="false">P101*(1+O102)</f>
        <v>2.01869801268172</v>
      </c>
      <c r="Q102" s="21" t="n">
        <f aca="false">MAX($P$5:P102)</f>
        <v>2.76725495184409</v>
      </c>
      <c r="R102" s="16" t="n">
        <f aca="false">P102/Q102-1</f>
        <v>-0.270505230702915</v>
      </c>
      <c r="S102" s="16" t="n">
        <f aca="false">O102-Benchmark_RF!D102</f>
        <v>-0.0144202518814292</v>
      </c>
    </row>
    <row r="103" customFormat="false" ht="15" hidden="false" customHeight="true" outlineLevel="0" collapsed="false">
      <c r="A103" s="1" t="n">
        <v>106</v>
      </c>
      <c r="B103" s="13" t="n">
        <f aca="false">Returns!A107</f>
        <v>45200</v>
      </c>
      <c r="C103" s="17" t="n">
        <f aca="false">IF(Rankings!C107&lt;=3,1,0)</f>
        <v>1</v>
      </c>
      <c r="D103" s="17" t="n">
        <f aca="false">IF(Rankings!D107&lt;=3,1,0)</f>
        <v>0</v>
      </c>
      <c r="E103" s="17" t="n">
        <f aca="false">IF(Rankings!E107&lt;=3,1,0)</f>
        <v>0</v>
      </c>
      <c r="F103" s="17" t="n">
        <f aca="false">IF(Rankings!F107&lt;=3,1,0)</f>
        <v>1</v>
      </c>
      <c r="G103" s="17" t="n">
        <f aca="false">IF(Rankings!G107&lt;=3,1,0)</f>
        <v>0</v>
      </c>
      <c r="H103" s="17" t="n">
        <f aca="false">IF(Rankings!H107&lt;=3,1,0)</f>
        <v>1</v>
      </c>
      <c r="I103" s="17" t="n">
        <f aca="false">IF(Rankings!I107&lt;=3,1,0)</f>
        <v>0</v>
      </c>
      <c r="J103" s="17" t="n">
        <f aca="false">IF(Rankings!J107&lt;=3,1,0)</f>
        <v>0</v>
      </c>
      <c r="K103" s="20" t="n">
        <f aca="false">SUM(C103:J103)</f>
        <v>3</v>
      </c>
      <c r="L103" s="16" t="n">
        <f aca="false">SUMPRODUCT(C103:J103,Returns!B107:I107)/K103</f>
        <v>0.110729093966947</v>
      </c>
      <c r="M103" s="16" t="n">
        <v>0</v>
      </c>
      <c r="N103" s="16" t="n">
        <v>0</v>
      </c>
      <c r="O103" s="16" t="n">
        <f aca="false">L103+M103+N103</f>
        <v>0.110729093966947</v>
      </c>
      <c r="P103" s="21" t="n">
        <f aca="false">P102*(1+O103)</f>
        <v>2.24222661461885</v>
      </c>
      <c r="Q103" s="21" t="n">
        <f aca="false">MAX($P$5:P103)</f>
        <v>2.76725495184409</v>
      </c>
      <c r="R103" s="16" t="n">
        <f aca="false">P103/Q103-1</f>
        <v>-0.189728935845021</v>
      </c>
      <c r="S103" s="16" t="n">
        <f aca="false">O103-Benchmark_RF!D103</f>
        <v>0.0939229549260882</v>
      </c>
    </row>
    <row r="104" customFormat="false" ht="15" hidden="false" customHeight="true" outlineLevel="0" collapsed="false">
      <c r="A104" s="1" t="n">
        <v>107</v>
      </c>
      <c r="B104" s="13" t="n">
        <f aca="false">Returns!A108</f>
        <v>45231</v>
      </c>
      <c r="C104" s="17" t="n">
        <f aca="false">IF(Rankings!C107&lt;=3,1,0)</f>
        <v>1</v>
      </c>
      <c r="D104" s="17" t="n">
        <f aca="false">IF(Rankings!D107&lt;=3,1,0)</f>
        <v>0</v>
      </c>
      <c r="E104" s="17" t="n">
        <f aca="false">IF(Rankings!E107&lt;=3,1,0)</f>
        <v>0</v>
      </c>
      <c r="F104" s="17" t="n">
        <f aca="false">IF(Rankings!F107&lt;=3,1,0)</f>
        <v>1</v>
      </c>
      <c r="G104" s="17" t="n">
        <f aca="false">IF(Rankings!G107&lt;=3,1,0)</f>
        <v>0</v>
      </c>
      <c r="H104" s="17" t="n">
        <f aca="false">IF(Rankings!H107&lt;=3,1,0)</f>
        <v>1</v>
      </c>
      <c r="I104" s="17" t="n">
        <f aca="false">IF(Rankings!I107&lt;=3,1,0)</f>
        <v>0</v>
      </c>
      <c r="J104" s="17" t="n">
        <f aca="false">IF(Rankings!J107&lt;=3,1,0)</f>
        <v>0</v>
      </c>
      <c r="K104" s="20" t="n">
        <f aca="false">SUM(C104:J104)</f>
        <v>3</v>
      </c>
      <c r="L104" s="16" t="n">
        <f aca="false">SUMPRODUCT(C104:J104,Returns!B108:I108)/K104</f>
        <v>0.0894132742504564</v>
      </c>
      <c r="M104" s="16" t="n">
        <v>0</v>
      </c>
      <c r="N104" s="16" t="n">
        <v>0</v>
      </c>
      <c r="O104" s="16" t="n">
        <f aca="false">L104+M104+N104</f>
        <v>0.0894132742504564</v>
      </c>
      <c r="P104" s="21" t="n">
        <f aca="false">P103*(1+O104)</f>
        <v>2.44271143784343</v>
      </c>
      <c r="Q104" s="21" t="n">
        <f aca="false">MAX($P$5:P104)</f>
        <v>2.76725495184409</v>
      </c>
      <c r="R104" s="16" t="n">
        <f aca="false">P104/Q104-1</f>
        <v>-0.117279946968523</v>
      </c>
      <c r="S104" s="16" t="n">
        <f aca="false">O104-Benchmark_RF!D104</f>
        <v>0.0731638032111993</v>
      </c>
    </row>
    <row r="105" customFormat="false" ht="15" hidden="false" customHeight="true" outlineLevel="0" collapsed="false">
      <c r="A105" s="1" t="n">
        <v>108</v>
      </c>
      <c r="B105" s="13" t="n">
        <f aca="false">Returns!A109</f>
        <v>45261</v>
      </c>
      <c r="C105" s="17" t="n">
        <f aca="false">IF(Rankings!C107&lt;=3,1,0)</f>
        <v>1</v>
      </c>
      <c r="D105" s="17" t="n">
        <f aca="false">IF(Rankings!D107&lt;=3,1,0)</f>
        <v>0</v>
      </c>
      <c r="E105" s="17" t="n">
        <f aca="false">IF(Rankings!E107&lt;=3,1,0)</f>
        <v>0</v>
      </c>
      <c r="F105" s="17" t="n">
        <f aca="false">IF(Rankings!F107&lt;=3,1,0)</f>
        <v>1</v>
      </c>
      <c r="G105" s="17" t="n">
        <f aca="false">IF(Rankings!G107&lt;=3,1,0)</f>
        <v>0</v>
      </c>
      <c r="H105" s="17" t="n">
        <f aca="false">IF(Rankings!H107&lt;=3,1,0)</f>
        <v>1</v>
      </c>
      <c r="I105" s="17" t="n">
        <f aca="false">IF(Rankings!I107&lt;=3,1,0)</f>
        <v>0</v>
      </c>
      <c r="J105" s="17" t="n">
        <f aca="false">IF(Rankings!J107&lt;=3,1,0)</f>
        <v>0</v>
      </c>
      <c r="K105" s="20" t="n">
        <f aca="false">SUM(C105:J105)</f>
        <v>3</v>
      </c>
      <c r="L105" s="16" t="n">
        <f aca="false">SUMPRODUCT(C105:J105,Returns!B109:I109)/K105</f>
        <v>0.0221539242205228</v>
      </c>
      <c r="M105" s="16" t="n">
        <v>0</v>
      </c>
      <c r="N105" s="16" t="n">
        <v>0</v>
      </c>
      <c r="O105" s="16" t="n">
        <f aca="false">L105+M105+N105</f>
        <v>0.0221539242205228</v>
      </c>
      <c r="P105" s="21" t="n">
        <f aca="false">P104*(1+O105)</f>
        <v>2.49682708193002</v>
      </c>
      <c r="Q105" s="21" t="n">
        <f aca="false">MAX($P$5:P105)</f>
        <v>2.76725495184409</v>
      </c>
      <c r="R105" s="16" t="n">
        <f aca="false">P105/Q105-1</f>
        <v>-0.097724233805728</v>
      </c>
      <c r="S105" s="16" t="n">
        <f aca="false">O105-Benchmark_RF!D105</f>
        <v>0.00591841293968557</v>
      </c>
    </row>
    <row r="106" customFormat="false" ht="15" hidden="false" customHeight="true" outlineLevel="0" collapsed="false">
      <c r="A106" s="1" t="n">
        <v>109</v>
      </c>
      <c r="B106" s="13" t="n">
        <f aca="false">Returns!A110</f>
        <v>45292</v>
      </c>
      <c r="C106" s="17" t="n">
        <f aca="false">IF(Rankings!C107&lt;=3,1,0)</f>
        <v>1</v>
      </c>
      <c r="D106" s="17" t="n">
        <f aca="false">IF(Rankings!D107&lt;=3,1,0)</f>
        <v>0</v>
      </c>
      <c r="E106" s="17" t="n">
        <f aca="false">IF(Rankings!E107&lt;=3,1,0)</f>
        <v>0</v>
      </c>
      <c r="F106" s="17" t="n">
        <f aca="false">IF(Rankings!F107&lt;=3,1,0)</f>
        <v>1</v>
      </c>
      <c r="G106" s="17" t="n">
        <f aca="false">IF(Rankings!G107&lt;=3,1,0)</f>
        <v>0</v>
      </c>
      <c r="H106" s="17" t="n">
        <f aca="false">IF(Rankings!H107&lt;=3,1,0)</f>
        <v>1</v>
      </c>
      <c r="I106" s="17" t="n">
        <f aca="false">IF(Rankings!I107&lt;=3,1,0)</f>
        <v>0</v>
      </c>
      <c r="J106" s="17" t="n">
        <f aca="false">IF(Rankings!J107&lt;=3,1,0)</f>
        <v>0</v>
      </c>
      <c r="K106" s="20" t="n">
        <f aca="false">SUM(C106:J106)</f>
        <v>3</v>
      </c>
      <c r="L106" s="16" t="n">
        <f aca="false">SUMPRODUCT(C106:J106,Returns!B110:I110)/K106</f>
        <v>0.0819995040709863</v>
      </c>
      <c r="M106" s="16" t="n">
        <v>0</v>
      </c>
      <c r="N106" s="16" t="n">
        <v>0</v>
      </c>
      <c r="O106" s="16" t="n">
        <f aca="false">L106+M106+N106</f>
        <v>0.0819995040709863</v>
      </c>
      <c r="P106" s="21" t="n">
        <f aca="false">P105*(1+O106)</f>
        <v>2.70156566439929</v>
      </c>
      <c r="Q106" s="21" t="n">
        <f aca="false">MAX($P$5:P106)</f>
        <v>2.76725495184409</v>
      </c>
      <c r="R106" s="16" t="n">
        <f aca="false">P106/Q106-1</f>
        <v>-0.0237380684425286</v>
      </c>
      <c r="S106" s="16" t="n">
        <f aca="false">O106-Benchmark_RF!D106</f>
        <v>0.0660105903818844</v>
      </c>
    </row>
    <row r="107" customFormat="false" ht="15" hidden="false" customHeight="true" outlineLevel="0" collapsed="false">
      <c r="A107" s="1" t="n">
        <v>110</v>
      </c>
      <c r="B107" s="13" t="n">
        <f aca="false">Returns!A111</f>
        <v>45323</v>
      </c>
      <c r="C107" s="17" t="n">
        <f aca="false">IF(Rankings!C113&lt;=3,1,0)</f>
        <v>0</v>
      </c>
      <c r="D107" s="17" t="n">
        <f aca="false">IF(Rankings!D113&lt;=3,1,0)</f>
        <v>1</v>
      </c>
      <c r="E107" s="17" t="n">
        <f aca="false">IF(Rankings!E113&lt;=3,1,0)</f>
        <v>0</v>
      </c>
      <c r="F107" s="17" t="n">
        <f aca="false">IF(Rankings!F113&lt;=3,1,0)</f>
        <v>0</v>
      </c>
      <c r="G107" s="17" t="n">
        <f aca="false">IF(Rankings!G113&lt;=3,1,0)</f>
        <v>0</v>
      </c>
      <c r="H107" s="17" t="n">
        <f aca="false">IF(Rankings!H113&lt;=3,1,0)</f>
        <v>1</v>
      </c>
      <c r="I107" s="17" t="n">
        <f aca="false">IF(Rankings!I113&lt;=3,1,0)</f>
        <v>1</v>
      </c>
      <c r="J107" s="17" t="n">
        <f aca="false">IF(Rankings!J113&lt;=3,1,0)</f>
        <v>0</v>
      </c>
      <c r="K107" s="20" t="n">
        <f aca="false">SUM(C107:J107)</f>
        <v>3</v>
      </c>
      <c r="L107" s="16" t="n">
        <f aca="false">SUMPRODUCT(C107:J107,Returns!B111:I111)/K107</f>
        <v>0.307774959526435</v>
      </c>
      <c r="M107" s="16" t="n">
        <f aca="false">-2*Assumptions!$B$13</f>
        <v>-0.007</v>
      </c>
      <c r="N107" s="16" t="n">
        <f aca="false">-Assumptions!$B$16*MAX(0,(1+O101)*(1+O102)*(1+O103)*(1+O104)*(1+O105)*(1+O106)-1)</f>
        <v>-0.0268516774340717</v>
      </c>
      <c r="O107" s="16" t="n">
        <f aca="false">L107+M107+N107</f>
        <v>0.273923282092363</v>
      </c>
      <c r="P107" s="21" t="n">
        <f aca="false">P106*(1+O107)</f>
        <v>3.44158739797958</v>
      </c>
      <c r="Q107" s="21" t="n">
        <f aca="false">MAX($P$5:P107)</f>
        <v>3.44158739797958</v>
      </c>
      <c r="R107" s="16" t="n">
        <f aca="false">P107/Q107-1</f>
        <v>0</v>
      </c>
      <c r="S107" s="16" t="n">
        <f aca="false">O107-Benchmark_RF!D107</f>
        <v>0.25769475148183</v>
      </c>
    </row>
    <row r="108" customFormat="false" ht="15" hidden="false" customHeight="true" outlineLevel="0" collapsed="false">
      <c r="A108" s="1" t="n">
        <v>111</v>
      </c>
      <c r="B108" s="13" t="n">
        <f aca="false">Returns!A112</f>
        <v>45352</v>
      </c>
      <c r="C108" s="17" t="n">
        <f aca="false">IF(Rankings!C113&lt;=3,1,0)</f>
        <v>0</v>
      </c>
      <c r="D108" s="17" t="n">
        <f aca="false">IF(Rankings!D113&lt;=3,1,0)</f>
        <v>1</v>
      </c>
      <c r="E108" s="17" t="n">
        <f aca="false">IF(Rankings!E113&lt;=3,1,0)</f>
        <v>0</v>
      </c>
      <c r="F108" s="17" t="n">
        <f aca="false">IF(Rankings!F113&lt;=3,1,0)</f>
        <v>0</v>
      </c>
      <c r="G108" s="17" t="n">
        <f aca="false">IF(Rankings!G113&lt;=3,1,0)</f>
        <v>0</v>
      </c>
      <c r="H108" s="17" t="n">
        <f aca="false">IF(Rankings!H113&lt;=3,1,0)</f>
        <v>1</v>
      </c>
      <c r="I108" s="17" t="n">
        <f aca="false">IF(Rankings!I113&lt;=3,1,0)</f>
        <v>1</v>
      </c>
      <c r="J108" s="17" t="n">
        <f aca="false">IF(Rankings!J113&lt;=3,1,0)</f>
        <v>0</v>
      </c>
      <c r="K108" s="20" t="n">
        <f aca="false">SUM(C108:J108)</f>
        <v>3</v>
      </c>
      <c r="L108" s="16" t="n">
        <f aca="false">SUMPRODUCT(C108:J108,Returns!B112:I112)/K108</f>
        <v>0.092716521233437</v>
      </c>
      <c r="M108" s="16" t="n">
        <v>0</v>
      </c>
      <c r="N108" s="16" t="n">
        <v>0</v>
      </c>
      <c r="O108" s="16" t="n">
        <f aca="false">L108+M108+N108</f>
        <v>0.092716521233437</v>
      </c>
      <c r="P108" s="21" t="n">
        <f aca="false">P107*(1+O108)</f>
        <v>3.76067940904108</v>
      </c>
      <c r="Q108" s="21" t="n">
        <f aca="false">MAX($P$5:P108)</f>
        <v>3.76067940904108</v>
      </c>
      <c r="R108" s="16" t="n">
        <f aca="false">P108/Q108-1</f>
        <v>0</v>
      </c>
      <c r="S108" s="16" t="n">
        <f aca="false">O108-Benchmark_RF!D108</f>
        <v>0.07640425737091</v>
      </c>
    </row>
    <row r="109" customFormat="false" ht="15" hidden="false" customHeight="true" outlineLevel="0" collapsed="false">
      <c r="A109" s="1" t="n">
        <v>112</v>
      </c>
      <c r="B109" s="13" t="n">
        <f aca="false">Returns!A113</f>
        <v>45383</v>
      </c>
      <c r="C109" s="17" t="n">
        <f aca="false">IF(Rankings!C113&lt;=3,1,0)</f>
        <v>0</v>
      </c>
      <c r="D109" s="17" t="n">
        <f aca="false">IF(Rankings!D113&lt;=3,1,0)</f>
        <v>1</v>
      </c>
      <c r="E109" s="17" t="n">
        <f aca="false">IF(Rankings!E113&lt;=3,1,0)</f>
        <v>0</v>
      </c>
      <c r="F109" s="17" t="n">
        <f aca="false">IF(Rankings!F113&lt;=3,1,0)</f>
        <v>0</v>
      </c>
      <c r="G109" s="17" t="n">
        <f aca="false">IF(Rankings!G113&lt;=3,1,0)</f>
        <v>0</v>
      </c>
      <c r="H109" s="17" t="n">
        <f aca="false">IF(Rankings!H113&lt;=3,1,0)</f>
        <v>1</v>
      </c>
      <c r="I109" s="17" t="n">
        <f aca="false">IF(Rankings!I113&lt;=3,1,0)</f>
        <v>1</v>
      </c>
      <c r="J109" s="17" t="n">
        <f aca="false">IF(Rankings!J113&lt;=3,1,0)</f>
        <v>0</v>
      </c>
      <c r="K109" s="20" t="n">
        <f aca="false">SUM(C109:J109)</f>
        <v>3</v>
      </c>
      <c r="L109" s="16" t="n">
        <f aca="false">SUMPRODUCT(C109:J109,Returns!B113:I113)/K109</f>
        <v>0.318286721326519</v>
      </c>
      <c r="M109" s="16" t="n">
        <v>0</v>
      </c>
      <c r="N109" s="16" t="n">
        <v>0</v>
      </c>
      <c r="O109" s="16" t="n">
        <f aca="false">L109+M109+N109</f>
        <v>0.318286721326519</v>
      </c>
      <c r="P109" s="21" t="n">
        <f aca="false">P108*(1+O109)</f>
        <v>4.95765372810492</v>
      </c>
      <c r="Q109" s="21" t="n">
        <f aca="false">MAX($P$5:P109)</f>
        <v>4.95765372810492</v>
      </c>
      <c r="R109" s="16" t="n">
        <f aca="false">P109/Q109-1</f>
        <v>0</v>
      </c>
      <c r="S109" s="16" t="n">
        <f aca="false">O109-Benchmark_RF!D109</f>
        <v>0.301862931041156</v>
      </c>
    </row>
    <row r="110" customFormat="false" ht="15" hidden="false" customHeight="true" outlineLevel="0" collapsed="false">
      <c r="A110" s="1" t="n">
        <v>113</v>
      </c>
      <c r="B110" s="13" t="n">
        <f aca="false">Returns!A114</f>
        <v>45413</v>
      </c>
      <c r="C110" s="17" t="n">
        <f aca="false">IF(Rankings!C113&lt;=3,1,0)</f>
        <v>0</v>
      </c>
      <c r="D110" s="17" t="n">
        <f aca="false">IF(Rankings!D113&lt;=3,1,0)</f>
        <v>1</v>
      </c>
      <c r="E110" s="17" t="n">
        <f aca="false">IF(Rankings!E113&lt;=3,1,0)</f>
        <v>0</v>
      </c>
      <c r="F110" s="17" t="n">
        <f aca="false">IF(Rankings!F113&lt;=3,1,0)</f>
        <v>0</v>
      </c>
      <c r="G110" s="17" t="n">
        <f aca="false">IF(Rankings!G113&lt;=3,1,0)</f>
        <v>0</v>
      </c>
      <c r="H110" s="17" t="n">
        <f aca="false">IF(Rankings!H113&lt;=3,1,0)</f>
        <v>1</v>
      </c>
      <c r="I110" s="17" t="n">
        <f aca="false">IF(Rankings!I113&lt;=3,1,0)</f>
        <v>1</v>
      </c>
      <c r="J110" s="17" t="n">
        <f aca="false">IF(Rankings!J113&lt;=3,1,0)</f>
        <v>0</v>
      </c>
      <c r="K110" s="20" t="n">
        <f aca="false">SUM(C110:J110)</f>
        <v>3</v>
      </c>
      <c r="L110" s="16" t="n">
        <f aca="false">SUMPRODUCT(C110:J110,Returns!B114:I114)/K110</f>
        <v>0.0837711212661035</v>
      </c>
      <c r="M110" s="16" t="n">
        <v>0</v>
      </c>
      <c r="N110" s="16" t="n">
        <v>0</v>
      </c>
      <c r="O110" s="16" t="n">
        <f aca="false">L110+M110+N110</f>
        <v>0.0837711212661035</v>
      </c>
      <c r="P110" s="21" t="n">
        <f aca="false">P109*(1+O110)</f>
        <v>5.37296193975735</v>
      </c>
      <c r="Q110" s="21" t="n">
        <f aca="false">MAX($P$5:P110)</f>
        <v>5.37296193975735</v>
      </c>
      <c r="R110" s="16" t="n">
        <f aca="false">P110/Q110-1</f>
        <v>0</v>
      </c>
      <c r="S110" s="16" t="n">
        <f aca="false">O110-Benchmark_RF!D110</f>
        <v>0.0678012469990278</v>
      </c>
    </row>
    <row r="111" customFormat="false" ht="15" hidden="false" customHeight="true" outlineLevel="0" collapsed="false">
      <c r="A111" s="1" t="n">
        <v>114</v>
      </c>
      <c r="B111" s="13" t="n">
        <f aca="false">Returns!A115</f>
        <v>45444</v>
      </c>
      <c r="C111" s="17" t="n">
        <f aca="false">IF(Rankings!C113&lt;=3,1,0)</f>
        <v>0</v>
      </c>
      <c r="D111" s="17" t="n">
        <f aca="false">IF(Rankings!D113&lt;=3,1,0)</f>
        <v>1</v>
      </c>
      <c r="E111" s="17" t="n">
        <f aca="false">IF(Rankings!E113&lt;=3,1,0)</f>
        <v>0</v>
      </c>
      <c r="F111" s="17" t="n">
        <f aca="false">IF(Rankings!F113&lt;=3,1,0)</f>
        <v>0</v>
      </c>
      <c r="G111" s="17" t="n">
        <f aca="false">IF(Rankings!G113&lt;=3,1,0)</f>
        <v>0</v>
      </c>
      <c r="H111" s="17" t="n">
        <f aca="false">IF(Rankings!H113&lt;=3,1,0)</f>
        <v>1</v>
      </c>
      <c r="I111" s="17" t="n">
        <f aca="false">IF(Rankings!I113&lt;=3,1,0)</f>
        <v>1</v>
      </c>
      <c r="J111" s="17" t="n">
        <f aca="false">IF(Rankings!J113&lt;=3,1,0)</f>
        <v>0</v>
      </c>
      <c r="K111" s="20" t="n">
        <f aca="false">SUM(C111:J111)</f>
        <v>3</v>
      </c>
      <c r="L111" s="16" t="n">
        <f aca="false">SUMPRODUCT(C111:J111,Returns!B115:I115)/K111</f>
        <v>0.0598711225113479</v>
      </c>
      <c r="M111" s="16" t="n">
        <v>0</v>
      </c>
      <c r="N111" s="16" t="n">
        <v>0</v>
      </c>
      <c r="O111" s="16" t="n">
        <f aca="false">L111+M111+N111</f>
        <v>0.0598711225113479</v>
      </c>
      <c r="P111" s="21" t="n">
        <f aca="false">P110*(1+O111)</f>
        <v>5.69464720230137</v>
      </c>
      <c r="Q111" s="21" t="n">
        <f aca="false">MAX($P$5:P111)</f>
        <v>5.69464720230137</v>
      </c>
      <c r="R111" s="16" t="n">
        <f aca="false">P111/Q111-1</f>
        <v>0</v>
      </c>
      <c r="S111" s="16" t="n">
        <f aca="false">O111-Benchmark_RF!D111</f>
        <v>0.0445514289754689</v>
      </c>
    </row>
    <row r="112" customFormat="false" ht="15" hidden="false" customHeight="true" outlineLevel="0" collapsed="false">
      <c r="A112" s="1" t="n">
        <v>115</v>
      </c>
      <c r="B112" s="13" t="n">
        <f aca="false">Returns!A116</f>
        <v>45474</v>
      </c>
      <c r="C112" s="17" t="n">
        <f aca="false">IF(Rankings!C113&lt;=3,1,0)</f>
        <v>0</v>
      </c>
      <c r="D112" s="17" t="n">
        <f aca="false">IF(Rankings!D113&lt;=3,1,0)</f>
        <v>1</v>
      </c>
      <c r="E112" s="17" t="n">
        <f aca="false">IF(Rankings!E113&lt;=3,1,0)</f>
        <v>0</v>
      </c>
      <c r="F112" s="17" t="n">
        <f aca="false">IF(Rankings!F113&lt;=3,1,0)</f>
        <v>0</v>
      </c>
      <c r="G112" s="17" t="n">
        <f aca="false">IF(Rankings!G113&lt;=3,1,0)</f>
        <v>0</v>
      </c>
      <c r="H112" s="17" t="n">
        <f aca="false">IF(Rankings!H113&lt;=3,1,0)</f>
        <v>1</v>
      </c>
      <c r="I112" s="17" t="n">
        <f aca="false">IF(Rankings!I113&lt;=3,1,0)</f>
        <v>1</v>
      </c>
      <c r="J112" s="17" t="n">
        <f aca="false">IF(Rankings!J113&lt;=3,1,0)</f>
        <v>0</v>
      </c>
      <c r="K112" s="20" t="n">
        <f aca="false">SUM(C112:J112)</f>
        <v>3</v>
      </c>
      <c r="L112" s="16" t="n">
        <f aca="false">SUMPRODUCT(C112:J112,Returns!B116:I116)/K112</f>
        <v>0.126893995363733</v>
      </c>
      <c r="M112" s="16" t="n">
        <v>0</v>
      </c>
      <c r="N112" s="16" t="n">
        <v>0</v>
      </c>
      <c r="O112" s="16" t="n">
        <f aca="false">L112+M112+N112</f>
        <v>0.126893995363733</v>
      </c>
      <c r="P112" s="21" t="n">
        <f aca="false">P111*(1+O112)</f>
        <v>6.41726373798829</v>
      </c>
      <c r="Q112" s="21" t="n">
        <f aca="false">MAX($P$5:P112)</f>
        <v>6.41726373798829</v>
      </c>
      <c r="R112" s="16" t="n">
        <f aca="false">P112/Q112-1</f>
        <v>0</v>
      </c>
      <c r="S112" s="16" t="n">
        <f aca="false">O112-Benchmark_RF!D112</f>
        <v>0.111944815991591</v>
      </c>
    </row>
    <row r="113" customFormat="false" ht="15" hidden="false" customHeight="true" outlineLevel="0" collapsed="false">
      <c r="A113" s="1" t="n">
        <v>116</v>
      </c>
      <c r="B113" s="13" t="n">
        <f aca="false">Returns!A117</f>
        <v>45505</v>
      </c>
      <c r="C113" s="17" t="n">
        <f aca="false">IF(Rankings!C119&lt;=3,1,0)</f>
        <v>1</v>
      </c>
      <c r="D113" s="17" t="n">
        <f aca="false">IF(Rankings!D119&lt;=3,1,0)</f>
        <v>0</v>
      </c>
      <c r="E113" s="17" t="n">
        <f aca="false">IF(Rankings!E119&lt;=3,1,0)</f>
        <v>0</v>
      </c>
      <c r="F113" s="17" t="n">
        <f aca="false">IF(Rankings!F119&lt;=3,1,0)</f>
        <v>0</v>
      </c>
      <c r="G113" s="17" t="n">
        <f aca="false">IF(Rankings!G119&lt;=3,1,0)</f>
        <v>1</v>
      </c>
      <c r="H113" s="17" t="n">
        <f aca="false">IF(Rankings!H119&lt;=3,1,0)</f>
        <v>1</v>
      </c>
      <c r="I113" s="17" t="n">
        <f aca="false">IF(Rankings!I119&lt;=3,1,0)</f>
        <v>0</v>
      </c>
      <c r="J113" s="17" t="n">
        <f aca="false">IF(Rankings!J119&lt;=3,1,0)</f>
        <v>0</v>
      </c>
      <c r="K113" s="20" t="n">
        <f aca="false">SUM(C113:J113)</f>
        <v>3</v>
      </c>
      <c r="L113" s="16" t="n">
        <f aca="false">SUMPRODUCT(C113:J113,Returns!B117:I117)/K113</f>
        <v>-0.00674963174291573</v>
      </c>
      <c r="M113" s="16" t="n">
        <f aca="false">-2*Assumptions!$B$13</f>
        <v>-0.007</v>
      </c>
      <c r="N113" s="16" t="n">
        <f aca="false">-Assumptions!$B$16*MAX(0,(1+O107)*(1+O108)*(1+O109)*(1+O110)*(1+O111)*(1+O112)-1)</f>
        <v>-0.206308037736437</v>
      </c>
      <c r="O113" s="16" t="n">
        <f aca="false">L113+M113+N113</f>
        <v>-0.220057669479352</v>
      </c>
      <c r="P113" s="21" t="n">
        <f aca="false">P112*(1+O113)</f>
        <v>5.00509563537223</v>
      </c>
      <c r="Q113" s="21" t="n">
        <f aca="false">MAX($P$5:P113)</f>
        <v>6.41726373798829</v>
      </c>
      <c r="R113" s="16" t="n">
        <f aca="false">P113/Q113-1</f>
        <v>-0.220057669479352</v>
      </c>
      <c r="S113" s="16" t="n">
        <f aca="false">O113-Benchmark_RF!D113</f>
        <v>-0.233565824211595</v>
      </c>
    </row>
    <row r="114" customFormat="false" ht="15" hidden="false" customHeight="true" outlineLevel="0" collapsed="false">
      <c r="A114" s="1" t="n">
        <v>117</v>
      </c>
      <c r="B114" s="13" t="n">
        <f aca="false">Returns!A118</f>
        <v>45536</v>
      </c>
      <c r="C114" s="17" t="n">
        <f aca="false">IF(Rankings!C119&lt;=3,1,0)</f>
        <v>1</v>
      </c>
      <c r="D114" s="17" t="n">
        <f aca="false">IF(Rankings!D119&lt;=3,1,0)</f>
        <v>0</v>
      </c>
      <c r="E114" s="17" t="n">
        <f aca="false">IF(Rankings!E119&lt;=3,1,0)</f>
        <v>0</v>
      </c>
      <c r="F114" s="17" t="n">
        <f aca="false">IF(Rankings!F119&lt;=3,1,0)</f>
        <v>0</v>
      </c>
      <c r="G114" s="17" t="n">
        <f aca="false">IF(Rankings!G119&lt;=3,1,0)</f>
        <v>1</v>
      </c>
      <c r="H114" s="17" t="n">
        <f aca="false">IF(Rankings!H119&lt;=3,1,0)</f>
        <v>1</v>
      </c>
      <c r="I114" s="17" t="n">
        <f aca="false">IF(Rankings!I119&lt;=3,1,0)</f>
        <v>0</v>
      </c>
      <c r="J114" s="17" t="n">
        <f aca="false">IF(Rankings!J119&lt;=3,1,0)</f>
        <v>0</v>
      </c>
      <c r="K114" s="20" t="n">
        <f aca="false">SUM(C114:J114)</f>
        <v>3</v>
      </c>
      <c r="L114" s="16" t="n">
        <f aca="false">SUMPRODUCT(C114:J114,Returns!B118:I118)/K114</f>
        <v>0.124586408301897</v>
      </c>
      <c r="M114" s="16" t="n">
        <v>0</v>
      </c>
      <c r="N114" s="16" t="n">
        <v>0</v>
      </c>
      <c r="O114" s="16" t="n">
        <f aca="false">L114+M114+N114</f>
        <v>0.124586408301897</v>
      </c>
      <c r="P114" s="21" t="n">
        <f aca="false">P113*(1+O114)</f>
        <v>5.62866252379076</v>
      </c>
      <c r="Q114" s="21" t="n">
        <f aca="false">MAX($P$5:P114)</f>
        <v>6.41726373798829</v>
      </c>
      <c r="R114" s="16" t="n">
        <f aca="false">P114/Q114-1</f>
        <v>-0.122887455837173</v>
      </c>
      <c r="S114" s="16" t="n">
        <f aca="false">O114-Benchmark_RF!D114</f>
        <v>0.111121402692699</v>
      </c>
    </row>
    <row r="115" customFormat="false" ht="15" hidden="false" customHeight="true" outlineLevel="0" collapsed="false">
      <c r="A115" s="1" t="n">
        <v>118</v>
      </c>
      <c r="B115" s="13" t="n">
        <f aca="false">Returns!A119</f>
        <v>45566</v>
      </c>
      <c r="C115" s="17" t="n">
        <f aca="false">IF(Rankings!C119&lt;=3,1,0)</f>
        <v>1</v>
      </c>
      <c r="D115" s="17" t="n">
        <f aca="false">IF(Rankings!D119&lt;=3,1,0)</f>
        <v>0</v>
      </c>
      <c r="E115" s="17" t="n">
        <f aca="false">IF(Rankings!E119&lt;=3,1,0)</f>
        <v>0</v>
      </c>
      <c r="F115" s="17" t="n">
        <f aca="false">IF(Rankings!F119&lt;=3,1,0)</f>
        <v>0</v>
      </c>
      <c r="G115" s="17" t="n">
        <f aca="false">IF(Rankings!G119&lt;=3,1,0)</f>
        <v>1</v>
      </c>
      <c r="H115" s="17" t="n">
        <f aca="false">IF(Rankings!H119&lt;=3,1,0)</f>
        <v>1</v>
      </c>
      <c r="I115" s="17" t="n">
        <f aca="false">IF(Rankings!I119&lt;=3,1,0)</f>
        <v>0</v>
      </c>
      <c r="J115" s="17" t="n">
        <f aca="false">IF(Rankings!J119&lt;=3,1,0)</f>
        <v>0</v>
      </c>
      <c r="K115" s="20" t="n">
        <f aca="false">SUM(C115:J115)</f>
        <v>3</v>
      </c>
      <c r="L115" s="16" t="n">
        <f aca="false">SUMPRODUCT(C115:J115,Returns!B119:I119)/K115</f>
        <v>0.154731916935442</v>
      </c>
      <c r="M115" s="16" t="n">
        <v>0</v>
      </c>
      <c r="N115" s="16" t="n">
        <v>0</v>
      </c>
      <c r="O115" s="16" t="n">
        <f aca="false">L115+M115+N115</f>
        <v>0.154731916935442</v>
      </c>
      <c r="P115" s="21" t="n">
        <f aca="false">P114*(1+O115)</f>
        <v>6.49959626587959</v>
      </c>
      <c r="Q115" s="21" t="n">
        <f aca="false">MAX($P$5:P115)</f>
        <v>6.49959626587959</v>
      </c>
      <c r="R115" s="16" t="n">
        <f aca="false">P115/Q115-1</f>
        <v>0</v>
      </c>
      <c r="S115" s="16" t="n">
        <f aca="false">O115-Benchmark_RF!D115</f>
        <v>0.143849187786961</v>
      </c>
    </row>
    <row r="116" customFormat="false" ht="15" hidden="false" customHeight="true" outlineLevel="0" collapsed="false">
      <c r="A116" s="1" t="n">
        <v>119</v>
      </c>
      <c r="B116" s="13" t="n">
        <f aca="false">Returns!A120</f>
        <v>45597</v>
      </c>
      <c r="C116" s="17" t="n">
        <f aca="false">IF(Rankings!C119&lt;=3,1,0)</f>
        <v>1</v>
      </c>
      <c r="D116" s="17" t="n">
        <f aca="false">IF(Rankings!D119&lt;=3,1,0)</f>
        <v>0</v>
      </c>
      <c r="E116" s="17" t="n">
        <f aca="false">IF(Rankings!E119&lt;=3,1,0)</f>
        <v>0</v>
      </c>
      <c r="F116" s="17" t="n">
        <f aca="false">IF(Rankings!F119&lt;=3,1,0)</f>
        <v>0</v>
      </c>
      <c r="G116" s="17" t="n">
        <f aca="false">IF(Rankings!G119&lt;=3,1,0)</f>
        <v>1</v>
      </c>
      <c r="H116" s="17" t="n">
        <f aca="false">IF(Rankings!H119&lt;=3,1,0)</f>
        <v>1</v>
      </c>
      <c r="I116" s="17" t="n">
        <f aca="false">IF(Rankings!I119&lt;=3,1,0)</f>
        <v>0</v>
      </c>
      <c r="J116" s="17" t="n">
        <f aca="false">IF(Rankings!J119&lt;=3,1,0)</f>
        <v>0</v>
      </c>
      <c r="K116" s="20" t="n">
        <f aca="false">SUM(C116:J116)</f>
        <v>3</v>
      </c>
      <c r="L116" s="16" t="n">
        <f aca="false">SUMPRODUCT(C116:J116,Returns!B120:I120)/K116</f>
        <v>0.147735512422479</v>
      </c>
      <c r="M116" s="16" t="n">
        <v>0</v>
      </c>
      <c r="N116" s="16" t="n">
        <v>0</v>
      </c>
      <c r="O116" s="16" t="n">
        <f aca="false">L116+M116+N116</f>
        <v>0.147735512422479</v>
      </c>
      <c r="P116" s="21" t="n">
        <f aca="false">P115*(1+O116)</f>
        <v>7.45981745075855</v>
      </c>
      <c r="Q116" s="21" t="n">
        <f aca="false">MAX($P$5:P116)</f>
        <v>7.45981745075855</v>
      </c>
      <c r="R116" s="16" t="n">
        <f aca="false">P116/Q116-1</f>
        <v>0</v>
      </c>
      <c r="S116" s="16" t="n">
        <f aca="false">O116-Benchmark_RF!D116</f>
        <v>0.136852783273999</v>
      </c>
    </row>
    <row r="117" customFormat="false" ht="15" hidden="false" customHeight="true" outlineLevel="0" collapsed="false">
      <c r="A117" s="1" t="n">
        <v>120</v>
      </c>
      <c r="B117" s="13" t="n">
        <f aca="false">Returns!A121</f>
        <v>45627</v>
      </c>
      <c r="C117" s="17" t="n">
        <f aca="false">IF(Rankings!C119&lt;=3,1,0)</f>
        <v>1</v>
      </c>
      <c r="D117" s="17" t="n">
        <f aca="false">IF(Rankings!D119&lt;=3,1,0)</f>
        <v>0</v>
      </c>
      <c r="E117" s="17" t="n">
        <f aca="false">IF(Rankings!E119&lt;=3,1,0)</f>
        <v>0</v>
      </c>
      <c r="F117" s="17" t="n">
        <f aca="false">IF(Rankings!F119&lt;=3,1,0)</f>
        <v>0</v>
      </c>
      <c r="G117" s="17" t="n">
        <f aca="false">IF(Rankings!G119&lt;=3,1,0)</f>
        <v>1</v>
      </c>
      <c r="H117" s="17" t="n">
        <f aca="false">IF(Rankings!H119&lt;=3,1,0)</f>
        <v>1</v>
      </c>
      <c r="I117" s="17" t="n">
        <f aca="false">IF(Rankings!I119&lt;=3,1,0)</f>
        <v>0</v>
      </c>
      <c r="J117" s="17" t="n">
        <f aca="false">IF(Rankings!J119&lt;=3,1,0)</f>
        <v>0</v>
      </c>
      <c r="K117" s="20" t="n">
        <f aca="false">SUM(C117:J117)</f>
        <v>3</v>
      </c>
      <c r="L117" s="16" t="n">
        <f aca="false">SUMPRODUCT(C117:J117,Returns!B121:I121)/K117</f>
        <v>0.123617236990425</v>
      </c>
      <c r="M117" s="16" t="n">
        <v>0</v>
      </c>
      <c r="N117" s="16" t="n">
        <v>0</v>
      </c>
      <c r="O117" s="16" t="n">
        <f aca="false">L117+M117+N117</f>
        <v>0.123617236990425</v>
      </c>
      <c r="P117" s="21" t="n">
        <f aca="false">P116*(1+O117)</f>
        <v>8.38197947247427</v>
      </c>
      <c r="Q117" s="21" t="n">
        <f aca="false">MAX($P$5:P117)</f>
        <v>8.38197947247427</v>
      </c>
      <c r="R117" s="16" t="n">
        <f aca="false">P117/Q117-1</f>
        <v>0</v>
      </c>
      <c r="S117" s="16" t="n">
        <f aca="false">O117-Benchmark_RF!D117</f>
        <v>0.114241179433917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10" min="3" style="1" width="8"/>
    <col collapsed="false" customWidth="true" hidden="false" outlineLevel="0" max="16" min="11" style="1" width="11"/>
    <col collapsed="false" customWidth="true" hidden="false" outlineLevel="0" max="17" min="17" style="1" width="12"/>
    <col collapsed="false" customWidth="true" hidden="false" outlineLevel="0" max="18" min="18" style="1" width="11"/>
    <col collapsed="false" customWidth="true" hidden="false" outlineLevel="0" max="19" min="19" style="1" width="13"/>
  </cols>
  <sheetData>
    <row r="1" customFormat="false" ht="15.75" hidden="false" customHeight="true" outlineLevel="0" collapsed="false">
      <c r="A1" s="18" t="s">
        <v>84</v>
      </c>
    </row>
    <row r="2" customFormat="false" ht="15" hidden="false" customHeight="true" outlineLevel="0" collapsed="false">
      <c r="A2" s="5" t="s">
        <v>69</v>
      </c>
    </row>
    <row r="4" customFormat="false" ht="15" hidden="false" customHeight="true" outlineLevel="0" collapsed="false">
      <c r="A4" s="12" t="s">
        <v>70</v>
      </c>
      <c r="B4" s="12" t="s">
        <v>51</v>
      </c>
      <c r="C4" s="12" t="s">
        <v>52</v>
      </c>
      <c r="D4" s="12" t="s">
        <v>53</v>
      </c>
      <c r="E4" s="12" t="s">
        <v>54</v>
      </c>
      <c r="F4" s="12" t="s">
        <v>55</v>
      </c>
      <c r="G4" s="12" t="s">
        <v>56</v>
      </c>
      <c r="H4" s="12" t="s">
        <v>57</v>
      </c>
      <c r="I4" s="12" t="s">
        <v>58</v>
      </c>
      <c r="J4" s="12" t="s">
        <v>59</v>
      </c>
      <c r="K4" s="12" t="s">
        <v>71</v>
      </c>
      <c r="L4" s="12" t="s">
        <v>72</v>
      </c>
      <c r="M4" s="12" t="s">
        <v>73</v>
      </c>
      <c r="N4" s="12" t="s">
        <v>74</v>
      </c>
      <c r="O4" s="12" t="s">
        <v>75</v>
      </c>
      <c r="P4" s="12" t="s">
        <v>76</v>
      </c>
      <c r="Q4" s="19" t="s">
        <v>77</v>
      </c>
      <c r="R4" s="19" t="s">
        <v>78</v>
      </c>
      <c r="S4" s="19" t="s">
        <v>79</v>
      </c>
    </row>
    <row r="5" customFormat="false" ht="15" hidden="false" customHeight="true" outlineLevel="0" collapsed="false">
      <c r="A5" s="1" t="n">
        <v>8</v>
      </c>
      <c r="B5" s="13" t="n">
        <f aca="false">Returns!A9</f>
        <v>42217</v>
      </c>
      <c r="C5" s="17" t="n">
        <f aca="false">IF(Rankings!C11&lt;=3,1,0)</f>
        <v>0</v>
      </c>
      <c r="D5" s="17" t="n">
        <f aca="false">IF(Rankings!D11&lt;=3,1,0)</f>
        <v>1</v>
      </c>
      <c r="E5" s="17" t="n">
        <f aca="false">IF(Rankings!E11&lt;=3,1,0)</f>
        <v>0</v>
      </c>
      <c r="F5" s="17" t="n">
        <f aca="false">IF(Rankings!F11&lt;=3,1,0)</f>
        <v>0</v>
      </c>
      <c r="G5" s="17" t="n">
        <f aca="false">IF(Rankings!G11&lt;=3,1,0)</f>
        <v>1</v>
      </c>
      <c r="H5" s="17" t="n">
        <f aca="false">IF(Rankings!H11&lt;=3,1,0)</f>
        <v>1</v>
      </c>
      <c r="I5" s="17" t="n">
        <f aca="false">IF(Rankings!I11&lt;=3,1,0)</f>
        <v>0</v>
      </c>
      <c r="J5" s="17" t="n">
        <f aca="false">IF(Rankings!J11&lt;=3,1,0)</f>
        <v>0</v>
      </c>
      <c r="K5" s="20" t="n">
        <f aca="false">SUM(C5:J5)</f>
        <v>3</v>
      </c>
      <c r="L5" s="16" t="n">
        <f aca="false">SUMPRODUCT(C5:J5,Returns!B9:I9)/K5</f>
        <v>-0.0140221020718288</v>
      </c>
      <c r="M5" s="16" t="n">
        <f aca="false">-2*Assumptions!$B$13</f>
        <v>-0.007</v>
      </c>
      <c r="N5" s="16" t="n">
        <v>0</v>
      </c>
      <c r="O5" s="16" t="n">
        <f aca="false">L5+M5+N5</f>
        <v>-0.0210221020718288</v>
      </c>
      <c r="P5" s="21" t="n">
        <f aca="false">1*(1+O5)</f>
        <v>0.978977897928171</v>
      </c>
      <c r="Q5" s="21" t="n">
        <f aca="false">MAX($P$5:P5)</f>
        <v>0.978977897928171</v>
      </c>
      <c r="R5" s="16" t="n">
        <f aca="false">P5/Q5-1</f>
        <v>0</v>
      </c>
      <c r="S5" s="16" t="n">
        <f aca="false">O5-Benchmark_RF!D5</f>
        <v>-0.026622032581155</v>
      </c>
    </row>
    <row r="6" customFormat="false" ht="15" hidden="false" customHeight="true" outlineLevel="0" collapsed="false">
      <c r="A6" s="1" t="n">
        <v>9</v>
      </c>
      <c r="B6" s="13" t="n">
        <f aca="false">Returns!A10</f>
        <v>42248</v>
      </c>
      <c r="C6" s="17" t="n">
        <f aca="false">IF(Rankings!C11&lt;=3,1,0)</f>
        <v>0</v>
      </c>
      <c r="D6" s="17" t="n">
        <f aca="false">IF(Rankings!D11&lt;=3,1,0)</f>
        <v>1</v>
      </c>
      <c r="E6" s="17" t="n">
        <f aca="false">IF(Rankings!E11&lt;=3,1,0)</f>
        <v>0</v>
      </c>
      <c r="F6" s="17" t="n">
        <f aca="false">IF(Rankings!F11&lt;=3,1,0)</f>
        <v>0</v>
      </c>
      <c r="G6" s="17" t="n">
        <f aca="false">IF(Rankings!G11&lt;=3,1,0)</f>
        <v>1</v>
      </c>
      <c r="H6" s="17" t="n">
        <f aca="false">IF(Rankings!H11&lt;=3,1,0)</f>
        <v>1</v>
      </c>
      <c r="I6" s="17" t="n">
        <f aca="false">IF(Rankings!I11&lt;=3,1,0)</f>
        <v>0</v>
      </c>
      <c r="J6" s="17" t="n">
        <f aca="false">IF(Rankings!J11&lt;=3,1,0)</f>
        <v>0</v>
      </c>
      <c r="K6" s="20" t="n">
        <f aca="false">SUM(C6:J6)</f>
        <v>3</v>
      </c>
      <c r="L6" s="16" t="n">
        <f aca="false">SUMPRODUCT(C6:J6,Returns!B10:I10)/K6</f>
        <v>-0.0311428893468886</v>
      </c>
      <c r="M6" s="16" t="n">
        <v>0</v>
      </c>
      <c r="N6" s="16" t="n">
        <v>0</v>
      </c>
      <c r="O6" s="16" t="n">
        <f aca="false">L6+M6+N6</f>
        <v>-0.0311428893468886</v>
      </c>
      <c r="P6" s="21" t="n">
        <f aca="false">P5*(1+O6)</f>
        <v>0.948489697579945</v>
      </c>
      <c r="Q6" s="21" t="n">
        <f aca="false">MAX($P$5:P6)</f>
        <v>0.978977897928171</v>
      </c>
      <c r="R6" s="16" t="n">
        <f aca="false">P6/Q6-1</f>
        <v>-0.0311428893468886</v>
      </c>
      <c r="S6" s="16" t="n">
        <f aca="false">O6-Benchmark_RF!D6</f>
        <v>-0.0363780717040477</v>
      </c>
    </row>
    <row r="7" customFormat="false" ht="15" hidden="false" customHeight="true" outlineLevel="0" collapsed="false">
      <c r="A7" s="1" t="n">
        <v>10</v>
      </c>
      <c r="B7" s="13" t="n">
        <f aca="false">Returns!A11</f>
        <v>42278</v>
      </c>
      <c r="C7" s="17" t="n">
        <f aca="false">IF(Rankings!C11&lt;=3,1,0)</f>
        <v>0</v>
      </c>
      <c r="D7" s="17" t="n">
        <f aca="false">IF(Rankings!D11&lt;=3,1,0)</f>
        <v>1</v>
      </c>
      <c r="E7" s="17" t="n">
        <f aca="false">IF(Rankings!E11&lt;=3,1,0)</f>
        <v>0</v>
      </c>
      <c r="F7" s="17" t="n">
        <f aca="false">IF(Rankings!F11&lt;=3,1,0)</f>
        <v>0</v>
      </c>
      <c r="G7" s="17" t="n">
        <f aca="false">IF(Rankings!G11&lt;=3,1,0)</f>
        <v>1</v>
      </c>
      <c r="H7" s="17" t="n">
        <f aca="false">IF(Rankings!H11&lt;=3,1,0)</f>
        <v>1</v>
      </c>
      <c r="I7" s="17" t="n">
        <f aca="false">IF(Rankings!I11&lt;=3,1,0)</f>
        <v>0</v>
      </c>
      <c r="J7" s="17" t="n">
        <f aca="false">IF(Rankings!J11&lt;=3,1,0)</f>
        <v>0</v>
      </c>
      <c r="K7" s="20" t="n">
        <f aca="false">SUM(C7:J7)</f>
        <v>3</v>
      </c>
      <c r="L7" s="16" t="n">
        <f aca="false">SUMPRODUCT(C7:J7,Returns!B11:I11)/K7</f>
        <v>-0.00618860853659298</v>
      </c>
      <c r="M7" s="16" t="n">
        <v>0</v>
      </c>
      <c r="N7" s="16" t="n">
        <v>0</v>
      </c>
      <c r="O7" s="16" t="n">
        <f aca="false">L7+M7+N7</f>
        <v>-0.00618860853659298</v>
      </c>
      <c r="P7" s="21" t="n">
        <f aca="false">P6*(1+O7)</f>
        <v>0.942619866140631</v>
      </c>
      <c r="Q7" s="21" t="n">
        <f aca="false">MAX($P$5:P7)</f>
        <v>0.978977897928171</v>
      </c>
      <c r="R7" s="16" t="n">
        <f aca="false">P7/Q7-1</f>
        <v>-0.0371387667326153</v>
      </c>
      <c r="S7" s="16" t="n">
        <f aca="false">O7-Benchmark_RF!D7</f>
        <v>-0.0112958434417523</v>
      </c>
    </row>
    <row r="8" customFormat="false" ht="15" hidden="false" customHeight="true" outlineLevel="0" collapsed="false">
      <c r="A8" s="1" t="n">
        <v>11</v>
      </c>
      <c r="B8" s="13" t="n">
        <f aca="false">Returns!A12</f>
        <v>42309</v>
      </c>
      <c r="C8" s="17" t="n">
        <f aca="false">IF(Rankings!C14&lt;=3,1,0)</f>
        <v>1</v>
      </c>
      <c r="D8" s="17" t="n">
        <f aca="false">IF(Rankings!D14&lt;=3,1,0)</f>
        <v>1</v>
      </c>
      <c r="E8" s="17" t="n">
        <f aca="false">IF(Rankings!E14&lt;=3,1,0)</f>
        <v>0</v>
      </c>
      <c r="F8" s="17" t="n">
        <f aca="false">IF(Rankings!F14&lt;=3,1,0)</f>
        <v>1</v>
      </c>
      <c r="G8" s="17" t="n">
        <f aca="false">IF(Rankings!G14&lt;=3,1,0)</f>
        <v>0</v>
      </c>
      <c r="H8" s="17" t="n">
        <f aca="false">IF(Rankings!H14&lt;=3,1,0)</f>
        <v>0</v>
      </c>
      <c r="I8" s="17" t="n">
        <f aca="false">IF(Rankings!I14&lt;=3,1,0)</f>
        <v>0</v>
      </c>
      <c r="J8" s="17" t="n">
        <f aca="false">IF(Rankings!J14&lt;=3,1,0)</f>
        <v>0</v>
      </c>
      <c r="K8" s="20" t="n">
        <f aca="false">SUM(C8:J8)</f>
        <v>3</v>
      </c>
      <c r="L8" s="16" t="n">
        <f aca="false">SUMPRODUCT(C8:J8,Returns!B12:I12)/K8</f>
        <v>-0.103460737727864</v>
      </c>
      <c r="M8" s="16" t="n">
        <f aca="false">-2*Assumptions!$B$13</f>
        <v>-0.007</v>
      </c>
      <c r="N8" s="16" t="n">
        <f aca="false">-Assumptions!$B$16*MAX(0,(1+O5)*(1+O6)*(1+O7)-1)</f>
        <v>-0</v>
      </c>
      <c r="O8" s="16" t="n">
        <f aca="false">L8+M8+N8</f>
        <v>-0.110460737727864</v>
      </c>
      <c r="P8" s="21" t="n">
        <f aca="false">P7*(1+O8)</f>
        <v>0.838497380329797</v>
      </c>
      <c r="Q8" s="21" t="n">
        <f aca="false">MAX($P$5:P8)</f>
        <v>0.978977897928171</v>
      </c>
      <c r="R8" s="16" t="n">
        <f aca="false">P8/Q8-1</f>
        <v>-0.143497128888891</v>
      </c>
      <c r="S8" s="16" t="n">
        <f aca="false">O8-Benchmark_RF!D8</f>
        <v>-0.115619409357289</v>
      </c>
    </row>
    <row r="9" customFormat="false" ht="15" hidden="false" customHeight="true" outlineLevel="0" collapsed="false">
      <c r="A9" s="1" t="n">
        <v>12</v>
      </c>
      <c r="B9" s="13" t="n">
        <f aca="false">Returns!A13</f>
        <v>42339</v>
      </c>
      <c r="C9" s="17" t="n">
        <f aca="false">IF(Rankings!C14&lt;=3,1,0)</f>
        <v>1</v>
      </c>
      <c r="D9" s="17" t="n">
        <f aca="false">IF(Rankings!D14&lt;=3,1,0)</f>
        <v>1</v>
      </c>
      <c r="E9" s="17" t="n">
        <f aca="false">IF(Rankings!E14&lt;=3,1,0)</f>
        <v>0</v>
      </c>
      <c r="F9" s="17" t="n">
        <f aca="false">IF(Rankings!F14&lt;=3,1,0)</f>
        <v>1</v>
      </c>
      <c r="G9" s="17" t="n">
        <f aca="false">IF(Rankings!G14&lt;=3,1,0)</f>
        <v>0</v>
      </c>
      <c r="H9" s="17" t="n">
        <f aca="false">IF(Rankings!H14&lt;=3,1,0)</f>
        <v>0</v>
      </c>
      <c r="I9" s="17" t="n">
        <f aca="false">IF(Rankings!I14&lt;=3,1,0)</f>
        <v>0</v>
      </c>
      <c r="J9" s="17" t="n">
        <f aca="false">IF(Rankings!J14&lt;=3,1,0)</f>
        <v>0</v>
      </c>
      <c r="K9" s="20" t="n">
        <f aca="false">SUM(C9:J9)</f>
        <v>3</v>
      </c>
      <c r="L9" s="16" t="n">
        <f aca="false">SUMPRODUCT(C9:J9,Returns!B13:I13)/K9</f>
        <v>0.00940644044379876</v>
      </c>
      <c r="M9" s="16" t="n">
        <v>0</v>
      </c>
      <c r="N9" s="16" t="n">
        <v>0</v>
      </c>
      <c r="O9" s="16" t="n">
        <f aca="false">L9+M9+N9</f>
        <v>0.00940644044379876</v>
      </c>
      <c r="P9" s="21" t="n">
        <f aca="false">P8*(1+O9)</f>
        <v>0.84638465600015</v>
      </c>
      <c r="Q9" s="21" t="n">
        <f aca="false">MAX($P$5:P9)</f>
        <v>0.978977897928171</v>
      </c>
      <c r="R9" s="16" t="n">
        <f aca="false">P9/Q9-1</f>
        <v>-0.135440485641842</v>
      </c>
      <c r="S9" s="16" t="n">
        <f aca="false">O9-Benchmark_RF!D9</f>
        <v>0.00427273524652857</v>
      </c>
    </row>
    <row r="10" customFormat="false" ht="15" hidden="false" customHeight="true" outlineLevel="0" collapsed="false">
      <c r="A10" s="1" t="n">
        <v>13</v>
      </c>
      <c r="B10" s="13" t="n">
        <f aca="false">Returns!A14</f>
        <v>42370</v>
      </c>
      <c r="C10" s="17" t="n">
        <f aca="false">IF(Rankings!C14&lt;=3,1,0)</f>
        <v>1</v>
      </c>
      <c r="D10" s="17" t="n">
        <f aca="false">IF(Rankings!D14&lt;=3,1,0)</f>
        <v>1</v>
      </c>
      <c r="E10" s="17" t="n">
        <f aca="false">IF(Rankings!E14&lt;=3,1,0)</f>
        <v>0</v>
      </c>
      <c r="F10" s="17" t="n">
        <f aca="false">IF(Rankings!F14&lt;=3,1,0)</f>
        <v>1</v>
      </c>
      <c r="G10" s="17" t="n">
        <f aca="false">IF(Rankings!G14&lt;=3,1,0)</f>
        <v>0</v>
      </c>
      <c r="H10" s="17" t="n">
        <f aca="false">IF(Rankings!H14&lt;=3,1,0)</f>
        <v>0</v>
      </c>
      <c r="I10" s="17" t="n">
        <f aca="false">IF(Rankings!I14&lt;=3,1,0)</f>
        <v>0</v>
      </c>
      <c r="J10" s="17" t="n">
        <f aca="false">IF(Rankings!J14&lt;=3,1,0)</f>
        <v>0</v>
      </c>
      <c r="K10" s="20" t="n">
        <f aca="false">SUM(C10:J10)</f>
        <v>3</v>
      </c>
      <c r="L10" s="16" t="n">
        <f aca="false">SUMPRODUCT(C10:J10,Returns!B14:I14)/K10</f>
        <v>-0.0781547161355279</v>
      </c>
      <c r="M10" s="16" t="n">
        <v>0</v>
      </c>
      <c r="N10" s="16" t="n">
        <v>0</v>
      </c>
      <c r="O10" s="16" t="n">
        <f aca="false">L10+M10+N10</f>
        <v>-0.0781547161355279</v>
      </c>
      <c r="P10" s="21" t="n">
        <f aca="false">P9*(1+O10)</f>
        <v>0.780235703468992</v>
      </c>
      <c r="Q10" s="21" t="n">
        <f aca="false">MAX($P$5:P10)</f>
        <v>0.978977897928171</v>
      </c>
      <c r="R10" s="16" t="n">
        <f aca="false">P10/Q10-1</f>
        <v>-0.203009889068774</v>
      </c>
      <c r="S10" s="16" t="n">
        <f aca="false">O10-Benchmark_RF!D10</f>
        <v>-0.0831499188916696</v>
      </c>
    </row>
    <row r="11" customFormat="false" ht="15" hidden="false" customHeight="true" outlineLevel="0" collapsed="false">
      <c r="A11" s="1" t="n">
        <v>14</v>
      </c>
      <c r="B11" s="13" t="n">
        <f aca="false">Returns!A15</f>
        <v>42401</v>
      </c>
      <c r="C11" s="17" t="n">
        <f aca="false">IF(Rankings!C17&lt;=3,1,0)</f>
        <v>1</v>
      </c>
      <c r="D11" s="17" t="n">
        <f aca="false">IF(Rankings!D17&lt;=3,1,0)</f>
        <v>0</v>
      </c>
      <c r="E11" s="17" t="n">
        <f aca="false">IF(Rankings!E17&lt;=3,1,0)</f>
        <v>0</v>
      </c>
      <c r="F11" s="17" t="n">
        <f aca="false">IF(Rankings!F17&lt;=3,1,0)</f>
        <v>0</v>
      </c>
      <c r="G11" s="17" t="n">
        <f aca="false">IF(Rankings!G17&lt;=3,1,0)</f>
        <v>0</v>
      </c>
      <c r="H11" s="17" t="n">
        <f aca="false">IF(Rankings!H17&lt;=3,1,0)</f>
        <v>0</v>
      </c>
      <c r="I11" s="17" t="n">
        <f aca="false">IF(Rankings!I17&lt;=3,1,0)</f>
        <v>1</v>
      </c>
      <c r="J11" s="17" t="n">
        <f aca="false">IF(Rankings!J17&lt;=3,1,0)</f>
        <v>1</v>
      </c>
      <c r="K11" s="20" t="n">
        <f aca="false">SUM(C11:J11)</f>
        <v>3</v>
      </c>
      <c r="L11" s="16" t="n">
        <f aca="false">SUMPRODUCT(C11:J11,Returns!B15:I15)/K11</f>
        <v>-0.0352569607043315</v>
      </c>
      <c r="M11" s="16" t="n">
        <f aca="false">-2*Assumptions!$B$13</f>
        <v>-0.007</v>
      </c>
      <c r="N11" s="16" t="n">
        <f aca="false">-Assumptions!$B$16*MAX(0,(1+O8)*(1+O9)*(1+O10)-1)</f>
        <v>-0</v>
      </c>
      <c r="O11" s="16" t="n">
        <f aca="false">L11+M11+N11</f>
        <v>-0.0422569607043315</v>
      </c>
      <c r="P11" s="21" t="n">
        <f aca="false">P10*(1+O11)</f>
        <v>0.747265314007386</v>
      </c>
      <c r="Q11" s="21" t="n">
        <f aca="false">MAX($P$5:P11)</f>
        <v>0.978977897928171</v>
      </c>
      <c r="R11" s="16" t="n">
        <f aca="false">P11/Q11-1</f>
        <v>-0.236688268868135</v>
      </c>
      <c r="S11" s="16" t="n">
        <f aca="false">O11-Benchmark_RF!D11</f>
        <v>-0.0472934917980146</v>
      </c>
    </row>
    <row r="12" customFormat="false" ht="15" hidden="false" customHeight="true" outlineLevel="0" collapsed="false">
      <c r="A12" s="1" t="n">
        <v>15</v>
      </c>
      <c r="B12" s="13" t="n">
        <f aca="false">Returns!A16</f>
        <v>42430</v>
      </c>
      <c r="C12" s="17" t="n">
        <f aca="false">IF(Rankings!C17&lt;=3,1,0)</f>
        <v>1</v>
      </c>
      <c r="D12" s="17" t="n">
        <f aca="false">IF(Rankings!D17&lt;=3,1,0)</f>
        <v>0</v>
      </c>
      <c r="E12" s="17" t="n">
        <f aca="false">IF(Rankings!E17&lt;=3,1,0)</f>
        <v>0</v>
      </c>
      <c r="F12" s="17" t="n">
        <f aca="false">IF(Rankings!F17&lt;=3,1,0)</f>
        <v>0</v>
      </c>
      <c r="G12" s="17" t="n">
        <f aca="false">IF(Rankings!G17&lt;=3,1,0)</f>
        <v>0</v>
      </c>
      <c r="H12" s="17" t="n">
        <f aca="false">IF(Rankings!H17&lt;=3,1,0)</f>
        <v>0</v>
      </c>
      <c r="I12" s="17" t="n">
        <f aca="false">IF(Rankings!I17&lt;=3,1,0)</f>
        <v>1</v>
      </c>
      <c r="J12" s="17" t="n">
        <f aca="false">IF(Rankings!J17&lt;=3,1,0)</f>
        <v>1</v>
      </c>
      <c r="K12" s="20" t="n">
        <f aca="false">SUM(C12:J12)</f>
        <v>3</v>
      </c>
      <c r="L12" s="16" t="n">
        <f aca="false">SUMPRODUCT(C12:J12,Returns!B16:I16)/K12</f>
        <v>0.119778733749818</v>
      </c>
      <c r="M12" s="16" t="n">
        <v>0</v>
      </c>
      <c r="N12" s="16" t="n">
        <v>0</v>
      </c>
      <c r="O12" s="16" t="n">
        <f aca="false">L12+M12+N12</f>
        <v>0.119778733749818</v>
      </c>
      <c r="P12" s="21" t="n">
        <f aca="false">P11*(1+O12)</f>
        <v>0.836771807094351</v>
      </c>
      <c r="Q12" s="21" t="n">
        <f aca="false">MAX($P$5:P12)</f>
        <v>0.978977897928171</v>
      </c>
      <c r="R12" s="16" t="n">
        <f aca="false">P12/Q12-1</f>
        <v>-0.145259756256779</v>
      </c>
      <c r="S12" s="16" t="n">
        <f aca="false">O12-Benchmark_RF!D12</f>
        <v>0.114777220114496</v>
      </c>
    </row>
    <row r="13" customFormat="false" ht="15" hidden="false" customHeight="true" outlineLevel="0" collapsed="false">
      <c r="A13" s="1" t="n">
        <v>16</v>
      </c>
      <c r="B13" s="13" t="n">
        <f aca="false">Returns!A17</f>
        <v>42461</v>
      </c>
      <c r="C13" s="17" t="n">
        <f aca="false">IF(Rankings!C17&lt;=3,1,0)</f>
        <v>1</v>
      </c>
      <c r="D13" s="17" t="n">
        <f aca="false">IF(Rankings!D17&lt;=3,1,0)</f>
        <v>0</v>
      </c>
      <c r="E13" s="17" t="n">
        <f aca="false">IF(Rankings!E17&lt;=3,1,0)</f>
        <v>0</v>
      </c>
      <c r="F13" s="17" t="n">
        <f aca="false">IF(Rankings!F17&lt;=3,1,0)</f>
        <v>0</v>
      </c>
      <c r="G13" s="17" t="n">
        <f aca="false">IF(Rankings!G17&lt;=3,1,0)</f>
        <v>0</v>
      </c>
      <c r="H13" s="17" t="n">
        <f aca="false">IF(Rankings!H17&lt;=3,1,0)</f>
        <v>0</v>
      </c>
      <c r="I13" s="17" t="n">
        <f aca="false">IF(Rankings!I17&lt;=3,1,0)</f>
        <v>1</v>
      </c>
      <c r="J13" s="17" t="n">
        <f aca="false">IF(Rankings!J17&lt;=3,1,0)</f>
        <v>1</v>
      </c>
      <c r="K13" s="20" t="n">
        <f aca="false">SUM(C13:J13)</f>
        <v>3</v>
      </c>
      <c r="L13" s="16" t="n">
        <f aca="false">SUMPRODUCT(C13:J13,Returns!B17:I17)/K13</f>
        <v>0.110573073934281</v>
      </c>
      <c r="M13" s="16" t="n">
        <v>0</v>
      </c>
      <c r="N13" s="16" t="n">
        <v>0</v>
      </c>
      <c r="O13" s="16" t="n">
        <f aca="false">L13+M13+N13</f>
        <v>0.110573073934281</v>
      </c>
      <c r="P13" s="21" t="n">
        <f aca="false">P12*(1+O13)</f>
        <v>0.929296237986317</v>
      </c>
      <c r="Q13" s="21" t="n">
        <f aca="false">MAX($P$5:P13)</f>
        <v>0.978977897928171</v>
      </c>
      <c r="R13" s="16" t="n">
        <f aca="false">P13/Q13-1</f>
        <v>-0.050748500090754</v>
      </c>
      <c r="S13" s="16" t="n">
        <f aca="false">O13-Benchmark_RF!D13</f>
        <v>0.105571560298959</v>
      </c>
    </row>
    <row r="14" customFormat="false" ht="15" hidden="false" customHeight="true" outlineLevel="0" collapsed="false">
      <c r="A14" s="1" t="n">
        <v>17</v>
      </c>
      <c r="B14" s="13" t="n">
        <f aca="false">Returns!A18</f>
        <v>42491</v>
      </c>
      <c r="C14" s="17" t="n">
        <f aca="false">IF(Rankings!C20&lt;=3,1,0)</f>
        <v>0</v>
      </c>
      <c r="D14" s="17" t="n">
        <f aca="false">IF(Rankings!D20&lt;=3,1,0)</f>
        <v>0</v>
      </c>
      <c r="E14" s="17" t="n">
        <f aca="false">IF(Rankings!E20&lt;=3,1,0)</f>
        <v>0</v>
      </c>
      <c r="F14" s="17" t="n">
        <f aca="false">IF(Rankings!F20&lt;=3,1,0)</f>
        <v>1</v>
      </c>
      <c r="G14" s="17" t="n">
        <f aca="false">IF(Rankings!G20&lt;=3,1,0)</f>
        <v>0</v>
      </c>
      <c r="H14" s="17" t="n">
        <f aca="false">IF(Rankings!H20&lt;=3,1,0)</f>
        <v>1</v>
      </c>
      <c r="I14" s="17" t="n">
        <f aca="false">IF(Rankings!I20&lt;=3,1,0)</f>
        <v>1</v>
      </c>
      <c r="J14" s="17" t="n">
        <f aca="false">IF(Rankings!J20&lt;=3,1,0)</f>
        <v>0</v>
      </c>
      <c r="K14" s="20" t="n">
        <f aca="false">SUM(C14:J14)</f>
        <v>3</v>
      </c>
      <c r="L14" s="16" t="n">
        <f aca="false">SUMPRODUCT(C14:J14,Returns!B18:I18)/K14</f>
        <v>-0.0125379126500288</v>
      </c>
      <c r="M14" s="16" t="n">
        <f aca="false">-2*Assumptions!$B$13</f>
        <v>-0.007</v>
      </c>
      <c r="N14" s="16" t="n">
        <f aca="false">-Assumptions!$B$16*MAX(0,(1+O11)*(1+O12)*(1+O13)-1)</f>
        <v>-0.0286568277742078</v>
      </c>
      <c r="O14" s="16" t="n">
        <f aca="false">L14+M14+N14</f>
        <v>-0.0481947404242366</v>
      </c>
      <c r="P14" s="21" t="n">
        <f aca="false">P13*(1+O14)</f>
        <v>0.884509047019347</v>
      </c>
      <c r="Q14" s="21" t="n">
        <f aca="false">MAX($P$5:P14)</f>
        <v>0.978977897928171</v>
      </c>
      <c r="R14" s="16" t="n">
        <f aca="false">P14/Q14-1</f>
        <v>-0.0964974297261976</v>
      </c>
      <c r="S14" s="16" t="n">
        <f aca="false">O14-Benchmark_RF!D14</f>
        <v>-0.0530524155781559</v>
      </c>
    </row>
    <row r="15" customFormat="false" ht="15" hidden="false" customHeight="true" outlineLevel="0" collapsed="false">
      <c r="A15" s="1" t="n">
        <v>18</v>
      </c>
      <c r="B15" s="13" t="n">
        <f aca="false">Returns!A19</f>
        <v>42522</v>
      </c>
      <c r="C15" s="17" t="n">
        <f aca="false">IF(Rankings!C20&lt;=3,1,0)</f>
        <v>0</v>
      </c>
      <c r="D15" s="17" t="n">
        <f aca="false">IF(Rankings!D20&lt;=3,1,0)</f>
        <v>0</v>
      </c>
      <c r="E15" s="17" t="n">
        <f aca="false">IF(Rankings!E20&lt;=3,1,0)</f>
        <v>0</v>
      </c>
      <c r="F15" s="17" t="n">
        <f aca="false">IF(Rankings!F20&lt;=3,1,0)</f>
        <v>1</v>
      </c>
      <c r="G15" s="17" t="n">
        <f aca="false">IF(Rankings!G20&lt;=3,1,0)</f>
        <v>0</v>
      </c>
      <c r="H15" s="17" t="n">
        <f aca="false">IF(Rankings!H20&lt;=3,1,0)</f>
        <v>1</v>
      </c>
      <c r="I15" s="17" t="n">
        <f aca="false">IF(Rankings!I20&lt;=3,1,0)</f>
        <v>1</v>
      </c>
      <c r="J15" s="17" t="n">
        <f aca="false">IF(Rankings!J20&lt;=3,1,0)</f>
        <v>0</v>
      </c>
      <c r="K15" s="20" t="n">
        <f aca="false">SUM(C15:J15)</f>
        <v>3</v>
      </c>
      <c r="L15" s="16" t="n">
        <f aca="false">SUMPRODUCT(C15:J15,Returns!B19:I19)/K15</f>
        <v>0.0204668134484742</v>
      </c>
      <c r="M15" s="16" t="n">
        <v>0</v>
      </c>
      <c r="N15" s="16" t="n">
        <v>0</v>
      </c>
      <c r="O15" s="16" t="n">
        <f aca="false">L15+M15+N15</f>
        <v>0.0204668134484742</v>
      </c>
      <c r="P15" s="21" t="n">
        <f aca="false">P14*(1+O15)</f>
        <v>0.90261212867818</v>
      </c>
      <c r="Q15" s="21" t="n">
        <f aca="false">MAX($P$5:P15)</f>
        <v>0.978977897928171</v>
      </c>
      <c r="R15" s="16" t="n">
        <f aca="false">P15/Q15-1</f>
        <v>-0.0780056111701867</v>
      </c>
      <c r="S15" s="16" t="n">
        <f aca="false">O15-Benchmark_RF!D15</f>
        <v>0.0156784542183228</v>
      </c>
    </row>
    <row r="16" customFormat="false" ht="15" hidden="false" customHeight="true" outlineLevel="0" collapsed="false">
      <c r="A16" s="1" t="n">
        <v>19</v>
      </c>
      <c r="B16" s="13" t="n">
        <f aca="false">Returns!A20</f>
        <v>42552</v>
      </c>
      <c r="C16" s="17" t="n">
        <f aca="false">IF(Rankings!C20&lt;=3,1,0)</f>
        <v>0</v>
      </c>
      <c r="D16" s="17" t="n">
        <f aca="false">IF(Rankings!D20&lt;=3,1,0)</f>
        <v>0</v>
      </c>
      <c r="E16" s="17" t="n">
        <f aca="false">IF(Rankings!E20&lt;=3,1,0)</f>
        <v>0</v>
      </c>
      <c r="F16" s="17" t="n">
        <f aca="false">IF(Rankings!F20&lt;=3,1,0)</f>
        <v>1</v>
      </c>
      <c r="G16" s="17" t="n">
        <f aca="false">IF(Rankings!G20&lt;=3,1,0)</f>
        <v>0</v>
      </c>
      <c r="H16" s="17" t="n">
        <f aca="false">IF(Rankings!H20&lt;=3,1,0)</f>
        <v>1</v>
      </c>
      <c r="I16" s="17" t="n">
        <f aca="false">IF(Rankings!I20&lt;=3,1,0)</f>
        <v>1</v>
      </c>
      <c r="J16" s="17" t="n">
        <f aca="false">IF(Rankings!J20&lt;=3,1,0)</f>
        <v>0</v>
      </c>
      <c r="K16" s="20" t="n">
        <f aca="false">SUM(C16:J16)</f>
        <v>3</v>
      </c>
      <c r="L16" s="16" t="n">
        <f aca="false">SUMPRODUCT(C16:J16,Returns!B20:I20)/K16</f>
        <v>0.017968320316395</v>
      </c>
      <c r="M16" s="16" t="n">
        <v>0</v>
      </c>
      <c r="N16" s="16" t="n">
        <v>0</v>
      </c>
      <c r="O16" s="16" t="n">
        <f aca="false">L16+M16+N16</f>
        <v>0.017968320316395</v>
      </c>
      <c r="P16" s="21" t="n">
        <f aca="false">P15*(1+O16)</f>
        <v>0.918830552527732</v>
      </c>
      <c r="Q16" s="21" t="n">
        <f aca="false">MAX($P$5:P16)</f>
        <v>0.978977897928171</v>
      </c>
      <c r="R16" s="16" t="n">
        <f aca="false">P16/Q16-1</f>
        <v>-0.0614389206617738</v>
      </c>
      <c r="S16" s="16" t="n">
        <f aca="false">O16-Benchmark_RF!D16</f>
        <v>0.0132689554046271</v>
      </c>
    </row>
    <row r="17" customFormat="false" ht="15" hidden="false" customHeight="true" outlineLevel="0" collapsed="false">
      <c r="A17" s="1" t="n">
        <v>20</v>
      </c>
      <c r="B17" s="13" t="n">
        <f aca="false">Returns!A21</f>
        <v>42583</v>
      </c>
      <c r="C17" s="17" t="n">
        <f aca="false">IF(Rankings!C23&lt;=3,1,0)</f>
        <v>0</v>
      </c>
      <c r="D17" s="17" t="n">
        <f aca="false">IF(Rankings!D23&lt;=3,1,0)</f>
        <v>0</v>
      </c>
      <c r="E17" s="17" t="n">
        <f aca="false">IF(Rankings!E23&lt;=3,1,0)</f>
        <v>0</v>
      </c>
      <c r="F17" s="17" t="n">
        <f aca="false">IF(Rankings!F23&lt;=3,1,0)</f>
        <v>1</v>
      </c>
      <c r="G17" s="17" t="n">
        <f aca="false">IF(Rankings!G23&lt;=3,1,0)</f>
        <v>0</v>
      </c>
      <c r="H17" s="17" t="n">
        <f aca="false">IF(Rankings!H23&lt;=3,1,0)</f>
        <v>0</v>
      </c>
      <c r="I17" s="17" t="n">
        <f aca="false">IF(Rankings!I23&lt;=3,1,0)</f>
        <v>1</v>
      </c>
      <c r="J17" s="17" t="n">
        <f aca="false">IF(Rankings!J23&lt;=3,1,0)</f>
        <v>1</v>
      </c>
      <c r="K17" s="20" t="n">
        <f aca="false">SUM(C17:J17)</f>
        <v>3</v>
      </c>
      <c r="L17" s="16" t="n">
        <f aca="false">SUMPRODUCT(C17:J17,Returns!B21:I21)/K17</f>
        <v>0.0260150897068619</v>
      </c>
      <c r="M17" s="16" t="n">
        <f aca="false">-2*Assumptions!$B$13</f>
        <v>-0.007</v>
      </c>
      <c r="N17" s="16" t="n">
        <f aca="false">-Assumptions!$B$16*MAX(0,(1+O14)*(1+O15)*(1+O16)-1)</f>
        <v>-0</v>
      </c>
      <c r="O17" s="16" t="n">
        <f aca="false">L17+M17+N17</f>
        <v>0.0190150897068619</v>
      </c>
      <c r="P17" s="21" t="n">
        <f aca="false">P16*(1+O17)</f>
        <v>0.936302197909453</v>
      </c>
      <c r="Q17" s="21" t="n">
        <f aca="false">MAX($P$5:P17)</f>
        <v>0.978977897928171</v>
      </c>
      <c r="R17" s="16" t="n">
        <f aca="false">P17/Q17-1</f>
        <v>-0.0435920975427883</v>
      </c>
      <c r="S17" s="16" t="n">
        <f aca="false">O17-Benchmark_RF!D17</f>
        <v>0.0142582047782748</v>
      </c>
    </row>
    <row r="18" customFormat="false" ht="15" hidden="false" customHeight="true" outlineLevel="0" collapsed="false">
      <c r="A18" s="1" t="n">
        <v>21</v>
      </c>
      <c r="B18" s="13" t="n">
        <f aca="false">Returns!A22</f>
        <v>42614</v>
      </c>
      <c r="C18" s="17" t="n">
        <f aca="false">IF(Rankings!C23&lt;=3,1,0)</f>
        <v>0</v>
      </c>
      <c r="D18" s="17" t="n">
        <f aca="false">IF(Rankings!D23&lt;=3,1,0)</f>
        <v>0</v>
      </c>
      <c r="E18" s="17" t="n">
        <f aca="false">IF(Rankings!E23&lt;=3,1,0)</f>
        <v>0</v>
      </c>
      <c r="F18" s="17" t="n">
        <f aca="false">IF(Rankings!F23&lt;=3,1,0)</f>
        <v>1</v>
      </c>
      <c r="G18" s="17" t="n">
        <f aca="false">IF(Rankings!G23&lt;=3,1,0)</f>
        <v>0</v>
      </c>
      <c r="H18" s="17" t="n">
        <f aca="false">IF(Rankings!H23&lt;=3,1,0)</f>
        <v>0</v>
      </c>
      <c r="I18" s="17" t="n">
        <f aca="false">IF(Rankings!I23&lt;=3,1,0)</f>
        <v>1</v>
      </c>
      <c r="J18" s="17" t="n">
        <f aca="false">IF(Rankings!J23&lt;=3,1,0)</f>
        <v>1</v>
      </c>
      <c r="K18" s="20" t="n">
        <f aca="false">SUM(C18:J18)</f>
        <v>3</v>
      </c>
      <c r="L18" s="16" t="n">
        <f aca="false">SUMPRODUCT(C18:J18,Returns!B22:I22)/K18</f>
        <v>0.196735463209021</v>
      </c>
      <c r="M18" s="16" t="n">
        <v>0</v>
      </c>
      <c r="N18" s="16" t="n">
        <v>0</v>
      </c>
      <c r="O18" s="16" t="n">
        <f aca="false">L18+M18+N18</f>
        <v>0.196735463209021</v>
      </c>
      <c r="P18" s="21" t="n">
        <f aca="false">P17*(1+O18)</f>
        <v>1.12050604451879</v>
      </c>
      <c r="Q18" s="21" t="n">
        <f aca="false">MAX($P$5:P18)</f>
        <v>1.12050604451879</v>
      </c>
      <c r="R18" s="16" t="n">
        <f aca="false">P18/Q18-1</f>
        <v>0</v>
      </c>
      <c r="S18" s="16" t="n">
        <f aca="false">O18-Benchmark_RF!D18</f>
        <v>0.191978578280434</v>
      </c>
    </row>
    <row r="19" customFormat="false" ht="15" hidden="false" customHeight="true" outlineLevel="0" collapsed="false">
      <c r="A19" s="1" t="n">
        <v>22</v>
      </c>
      <c r="B19" s="13" t="n">
        <f aca="false">Returns!A23</f>
        <v>42644</v>
      </c>
      <c r="C19" s="17" t="n">
        <f aca="false">IF(Rankings!C23&lt;=3,1,0)</f>
        <v>0</v>
      </c>
      <c r="D19" s="17" t="n">
        <f aca="false">IF(Rankings!D23&lt;=3,1,0)</f>
        <v>0</v>
      </c>
      <c r="E19" s="17" t="n">
        <f aca="false">IF(Rankings!E23&lt;=3,1,0)</f>
        <v>0</v>
      </c>
      <c r="F19" s="17" t="n">
        <f aca="false">IF(Rankings!F23&lt;=3,1,0)</f>
        <v>1</v>
      </c>
      <c r="G19" s="17" t="n">
        <f aca="false">IF(Rankings!G23&lt;=3,1,0)</f>
        <v>0</v>
      </c>
      <c r="H19" s="17" t="n">
        <f aca="false">IF(Rankings!H23&lt;=3,1,0)</f>
        <v>0</v>
      </c>
      <c r="I19" s="17" t="n">
        <f aca="false">IF(Rankings!I23&lt;=3,1,0)</f>
        <v>1</v>
      </c>
      <c r="J19" s="17" t="n">
        <f aca="false">IF(Rankings!J23&lt;=3,1,0)</f>
        <v>1</v>
      </c>
      <c r="K19" s="20" t="n">
        <f aca="false">SUM(C19:J19)</f>
        <v>3</v>
      </c>
      <c r="L19" s="16" t="n">
        <f aca="false">SUMPRODUCT(C19:J19,Returns!B23:I23)/K19</f>
        <v>0.0798207883609641</v>
      </c>
      <c r="M19" s="16" t="n">
        <v>0</v>
      </c>
      <c r="N19" s="16" t="n">
        <v>0</v>
      </c>
      <c r="O19" s="16" t="n">
        <f aca="false">L19+M19+N19</f>
        <v>0.0798207883609641</v>
      </c>
      <c r="P19" s="21" t="n">
        <f aca="false">P18*(1+O19)</f>
        <v>1.20994572035551</v>
      </c>
      <c r="Q19" s="21" t="n">
        <f aca="false">MAX($P$5:P19)</f>
        <v>1.20994572035551</v>
      </c>
      <c r="R19" s="16" t="n">
        <f aca="false">P19/Q19-1</f>
        <v>0</v>
      </c>
      <c r="S19" s="16" t="n">
        <f aca="false">O19-Benchmark_RF!D19</f>
        <v>0.0750480858448215</v>
      </c>
    </row>
    <row r="20" customFormat="false" ht="15" hidden="false" customHeight="true" outlineLevel="0" collapsed="false">
      <c r="A20" s="1" t="n">
        <v>23</v>
      </c>
      <c r="B20" s="13" t="n">
        <f aca="false">Returns!A24</f>
        <v>42675</v>
      </c>
      <c r="C20" s="17" t="n">
        <f aca="false">IF(Rankings!C26&lt;=3,1,0)</f>
        <v>1</v>
      </c>
      <c r="D20" s="17" t="n">
        <f aca="false">IF(Rankings!D26&lt;=3,1,0)</f>
        <v>0</v>
      </c>
      <c r="E20" s="17" t="n">
        <f aca="false">IF(Rankings!E26&lt;=3,1,0)</f>
        <v>0</v>
      </c>
      <c r="F20" s="17" t="n">
        <f aca="false">IF(Rankings!F26&lt;=3,1,0)</f>
        <v>0</v>
      </c>
      <c r="G20" s="17" t="n">
        <f aca="false">IF(Rankings!G26&lt;=3,1,0)</f>
        <v>0</v>
      </c>
      <c r="H20" s="17" t="n">
        <f aca="false">IF(Rankings!H26&lt;=3,1,0)</f>
        <v>1</v>
      </c>
      <c r="I20" s="17" t="n">
        <f aca="false">IF(Rankings!I26&lt;=3,1,0)</f>
        <v>1</v>
      </c>
      <c r="J20" s="17" t="n">
        <f aca="false">IF(Rankings!J26&lt;=3,1,0)</f>
        <v>0</v>
      </c>
      <c r="K20" s="20" t="n">
        <f aca="false">SUM(C20:J20)</f>
        <v>3</v>
      </c>
      <c r="L20" s="16" t="n">
        <f aca="false">SUMPRODUCT(C20:J20,Returns!B24:I24)/K20</f>
        <v>0.138672254521972</v>
      </c>
      <c r="M20" s="16" t="n">
        <f aca="false">-2*Assumptions!$B$13</f>
        <v>-0.007</v>
      </c>
      <c r="N20" s="16" t="n">
        <f aca="false">-Assumptions!$B$16*MAX(0,(1+O17)*(1+O18)*(1+O19)-1)</f>
        <v>-0.0475248401939143</v>
      </c>
      <c r="O20" s="16" t="n">
        <f aca="false">L20+M20+N20</f>
        <v>0.0841474143280577</v>
      </c>
      <c r="P20" s="21" t="n">
        <f aca="false">P19*(1+O20)</f>
        <v>1.31175952420072</v>
      </c>
      <c r="Q20" s="21" t="n">
        <f aca="false">MAX($P$5:P20)</f>
        <v>1.31175952420072</v>
      </c>
      <c r="R20" s="16" t="n">
        <f aca="false">P20/Q20-1</f>
        <v>0</v>
      </c>
      <c r="S20" s="16" t="n">
        <f aca="false">O20-Benchmark_RF!D20</f>
        <v>0.0793193718155199</v>
      </c>
    </row>
    <row r="21" customFormat="false" ht="15" hidden="false" customHeight="true" outlineLevel="0" collapsed="false">
      <c r="A21" s="1" t="n">
        <v>24</v>
      </c>
      <c r="B21" s="13" t="n">
        <f aca="false">Returns!A25</f>
        <v>42705</v>
      </c>
      <c r="C21" s="17" t="n">
        <f aca="false">IF(Rankings!C26&lt;=3,1,0)</f>
        <v>1</v>
      </c>
      <c r="D21" s="17" t="n">
        <f aca="false">IF(Rankings!D26&lt;=3,1,0)</f>
        <v>0</v>
      </c>
      <c r="E21" s="17" t="n">
        <f aca="false">IF(Rankings!E26&lt;=3,1,0)</f>
        <v>0</v>
      </c>
      <c r="F21" s="17" t="n">
        <f aca="false">IF(Rankings!F26&lt;=3,1,0)</f>
        <v>0</v>
      </c>
      <c r="G21" s="17" t="n">
        <f aca="false">IF(Rankings!G26&lt;=3,1,0)</f>
        <v>0</v>
      </c>
      <c r="H21" s="17" t="n">
        <f aca="false">IF(Rankings!H26&lt;=3,1,0)</f>
        <v>1</v>
      </c>
      <c r="I21" s="17" t="n">
        <f aca="false">IF(Rankings!I26&lt;=3,1,0)</f>
        <v>1</v>
      </c>
      <c r="J21" s="17" t="n">
        <f aca="false">IF(Rankings!J26&lt;=3,1,0)</f>
        <v>0</v>
      </c>
      <c r="K21" s="20" t="n">
        <f aca="false">SUM(C21:J21)</f>
        <v>3</v>
      </c>
      <c r="L21" s="16" t="n">
        <f aca="false">SUMPRODUCT(C21:J21,Returns!B25:I25)/K21</f>
        <v>0.0380160479562719</v>
      </c>
      <c r="M21" s="16" t="n">
        <v>0</v>
      </c>
      <c r="N21" s="16" t="n">
        <v>0</v>
      </c>
      <c r="O21" s="16" t="n">
        <f aca="false">L21+M21+N21</f>
        <v>0.0380160479562719</v>
      </c>
      <c r="P21" s="21" t="n">
        <f aca="false">P20*(1+O21)</f>
        <v>1.36162743717984</v>
      </c>
      <c r="Q21" s="21" t="n">
        <f aca="false">MAX($P$5:P21)</f>
        <v>1.36162743717984</v>
      </c>
      <c r="R21" s="16" t="n">
        <f aca="false">P21/Q21-1</f>
        <v>0</v>
      </c>
      <c r="S21" s="16" t="n">
        <f aca="false">O21-Benchmark_RF!D21</f>
        <v>0.0331762302566323</v>
      </c>
    </row>
    <row r="22" customFormat="false" ht="15" hidden="false" customHeight="true" outlineLevel="0" collapsed="false">
      <c r="A22" s="1" t="n">
        <v>25</v>
      </c>
      <c r="B22" s="13" t="n">
        <f aca="false">Returns!A26</f>
        <v>42736</v>
      </c>
      <c r="C22" s="17" t="n">
        <f aca="false">IF(Rankings!C26&lt;=3,1,0)</f>
        <v>1</v>
      </c>
      <c r="D22" s="17" t="n">
        <f aca="false">IF(Rankings!D26&lt;=3,1,0)</f>
        <v>0</v>
      </c>
      <c r="E22" s="17" t="n">
        <f aca="false">IF(Rankings!E26&lt;=3,1,0)</f>
        <v>0</v>
      </c>
      <c r="F22" s="17" t="n">
        <f aca="false">IF(Rankings!F26&lt;=3,1,0)</f>
        <v>0</v>
      </c>
      <c r="G22" s="17" t="n">
        <f aca="false">IF(Rankings!G26&lt;=3,1,0)</f>
        <v>0</v>
      </c>
      <c r="H22" s="17" t="n">
        <f aca="false">IF(Rankings!H26&lt;=3,1,0)</f>
        <v>1</v>
      </c>
      <c r="I22" s="17" t="n">
        <f aca="false">IF(Rankings!I26&lt;=3,1,0)</f>
        <v>1</v>
      </c>
      <c r="J22" s="17" t="n">
        <f aca="false">IF(Rankings!J26&lt;=3,1,0)</f>
        <v>0</v>
      </c>
      <c r="K22" s="20" t="n">
        <f aca="false">SUM(C22:J22)</f>
        <v>3</v>
      </c>
      <c r="L22" s="16" t="n">
        <f aca="false">SUMPRODUCT(C22:J22,Returns!B26:I26)/K22</f>
        <v>0.0155704014733958</v>
      </c>
      <c r="M22" s="16" t="n">
        <v>0</v>
      </c>
      <c r="N22" s="16" t="n">
        <v>0</v>
      </c>
      <c r="O22" s="16" t="n">
        <f aca="false">L22+M22+N22</f>
        <v>0.0155704014733958</v>
      </c>
      <c r="P22" s="21" t="n">
        <f aca="false">P21*(1+O22)</f>
        <v>1.38282852303392</v>
      </c>
      <c r="Q22" s="21" t="n">
        <f aca="false">MAX($P$5:P22)</f>
        <v>1.38282852303392</v>
      </c>
      <c r="R22" s="16" t="n">
        <f aca="false">P22/Q22-1</f>
        <v>0</v>
      </c>
      <c r="S22" s="16" t="n">
        <f aca="false">O22-Benchmark_RF!D22</f>
        <v>0.0107960382694509</v>
      </c>
    </row>
    <row r="23" customFormat="false" ht="15" hidden="false" customHeight="true" outlineLevel="0" collapsed="false">
      <c r="A23" s="1" t="n">
        <v>26</v>
      </c>
      <c r="B23" s="13" t="n">
        <f aca="false">Returns!A27</f>
        <v>42767</v>
      </c>
      <c r="C23" s="17" t="n">
        <f aca="false">IF(Rankings!C29&lt;=3,1,0)</f>
        <v>1</v>
      </c>
      <c r="D23" s="17" t="n">
        <f aca="false">IF(Rankings!D29&lt;=3,1,0)</f>
        <v>0</v>
      </c>
      <c r="E23" s="17" t="n">
        <f aca="false">IF(Rankings!E29&lt;=3,1,0)</f>
        <v>0</v>
      </c>
      <c r="F23" s="17" t="n">
        <f aca="false">IF(Rankings!F29&lt;=3,1,0)</f>
        <v>0</v>
      </c>
      <c r="G23" s="17" t="n">
        <f aca="false">IF(Rankings!G29&lt;=3,1,0)</f>
        <v>0</v>
      </c>
      <c r="H23" s="17" t="n">
        <f aca="false">IF(Rankings!H29&lt;=3,1,0)</f>
        <v>1</v>
      </c>
      <c r="I23" s="17" t="n">
        <f aca="false">IF(Rankings!I29&lt;=3,1,0)</f>
        <v>1</v>
      </c>
      <c r="J23" s="17" t="n">
        <f aca="false">IF(Rankings!J29&lt;=3,1,0)</f>
        <v>0</v>
      </c>
      <c r="K23" s="20" t="n">
        <f aca="false">SUM(C23:J23)</f>
        <v>3</v>
      </c>
      <c r="L23" s="16" t="n">
        <f aca="false">SUMPRODUCT(C23:J23,Returns!B27:I27)/K23</f>
        <v>-0.0386471952313383</v>
      </c>
      <c r="M23" s="16" t="n">
        <f aca="false">-2*Assumptions!$B$13</f>
        <v>-0.007</v>
      </c>
      <c r="N23" s="16" t="n">
        <f aca="false">-Assumptions!$B$16*MAX(0,(1+O20)*(1+O21)*(1+O22)-1)</f>
        <v>-0.0214327138527681</v>
      </c>
      <c r="O23" s="16" t="n">
        <f aca="false">L23+M23+N23</f>
        <v>-0.0670799090841065</v>
      </c>
      <c r="P23" s="21" t="n">
        <f aca="false">P22*(1+O23)</f>
        <v>1.29006851142989</v>
      </c>
      <c r="Q23" s="21" t="n">
        <f aca="false">MAX($P$5:P23)</f>
        <v>1.38282852303392</v>
      </c>
      <c r="R23" s="16" t="n">
        <f aca="false">P23/Q23-1</f>
        <v>-0.0670799090841066</v>
      </c>
      <c r="S23" s="16" t="n">
        <f aca="false">O23-Benchmark_RF!D23</f>
        <v>-0.0719013916059092</v>
      </c>
    </row>
    <row r="24" customFormat="false" ht="15" hidden="false" customHeight="true" outlineLevel="0" collapsed="false">
      <c r="A24" s="1" t="n">
        <v>27</v>
      </c>
      <c r="B24" s="13" t="n">
        <f aca="false">Returns!A28</f>
        <v>42795</v>
      </c>
      <c r="C24" s="17" t="n">
        <f aca="false">IF(Rankings!C29&lt;=3,1,0)</f>
        <v>1</v>
      </c>
      <c r="D24" s="17" t="n">
        <f aca="false">IF(Rankings!D29&lt;=3,1,0)</f>
        <v>0</v>
      </c>
      <c r="E24" s="17" t="n">
        <f aca="false">IF(Rankings!E29&lt;=3,1,0)</f>
        <v>0</v>
      </c>
      <c r="F24" s="17" t="n">
        <f aca="false">IF(Rankings!F29&lt;=3,1,0)</f>
        <v>0</v>
      </c>
      <c r="G24" s="17" t="n">
        <f aca="false">IF(Rankings!G29&lt;=3,1,0)</f>
        <v>0</v>
      </c>
      <c r="H24" s="17" t="n">
        <f aca="false">IF(Rankings!H29&lt;=3,1,0)</f>
        <v>1</v>
      </c>
      <c r="I24" s="17" t="n">
        <f aca="false">IF(Rankings!I29&lt;=3,1,0)</f>
        <v>1</v>
      </c>
      <c r="J24" s="17" t="n">
        <f aca="false">IF(Rankings!J29&lt;=3,1,0)</f>
        <v>0</v>
      </c>
      <c r="K24" s="20" t="n">
        <f aca="false">SUM(C24:J24)</f>
        <v>3</v>
      </c>
      <c r="L24" s="16" t="n">
        <f aca="false">SUMPRODUCT(C24:J24,Returns!B28:I28)/K24</f>
        <v>-0.0209091064773171</v>
      </c>
      <c r="M24" s="16" t="n">
        <v>0</v>
      </c>
      <c r="N24" s="16" t="n">
        <v>0</v>
      </c>
      <c r="O24" s="16" t="n">
        <f aca="false">L24+M24+N24</f>
        <v>-0.0209091064773171</v>
      </c>
      <c r="P24" s="21" t="n">
        <f aca="false">P23*(1+O24)</f>
        <v>1.26309433156137</v>
      </c>
      <c r="Q24" s="21" t="n">
        <f aca="false">MAX($P$5:P24)</f>
        <v>1.38282852303392</v>
      </c>
      <c r="R24" s="16" t="n">
        <f aca="false">P24/Q24-1</f>
        <v>-0.0865864345998954</v>
      </c>
      <c r="S24" s="16" t="n">
        <f aca="false">O24-Benchmark_RF!D24</f>
        <v>-0.0257543766017888</v>
      </c>
    </row>
    <row r="25" customFormat="false" ht="15" hidden="false" customHeight="true" outlineLevel="0" collapsed="false">
      <c r="A25" s="1" t="n">
        <v>28</v>
      </c>
      <c r="B25" s="13" t="n">
        <f aca="false">Returns!A29</f>
        <v>42826</v>
      </c>
      <c r="C25" s="17" t="n">
        <f aca="false">IF(Rankings!C29&lt;=3,1,0)</f>
        <v>1</v>
      </c>
      <c r="D25" s="17" t="n">
        <f aca="false">IF(Rankings!D29&lt;=3,1,0)</f>
        <v>0</v>
      </c>
      <c r="E25" s="17" t="n">
        <f aca="false">IF(Rankings!E29&lt;=3,1,0)</f>
        <v>0</v>
      </c>
      <c r="F25" s="17" t="n">
        <f aca="false">IF(Rankings!F29&lt;=3,1,0)</f>
        <v>0</v>
      </c>
      <c r="G25" s="17" t="n">
        <f aca="false">IF(Rankings!G29&lt;=3,1,0)</f>
        <v>0</v>
      </c>
      <c r="H25" s="17" t="n">
        <f aca="false">IF(Rankings!H29&lt;=3,1,0)</f>
        <v>1</v>
      </c>
      <c r="I25" s="17" t="n">
        <f aca="false">IF(Rankings!I29&lt;=3,1,0)</f>
        <v>1</v>
      </c>
      <c r="J25" s="17" t="n">
        <f aca="false">IF(Rankings!J29&lt;=3,1,0)</f>
        <v>0</v>
      </c>
      <c r="K25" s="20" t="n">
        <f aca="false">SUM(C25:J25)</f>
        <v>3</v>
      </c>
      <c r="L25" s="16" t="n">
        <f aca="false">SUMPRODUCT(C25:J25,Returns!B29:I29)/K25</f>
        <v>0.0832602770497507</v>
      </c>
      <c r="M25" s="16" t="n">
        <v>0</v>
      </c>
      <c r="N25" s="16" t="n">
        <v>0</v>
      </c>
      <c r="O25" s="16" t="n">
        <f aca="false">L25+M25+N25</f>
        <v>0.0832602770497507</v>
      </c>
      <c r="P25" s="21" t="n">
        <f aca="false">P24*(1+O25)</f>
        <v>1.36825991554714</v>
      </c>
      <c r="Q25" s="21" t="n">
        <f aca="false">MAX($P$5:P25)</f>
        <v>1.38282852303392</v>
      </c>
      <c r="R25" s="16" t="n">
        <f aca="false">P25/Q25-1</f>
        <v>-0.0105353680836819</v>
      </c>
      <c r="S25" s="16" t="n">
        <f aca="false">O25-Benchmark_RF!D25</f>
        <v>0.0784044980969955</v>
      </c>
    </row>
    <row r="26" customFormat="false" ht="15" hidden="false" customHeight="true" outlineLevel="0" collapsed="false">
      <c r="A26" s="1" t="n">
        <v>29</v>
      </c>
      <c r="B26" s="13" t="n">
        <f aca="false">Returns!A30</f>
        <v>42856</v>
      </c>
      <c r="C26" s="17" t="n">
        <f aca="false">IF(Rankings!C32&lt;=3,1,0)</f>
        <v>1</v>
      </c>
      <c r="D26" s="17" t="n">
        <f aca="false">IF(Rankings!D32&lt;=3,1,0)</f>
        <v>0</v>
      </c>
      <c r="E26" s="17" t="n">
        <f aca="false">IF(Rankings!E32&lt;=3,1,0)</f>
        <v>0</v>
      </c>
      <c r="F26" s="17" t="n">
        <f aca="false">IF(Rankings!F32&lt;=3,1,0)</f>
        <v>0</v>
      </c>
      <c r="G26" s="17" t="n">
        <f aca="false">IF(Rankings!G32&lt;=3,1,0)</f>
        <v>0</v>
      </c>
      <c r="H26" s="17" t="n">
        <f aca="false">IF(Rankings!H32&lt;=3,1,0)</f>
        <v>1</v>
      </c>
      <c r="I26" s="17" t="n">
        <f aca="false">IF(Rankings!I32&lt;=3,1,0)</f>
        <v>1</v>
      </c>
      <c r="J26" s="17" t="n">
        <f aca="false">IF(Rankings!J32&lt;=3,1,0)</f>
        <v>0</v>
      </c>
      <c r="K26" s="20" t="n">
        <f aca="false">SUM(C26:J26)</f>
        <v>3</v>
      </c>
      <c r="L26" s="16" t="n">
        <f aca="false">SUMPRODUCT(C26:J26,Returns!B30:I30)/K26</f>
        <v>0.288673112759156</v>
      </c>
      <c r="M26" s="16" t="n">
        <f aca="false">-2*Assumptions!$B$13</f>
        <v>-0.007</v>
      </c>
      <c r="N26" s="16" t="n">
        <f aca="false">-Assumptions!$B$16*MAX(0,(1+O23)*(1+O24)*(1+O25)-1)</f>
        <v>-0</v>
      </c>
      <c r="O26" s="16" t="n">
        <f aca="false">L26+M26+N26</f>
        <v>0.281673112759156</v>
      </c>
      <c r="P26" s="21" t="n">
        <f aca="false">P25*(1+O26)</f>
        <v>1.75366194502288</v>
      </c>
      <c r="Q26" s="21" t="n">
        <f aca="false">MAX($P$5:P26)</f>
        <v>1.75366194502288</v>
      </c>
      <c r="R26" s="16" t="n">
        <f aca="false">P26/Q26-1</f>
        <v>0</v>
      </c>
      <c r="S26" s="16" t="n">
        <f aca="false">O26-Benchmark_RF!D26</f>
        <v>0.276817333806401</v>
      </c>
    </row>
    <row r="27" customFormat="false" ht="15" hidden="false" customHeight="true" outlineLevel="0" collapsed="false">
      <c r="A27" s="1" t="n">
        <v>30</v>
      </c>
      <c r="B27" s="13" t="n">
        <f aca="false">Returns!A31</f>
        <v>42887</v>
      </c>
      <c r="C27" s="17" t="n">
        <f aca="false">IF(Rankings!C32&lt;=3,1,0)</f>
        <v>1</v>
      </c>
      <c r="D27" s="17" t="n">
        <f aca="false">IF(Rankings!D32&lt;=3,1,0)</f>
        <v>0</v>
      </c>
      <c r="E27" s="17" t="n">
        <f aca="false">IF(Rankings!E32&lt;=3,1,0)</f>
        <v>0</v>
      </c>
      <c r="F27" s="17" t="n">
        <f aca="false">IF(Rankings!F32&lt;=3,1,0)</f>
        <v>0</v>
      </c>
      <c r="G27" s="17" t="n">
        <f aca="false">IF(Rankings!G32&lt;=3,1,0)</f>
        <v>0</v>
      </c>
      <c r="H27" s="17" t="n">
        <f aca="false">IF(Rankings!H32&lt;=3,1,0)</f>
        <v>1</v>
      </c>
      <c r="I27" s="17" t="n">
        <f aca="false">IF(Rankings!I32&lt;=3,1,0)</f>
        <v>1</v>
      </c>
      <c r="J27" s="17" t="n">
        <f aca="false">IF(Rankings!J32&lt;=3,1,0)</f>
        <v>0</v>
      </c>
      <c r="K27" s="20" t="n">
        <f aca="false">SUM(C27:J27)</f>
        <v>3</v>
      </c>
      <c r="L27" s="16" t="n">
        <f aca="false">SUMPRODUCT(C27:J27,Returns!B31:I31)/K27</f>
        <v>-0.00246068943945828</v>
      </c>
      <c r="M27" s="16" t="n">
        <v>0</v>
      </c>
      <c r="N27" s="16" t="n">
        <v>0</v>
      </c>
      <c r="O27" s="16" t="n">
        <f aca="false">L27+M27+N27</f>
        <v>-0.00246068943945828</v>
      </c>
      <c r="P27" s="21" t="n">
        <f aca="false">P26*(1+O27)</f>
        <v>1.74934672759439</v>
      </c>
      <c r="Q27" s="21" t="n">
        <f aca="false">MAX($P$5:P27)</f>
        <v>1.75366194502288</v>
      </c>
      <c r="R27" s="16" t="n">
        <f aca="false">P27/Q27-1</f>
        <v>-0.00246068943945832</v>
      </c>
      <c r="S27" s="16" t="n">
        <f aca="false">O27-Benchmark_RF!D27</f>
        <v>-0.00732112981618901</v>
      </c>
    </row>
    <row r="28" customFormat="false" ht="15" hidden="false" customHeight="true" outlineLevel="0" collapsed="false">
      <c r="A28" s="1" t="n">
        <v>31</v>
      </c>
      <c r="B28" s="13" t="n">
        <f aca="false">Returns!A32</f>
        <v>42917</v>
      </c>
      <c r="C28" s="17" t="n">
        <f aca="false">IF(Rankings!C32&lt;=3,1,0)</f>
        <v>1</v>
      </c>
      <c r="D28" s="17" t="n">
        <f aca="false">IF(Rankings!D32&lt;=3,1,0)</f>
        <v>0</v>
      </c>
      <c r="E28" s="17" t="n">
        <f aca="false">IF(Rankings!E32&lt;=3,1,0)</f>
        <v>0</v>
      </c>
      <c r="F28" s="17" t="n">
        <f aca="false">IF(Rankings!F32&lt;=3,1,0)</f>
        <v>0</v>
      </c>
      <c r="G28" s="17" t="n">
        <f aca="false">IF(Rankings!G32&lt;=3,1,0)</f>
        <v>0</v>
      </c>
      <c r="H28" s="17" t="n">
        <f aca="false">IF(Rankings!H32&lt;=3,1,0)</f>
        <v>1</v>
      </c>
      <c r="I28" s="17" t="n">
        <f aca="false">IF(Rankings!I32&lt;=3,1,0)</f>
        <v>1</v>
      </c>
      <c r="J28" s="17" t="n">
        <f aca="false">IF(Rankings!J32&lt;=3,1,0)</f>
        <v>0</v>
      </c>
      <c r="K28" s="20" t="n">
        <f aca="false">SUM(C28:J28)</f>
        <v>3</v>
      </c>
      <c r="L28" s="16" t="n">
        <f aca="false">SUMPRODUCT(C28:J28,Returns!B32:I32)/K28</f>
        <v>-0.0306418975805093</v>
      </c>
      <c r="M28" s="16" t="n">
        <v>0</v>
      </c>
      <c r="N28" s="16" t="n">
        <v>0</v>
      </c>
      <c r="O28" s="16" t="n">
        <f aca="false">L28+M28+N28</f>
        <v>-0.0306418975805093</v>
      </c>
      <c r="P28" s="21" t="n">
        <f aca="false">P27*(1+O28)</f>
        <v>1.69574342433464</v>
      </c>
      <c r="Q28" s="21" t="n">
        <f aca="false">MAX($P$5:P28)</f>
        <v>1.75366194502288</v>
      </c>
      <c r="R28" s="16" t="n">
        <f aca="false">P28/Q28-1</f>
        <v>-0.0330271868261863</v>
      </c>
      <c r="S28" s="16" t="n">
        <f aca="false">O28-Benchmark_RF!D28</f>
        <v>-0.0355022589520357</v>
      </c>
    </row>
    <row r="29" customFormat="false" ht="15" hidden="false" customHeight="true" outlineLevel="0" collapsed="false">
      <c r="A29" s="1" t="n">
        <v>32</v>
      </c>
      <c r="B29" s="13" t="n">
        <f aca="false">Returns!A33</f>
        <v>42948</v>
      </c>
      <c r="C29" s="17" t="n">
        <f aca="false">IF(Rankings!C35&lt;=3,1,0)</f>
        <v>1</v>
      </c>
      <c r="D29" s="17" t="n">
        <f aca="false">IF(Rankings!D35&lt;=3,1,0)</f>
        <v>0</v>
      </c>
      <c r="E29" s="17" t="n">
        <f aca="false">IF(Rankings!E35&lt;=3,1,0)</f>
        <v>0</v>
      </c>
      <c r="F29" s="17" t="n">
        <f aca="false">IF(Rankings!F35&lt;=3,1,0)</f>
        <v>0</v>
      </c>
      <c r="G29" s="17" t="n">
        <f aca="false">IF(Rankings!G35&lt;=3,1,0)</f>
        <v>0</v>
      </c>
      <c r="H29" s="17" t="n">
        <f aca="false">IF(Rankings!H35&lt;=3,1,0)</f>
        <v>1</v>
      </c>
      <c r="I29" s="17" t="n">
        <f aca="false">IF(Rankings!I35&lt;=3,1,0)</f>
        <v>1</v>
      </c>
      <c r="J29" s="17" t="n">
        <f aca="false">IF(Rankings!J35&lt;=3,1,0)</f>
        <v>0</v>
      </c>
      <c r="K29" s="20" t="n">
        <f aca="false">SUM(C29:J29)</f>
        <v>3</v>
      </c>
      <c r="L29" s="16" t="n">
        <f aca="false">SUMPRODUCT(C29:J29,Returns!B33:I33)/K29</f>
        <v>-0.174469149048491</v>
      </c>
      <c r="M29" s="16" t="n">
        <f aca="false">-2*Assumptions!$B$13</f>
        <v>-0.007</v>
      </c>
      <c r="N29" s="16" t="n">
        <f aca="false">-Assumptions!$B$16*MAX(0,(1+O26)*(1+O27)*(1+O28)-1)</f>
        <v>-0.035901458312094</v>
      </c>
      <c r="O29" s="16" t="n">
        <f aca="false">L29+M29+N29</f>
        <v>-0.217370607360585</v>
      </c>
      <c r="P29" s="21" t="n">
        <f aca="false">P28*(1+O29)</f>
        <v>1.3271386462593</v>
      </c>
      <c r="Q29" s="21" t="n">
        <f aca="false">MAX($P$5:P29)</f>
        <v>1.75366194502288</v>
      </c>
      <c r="R29" s="16" t="n">
        <f aca="false">P29/Q29-1</f>
        <v>-0.243218654526951</v>
      </c>
      <c r="S29" s="16" t="n">
        <f aca="false">O29-Benchmark_RF!D29</f>
        <v>-0.222230415693767</v>
      </c>
    </row>
    <row r="30" customFormat="false" ht="15" hidden="false" customHeight="true" outlineLevel="0" collapsed="false">
      <c r="A30" s="1" t="n">
        <v>33</v>
      </c>
      <c r="B30" s="13" t="n">
        <f aca="false">Returns!A34</f>
        <v>42979</v>
      </c>
      <c r="C30" s="17" t="n">
        <f aca="false">IF(Rankings!C35&lt;=3,1,0)</f>
        <v>1</v>
      </c>
      <c r="D30" s="17" t="n">
        <f aca="false">IF(Rankings!D35&lt;=3,1,0)</f>
        <v>0</v>
      </c>
      <c r="E30" s="17" t="n">
        <f aca="false">IF(Rankings!E35&lt;=3,1,0)</f>
        <v>0</v>
      </c>
      <c r="F30" s="17" t="n">
        <f aca="false">IF(Rankings!F35&lt;=3,1,0)</f>
        <v>0</v>
      </c>
      <c r="G30" s="17" t="n">
        <f aca="false">IF(Rankings!G35&lt;=3,1,0)</f>
        <v>0</v>
      </c>
      <c r="H30" s="17" t="n">
        <f aca="false">IF(Rankings!H35&lt;=3,1,0)</f>
        <v>1</v>
      </c>
      <c r="I30" s="17" t="n">
        <f aca="false">IF(Rankings!I35&lt;=3,1,0)</f>
        <v>1</v>
      </c>
      <c r="J30" s="17" t="n">
        <f aca="false">IF(Rankings!J35&lt;=3,1,0)</f>
        <v>0</v>
      </c>
      <c r="K30" s="20" t="n">
        <f aca="false">SUM(C30:J30)</f>
        <v>3</v>
      </c>
      <c r="L30" s="16" t="n">
        <f aca="false">SUMPRODUCT(C30:J30,Returns!B34:I34)/K30</f>
        <v>0.0854444000340889</v>
      </c>
      <c r="M30" s="16" t="n">
        <v>0</v>
      </c>
      <c r="N30" s="16" t="n">
        <v>0</v>
      </c>
      <c r="O30" s="16" t="n">
        <f aca="false">L30+M30+N30</f>
        <v>0.0854444000340889</v>
      </c>
      <c r="P30" s="21" t="n">
        <f aca="false">P29*(1+O30)</f>
        <v>1.44053521165098</v>
      </c>
      <c r="Q30" s="21" t="n">
        <f aca="false">MAX($P$5:P30)</f>
        <v>1.75366194502288</v>
      </c>
      <c r="R30" s="16" t="n">
        <f aca="false">P30/Q30-1</f>
        <v>-0.178555926506016</v>
      </c>
      <c r="S30" s="16" t="n">
        <f aca="false">O30-Benchmark_RF!D30</f>
        <v>0.0805839596573582</v>
      </c>
    </row>
    <row r="31" customFormat="false" ht="15" hidden="false" customHeight="true" outlineLevel="0" collapsed="false">
      <c r="A31" s="1" t="n">
        <v>34</v>
      </c>
      <c r="B31" s="13" t="n">
        <f aca="false">Returns!A35</f>
        <v>43009</v>
      </c>
      <c r="C31" s="17" t="n">
        <f aca="false">IF(Rankings!C35&lt;=3,1,0)</f>
        <v>1</v>
      </c>
      <c r="D31" s="17" t="n">
        <f aca="false">IF(Rankings!D35&lt;=3,1,0)</f>
        <v>0</v>
      </c>
      <c r="E31" s="17" t="n">
        <f aca="false">IF(Rankings!E35&lt;=3,1,0)</f>
        <v>0</v>
      </c>
      <c r="F31" s="17" t="n">
        <f aca="false">IF(Rankings!F35&lt;=3,1,0)</f>
        <v>0</v>
      </c>
      <c r="G31" s="17" t="n">
        <f aca="false">IF(Rankings!G35&lt;=3,1,0)</f>
        <v>0</v>
      </c>
      <c r="H31" s="17" t="n">
        <f aca="false">IF(Rankings!H35&lt;=3,1,0)</f>
        <v>1</v>
      </c>
      <c r="I31" s="17" t="n">
        <f aca="false">IF(Rankings!I35&lt;=3,1,0)</f>
        <v>1</v>
      </c>
      <c r="J31" s="17" t="n">
        <f aca="false">IF(Rankings!J35&lt;=3,1,0)</f>
        <v>0</v>
      </c>
      <c r="K31" s="20" t="n">
        <f aca="false">SUM(C31:J31)</f>
        <v>3</v>
      </c>
      <c r="L31" s="16" t="n">
        <f aca="false">SUMPRODUCT(C31:J31,Returns!B35:I35)/K31</f>
        <v>-0.0417851280120312</v>
      </c>
      <c r="M31" s="16" t="n">
        <v>0</v>
      </c>
      <c r="N31" s="16" t="n">
        <v>0</v>
      </c>
      <c r="O31" s="16" t="n">
        <f aca="false">L31+M31+N31</f>
        <v>-0.0417851280120312</v>
      </c>
      <c r="P31" s="21" t="n">
        <f aca="false">P30*(1+O31)</f>
        <v>1.38034226342631</v>
      </c>
      <c r="Q31" s="21" t="n">
        <f aca="false">MAX($P$5:P31)</f>
        <v>1.75366194502288</v>
      </c>
      <c r="R31" s="16" t="n">
        <f aca="false">P31/Q31-1</f>
        <v>-0.212880072271687</v>
      </c>
      <c r="S31" s="16" t="n">
        <f aca="false">O31-Benchmark_RF!D31</f>
        <v>-0.0466455683887619</v>
      </c>
    </row>
    <row r="32" customFormat="false" ht="15" hidden="false" customHeight="true" outlineLevel="0" collapsed="false">
      <c r="A32" s="1" t="n">
        <v>35</v>
      </c>
      <c r="B32" s="13" t="n">
        <f aca="false">Returns!A36</f>
        <v>43040</v>
      </c>
      <c r="C32" s="17" t="n">
        <f aca="false">IF(Rankings!C38&lt;=3,1,0)</f>
        <v>0</v>
      </c>
      <c r="D32" s="17" t="n">
        <f aca="false">IF(Rankings!D38&lt;=3,1,0)</f>
        <v>1</v>
      </c>
      <c r="E32" s="17" t="n">
        <f aca="false">IF(Rankings!E38&lt;=3,1,0)</f>
        <v>1</v>
      </c>
      <c r="F32" s="17" t="n">
        <f aca="false">IF(Rankings!F38&lt;=3,1,0)</f>
        <v>0</v>
      </c>
      <c r="G32" s="17" t="n">
        <f aca="false">IF(Rankings!G38&lt;=3,1,0)</f>
        <v>0</v>
      </c>
      <c r="H32" s="17" t="n">
        <f aca="false">IF(Rankings!H38&lt;=3,1,0)</f>
        <v>1</v>
      </c>
      <c r="I32" s="17" t="n">
        <f aca="false">IF(Rankings!I38&lt;=3,1,0)</f>
        <v>0</v>
      </c>
      <c r="J32" s="17" t="n">
        <f aca="false">IF(Rankings!J38&lt;=3,1,0)</f>
        <v>0</v>
      </c>
      <c r="K32" s="20" t="n">
        <f aca="false">SUM(C32:J32)</f>
        <v>3</v>
      </c>
      <c r="L32" s="16" t="n">
        <f aca="false">SUMPRODUCT(C32:J32,Returns!B36:I36)/K32</f>
        <v>0.0133945933030123</v>
      </c>
      <c r="M32" s="16" t="n">
        <f aca="false">-2*Assumptions!$B$13</f>
        <v>-0.007</v>
      </c>
      <c r="N32" s="16" t="n">
        <f aca="false">-Assumptions!$B$16*MAX(0,(1+O29)*(1+O30)*(1+O31)-1)</f>
        <v>-0</v>
      </c>
      <c r="O32" s="16" t="n">
        <f aca="false">L32+M32+N32</f>
        <v>0.00639459330301226</v>
      </c>
      <c r="P32" s="21" t="n">
        <f aca="false">P31*(1+O32)</f>
        <v>1.38916899081988</v>
      </c>
      <c r="Q32" s="21" t="n">
        <f aca="false">MAX($P$5:P32)</f>
        <v>1.75366194502288</v>
      </c>
      <c r="R32" s="16" t="n">
        <f aca="false">P32/Q32-1</f>
        <v>-0.207846760453168</v>
      </c>
      <c r="S32" s="16" t="n">
        <f aca="false">O32-Benchmark_RF!D32</f>
        <v>0.00153423193148591</v>
      </c>
    </row>
    <row r="33" customFormat="false" ht="15" hidden="false" customHeight="true" outlineLevel="0" collapsed="false">
      <c r="A33" s="1" t="n">
        <v>36</v>
      </c>
      <c r="B33" s="13" t="n">
        <f aca="false">Returns!A37</f>
        <v>43070</v>
      </c>
      <c r="C33" s="17" t="n">
        <f aca="false">IF(Rankings!C38&lt;=3,1,0)</f>
        <v>0</v>
      </c>
      <c r="D33" s="17" t="n">
        <f aca="false">IF(Rankings!D38&lt;=3,1,0)</f>
        <v>1</v>
      </c>
      <c r="E33" s="17" t="n">
        <f aca="false">IF(Rankings!E38&lt;=3,1,0)</f>
        <v>1</v>
      </c>
      <c r="F33" s="17" t="n">
        <f aca="false">IF(Rankings!F38&lt;=3,1,0)</f>
        <v>0</v>
      </c>
      <c r="G33" s="17" t="n">
        <f aca="false">IF(Rankings!G38&lt;=3,1,0)</f>
        <v>0</v>
      </c>
      <c r="H33" s="17" t="n">
        <f aca="false">IF(Rankings!H38&lt;=3,1,0)</f>
        <v>1</v>
      </c>
      <c r="I33" s="17" t="n">
        <f aca="false">IF(Rankings!I38&lt;=3,1,0)</f>
        <v>0</v>
      </c>
      <c r="J33" s="17" t="n">
        <f aca="false">IF(Rankings!J38&lt;=3,1,0)</f>
        <v>0</v>
      </c>
      <c r="K33" s="20" t="n">
        <f aca="false">SUM(C33:J33)</f>
        <v>3</v>
      </c>
      <c r="L33" s="16" t="n">
        <f aca="false">SUMPRODUCT(C33:J33,Returns!B37:I37)/K33</f>
        <v>0.00736927104614316</v>
      </c>
      <c r="M33" s="16" t="n">
        <v>0</v>
      </c>
      <c r="N33" s="16" t="n">
        <v>0</v>
      </c>
      <c r="O33" s="16" t="n">
        <f aca="false">L33+M33+N33</f>
        <v>0.00736927104614316</v>
      </c>
      <c r="P33" s="21" t="n">
        <f aca="false">P32*(1+O33)</f>
        <v>1.39940615364212</v>
      </c>
      <c r="Q33" s="21" t="n">
        <f aca="false">MAX($P$5:P33)</f>
        <v>1.75366194502288</v>
      </c>
      <c r="R33" s="16" t="n">
        <f aca="false">P33/Q33-1</f>
        <v>-0.202009168520867</v>
      </c>
      <c r="S33" s="16" t="n">
        <f aca="false">O33-Benchmark_RF!D33</f>
        <v>0.00250883066941243</v>
      </c>
    </row>
    <row r="34" customFormat="false" ht="15" hidden="false" customHeight="true" outlineLevel="0" collapsed="false">
      <c r="A34" s="1" t="n">
        <v>37</v>
      </c>
      <c r="B34" s="13" t="n">
        <f aca="false">Returns!A38</f>
        <v>43101</v>
      </c>
      <c r="C34" s="17" t="n">
        <f aca="false">IF(Rankings!C38&lt;=3,1,0)</f>
        <v>0</v>
      </c>
      <c r="D34" s="17" t="n">
        <f aca="false">IF(Rankings!D38&lt;=3,1,0)</f>
        <v>1</v>
      </c>
      <c r="E34" s="17" t="n">
        <f aca="false">IF(Rankings!E38&lt;=3,1,0)</f>
        <v>1</v>
      </c>
      <c r="F34" s="17" t="n">
        <f aca="false">IF(Rankings!F38&lt;=3,1,0)</f>
        <v>0</v>
      </c>
      <c r="G34" s="17" t="n">
        <f aca="false">IF(Rankings!G38&lt;=3,1,0)</f>
        <v>0</v>
      </c>
      <c r="H34" s="17" t="n">
        <f aca="false">IF(Rankings!H38&lt;=3,1,0)</f>
        <v>1</v>
      </c>
      <c r="I34" s="17" t="n">
        <f aca="false">IF(Rankings!I38&lt;=3,1,0)</f>
        <v>0</v>
      </c>
      <c r="J34" s="17" t="n">
        <f aca="false">IF(Rankings!J38&lt;=3,1,0)</f>
        <v>0</v>
      </c>
      <c r="K34" s="20" t="n">
        <f aca="false">SUM(C34:J34)</f>
        <v>3</v>
      </c>
      <c r="L34" s="16" t="n">
        <f aca="false">SUMPRODUCT(C34:J34,Returns!B38:I38)/K34</f>
        <v>0.103460737225436</v>
      </c>
      <c r="M34" s="16" t="n">
        <v>0</v>
      </c>
      <c r="N34" s="16" t="n">
        <v>0</v>
      </c>
      <c r="O34" s="16" t="n">
        <f aca="false">L34+M34+N34</f>
        <v>0.103460737225436</v>
      </c>
      <c r="P34" s="21" t="n">
        <f aca="false">P33*(1+O34)</f>
        <v>1.54418974597575</v>
      </c>
      <c r="Q34" s="21" t="n">
        <f aca="false">MAX($P$5:P34)</f>
        <v>1.75366194502288</v>
      </c>
      <c r="R34" s="16" t="n">
        <f aca="false">P34/Q34-1</f>
        <v>-0.119448448796897</v>
      </c>
      <c r="S34" s="16" t="n">
        <f aca="false">O34-Benchmark_RF!D34</f>
        <v>0.0984353250865998</v>
      </c>
    </row>
    <row r="35" customFormat="false" ht="15" hidden="false" customHeight="true" outlineLevel="0" collapsed="false">
      <c r="A35" s="1" t="n">
        <v>38</v>
      </c>
      <c r="B35" s="13" t="n">
        <f aca="false">Returns!A39</f>
        <v>43132</v>
      </c>
      <c r="C35" s="17" t="n">
        <f aca="false">IF(Rankings!C41&lt;=3,1,0)</f>
        <v>0</v>
      </c>
      <c r="D35" s="17" t="n">
        <f aca="false">IF(Rankings!D41&lt;=3,1,0)</f>
        <v>1</v>
      </c>
      <c r="E35" s="17" t="n">
        <f aca="false">IF(Rankings!E41&lt;=3,1,0)</f>
        <v>1</v>
      </c>
      <c r="F35" s="17" t="n">
        <f aca="false">IF(Rankings!F41&lt;=3,1,0)</f>
        <v>0</v>
      </c>
      <c r="G35" s="17" t="n">
        <f aca="false">IF(Rankings!G41&lt;=3,1,0)</f>
        <v>1</v>
      </c>
      <c r="H35" s="17" t="n">
        <f aca="false">IF(Rankings!H41&lt;=3,1,0)</f>
        <v>0</v>
      </c>
      <c r="I35" s="17" t="n">
        <f aca="false">IF(Rankings!I41&lt;=3,1,0)</f>
        <v>0</v>
      </c>
      <c r="J35" s="17" t="n">
        <f aca="false">IF(Rankings!J41&lt;=3,1,0)</f>
        <v>0</v>
      </c>
      <c r="K35" s="20" t="n">
        <f aca="false">SUM(C35:J35)</f>
        <v>3</v>
      </c>
      <c r="L35" s="16" t="n">
        <f aca="false">SUMPRODUCT(C35:J35,Returns!B39:I39)/K35</f>
        <v>-0.0184696090273105</v>
      </c>
      <c r="M35" s="16" t="n">
        <f aca="false">-2*Assumptions!$B$13</f>
        <v>-0.007</v>
      </c>
      <c r="N35" s="16" t="n">
        <f aca="false">-Assumptions!$B$16*MAX(0,(1+O32)*(1+O33)*(1+O34)-1)</f>
        <v>-0.0178050930074481</v>
      </c>
      <c r="O35" s="16" t="n">
        <f aca="false">L35+M35+N35</f>
        <v>-0.0432747020347586</v>
      </c>
      <c r="P35" s="21" t="n">
        <f aca="false">P34*(1+O35)</f>
        <v>1.47736539483352</v>
      </c>
      <c r="Q35" s="21" t="n">
        <f aca="false">MAX($P$5:P35)</f>
        <v>1.75366194502288</v>
      </c>
      <c r="R35" s="16" t="n">
        <f aca="false">P35/Q35-1</f>
        <v>-0.157554054801456</v>
      </c>
      <c r="S35" s="16" t="n">
        <f aca="false">O35-Benchmark_RF!D35</f>
        <v>-0.0483255044136335</v>
      </c>
    </row>
    <row r="36" customFormat="false" ht="15" hidden="false" customHeight="true" outlineLevel="0" collapsed="false">
      <c r="A36" s="1" t="n">
        <v>39</v>
      </c>
      <c r="B36" s="13" t="n">
        <f aca="false">Returns!A40</f>
        <v>43160</v>
      </c>
      <c r="C36" s="17" t="n">
        <f aca="false">IF(Rankings!C41&lt;=3,1,0)</f>
        <v>0</v>
      </c>
      <c r="D36" s="17" t="n">
        <f aca="false">IF(Rankings!D41&lt;=3,1,0)</f>
        <v>1</v>
      </c>
      <c r="E36" s="17" t="n">
        <f aca="false">IF(Rankings!E41&lt;=3,1,0)</f>
        <v>1</v>
      </c>
      <c r="F36" s="17" t="n">
        <f aca="false">IF(Rankings!F41&lt;=3,1,0)</f>
        <v>0</v>
      </c>
      <c r="G36" s="17" t="n">
        <f aca="false">IF(Rankings!G41&lt;=3,1,0)</f>
        <v>1</v>
      </c>
      <c r="H36" s="17" t="n">
        <f aca="false">IF(Rankings!H41&lt;=3,1,0)</f>
        <v>0</v>
      </c>
      <c r="I36" s="17" t="n">
        <f aca="false">IF(Rankings!I41&lt;=3,1,0)</f>
        <v>0</v>
      </c>
      <c r="J36" s="17" t="n">
        <f aca="false">IF(Rankings!J41&lt;=3,1,0)</f>
        <v>0</v>
      </c>
      <c r="K36" s="20" t="n">
        <f aca="false">SUM(C36:J36)</f>
        <v>3</v>
      </c>
      <c r="L36" s="16" t="n">
        <f aca="false">SUMPRODUCT(C36:J36,Returns!B40:I40)/K36</f>
        <v>0.0679562873305741</v>
      </c>
      <c r="M36" s="16" t="n">
        <v>0</v>
      </c>
      <c r="N36" s="16" t="n">
        <v>0</v>
      </c>
      <c r="O36" s="16" t="n">
        <f aca="false">L36+M36+N36</f>
        <v>0.0679562873305741</v>
      </c>
      <c r="P36" s="21" t="n">
        <f aca="false">P35*(1+O36)</f>
        <v>1.57776166209707</v>
      </c>
      <c r="Q36" s="21" t="n">
        <f aca="false">MAX($P$5:P36)</f>
        <v>1.75366194502288</v>
      </c>
      <c r="R36" s="16" t="n">
        <f aca="false">P36/Q36-1</f>
        <v>-0.100304556089066</v>
      </c>
      <c r="S36" s="16" t="n">
        <f aca="false">O36-Benchmark_RF!D36</f>
        <v>0.0628842792584589</v>
      </c>
    </row>
    <row r="37" customFormat="false" ht="15" hidden="false" customHeight="true" outlineLevel="0" collapsed="false">
      <c r="A37" s="1" t="n">
        <v>40</v>
      </c>
      <c r="B37" s="13" t="n">
        <f aca="false">Returns!A41</f>
        <v>43191</v>
      </c>
      <c r="C37" s="17" t="n">
        <f aca="false">IF(Rankings!C41&lt;=3,1,0)</f>
        <v>0</v>
      </c>
      <c r="D37" s="17" t="n">
        <f aca="false">IF(Rankings!D41&lt;=3,1,0)</f>
        <v>1</v>
      </c>
      <c r="E37" s="17" t="n">
        <f aca="false">IF(Rankings!E41&lt;=3,1,0)</f>
        <v>1</v>
      </c>
      <c r="F37" s="17" t="n">
        <f aca="false">IF(Rankings!F41&lt;=3,1,0)</f>
        <v>0</v>
      </c>
      <c r="G37" s="17" t="n">
        <f aca="false">IF(Rankings!G41&lt;=3,1,0)</f>
        <v>1</v>
      </c>
      <c r="H37" s="17" t="n">
        <f aca="false">IF(Rankings!H41&lt;=3,1,0)</f>
        <v>0</v>
      </c>
      <c r="I37" s="17" t="n">
        <f aca="false">IF(Rankings!I41&lt;=3,1,0)</f>
        <v>0</v>
      </c>
      <c r="J37" s="17" t="n">
        <f aca="false">IF(Rankings!J41&lt;=3,1,0)</f>
        <v>0</v>
      </c>
      <c r="K37" s="20" t="n">
        <f aca="false">SUM(C37:J37)</f>
        <v>3</v>
      </c>
      <c r="L37" s="16" t="n">
        <f aca="false">SUMPRODUCT(C37:J37,Returns!B41:I41)/K37</f>
        <v>-0.00294226488968408</v>
      </c>
      <c r="M37" s="16" t="n">
        <v>0</v>
      </c>
      <c r="N37" s="16" t="n">
        <v>0</v>
      </c>
      <c r="O37" s="16" t="n">
        <f aca="false">L37+M37+N37</f>
        <v>-0.00294226488968408</v>
      </c>
      <c r="P37" s="21" t="n">
        <f aca="false">P36*(1+O37)</f>
        <v>1.5731194693544</v>
      </c>
      <c r="Q37" s="21" t="n">
        <f aca="false">MAX($P$5:P37)</f>
        <v>1.75366194502288</v>
      </c>
      <c r="R37" s="16" t="n">
        <f aca="false">P37/Q37-1</f>
        <v>-0.102951698405094</v>
      </c>
      <c r="S37" s="16" t="n">
        <f aca="false">O37-Benchmark_RF!D37</f>
        <v>-0.00799677270735744</v>
      </c>
    </row>
    <row r="38" customFormat="false" ht="15" hidden="false" customHeight="true" outlineLevel="0" collapsed="false">
      <c r="A38" s="1" t="n">
        <v>41</v>
      </c>
      <c r="B38" s="13" t="n">
        <f aca="false">Returns!A42</f>
        <v>43221</v>
      </c>
      <c r="C38" s="17" t="n">
        <f aca="false">IF(Rankings!C44&lt;=3,1,0)</f>
        <v>0</v>
      </c>
      <c r="D38" s="17" t="n">
        <f aca="false">IF(Rankings!D44&lt;=3,1,0)</f>
        <v>0</v>
      </c>
      <c r="E38" s="17" t="n">
        <f aca="false">IF(Rankings!E44&lt;=3,1,0)</f>
        <v>0</v>
      </c>
      <c r="F38" s="17" t="n">
        <f aca="false">IF(Rankings!F44&lt;=3,1,0)</f>
        <v>1</v>
      </c>
      <c r="G38" s="17" t="n">
        <f aca="false">IF(Rankings!G44&lt;=3,1,0)</f>
        <v>1</v>
      </c>
      <c r="H38" s="17" t="n">
        <f aca="false">IF(Rankings!H44&lt;=3,1,0)</f>
        <v>1</v>
      </c>
      <c r="I38" s="17" t="n">
        <f aca="false">IF(Rankings!I44&lt;=3,1,0)</f>
        <v>0</v>
      </c>
      <c r="J38" s="17" t="n">
        <f aca="false">IF(Rankings!J44&lt;=3,1,0)</f>
        <v>0</v>
      </c>
      <c r="K38" s="20" t="n">
        <f aca="false">SUM(C38:J38)</f>
        <v>3</v>
      </c>
      <c r="L38" s="16" t="n">
        <f aca="false">SUMPRODUCT(C38:J38,Returns!B42:I42)/K38</f>
        <v>-0.0684094342659202</v>
      </c>
      <c r="M38" s="16" t="n">
        <f aca="false">-2*Assumptions!$B$13</f>
        <v>-0.007</v>
      </c>
      <c r="N38" s="16" t="n">
        <f aca="false">-Assumptions!$B$16*MAX(0,(1+O35)*(1+O36)*(1+O37)-1)</f>
        <v>-0.00281018477043108</v>
      </c>
      <c r="O38" s="16" t="n">
        <f aca="false">L38+M38+N38</f>
        <v>-0.0782196190363513</v>
      </c>
      <c r="P38" s="21" t="n">
        <f aca="false">P37*(1+O38)</f>
        <v>1.45007066376283</v>
      </c>
      <c r="Q38" s="21" t="n">
        <f aca="false">MAX($P$5:P38)</f>
        <v>1.75366194502288</v>
      </c>
      <c r="R38" s="16" t="n">
        <f aca="false">P38/Q38-1</f>
        <v>-0.173118474813054</v>
      </c>
      <c r="S38" s="16" t="n">
        <f aca="false">O38-Benchmark_RF!D38</f>
        <v>-0.0832911541726853</v>
      </c>
    </row>
    <row r="39" customFormat="false" ht="15" hidden="false" customHeight="true" outlineLevel="0" collapsed="false">
      <c r="A39" s="1" t="n">
        <v>42</v>
      </c>
      <c r="B39" s="13" t="n">
        <f aca="false">Returns!A43</f>
        <v>43252</v>
      </c>
      <c r="C39" s="17" t="n">
        <f aca="false">IF(Rankings!C44&lt;=3,1,0)</f>
        <v>0</v>
      </c>
      <c r="D39" s="17" t="n">
        <f aca="false">IF(Rankings!D44&lt;=3,1,0)</f>
        <v>0</v>
      </c>
      <c r="E39" s="17" t="n">
        <f aca="false">IF(Rankings!E44&lt;=3,1,0)</f>
        <v>0</v>
      </c>
      <c r="F39" s="17" t="n">
        <f aca="false">IF(Rankings!F44&lt;=3,1,0)</f>
        <v>1</v>
      </c>
      <c r="G39" s="17" t="n">
        <f aca="false">IF(Rankings!G44&lt;=3,1,0)</f>
        <v>1</v>
      </c>
      <c r="H39" s="17" t="n">
        <f aca="false">IF(Rankings!H44&lt;=3,1,0)</f>
        <v>1</v>
      </c>
      <c r="I39" s="17" t="n">
        <f aca="false">IF(Rankings!I44&lt;=3,1,0)</f>
        <v>0</v>
      </c>
      <c r="J39" s="17" t="n">
        <f aca="false">IF(Rankings!J44&lt;=3,1,0)</f>
        <v>0</v>
      </c>
      <c r="K39" s="20" t="n">
        <f aca="false">SUM(C39:J39)</f>
        <v>3</v>
      </c>
      <c r="L39" s="16" t="n">
        <f aca="false">SUMPRODUCT(C39:J39,Returns!B43:I43)/K39</f>
        <v>-0.0311297126143154</v>
      </c>
      <c r="M39" s="16" t="n">
        <v>0</v>
      </c>
      <c r="N39" s="16" t="n">
        <v>0</v>
      </c>
      <c r="O39" s="16" t="n">
        <f aca="false">L39+M39+N39</f>
        <v>-0.0311297126143154</v>
      </c>
      <c r="P39" s="21" t="n">
        <f aca="false">P38*(1+O39)</f>
        <v>1.40493038072944</v>
      </c>
      <c r="Q39" s="21" t="n">
        <f aca="false">MAX($P$5:P39)</f>
        <v>1.75366194502288</v>
      </c>
      <c r="R39" s="16" t="n">
        <f aca="false">P39/Q39-1</f>
        <v>-0.19885905905821</v>
      </c>
      <c r="S39" s="16" t="n">
        <f aca="false">O39-Benchmark_RF!D39</f>
        <v>-0.0365952993262632</v>
      </c>
    </row>
    <row r="40" customFormat="false" ht="15" hidden="false" customHeight="true" outlineLevel="0" collapsed="false">
      <c r="A40" s="1" t="n">
        <v>43</v>
      </c>
      <c r="B40" s="13" t="n">
        <f aca="false">Returns!A44</f>
        <v>43282</v>
      </c>
      <c r="C40" s="17" t="n">
        <f aca="false">IF(Rankings!C44&lt;=3,1,0)</f>
        <v>0</v>
      </c>
      <c r="D40" s="17" t="n">
        <f aca="false">IF(Rankings!D44&lt;=3,1,0)</f>
        <v>0</v>
      </c>
      <c r="E40" s="17" t="n">
        <f aca="false">IF(Rankings!E44&lt;=3,1,0)</f>
        <v>0</v>
      </c>
      <c r="F40" s="17" t="n">
        <f aca="false">IF(Rankings!F44&lt;=3,1,0)</f>
        <v>1</v>
      </c>
      <c r="G40" s="17" t="n">
        <f aca="false">IF(Rankings!G44&lt;=3,1,0)</f>
        <v>1</v>
      </c>
      <c r="H40" s="17" t="n">
        <f aca="false">IF(Rankings!H44&lt;=3,1,0)</f>
        <v>1</v>
      </c>
      <c r="I40" s="17" t="n">
        <f aca="false">IF(Rankings!I44&lt;=3,1,0)</f>
        <v>0</v>
      </c>
      <c r="J40" s="17" t="n">
        <f aca="false">IF(Rankings!J44&lt;=3,1,0)</f>
        <v>0</v>
      </c>
      <c r="K40" s="20" t="n">
        <f aca="false">SUM(C40:J40)</f>
        <v>3</v>
      </c>
      <c r="L40" s="16" t="n">
        <f aca="false">SUMPRODUCT(C40:J40,Returns!B44:I44)/K40</f>
        <v>0.0460671176279943</v>
      </c>
      <c r="M40" s="16" t="n">
        <v>0</v>
      </c>
      <c r="N40" s="16" t="n">
        <v>0</v>
      </c>
      <c r="O40" s="16" t="n">
        <f aca="false">L40+M40+N40</f>
        <v>0.0460671176279943</v>
      </c>
      <c r="P40" s="21" t="n">
        <f aca="false">P39*(1+O40)</f>
        <v>1.46965147383765</v>
      </c>
      <c r="Q40" s="21" t="n">
        <f aca="false">MAX($P$5:P40)</f>
        <v>1.75366194502288</v>
      </c>
      <c r="R40" s="16" t="n">
        <f aca="false">P40/Q40-1</f>
        <v>-0.161952805095243</v>
      </c>
      <c r="S40" s="16" t="n">
        <f aca="false">O40-Benchmark_RF!D40</f>
        <v>0.0398497738349442</v>
      </c>
    </row>
    <row r="41" customFormat="false" ht="15" hidden="false" customHeight="true" outlineLevel="0" collapsed="false">
      <c r="A41" s="1" t="n">
        <v>44</v>
      </c>
      <c r="B41" s="13" t="n">
        <f aca="false">Returns!A45</f>
        <v>43313</v>
      </c>
      <c r="C41" s="17" t="n">
        <f aca="false">IF(Rankings!C47&lt;=3,1,0)</f>
        <v>1</v>
      </c>
      <c r="D41" s="17" t="n">
        <f aca="false">IF(Rankings!D47&lt;=3,1,0)</f>
        <v>1</v>
      </c>
      <c r="E41" s="17" t="n">
        <f aca="false">IF(Rankings!E47&lt;=3,1,0)</f>
        <v>0</v>
      </c>
      <c r="F41" s="17" t="n">
        <f aca="false">IF(Rankings!F47&lt;=3,1,0)</f>
        <v>0</v>
      </c>
      <c r="G41" s="17" t="n">
        <f aca="false">IF(Rankings!G47&lt;=3,1,0)</f>
        <v>0</v>
      </c>
      <c r="H41" s="17" t="n">
        <f aca="false">IF(Rankings!H47&lt;=3,1,0)</f>
        <v>1</v>
      </c>
      <c r="I41" s="17" t="n">
        <f aca="false">IF(Rankings!I47&lt;=3,1,0)</f>
        <v>0</v>
      </c>
      <c r="J41" s="17" t="n">
        <f aca="false">IF(Rankings!J47&lt;=3,1,0)</f>
        <v>0</v>
      </c>
      <c r="K41" s="20" t="n">
        <f aca="false">SUM(C41:J41)</f>
        <v>3</v>
      </c>
      <c r="L41" s="16" t="n">
        <f aca="false">SUMPRODUCT(C41:J41,Returns!B45:I45)/K41</f>
        <v>0.0116891494674037</v>
      </c>
      <c r="M41" s="16" t="n">
        <f aca="false">-2*Assumptions!$B$13</f>
        <v>-0.007</v>
      </c>
      <c r="N41" s="16" t="n">
        <f aca="false">-Assumptions!$B$16*MAX(0,(1+O38)*(1+O39)*(1+O40)-1)</f>
        <v>-0</v>
      </c>
      <c r="O41" s="16" t="n">
        <f aca="false">L41+M41+N41</f>
        <v>0.00468914946740366</v>
      </c>
      <c r="P41" s="21" t="n">
        <f aca="false">P40*(1+O41)</f>
        <v>1.47654288926346</v>
      </c>
      <c r="Q41" s="21" t="n">
        <f aca="false">MAX($P$5:P41)</f>
        <v>1.75366194502288</v>
      </c>
      <c r="R41" s="16" t="n">
        <f aca="false">P41/Q41-1</f>
        <v>-0.158023076537596</v>
      </c>
      <c r="S41" s="16" t="n">
        <f aca="false">O41-Benchmark_RF!D41</f>
        <v>-0.00155053199388207</v>
      </c>
    </row>
    <row r="42" customFormat="false" ht="15" hidden="false" customHeight="true" outlineLevel="0" collapsed="false">
      <c r="A42" s="1" t="n">
        <v>45</v>
      </c>
      <c r="B42" s="13" t="n">
        <f aca="false">Returns!A46</f>
        <v>43344</v>
      </c>
      <c r="C42" s="17" t="n">
        <f aca="false">IF(Rankings!C47&lt;=3,1,0)</f>
        <v>1</v>
      </c>
      <c r="D42" s="17" t="n">
        <f aca="false">IF(Rankings!D47&lt;=3,1,0)</f>
        <v>1</v>
      </c>
      <c r="E42" s="17" t="n">
        <f aca="false">IF(Rankings!E47&lt;=3,1,0)</f>
        <v>0</v>
      </c>
      <c r="F42" s="17" t="n">
        <f aca="false">IF(Rankings!F47&lt;=3,1,0)</f>
        <v>0</v>
      </c>
      <c r="G42" s="17" t="n">
        <f aca="false">IF(Rankings!G47&lt;=3,1,0)</f>
        <v>0</v>
      </c>
      <c r="H42" s="17" t="n">
        <f aca="false">IF(Rankings!H47&lt;=3,1,0)</f>
        <v>1</v>
      </c>
      <c r="I42" s="17" t="n">
        <f aca="false">IF(Rankings!I47&lt;=3,1,0)</f>
        <v>0</v>
      </c>
      <c r="J42" s="17" t="n">
        <f aca="false">IF(Rankings!J47&lt;=3,1,0)</f>
        <v>0</v>
      </c>
      <c r="K42" s="20" t="n">
        <f aca="false">SUM(C42:J42)</f>
        <v>3</v>
      </c>
      <c r="L42" s="16" t="n">
        <f aca="false">SUMPRODUCT(C42:J42,Returns!B46:I46)/K42</f>
        <v>0.0170046286093908</v>
      </c>
      <c r="M42" s="16" t="n">
        <v>0</v>
      </c>
      <c r="N42" s="16" t="n">
        <v>0</v>
      </c>
      <c r="O42" s="16" t="n">
        <f aca="false">L42+M42+N42</f>
        <v>0.0170046286093908</v>
      </c>
      <c r="P42" s="21" t="n">
        <f aca="false">P41*(1+O42)</f>
        <v>1.50165095272122</v>
      </c>
      <c r="Q42" s="21" t="n">
        <f aca="false">MAX($P$5:P42)</f>
        <v>1.75366194502288</v>
      </c>
      <c r="R42" s="16" t="n">
        <f aca="false">P42/Q42-1</f>
        <v>-0.14370557165644</v>
      </c>
      <c r="S42" s="16" t="n">
        <f aca="false">O42-Benchmark_RF!D42</f>
        <v>0.0107649471481051</v>
      </c>
    </row>
    <row r="43" customFormat="false" ht="15" hidden="false" customHeight="true" outlineLevel="0" collapsed="false">
      <c r="A43" s="1" t="n">
        <v>46</v>
      </c>
      <c r="B43" s="13" t="n">
        <f aca="false">Returns!A47</f>
        <v>43374</v>
      </c>
      <c r="C43" s="17" t="n">
        <f aca="false">IF(Rankings!C47&lt;=3,1,0)</f>
        <v>1</v>
      </c>
      <c r="D43" s="17" t="n">
        <f aca="false">IF(Rankings!D47&lt;=3,1,0)</f>
        <v>1</v>
      </c>
      <c r="E43" s="17" t="n">
        <f aca="false">IF(Rankings!E47&lt;=3,1,0)</f>
        <v>0</v>
      </c>
      <c r="F43" s="17" t="n">
        <f aca="false">IF(Rankings!F47&lt;=3,1,0)</f>
        <v>0</v>
      </c>
      <c r="G43" s="17" t="n">
        <f aca="false">IF(Rankings!G47&lt;=3,1,0)</f>
        <v>0</v>
      </c>
      <c r="H43" s="17" t="n">
        <f aca="false">IF(Rankings!H47&lt;=3,1,0)</f>
        <v>1</v>
      </c>
      <c r="I43" s="17" t="n">
        <f aca="false">IF(Rankings!I47&lt;=3,1,0)</f>
        <v>0</v>
      </c>
      <c r="J43" s="17" t="n">
        <f aca="false">IF(Rankings!J47&lt;=3,1,0)</f>
        <v>0</v>
      </c>
      <c r="K43" s="20" t="n">
        <f aca="false">SUM(C43:J43)</f>
        <v>3</v>
      </c>
      <c r="L43" s="16" t="n">
        <f aca="false">SUMPRODUCT(C43:J43,Returns!B47:I47)/K43</f>
        <v>0.0542865642524783</v>
      </c>
      <c r="M43" s="16" t="n">
        <v>0</v>
      </c>
      <c r="N43" s="16" t="n">
        <v>0</v>
      </c>
      <c r="O43" s="16" t="n">
        <f aca="false">L43+M43+N43</f>
        <v>0.0542865642524783</v>
      </c>
      <c r="P43" s="21" t="n">
        <f aca="false">P42*(1+O43)</f>
        <v>1.58317042365092</v>
      </c>
      <c r="Q43" s="21" t="n">
        <f aca="false">MAX($P$5:P43)</f>
        <v>1.75366194502288</v>
      </c>
      <c r="R43" s="16" t="n">
        <f aca="false">P43/Q43-1</f>
        <v>-0.0972202891531283</v>
      </c>
      <c r="S43" s="16" t="n">
        <f aca="false">O43-Benchmark_RF!D43</f>
        <v>0.0472396258567404</v>
      </c>
    </row>
    <row r="44" customFormat="false" ht="15" hidden="false" customHeight="true" outlineLevel="0" collapsed="false">
      <c r="A44" s="1" t="n">
        <v>47</v>
      </c>
      <c r="B44" s="13" t="n">
        <f aca="false">Returns!A48</f>
        <v>43405</v>
      </c>
      <c r="C44" s="17" t="n">
        <f aca="false">IF(Rankings!C50&lt;=3,1,0)</f>
        <v>1</v>
      </c>
      <c r="D44" s="17" t="n">
        <f aca="false">IF(Rankings!D50&lt;=3,1,0)</f>
        <v>1</v>
      </c>
      <c r="E44" s="17" t="n">
        <f aca="false">IF(Rankings!E50&lt;=3,1,0)</f>
        <v>0</v>
      </c>
      <c r="F44" s="17" t="n">
        <f aca="false">IF(Rankings!F50&lt;=3,1,0)</f>
        <v>0</v>
      </c>
      <c r="G44" s="17" t="n">
        <f aca="false">IF(Rankings!G50&lt;=3,1,0)</f>
        <v>0</v>
      </c>
      <c r="H44" s="17" t="n">
        <f aca="false">IF(Rankings!H50&lt;=3,1,0)</f>
        <v>1</v>
      </c>
      <c r="I44" s="17" t="n">
        <f aca="false">IF(Rankings!I50&lt;=3,1,0)</f>
        <v>0</v>
      </c>
      <c r="J44" s="17" t="n">
        <f aca="false">IF(Rankings!J50&lt;=3,1,0)</f>
        <v>0</v>
      </c>
      <c r="K44" s="20" t="n">
        <f aca="false">SUM(C44:J44)</f>
        <v>3</v>
      </c>
      <c r="L44" s="16" t="n">
        <f aca="false">SUMPRODUCT(C44:J44,Returns!B48:I48)/K44</f>
        <v>-0.0262971075382217</v>
      </c>
      <c r="M44" s="16" t="n">
        <f aca="false">-2*Assumptions!$B$13</f>
        <v>-0.007</v>
      </c>
      <c r="N44" s="16" t="n">
        <f aca="false">-Assumptions!$B$16*MAX(0,(1+O41)*(1+O42)*(1+O43)-1)</f>
        <v>-0.0115863133369484</v>
      </c>
      <c r="O44" s="16" t="n">
        <f aca="false">L44+M44+N44</f>
        <v>-0.0448834208751701</v>
      </c>
      <c r="P44" s="21" t="n">
        <f aca="false">P43*(1+O44)</f>
        <v>1.51211231920908</v>
      </c>
      <c r="Q44" s="21" t="n">
        <f aca="false">MAX($P$5:P44)</f>
        <v>1.75366194502288</v>
      </c>
      <c r="R44" s="16" t="n">
        <f aca="false">P44/Q44-1</f>
        <v>-0.137740130872633</v>
      </c>
      <c r="S44" s="16" t="n">
        <f aca="false">O44-Benchmark_RF!D44</f>
        <v>-0.0519351417408787</v>
      </c>
    </row>
    <row r="45" customFormat="false" ht="15" hidden="false" customHeight="true" outlineLevel="0" collapsed="false">
      <c r="A45" s="1" t="n">
        <v>48</v>
      </c>
      <c r="B45" s="13" t="n">
        <f aca="false">Returns!A49</f>
        <v>43435</v>
      </c>
      <c r="C45" s="17" t="n">
        <f aca="false">IF(Rankings!C50&lt;=3,1,0)</f>
        <v>1</v>
      </c>
      <c r="D45" s="17" t="n">
        <f aca="false">IF(Rankings!D50&lt;=3,1,0)</f>
        <v>1</v>
      </c>
      <c r="E45" s="17" t="n">
        <f aca="false">IF(Rankings!E50&lt;=3,1,0)</f>
        <v>0</v>
      </c>
      <c r="F45" s="17" t="n">
        <f aca="false">IF(Rankings!F50&lt;=3,1,0)</f>
        <v>0</v>
      </c>
      <c r="G45" s="17" t="n">
        <f aca="false">IF(Rankings!G50&lt;=3,1,0)</f>
        <v>0</v>
      </c>
      <c r="H45" s="17" t="n">
        <f aca="false">IF(Rankings!H50&lt;=3,1,0)</f>
        <v>1</v>
      </c>
      <c r="I45" s="17" t="n">
        <f aca="false">IF(Rankings!I50&lt;=3,1,0)</f>
        <v>0</v>
      </c>
      <c r="J45" s="17" t="n">
        <f aca="false">IF(Rankings!J50&lt;=3,1,0)</f>
        <v>0</v>
      </c>
      <c r="K45" s="20" t="n">
        <f aca="false">SUM(C45:J45)</f>
        <v>3</v>
      </c>
      <c r="L45" s="16" t="n">
        <f aca="false">SUMPRODUCT(C45:J45,Returns!B49:I49)/K45</f>
        <v>-0.0899930474117492</v>
      </c>
      <c r="M45" s="16" t="n">
        <v>0</v>
      </c>
      <c r="N45" s="16" t="n">
        <v>0</v>
      </c>
      <c r="O45" s="16" t="n">
        <f aca="false">L45+M45+N45</f>
        <v>-0.0899930474117492</v>
      </c>
      <c r="P45" s="21" t="n">
        <f aca="false">P44*(1+O45)</f>
        <v>1.3760327235746</v>
      </c>
      <c r="Q45" s="21" t="n">
        <f aca="false">MAX($P$5:P45)</f>
        <v>1.75366194502288</v>
      </c>
      <c r="R45" s="16" t="n">
        <f aca="false">P45/Q45-1</f>
        <v>-0.215337524156261</v>
      </c>
      <c r="S45" s="16" t="n">
        <f aca="false">O45-Benchmark_RF!D45</f>
        <v>-0.0981933971544474</v>
      </c>
    </row>
    <row r="46" customFormat="false" ht="15" hidden="false" customHeight="true" outlineLevel="0" collapsed="false">
      <c r="A46" s="1" t="n">
        <v>49</v>
      </c>
      <c r="B46" s="13" t="n">
        <f aca="false">Returns!A50</f>
        <v>43466</v>
      </c>
      <c r="C46" s="17" t="n">
        <f aca="false">IF(Rankings!C50&lt;=3,1,0)</f>
        <v>1</v>
      </c>
      <c r="D46" s="17" t="n">
        <f aca="false">IF(Rankings!D50&lt;=3,1,0)</f>
        <v>1</v>
      </c>
      <c r="E46" s="17" t="n">
        <f aca="false">IF(Rankings!E50&lt;=3,1,0)</f>
        <v>0</v>
      </c>
      <c r="F46" s="17" t="n">
        <f aca="false">IF(Rankings!F50&lt;=3,1,0)</f>
        <v>0</v>
      </c>
      <c r="G46" s="17" t="n">
        <f aca="false">IF(Rankings!G50&lt;=3,1,0)</f>
        <v>0</v>
      </c>
      <c r="H46" s="17" t="n">
        <f aca="false">IF(Rankings!H50&lt;=3,1,0)</f>
        <v>1</v>
      </c>
      <c r="I46" s="17" t="n">
        <f aca="false">IF(Rankings!I50&lt;=3,1,0)</f>
        <v>0</v>
      </c>
      <c r="J46" s="17" t="n">
        <f aca="false">IF(Rankings!J50&lt;=3,1,0)</f>
        <v>0</v>
      </c>
      <c r="K46" s="20" t="n">
        <f aca="false">SUM(C46:J46)</f>
        <v>3</v>
      </c>
      <c r="L46" s="16" t="n">
        <f aca="false">SUMPRODUCT(C46:J46,Returns!B50:I50)/K46</f>
        <v>0.107967541715683</v>
      </c>
      <c r="M46" s="16" t="n">
        <v>0</v>
      </c>
      <c r="N46" s="16" t="n">
        <v>0</v>
      </c>
      <c r="O46" s="16" t="n">
        <f aca="false">L46+M46+N46</f>
        <v>0.107967541715683</v>
      </c>
      <c r="P46" s="21" t="n">
        <f aca="false">P45*(1+O46)</f>
        <v>1.52459959405929</v>
      </c>
      <c r="Q46" s="21" t="n">
        <f aca="false">MAX($P$5:P46)</f>
        <v>1.75366194502288</v>
      </c>
      <c r="R46" s="16" t="n">
        <f aca="false">P46/Q46-1</f>
        <v>-0.130619445562871</v>
      </c>
      <c r="S46" s="16" t="n">
        <f aca="false">O46-Benchmark_RF!D46</f>
        <v>0.0997638404036472</v>
      </c>
    </row>
    <row r="47" customFormat="false" ht="15" hidden="false" customHeight="true" outlineLevel="0" collapsed="false">
      <c r="A47" s="1" t="n">
        <v>50</v>
      </c>
      <c r="B47" s="13" t="n">
        <f aca="false">Returns!A51</f>
        <v>43497</v>
      </c>
      <c r="C47" s="17" t="n">
        <f aca="false">IF(Rankings!C53&lt;=3,1,0)</f>
        <v>1</v>
      </c>
      <c r="D47" s="17" t="n">
        <f aca="false">IF(Rankings!D53&lt;=3,1,0)</f>
        <v>0</v>
      </c>
      <c r="E47" s="17" t="n">
        <f aca="false">IF(Rankings!E53&lt;=3,1,0)</f>
        <v>1</v>
      </c>
      <c r="F47" s="17" t="n">
        <f aca="false">IF(Rankings!F53&lt;=3,1,0)</f>
        <v>0</v>
      </c>
      <c r="G47" s="17" t="n">
        <f aca="false">IF(Rankings!G53&lt;=3,1,0)</f>
        <v>1</v>
      </c>
      <c r="H47" s="17" t="n">
        <f aca="false">IF(Rankings!H53&lt;=3,1,0)</f>
        <v>0</v>
      </c>
      <c r="I47" s="17" t="n">
        <f aca="false">IF(Rankings!I53&lt;=3,1,0)</f>
        <v>0</v>
      </c>
      <c r="J47" s="17" t="n">
        <f aca="false">IF(Rankings!J53&lt;=3,1,0)</f>
        <v>0</v>
      </c>
      <c r="K47" s="20" t="n">
        <f aca="false">SUM(C47:J47)</f>
        <v>3</v>
      </c>
      <c r="L47" s="16" t="n">
        <f aca="false">SUMPRODUCT(C47:J47,Returns!B51:I51)/K47</f>
        <v>-0.0142734010957963</v>
      </c>
      <c r="M47" s="16" t="n">
        <f aca="false">-2*Assumptions!$B$13</f>
        <v>-0.007</v>
      </c>
      <c r="N47" s="16" t="n">
        <f aca="false">-Assumptions!$B$16*MAX(0,(1+O44)*(1+O45)*(1+O46)-1)</f>
        <v>-0</v>
      </c>
      <c r="O47" s="16" t="n">
        <f aca="false">L47+M47+N47</f>
        <v>-0.0212734010957963</v>
      </c>
      <c r="P47" s="21" t="n">
        <f aca="false">P46*(1+O47)</f>
        <v>1.49216617538438</v>
      </c>
      <c r="Q47" s="21" t="n">
        <f aca="false">MAX($P$5:P47)</f>
        <v>1.75366194502288</v>
      </c>
      <c r="R47" s="16" t="n">
        <f aca="false">P47/Q47-1</f>
        <v>-0.149114126802297</v>
      </c>
      <c r="S47" s="16" t="n">
        <f aca="false">O47-Benchmark_RF!D47</f>
        <v>-0.0296664193111427</v>
      </c>
    </row>
    <row r="48" customFormat="false" ht="15" hidden="false" customHeight="true" outlineLevel="0" collapsed="false">
      <c r="A48" s="1" t="n">
        <v>51</v>
      </c>
      <c r="B48" s="13" t="n">
        <f aca="false">Returns!A52</f>
        <v>43525</v>
      </c>
      <c r="C48" s="17" t="n">
        <f aca="false">IF(Rankings!C53&lt;=3,1,0)</f>
        <v>1</v>
      </c>
      <c r="D48" s="17" t="n">
        <f aca="false">IF(Rankings!D53&lt;=3,1,0)</f>
        <v>0</v>
      </c>
      <c r="E48" s="17" t="n">
        <f aca="false">IF(Rankings!E53&lt;=3,1,0)</f>
        <v>1</v>
      </c>
      <c r="F48" s="17" t="n">
        <f aca="false">IF(Rankings!F53&lt;=3,1,0)</f>
        <v>0</v>
      </c>
      <c r="G48" s="17" t="n">
        <f aca="false">IF(Rankings!G53&lt;=3,1,0)</f>
        <v>1</v>
      </c>
      <c r="H48" s="17" t="n">
        <f aca="false">IF(Rankings!H53&lt;=3,1,0)</f>
        <v>0</v>
      </c>
      <c r="I48" s="17" t="n">
        <f aca="false">IF(Rankings!I53&lt;=3,1,0)</f>
        <v>0</v>
      </c>
      <c r="J48" s="17" t="n">
        <f aca="false">IF(Rankings!J53&lt;=3,1,0)</f>
        <v>0</v>
      </c>
      <c r="K48" s="20" t="n">
        <f aca="false">SUM(C48:J48)</f>
        <v>3</v>
      </c>
      <c r="L48" s="16" t="n">
        <f aca="false">SUMPRODUCT(C48:J48,Returns!B52:I52)/K48</f>
        <v>-0.0405339738614489</v>
      </c>
      <c r="M48" s="16" t="n">
        <v>0</v>
      </c>
      <c r="N48" s="16" t="n">
        <v>0</v>
      </c>
      <c r="O48" s="16" t="n">
        <f aca="false">L48+M48+N48</f>
        <v>-0.0405339738614489</v>
      </c>
      <c r="P48" s="21" t="n">
        <f aca="false">P47*(1+O48)</f>
        <v>1.43168275063441</v>
      </c>
      <c r="Q48" s="21" t="n">
        <f aca="false">MAX($P$5:P48)</f>
        <v>1.75366194502288</v>
      </c>
      <c r="R48" s="16" t="n">
        <f aca="false">P48/Q48-1</f>
        <v>-0.183603912545569</v>
      </c>
      <c r="S48" s="16" t="n">
        <f aca="false">O48-Benchmark_RF!D48</f>
        <v>-0.0489216709786779</v>
      </c>
    </row>
    <row r="49" customFormat="false" ht="15" hidden="false" customHeight="true" outlineLevel="0" collapsed="false">
      <c r="A49" s="1" t="n">
        <v>52</v>
      </c>
      <c r="B49" s="13" t="n">
        <f aca="false">Returns!A53</f>
        <v>43556</v>
      </c>
      <c r="C49" s="17" t="n">
        <f aca="false">IF(Rankings!C53&lt;=3,1,0)</f>
        <v>1</v>
      </c>
      <c r="D49" s="17" t="n">
        <f aca="false">IF(Rankings!D53&lt;=3,1,0)</f>
        <v>0</v>
      </c>
      <c r="E49" s="17" t="n">
        <f aca="false">IF(Rankings!E53&lt;=3,1,0)</f>
        <v>1</v>
      </c>
      <c r="F49" s="17" t="n">
        <f aca="false">IF(Rankings!F53&lt;=3,1,0)</f>
        <v>0</v>
      </c>
      <c r="G49" s="17" t="n">
        <f aca="false">IF(Rankings!G53&lt;=3,1,0)</f>
        <v>1</v>
      </c>
      <c r="H49" s="17" t="n">
        <f aca="false">IF(Rankings!H53&lt;=3,1,0)</f>
        <v>0</v>
      </c>
      <c r="I49" s="17" t="n">
        <f aca="false">IF(Rankings!I53&lt;=3,1,0)</f>
        <v>0</v>
      </c>
      <c r="J49" s="17" t="n">
        <f aca="false">IF(Rankings!J53&lt;=3,1,0)</f>
        <v>0</v>
      </c>
      <c r="K49" s="20" t="n">
        <f aca="false">SUM(C49:J49)</f>
        <v>3</v>
      </c>
      <c r="L49" s="16" t="n">
        <f aca="false">SUMPRODUCT(C49:J49,Returns!B53:I53)/K49</f>
        <v>-0.0589410990776432</v>
      </c>
      <c r="M49" s="16" t="n">
        <v>0</v>
      </c>
      <c r="N49" s="16" t="n">
        <v>0</v>
      </c>
      <c r="O49" s="16" t="n">
        <f aca="false">L49+M49+N49</f>
        <v>-0.0589410990776432</v>
      </c>
      <c r="P49" s="21" t="n">
        <f aca="false">P48*(1+O49)</f>
        <v>1.34729779578151</v>
      </c>
      <c r="Q49" s="21" t="n">
        <f aca="false">MAX($P$5:P49)</f>
        <v>1.75366194502288</v>
      </c>
      <c r="R49" s="16" t="n">
        <f aca="false">P49/Q49-1</f>
        <v>-0.231723195222821</v>
      </c>
      <c r="S49" s="16" t="n">
        <f aca="false">O49-Benchmark_RF!D49</f>
        <v>-0.0676380469547503</v>
      </c>
    </row>
    <row r="50" customFormat="false" ht="15" hidden="false" customHeight="true" outlineLevel="0" collapsed="false">
      <c r="A50" s="1" t="n">
        <v>53</v>
      </c>
      <c r="B50" s="13" t="n">
        <f aca="false">Returns!A54</f>
        <v>43586</v>
      </c>
      <c r="C50" s="17" t="n">
        <f aca="false">IF(Rankings!C56&lt;=3,1,0)</f>
        <v>1</v>
      </c>
      <c r="D50" s="17" t="n">
        <f aca="false">IF(Rankings!D56&lt;=3,1,0)</f>
        <v>0</v>
      </c>
      <c r="E50" s="17" t="n">
        <f aca="false">IF(Rankings!E56&lt;=3,1,0)</f>
        <v>1</v>
      </c>
      <c r="F50" s="17" t="n">
        <f aca="false">IF(Rankings!F56&lt;=3,1,0)</f>
        <v>0</v>
      </c>
      <c r="G50" s="17" t="n">
        <f aca="false">IF(Rankings!G56&lt;=3,1,0)</f>
        <v>1</v>
      </c>
      <c r="H50" s="17" t="n">
        <f aca="false">IF(Rankings!H56&lt;=3,1,0)</f>
        <v>0</v>
      </c>
      <c r="I50" s="17" t="n">
        <f aca="false">IF(Rankings!I56&lt;=3,1,0)</f>
        <v>0</v>
      </c>
      <c r="J50" s="17" t="n">
        <f aca="false">IF(Rankings!J56&lt;=3,1,0)</f>
        <v>0</v>
      </c>
      <c r="K50" s="20" t="n">
        <f aca="false">SUM(C50:J50)</f>
        <v>3</v>
      </c>
      <c r="L50" s="16" t="n">
        <f aca="false">SUMPRODUCT(C50:J50,Returns!B54:I54)/K50</f>
        <v>0.0214041835410681</v>
      </c>
      <c r="M50" s="16" t="n">
        <f aca="false">-2*Assumptions!$B$13</f>
        <v>-0.007</v>
      </c>
      <c r="N50" s="16" t="n">
        <f aca="false">-Assumptions!$B$16*MAX(0,(1+O47)*(1+O48)*(1+O49)-1)</f>
        <v>-0</v>
      </c>
      <c r="O50" s="16" t="n">
        <f aca="false">L50+M50+N50</f>
        <v>0.0144041835410681</v>
      </c>
      <c r="P50" s="21" t="n">
        <f aca="false">P49*(1+O50)</f>
        <v>1.36670452051643</v>
      </c>
      <c r="Q50" s="21" t="n">
        <f aca="false">MAX($P$5:P50)</f>
        <v>1.75366194502288</v>
      </c>
      <c r="R50" s="16" t="n">
        <f aca="false">P50/Q50-1</f>
        <v>-0.220656795116465</v>
      </c>
      <c r="S50" s="16" t="n">
        <f aca="false">O50-Benchmark_RF!D50</f>
        <v>0.00448474086840005</v>
      </c>
    </row>
    <row r="51" customFormat="false" ht="15" hidden="false" customHeight="true" outlineLevel="0" collapsed="false">
      <c r="A51" s="1" t="n">
        <v>54</v>
      </c>
      <c r="B51" s="13" t="n">
        <f aca="false">Returns!A55</f>
        <v>43617</v>
      </c>
      <c r="C51" s="17" t="n">
        <f aca="false">IF(Rankings!C56&lt;=3,1,0)</f>
        <v>1</v>
      </c>
      <c r="D51" s="17" t="n">
        <f aca="false">IF(Rankings!D56&lt;=3,1,0)</f>
        <v>0</v>
      </c>
      <c r="E51" s="17" t="n">
        <f aca="false">IF(Rankings!E56&lt;=3,1,0)</f>
        <v>1</v>
      </c>
      <c r="F51" s="17" t="n">
        <f aca="false">IF(Rankings!F56&lt;=3,1,0)</f>
        <v>0</v>
      </c>
      <c r="G51" s="17" t="n">
        <f aca="false">IF(Rankings!G56&lt;=3,1,0)</f>
        <v>1</v>
      </c>
      <c r="H51" s="17" t="n">
        <f aca="false">IF(Rankings!H56&lt;=3,1,0)</f>
        <v>0</v>
      </c>
      <c r="I51" s="17" t="n">
        <f aca="false">IF(Rankings!I56&lt;=3,1,0)</f>
        <v>0</v>
      </c>
      <c r="J51" s="17" t="n">
        <f aca="false">IF(Rankings!J56&lt;=3,1,0)</f>
        <v>0</v>
      </c>
      <c r="K51" s="20" t="n">
        <f aca="false">SUM(C51:J51)</f>
        <v>3</v>
      </c>
      <c r="L51" s="16" t="n">
        <f aca="false">SUMPRODUCT(C51:J51,Returns!B55:I55)/K51</f>
        <v>-0.0744303010910337</v>
      </c>
      <c r="M51" s="16" t="n">
        <v>0</v>
      </c>
      <c r="N51" s="16" t="n">
        <v>0</v>
      </c>
      <c r="O51" s="16" t="n">
        <f aca="false">L51+M51+N51</f>
        <v>-0.0744303010910337</v>
      </c>
      <c r="P51" s="21" t="n">
        <f aca="false">P50*(1+O51)</f>
        <v>1.26498029155191</v>
      </c>
      <c r="Q51" s="21" t="n">
        <f aca="false">MAX($P$5:P51)</f>
        <v>1.75366194502288</v>
      </c>
      <c r="R51" s="16" t="n">
        <f aca="false">P51/Q51-1</f>
        <v>-0.278663544509198</v>
      </c>
      <c r="S51" s="16" t="n">
        <f aca="false">O51-Benchmark_RF!D51</f>
        <v>-0.0844718191179204</v>
      </c>
    </row>
    <row r="52" customFormat="false" ht="15" hidden="false" customHeight="true" outlineLevel="0" collapsed="false">
      <c r="A52" s="1" t="n">
        <v>55</v>
      </c>
      <c r="B52" s="13" t="n">
        <f aca="false">Returns!A56</f>
        <v>43647</v>
      </c>
      <c r="C52" s="17" t="n">
        <f aca="false">IF(Rankings!C56&lt;=3,1,0)</f>
        <v>1</v>
      </c>
      <c r="D52" s="17" t="n">
        <f aca="false">IF(Rankings!D56&lt;=3,1,0)</f>
        <v>0</v>
      </c>
      <c r="E52" s="17" t="n">
        <f aca="false">IF(Rankings!E56&lt;=3,1,0)</f>
        <v>1</v>
      </c>
      <c r="F52" s="17" t="n">
        <f aca="false">IF(Rankings!F56&lt;=3,1,0)</f>
        <v>0</v>
      </c>
      <c r="G52" s="17" t="n">
        <f aca="false">IF(Rankings!G56&lt;=3,1,0)</f>
        <v>1</v>
      </c>
      <c r="H52" s="17" t="n">
        <f aca="false">IF(Rankings!H56&lt;=3,1,0)</f>
        <v>0</v>
      </c>
      <c r="I52" s="17" t="n">
        <f aca="false">IF(Rankings!I56&lt;=3,1,0)</f>
        <v>0</v>
      </c>
      <c r="J52" s="17" t="n">
        <f aca="false">IF(Rankings!J56&lt;=3,1,0)</f>
        <v>0</v>
      </c>
      <c r="K52" s="20" t="n">
        <f aca="false">SUM(C52:J52)</f>
        <v>3</v>
      </c>
      <c r="L52" s="16" t="n">
        <f aca="false">SUMPRODUCT(C52:J52,Returns!B56:I56)/K52</f>
        <v>-0.00844042855070311</v>
      </c>
      <c r="M52" s="16" t="n">
        <v>0</v>
      </c>
      <c r="N52" s="16" t="n">
        <v>0</v>
      </c>
      <c r="O52" s="16" t="n">
        <f aca="false">L52+M52+N52</f>
        <v>-0.00844042855070311</v>
      </c>
      <c r="P52" s="21" t="n">
        <f aca="false">P51*(1+O52)</f>
        <v>1.25430331578302</v>
      </c>
      <c r="Q52" s="21" t="n">
        <f aca="false">MAX($P$5:P52)</f>
        <v>1.75366194502288</v>
      </c>
      <c r="R52" s="16" t="n">
        <f aca="false">P52/Q52-1</f>
        <v>-0.284751933322786</v>
      </c>
      <c r="S52" s="16" t="n">
        <f aca="false">O52-Benchmark_RF!D52</f>
        <v>-0.0192311553917177</v>
      </c>
    </row>
    <row r="53" customFormat="false" ht="15" hidden="false" customHeight="true" outlineLevel="0" collapsed="false">
      <c r="A53" s="1" t="n">
        <v>56</v>
      </c>
      <c r="B53" s="13" t="n">
        <f aca="false">Returns!A57</f>
        <v>43678</v>
      </c>
      <c r="C53" s="17" t="n">
        <f aca="false">IF(Rankings!C59&lt;=3,1,0)</f>
        <v>1</v>
      </c>
      <c r="D53" s="17" t="n">
        <f aca="false">IF(Rankings!D59&lt;=3,1,0)</f>
        <v>1</v>
      </c>
      <c r="E53" s="17" t="n">
        <f aca="false">IF(Rankings!E59&lt;=3,1,0)</f>
        <v>0</v>
      </c>
      <c r="F53" s="17" t="n">
        <f aca="false">IF(Rankings!F59&lt;=3,1,0)</f>
        <v>0</v>
      </c>
      <c r="G53" s="17" t="n">
        <f aca="false">IF(Rankings!G59&lt;=3,1,0)</f>
        <v>1</v>
      </c>
      <c r="H53" s="17" t="n">
        <f aca="false">IF(Rankings!H59&lt;=3,1,0)</f>
        <v>0</v>
      </c>
      <c r="I53" s="17" t="n">
        <f aca="false">IF(Rankings!I59&lt;=3,1,0)</f>
        <v>0</v>
      </c>
      <c r="J53" s="17" t="n">
        <f aca="false">IF(Rankings!J59&lt;=3,1,0)</f>
        <v>0</v>
      </c>
      <c r="K53" s="20" t="n">
        <f aca="false">SUM(C53:J53)</f>
        <v>3</v>
      </c>
      <c r="L53" s="16" t="n">
        <f aca="false">SUMPRODUCT(C53:J53,Returns!B57:I57)/K53</f>
        <v>-0.110651697808881</v>
      </c>
      <c r="M53" s="16" t="n">
        <f aca="false">-2*Assumptions!$B$13</f>
        <v>-0.007</v>
      </c>
      <c r="N53" s="16" t="n">
        <f aca="false">-Assumptions!$B$16*MAX(0,(1+O50)*(1+O51)*(1+O52)-1)</f>
        <v>-0</v>
      </c>
      <c r="O53" s="16" t="n">
        <f aca="false">L53+M53+N53</f>
        <v>-0.117651697808881</v>
      </c>
      <c r="P53" s="21" t="n">
        <f aca="false">P52*(1+O53)</f>
        <v>1.10673240111384</v>
      </c>
      <c r="Q53" s="21" t="n">
        <f aca="false">MAX($P$5:P53)</f>
        <v>1.75366194502288</v>
      </c>
      <c r="R53" s="16" t="n">
        <f aca="false">P53/Q53-1</f>
        <v>-0.36890208272188</v>
      </c>
      <c r="S53" s="16" t="n">
        <f aca="false">O53-Benchmark_RF!D53</f>
        <v>-0.12844486837967</v>
      </c>
    </row>
    <row r="54" customFormat="false" ht="15" hidden="false" customHeight="true" outlineLevel="0" collapsed="false">
      <c r="A54" s="1" t="n">
        <v>57</v>
      </c>
      <c r="B54" s="13" t="n">
        <f aca="false">Returns!A58</f>
        <v>43709</v>
      </c>
      <c r="C54" s="17" t="n">
        <f aca="false">IF(Rankings!C59&lt;=3,1,0)</f>
        <v>1</v>
      </c>
      <c r="D54" s="17" t="n">
        <f aca="false">IF(Rankings!D59&lt;=3,1,0)</f>
        <v>1</v>
      </c>
      <c r="E54" s="17" t="n">
        <f aca="false">IF(Rankings!E59&lt;=3,1,0)</f>
        <v>0</v>
      </c>
      <c r="F54" s="17" t="n">
        <f aca="false">IF(Rankings!F59&lt;=3,1,0)</f>
        <v>0</v>
      </c>
      <c r="G54" s="17" t="n">
        <f aca="false">IF(Rankings!G59&lt;=3,1,0)</f>
        <v>1</v>
      </c>
      <c r="H54" s="17" t="n">
        <f aca="false">IF(Rankings!H59&lt;=3,1,0)</f>
        <v>0</v>
      </c>
      <c r="I54" s="17" t="n">
        <f aca="false">IF(Rankings!I59&lt;=3,1,0)</f>
        <v>0</v>
      </c>
      <c r="J54" s="17" t="n">
        <f aca="false">IF(Rankings!J59&lt;=3,1,0)</f>
        <v>0</v>
      </c>
      <c r="K54" s="20" t="n">
        <f aca="false">SUM(C54:J54)</f>
        <v>3</v>
      </c>
      <c r="L54" s="16" t="n">
        <f aca="false">SUMPRODUCT(C54:J54,Returns!B58:I58)/K54</f>
        <v>0.0405322136370472</v>
      </c>
      <c r="M54" s="16" t="n">
        <v>0</v>
      </c>
      <c r="N54" s="16" t="n">
        <v>0</v>
      </c>
      <c r="O54" s="16" t="n">
        <f aca="false">L54+M54+N54</f>
        <v>0.0405322136370472</v>
      </c>
      <c r="P54" s="21" t="n">
        <f aca="false">P53*(1+O54)</f>
        <v>1.15159071523483</v>
      </c>
      <c r="Q54" s="21" t="n">
        <f aca="false">MAX($P$5:P54)</f>
        <v>1.75366194502288</v>
      </c>
      <c r="R54" s="16" t="n">
        <f aca="false">P54/Q54-1</f>
        <v>-0.343322287112867</v>
      </c>
      <c r="S54" s="16" t="n">
        <f aca="false">O54-Benchmark_RF!D54</f>
        <v>0.0297620759482867</v>
      </c>
    </row>
    <row r="55" customFormat="false" ht="15" hidden="false" customHeight="true" outlineLevel="0" collapsed="false">
      <c r="A55" s="1" t="n">
        <v>58</v>
      </c>
      <c r="B55" s="13" t="n">
        <f aca="false">Returns!A59</f>
        <v>43739</v>
      </c>
      <c r="C55" s="17" t="n">
        <f aca="false">IF(Rankings!C59&lt;=3,1,0)</f>
        <v>1</v>
      </c>
      <c r="D55" s="17" t="n">
        <f aca="false">IF(Rankings!D59&lt;=3,1,0)</f>
        <v>1</v>
      </c>
      <c r="E55" s="17" t="n">
        <f aca="false">IF(Rankings!E59&lt;=3,1,0)</f>
        <v>0</v>
      </c>
      <c r="F55" s="17" t="n">
        <f aca="false">IF(Rankings!F59&lt;=3,1,0)</f>
        <v>0</v>
      </c>
      <c r="G55" s="17" t="n">
        <f aca="false">IF(Rankings!G59&lt;=3,1,0)</f>
        <v>1</v>
      </c>
      <c r="H55" s="17" t="n">
        <f aca="false">IF(Rankings!H59&lt;=3,1,0)</f>
        <v>0</v>
      </c>
      <c r="I55" s="17" t="n">
        <f aca="false">IF(Rankings!I59&lt;=3,1,0)</f>
        <v>0</v>
      </c>
      <c r="J55" s="17" t="n">
        <f aca="false">IF(Rankings!J59&lt;=3,1,0)</f>
        <v>0</v>
      </c>
      <c r="K55" s="20" t="n">
        <f aca="false">SUM(C55:J55)</f>
        <v>3</v>
      </c>
      <c r="L55" s="16" t="n">
        <f aca="false">SUMPRODUCT(C55:J55,Returns!B59:I59)/K55</f>
        <v>0.0464683635840029</v>
      </c>
      <c r="M55" s="16" t="n">
        <v>0</v>
      </c>
      <c r="N55" s="16" t="n">
        <v>0</v>
      </c>
      <c r="O55" s="16" t="n">
        <f aca="false">L55+M55+N55</f>
        <v>0.0464683635840029</v>
      </c>
      <c r="P55" s="21" t="n">
        <f aca="false">P54*(1+O55)</f>
        <v>1.20510325129032</v>
      </c>
      <c r="Q55" s="21" t="n">
        <f aca="false">MAX($P$5:P55)</f>
        <v>1.75366194502288</v>
      </c>
      <c r="R55" s="16" t="n">
        <f aca="false">P55/Q55-1</f>
        <v>-0.312807548392916</v>
      </c>
      <c r="S55" s="16" t="n">
        <f aca="false">O55-Benchmark_RF!D55</f>
        <v>0.0360451573152227</v>
      </c>
    </row>
    <row r="56" customFormat="false" ht="15" hidden="false" customHeight="true" outlineLevel="0" collapsed="false">
      <c r="A56" s="1" t="n">
        <v>59</v>
      </c>
      <c r="B56" s="13" t="n">
        <f aca="false">Returns!A60</f>
        <v>43770</v>
      </c>
      <c r="C56" s="17" t="n">
        <f aca="false">IF(Rankings!C62&lt;=3,1,0)</f>
        <v>0</v>
      </c>
      <c r="D56" s="17" t="n">
        <f aca="false">IF(Rankings!D62&lt;=3,1,0)</f>
        <v>1</v>
      </c>
      <c r="E56" s="17" t="n">
        <f aca="false">IF(Rankings!E62&lt;=3,1,0)</f>
        <v>0</v>
      </c>
      <c r="F56" s="17" t="n">
        <f aca="false">IF(Rankings!F62&lt;=3,1,0)</f>
        <v>0</v>
      </c>
      <c r="G56" s="17" t="n">
        <f aca="false">IF(Rankings!G62&lt;=3,1,0)</f>
        <v>0</v>
      </c>
      <c r="H56" s="17" t="n">
        <f aca="false">IF(Rankings!H62&lt;=3,1,0)</f>
        <v>0</v>
      </c>
      <c r="I56" s="17" t="n">
        <f aca="false">IF(Rankings!I62&lt;=3,1,0)</f>
        <v>1</v>
      </c>
      <c r="J56" s="17" t="n">
        <f aca="false">IF(Rankings!J62&lt;=3,1,0)</f>
        <v>1</v>
      </c>
      <c r="K56" s="20" t="n">
        <f aca="false">SUM(C56:J56)</f>
        <v>3</v>
      </c>
      <c r="L56" s="16" t="n">
        <f aca="false">SUMPRODUCT(C56:J56,Returns!B60:I60)/K56</f>
        <v>0.0763057357461116</v>
      </c>
      <c r="M56" s="16" t="n">
        <f aca="false">-2*Assumptions!$B$13</f>
        <v>-0.007</v>
      </c>
      <c r="N56" s="16" t="n">
        <f aca="false">-Assumptions!$B$16*MAX(0,(1+O53)*(1+O54)*(1+O55)-1)</f>
        <v>-0</v>
      </c>
      <c r="O56" s="16" t="n">
        <f aca="false">L56+M56+N56</f>
        <v>0.0693057357461116</v>
      </c>
      <c r="P56" s="21" t="n">
        <f aca="false">P55*(1+O56)</f>
        <v>1.28862381877103</v>
      </c>
      <c r="Q56" s="21" t="n">
        <f aca="false">MAX($P$5:P56)</f>
        <v>1.75366194502288</v>
      </c>
      <c r="R56" s="16" t="n">
        <f aca="false">P56/Q56-1</f>
        <v>-0.265181169935113</v>
      </c>
      <c r="S56" s="16" t="n">
        <f aca="false">O56-Benchmark_RF!D56</f>
        <v>0.0587262296371552</v>
      </c>
    </row>
    <row r="57" customFormat="false" ht="15" hidden="false" customHeight="true" outlineLevel="0" collapsed="false">
      <c r="A57" s="1" t="n">
        <v>60</v>
      </c>
      <c r="B57" s="13" t="n">
        <f aca="false">Returns!A61</f>
        <v>43800</v>
      </c>
      <c r="C57" s="17" t="n">
        <f aca="false">IF(Rankings!C62&lt;=3,1,0)</f>
        <v>0</v>
      </c>
      <c r="D57" s="17" t="n">
        <f aca="false">IF(Rankings!D62&lt;=3,1,0)</f>
        <v>1</v>
      </c>
      <c r="E57" s="17" t="n">
        <f aca="false">IF(Rankings!E62&lt;=3,1,0)</f>
        <v>0</v>
      </c>
      <c r="F57" s="17" t="n">
        <f aca="false">IF(Rankings!F62&lt;=3,1,0)</f>
        <v>0</v>
      </c>
      <c r="G57" s="17" t="n">
        <f aca="false">IF(Rankings!G62&lt;=3,1,0)</f>
        <v>0</v>
      </c>
      <c r="H57" s="17" t="n">
        <f aca="false">IF(Rankings!H62&lt;=3,1,0)</f>
        <v>0</v>
      </c>
      <c r="I57" s="17" t="n">
        <f aca="false">IF(Rankings!I62&lt;=3,1,0)</f>
        <v>1</v>
      </c>
      <c r="J57" s="17" t="n">
        <f aca="false">IF(Rankings!J62&lt;=3,1,0)</f>
        <v>1</v>
      </c>
      <c r="K57" s="20" t="n">
        <f aca="false">SUM(C57:J57)</f>
        <v>3</v>
      </c>
      <c r="L57" s="16" t="n">
        <f aca="false">SUMPRODUCT(C57:J57,Returns!B61:I61)/K57</f>
        <v>0.123994966795242</v>
      </c>
      <c r="M57" s="16" t="n">
        <v>0</v>
      </c>
      <c r="N57" s="16" t="n">
        <v>0</v>
      </c>
      <c r="O57" s="16" t="n">
        <f aca="false">L57+M57+N57</f>
        <v>0.123994966795242</v>
      </c>
      <c r="P57" s="21" t="n">
        <f aca="false">P56*(1+O57)</f>
        <v>1.4484066863911</v>
      </c>
      <c r="Q57" s="21" t="n">
        <f aca="false">MAX($P$5:P57)</f>
        <v>1.75366194502288</v>
      </c>
      <c r="R57" s="16" t="n">
        <f aca="false">P57/Q57-1</f>
        <v>-0.1740673335007</v>
      </c>
      <c r="S57" s="16" t="n">
        <f aca="false">O57-Benchmark_RF!D57</f>
        <v>0.113426298005611</v>
      </c>
    </row>
    <row r="58" customFormat="false" ht="15" hidden="false" customHeight="true" outlineLevel="0" collapsed="false">
      <c r="A58" s="1" t="n">
        <v>61</v>
      </c>
      <c r="B58" s="13" t="n">
        <f aca="false">Returns!A62</f>
        <v>43831</v>
      </c>
      <c r="C58" s="17" t="n">
        <f aca="false">IF(Rankings!C62&lt;=3,1,0)</f>
        <v>0</v>
      </c>
      <c r="D58" s="17" t="n">
        <f aca="false">IF(Rankings!D62&lt;=3,1,0)</f>
        <v>1</v>
      </c>
      <c r="E58" s="17" t="n">
        <f aca="false">IF(Rankings!E62&lt;=3,1,0)</f>
        <v>0</v>
      </c>
      <c r="F58" s="17" t="n">
        <f aca="false">IF(Rankings!F62&lt;=3,1,0)</f>
        <v>0</v>
      </c>
      <c r="G58" s="17" t="n">
        <f aca="false">IF(Rankings!G62&lt;=3,1,0)</f>
        <v>0</v>
      </c>
      <c r="H58" s="17" t="n">
        <f aca="false">IF(Rankings!H62&lt;=3,1,0)</f>
        <v>0</v>
      </c>
      <c r="I58" s="17" t="n">
        <f aca="false">IF(Rankings!I62&lt;=3,1,0)</f>
        <v>1</v>
      </c>
      <c r="J58" s="17" t="n">
        <f aca="false">IF(Rankings!J62&lt;=3,1,0)</f>
        <v>1</v>
      </c>
      <c r="K58" s="20" t="n">
        <f aca="false">SUM(C58:J58)</f>
        <v>3</v>
      </c>
      <c r="L58" s="16" t="n">
        <f aca="false">SUMPRODUCT(C58:J58,Returns!B62:I62)/K58</f>
        <v>0.0323658913862267</v>
      </c>
      <c r="M58" s="16" t="n">
        <v>0</v>
      </c>
      <c r="N58" s="16" t="n">
        <v>0</v>
      </c>
      <c r="O58" s="16" t="n">
        <f aca="false">L58+M58+N58</f>
        <v>0.0323658913862267</v>
      </c>
      <c r="P58" s="21" t="n">
        <f aca="false">P57*(1+O58)</f>
        <v>1.49528565988592</v>
      </c>
      <c r="Q58" s="21" t="n">
        <f aca="false">MAX($P$5:P58)</f>
        <v>1.75366194502288</v>
      </c>
      <c r="R58" s="16" t="n">
        <f aca="false">P58/Q58-1</f>
        <v>-0.147335286524447</v>
      </c>
      <c r="S58" s="16" t="n">
        <f aca="false">O58-Benchmark_RF!D58</f>
        <v>0.0218400647906695</v>
      </c>
    </row>
    <row r="59" customFormat="false" ht="15" hidden="false" customHeight="true" outlineLevel="0" collapsed="false">
      <c r="A59" s="1" t="n">
        <v>62</v>
      </c>
      <c r="B59" s="13" t="n">
        <f aca="false">Returns!A63</f>
        <v>43862</v>
      </c>
      <c r="C59" s="17" t="n">
        <f aca="false">IF(Rankings!C65&lt;=3,1,0)</f>
        <v>1</v>
      </c>
      <c r="D59" s="17" t="n">
        <f aca="false">IF(Rankings!D65&lt;=3,1,0)</f>
        <v>0</v>
      </c>
      <c r="E59" s="17" t="n">
        <f aca="false">IF(Rankings!E65&lt;=3,1,0)</f>
        <v>0</v>
      </c>
      <c r="F59" s="17" t="n">
        <f aca="false">IF(Rankings!F65&lt;=3,1,0)</f>
        <v>0</v>
      </c>
      <c r="G59" s="17" t="n">
        <f aca="false">IF(Rankings!G65&lt;=3,1,0)</f>
        <v>0</v>
      </c>
      <c r="H59" s="17" t="n">
        <f aca="false">IF(Rankings!H65&lt;=3,1,0)</f>
        <v>0</v>
      </c>
      <c r="I59" s="17" t="n">
        <f aca="false">IF(Rankings!I65&lt;=3,1,0)</f>
        <v>1</v>
      </c>
      <c r="J59" s="17" t="n">
        <f aca="false">IF(Rankings!J65&lt;=3,1,0)</f>
        <v>1</v>
      </c>
      <c r="K59" s="20" t="n">
        <f aca="false">SUM(C59:J59)</f>
        <v>3</v>
      </c>
      <c r="L59" s="16" t="n">
        <f aca="false">SUMPRODUCT(C59:J59,Returns!B63:I63)/K59</f>
        <v>-0.056107091488582</v>
      </c>
      <c r="M59" s="16" t="n">
        <f aca="false">-2*Assumptions!$B$13</f>
        <v>-0.007</v>
      </c>
      <c r="N59" s="16" t="n">
        <f aca="false">-Assumptions!$B$16*MAX(0,(1+O56)*(1+O57)*(1+O58)-1)</f>
        <v>-0.0361191966271223</v>
      </c>
      <c r="O59" s="16" t="n">
        <f aca="false">L59+M59+N59</f>
        <v>-0.0992262881157043</v>
      </c>
      <c r="P59" s="21" t="n">
        <f aca="false">P58*(1+O59)</f>
        <v>1.3469140141828</v>
      </c>
      <c r="Q59" s="21" t="n">
        <f aca="false">MAX($P$5:P59)</f>
        <v>1.75366194502288</v>
      </c>
      <c r="R59" s="16" t="n">
        <f aca="false">P59/Q59-1</f>
        <v>-0.231942041049866</v>
      </c>
      <c r="S59" s="16" t="n">
        <f aca="false">O59-Benchmark_RF!D59</f>
        <v>-0.109746618772664</v>
      </c>
    </row>
    <row r="60" customFormat="false" ht="15" hidden="false" customHeight="true" outlineLevel="0" collapsed="false">
      <c r="A60" s="1" t="n">
        <v>63</v>
      </c>
      <c r="B60" s="13" t="n">
        <f aca="false">Returns!A64</f>
        <v>43891</v>
      </c>
      <c r="C60" s="17" t="n">
        <f aca="false">IF(Rankings!C65&lt;=3,1,0)</f>
        <v>1</v>
      </c>
      <c r="D60" s="17" t="n">
        <f aca="false">IF(Rankings!D65&lt;=3,1,0)</f>
        <v>0</v>
      </c>
      <c r="E60" s="17" t="n">
        <f aca="false">IF(Rankings!E65&lt;=3,1,0)</f>
        <v>0</v>
      </c>
      <c r="F60" s="17" t="n">
        <f aca="false">IF(Rankings!F65&lt;=3,1,0)</f>
        <v>0</v>
      </c>
      <c r="G60" s="17" t="n">
        <f aca="false">IF(Rankings!G65&lt;=3,1,0)</f>
        <v>0</v>
      </c>
      <c r="H60" s="17" t="n">
        <f aca="false">IF(Rankings!H65&lt;=3,1,0)</f>
        <v>0</v>
      </c>
      <c r="I60" s="17" t="n">
        <f aca="false">IF(Rankings!I65&lt;=3,1,0)</f>
        <v>1</v>
      </c>
      <c r="J60" s="17" t="n">
        <f aca="false">IF(Rankings!J65&lt;=3,1,0)</f>
        <v>1</v>
      </c>
      <c r="K60" s="20" t="n">
        <f aca="false">SUM(C60:J60)</f>
        <v>3</v>
      </c>
      <c r="L60" s="16" t="n">
        <f aca="false">SUMPRODUCT(C60:J60,Returns!B64:I64)/K60</f>
        <v>-0.347367357216145</v>
      </c>
      <c r="M60" s="16" t="n">
        <v>0</v>
      </c>
      <c r="N60" s="16" t="n">
        <v>0</v>
      </c>
      <c r="O60" s="16" t="n">
        <f aca="false">L60+M60+N60</f>
        <v>-0.347367357216145</v>
      </c>
      <c r="P60" s="21" t="n">
        <f aca="false">P59*(1+O60)</f>
        <v>0.87904005267873</v>
      </c>
      <c r="Q60" s="21" t="n">
        <f aca="false">MAX($P$5:P60)</f>
        <v>1.75366194502288</v>
      </c>
      <c r="R60" s="16" t="n">
        <f aca="false">P60/Q60-1</f>
        <v>-0.498740304439201</v>
      </c>
      <c r="S60" s="16" t="n">
        <f aca="false">O60-Benchmark_RF!D60</f>
        <v>-0.356266442246938</v>
      </c>
    </row>
    <row r="61" customFormat="false" ht="15" hidden="false" customHeight="true" outlineLevel="0" collapsed="false">
      <c r="A61" s="1" t="n">
        <v>64</v>
      </c>
      <c r="B61" s="13" t="n">
        <f aca="false">Returns!A65</f>
        <v>43922</v>
      </c>
      <c r="C61" s="17" t="n">
        <f aca="false">IF(Rankings!C65&lt;=3,1,0)</f>
        <v>1</v>
      </c>
      <c r="D61" s="17" t="n">
        <f aca="false">IF(Rankings!D65&lt;=3,1,0)</f>
        <v>0</v>
      </c>
      <c r="E61" s="17" t="n">
        <f aca="false">IF(Rankings!E65&lt;=3,1,0)</f>
        <v>0</v>
      </c>
      <c r="F61" s="17" t="n">
        <f aca="false">IF(Rankings!F65&lt;=3,1,0)</f>
        <v>0</v>
      </c>
      <c r="G61" s="17" t="n">
        <f aca="false">IF(Rankings!G65&lt;=3,1,0)</f>
        <v>0</v>
      </c>
      <c r="H61" s="17" t="n">
        <f aca="false">IF(Rankings!H65&lt;=3,1,0)</f>
        <v>0</v>
      </c>
      <c r="I61" s="17" t="n">
        <f aca="false">IF(Rankings!I65&lt;=3,1,0)</f>
        <v>1</v>
      </c>
      <c r="J61" s="17" t="n">
        <f aca="false">IF(Rankings!J65&lt;=3,1,0)</f>
        <v>1</v>
      </c>
      <c r="K61" s="20" t="n">
        <f aca="false">SUM(C61:J61)</f>
        <v>3</v>
      </c>
      <c r="L61" s="16" t="n">
        <f aca="false">SUMPRODUCT(C61:J61,Returns!B65:I65)/K61</f>
        <v>0.171863933709773</v>
      </c>
      <c r="M61" s="16" t="n">
        <v>0</v>
      </c>
      <c r="N61" s="16" t="n">
        <v>0</v>
      </c>
      <c r="O61" s="16" t="n">
        <f aca="false">L61+M61+N61</f>
        <v>0.171863933709773</v>
      </c>
      <c r="P61" s="21" t="n">
        <f aca="false">P60*(1+O61)</f>
        <v>1.03011533402054</v>
      </c>
      <c r="Q61" s="21" t="n">
        <f aca="false">MAX($P$5:P61)</f>
        <v>1.75366194502288</v>
      </c>
      <c r="R61" s="16" t="n">
        <f aca="false">P61/Q61-1</f>
        <v>-0.412591841349958</v>
      </c>
      <c r="S61" s="16" t="n">
        <f aca="false">O61-Benchmark_RF!D61</f>
        <v>0.165263868469413</v>
      </c>
    </row>
    <row r="62" customFormat="false" ht="15" hidden="false" customHeight="true" outlineLevel="0" collapsed="false">
      <c r="A62" s="1" t="n">
        <v>65</v>
      </c>
      <c r="B62" s="13" t="n">
        <f aca="false">Returns!A66</f>
        <v>43952</v>
      </c>
      <c r="C62" s="17" t="n">
        <f aca="false">IF(Rankings!C68&lt;=3,1,0)</f>
        <v>0</v>
      </c>
      <c r="D62" s="17" t="n">
        <f aca="false">IF(Rankings!D68&lt;=3,1,0)</f>
        <v>0</v>
      </c>
      <c r="E62" s="17" t="n">
        <f aca="false">IF(Rankings!E68&lt;=3,1,0)</f>
        <v>0</v>
      </c>
      <c r="F62" s="17" t="n">
        <f aca="false">IF(Rankings!F68&lt;=3,1,0)</f>
        <v>1</v>
      </c>
      <c r="G62" s="17" t="n">
        <f aca="false">IF(Rankings!G68&lt;=3,1,0)</f>
        <v>1</v>
      </c>
      <c r="H62" s="17" t="n">
        <f aca="false">IF(Rankings!H68&lt;=3,1,0)</f>
        <v>0</v>
      </c>
      <c r="I62" s="17" t="n">
        <f aca="false">IF(Rankings!I68&lt;=3,1,0)</f>
        <v>1</v>
      </c>
      <c r="J62" s="17" t="n">
        <f aca="false">IF(Rankings!J68&lt;=3,1,0)</f>
        <v>0</v>
      </c>
      <c r="K62" s="20" t="n">
        <f aca="false">SUM(C62:J62)</f>
        <v>3</v>
      </c>
      <c r="L62" s="16" t="n">
        <f aca="false">SUMPRODUCT(C62:J62,Returns!B66:I66)/K62</f>
        <v>0.0850311743792486</v>
      </c>
      <c r="M62" s="16" t="n">
        <f aca="false">-2*Assumptions!$B$13</f>
        <v>-0.007</v>
      </c>
      <c r="N62" s="16" t="n">
        <f aca="false">-Assumptions!$B$16*MAX(0,(1+O59)*(1+O60)*(1+O61)-1)</f>
        <v>-0</v>
      </c>
      <c r="O62" s="16" t="n">
        <f aca="false">L62+M62+N62</f>
        <v>0.0780311743792486</v>
      </c>
      <c r="P62" s="21" t="n">
        <f aca="false">P61*(1+O62)</f>
        <v>1.11049644328024</v>
      </c>
      <c r="Q62" s="21" t="n">
        <f aca="false">MAX($P$5:P62)</f>
        <v>1.75366194502288</v>
      </c>
      <c r="R62" s="16" t="n">
        <f aca="false">P62/Q62-1</f>
        <v>-0.366755692890544</v>
      </c>
      <c r="S62" s="16" t="n">
        <f aca="false">O62-Benchmark_RF!D62</f>
        <v>0.071503460312546</v>
      </c>
    </row>
    <row r="63" customFormat="false" ht="15" hidden="false" customHeight="true" outlineLevel="0" collapsed="false">
      <c r="A63" s="1" t="n">
        <v>66</v>
      </c>
      <c r="B63" s="13" t="n">
        <f aca="false">Returns!A67</f>
        <v>43983</v>
      </c>
      <c r="C63" s="17" t="n">
        <f aca="false">IF(Rankings!C68&lt;=3,1,0)</f>
        <v>0</v>
      </c>
      <c r="D63" s="17" t="n">
        <f aca="false">IF(Rankings!D68&lt;=3,1,0)</f>
        <v>0</v>
      </c>
      <c r="E63" s="17" t="n">
        <f aca="false">IF(Rankings!E68&lt;=3,1,0)</f>
        <v>0</v>
      </c>
      <c r="F63" s="17" t="n">
        <f aca="false">IF(Rankings!F68&lt;=3,1,0)</f>
        <v>1</v>
      </c>
      <c r="G63" s="17" t="n">
        <f aca="false">IF(Rankings!G68&lt;=3,1,0)</f>
        <v>1</v>
      </c>
      <c r="H63" s="17" t="n">
        <f aca="false">IF(Rankings!H68&lt;=3,1,0)</f>
        <v>0</v>
      </c>
      <c r="I63" s="17" t="n">
        <f aca="false">IF(Rankings!I68&lt;=3,1,0)</f>
        <v>1</v>
      </c>
      <c r="J63" s="17" t="n">
        <f aca="false">IF(Rankings!J68&lt;=3,1,0)</f>
        <v>0</v>
      </c>
      <c r="K63" s="20" t="n">
        <f aca="false">SUM(C63:J63)</f>
        <v>3</v>
      </c>
      <c r="L63" s="16" t="n">
        <f aca="false">SUMPRODUCT(C63:J63,Returns!B67:I67)/K63</f>
        <v>0.0681556599891492</v>
      </c>
      <c r="M63" s="16" t="n">
        <v>0</v>
      </c>
      <c r="N63" s="16" t="n">
        <v>0</v>
      </c>
      <c r="O63" s="16" t="n">
        <f aca="false">L63+M63+N63</f>
        <v>0.0681556599891492</v>
      </c>
      <c r="P63" s="21" t="n">
        <f aca="false">P62*(1+O63)</f>
        <v>1.1861830612876</v>
      </c>
      <c r="Q63" s="21" t="n">
        <f aca="false">MAX($P$5:P63)</f>
        <v>1.75366194502288</v>
      </c>
      <c r="R63" s="16" t="n">
        <f aca="false">P63/Q63-1</f>
        <v>-0.323596509205127</v>
      </c>
      <c r="S63" s="16" t="n">
        <f aca="false">O63-Benchmark_RF!D63</f>
        <v>0.0626200141938029</v>
      </c>
    </row>
    <row r="64" customFormat="false" ht="15" hidden="false" customHeight="true" outlineLevel="0" collapsed="false">
      <c r="A64" s="1" t="n">
        <v>67</v>
      </c>
      <c r="B64" s="13" t="n">
        <f aca="false">Returns!A68</f>
        <v>44013</v>
      </c>
      <c r="C64" s="17" t="n">
        <f aca="false">IF(Rankings!C68&lt;=3,1,0)</f>
        <v>0</v>
      </c>
      <c r="D64" s="17" t="n">
        <f aca="false">IF(Rankings!D68&lt;=3,1,0)</f>
        <v>0</v>
      </c>
      <c r="E64" s="17" t="n">
        <f aca="false">IF(Rankings!E68&lt;=3,1,0)</f>
        <v>0</v>
      </c>
      <c r="F64" s="17" t="n">
        <f aca="false">IF(Rankings!F68&lt;=3,1,0)</f>
        <v>1</v>
      </c>
      <c r="G64" s="17" t="n">
        <f aca="false">IF(Rankings!G68&lt;=3,1,0)</f>
        <v>1</v>
      </c>
      <c r="H64" s="17" t="n">
        <f aca="false">IF(Rankings!H68&lt;=3,1,0)</f>
        <v>0</v>
      </c>
      <c r="I64" s="17" t="n">
        <f aca="false">IF(Rankings!I68&lt;=3,1,0)</f>
        <v>1</v>
      </c>
      <c r="J64" s="17" t="n">
        <f aca="false">IF(Rankings!J68&lt;=3,1,0)</f>
        <v>0</v>
      </c>
      <c r="K64" s="20" t="n">
        <f aca="false">SUM(C64:J64)</f>
        <v>3</v>
      </c>
      <c r="L64" s="16" t="n">
        <f aca="false">SUMPRODUCT(C64:J64,Returns!B68:I68)/K64</f>
        <v>0.176514700080767</v>
      </c>
      <c r="M64" s="16" t="n">
        <v>0</v>
      </c>
      <c r="N64" s="16" t="n">
        <v>0</v>
      </c>
      <c r="O64" s="16" t="n">
        <f aca="false">L64+M64+N64</f>
        <v>0.176514700080767</v>
      </c>
      <c r="P64" s="21" t="n">
        <f aca="false">P63*(1+O64)</f>
        <v>1.39556180859167</v>
      </c>
      <c r="Q64" s="21" t="n">
        <f aca="false">MAX($P$5:P64)</f>
        <v>1.75366194502288</v>
      </c>
      <c r="R64" s="16" t="n">
        <f aca="false">P64/Q64-1</f>
        <v>-0.204201349893886</v>
      </c>
      <c r="S64" s="16" t="n">
        <f aca="false">O64-Benchmark_RF!D64</f>
        <v>0.170959764124124</v>
      </c>
    </row>
    <row r="65" customFormat="false" ht="15" hidden="false" customHeight="true" outlineLevel="0" collapsed="false">
      <c r="A65" s="1" t="n">
        <v>68</v>
      </c>
      <c r="B65" s="13" t="n">
        <f aca="false">Returns!A69</f>
        <v>44044</v>
      </c>
      <c r="C65" s="17" t="n">
        <f aca="false">IF(Rankings!C71&lt;=3,1,0)</f>
        <v>0</v>
      </c>
      <c r="D65" s="17" t="n">
        <f aca="false">IF(Rankings!D71&lt;=3,1,0)</f>
        <v>0</v>
      </c>
      <c r="E65" s="17" t="n">
        <f aca="false">IF(Rankings!E71&lt;=3,1,0)</f>
        <v>0</v>
      </c>
      <c r="F65" s="17" t="n">
        <f aca="false">IF(Rankings!F71&lt;=3,1,0)</f>
        <v>1</v>
      </c>
      <c r="G65" s="17" t="n">
        <f aca="false">IF(Rankings!G71&lt;=3,1,0)</f>
        <v>1</v>
      </c>
      <c r="H65" s="17" t="n">
        <f aca="false">IF(Rankings!H71&lt;=3,1,0)</f>
        <v>0</v>
      </c>
      <c r="I65" s="17" t="n">
        <f aca="false">IF(Rankings!I71&lt;=3,1,0)</f>
        <v>1</v>
      </c>
      <c r="J65" s="17" t="n">
        <f aca="false">IF(Rankings!J71&lt;=3,1,0)</f>
        <v>0</v>
      </c>
      <c r="K65" s="20" t="n">
        <f aca="false">SUM(C65:J65)</f>
        <v>3</v>
      </c>
      <c r="L65" s="16" t="n">
        <f aca="false">SUMPRODUCT(C65:J65,Returns!B69:I69)/K65</f>
        <v>0.0770279551473437</v>
      </c>
      <c r="M65" s="16" t="n">
        <f aca="false">-2*Assumptions!$B$13</f>
        <v>-0.007</v>
      </c>
      <c r="N65" s="16" t="n">
        <f aca="false">-Assumptions!$B$16*MAX(0,(1+O62)*(1+O63)*(1+O64)-1)</f>
        <v>-0.0532144017036604</v>
      </c>
      <c r="O65" s="16" t="n">
        <f aca="false">L65+M65+N65</f>
        <v>0.0168135534436832</v>
      </c>
      <c r="P65" s="21" t="n">
        <f aca="false">P64*(1+O65)</f>
        <v>1.41902616164439</v>
      </c>
      <c r="Q65" s="21" t="n">
        <f aca="false">MAX($P$5:P65)</f>
        <v>1.75366194502288</v>
      </c>
      <c r="R65" s="16" t="n">
        <f aca="false">P65/Q65-1</f>
        <v>-0.190821146759916</v>
      </c>
      <c r="S65" s="16" t="n">
        <f aca="false">O65-Benchmark_RF!D65</f>
        <v>0.0110876932623633</v>
      </c>
    </row>
    <row r="66" customFormat="false" ht="15" hidden="false" customHeight="true" outlineLevel="0" collapsed="false">
      <c r="A66" s="1" t="n">
        <v>69</v>
      </c>
      <c r="B66" s="13" t="n">
        <f aca="false">Returns!A70</f>
        <v>44075</v>
      </c>
      <c r="C66" s="17" t="n">
        <f aca="false">IF(Rankings!C71&lt;=3,1,0)</f>
        <v>0</v>
      </c>
      <c r="D66" s="17" t="n">
        <f aca="false">IF(Rankings!D71&lt;=3,1,0)</f>
        <v>0</v>
      </c>
      <c r="E66" s="17" t="n">
        <f aca="false">IF(Rankings!E71&lt;=3,1,0)</f>
        <v>0</v>
      </c>
      <c r="F66" s="17" t="n">
        <f aca="false">IF(Rankings!F71&lt;=3,1,0)</f>
        <v>1</v>
      </c>
      <c r="G66" s="17" t="n">
        <f aca="false">IF(Rankings!G71&lt;=3,1,0)</f>
        <v>1</v>
      </c>
      <c r="H66" s="17" t="n">
        <f aca="false">IF(Rankings!H71&lt;=3,1,0)</f>
        <v>0</v>
      </c>
      <c r="I66" s="17" t="n">
        <f aca="false">IF(Rankings!I71&lt;=3,1,0)</f>
        <v>1</v>
      </c>
      <c r="J66" s="17" t="n">
        <f aca="false">IF(Rankings!J71&lt;=3,1,0)</f>
        <v>0</v>
      </c>
      <c r="K66" s="20" t="n">
        <f aca="false">SUM(C66:J66)</f>
        <v>3</v>
      </c>
      <c r="L66" s="16" t="n">
        <f aca="false">SUMPRODUCT(C66:J66,Returns!B70:I70)/K66</f>
        <v>0.00984998767590058</v>
      </c>
      <c r="M66" s="16" t="n">
        <v>0</v>
      </c>
      <c r="N66" s="16" t="n">
        <v>0</v>
      </c>
      <c r="O66" s="16" t="n">
        <f aca="false">L66+M66+N66</f>
        <v>0.00984998767590058</v>
      </c>
      <c r="P66" s="21" t="n">
        <f aca="false">P65*(1+O66)</f>
        <v>1.43300355184837</v>
      </c>
      <c r="Q66" s="21" t="n">
        <f aca="false">MAX($P$5:P66)</f>
        <v>1.75366194502288</v>
      </c>
      <c r="R66" s="16" t="n">
        <f aca="false">P66/Q66-1</f>
        <v>-0.182850745027902</v>
      </c>
      <c r="S66" s="16" t="n">
        <f aca="false">O66-Benchmark_RF!D66</f>
        <v>0.004118884187255</v>
      </c>
    </row>
    <row r="67" customFormat="false" ht="15" hidden="false" customHeight="true" outlineLevel="0" collapsed="false">
      <c r="A67" s="1" t="n">
        <v>70</v>
      </c>
      <c r="B67" s="13" t="n">
        <f aca="false">Returns!A71</f>
        <v>44105</v>
      </c>
      <c r="C67" s="17" t="n">
        <f aca="false">IF(Rankings!C71&lt;=3,1,0)</f>
        <v>0</v>
      </c>
      <c r="D67" s="17" t="n">
        <f aca="false">IF(Rankings!D71&lt;=3,1,0)</f>
        <v>0</v>
      </c>
      <c r="E67" s="17" t="n">
        <f aca="false">IF(Rankings!E71&lt;=3,1,0)</f>
        <v>0</v>
      </c>
      <c r="F67" s="17" t="n">
        <f aca="false">IF(Rankings!F71&lt;=3,1,0)</f>
        <v>1</v>
      </c>
      <c r="G67" s="17" t="n">
        <f aca="false">IF(Rankings!G71&lt;=3,1,0)</f>
        <v>1</v>
      </c>
      <c r="H67" s="17" t="n">
        <f aca="false">IF(Rankings!H71&lt;=3,1,0)</f>
        <v>0</v>
      </c>
      <c r="I67" s="17" t="n">
        <f aca="false">IF(Rankings!I71&lt;=3,1,0)</f>
        <v>1</v>
      </c>
      <c r="J67" s="17" t="n">
        <f aca="false">IF(Rankings!J71&lt;=3,1,0)</f>
        <v>0</v>
      </c>
      <c r="K67" s="20" t="n">
        <f aca="false">SUM(C67:J67)</f>
        <v>3</v>
      </c>
      <c r="L67" s="16" t="n">
        <f aca="false">SUMPRODUCT(C67:J67,Returns!B71:I71)/K67</f>
        <v>0.0661894059440293</v>
      </c>
      <c r="M67" s="16" t="n">
        <v>0</v>
      </c>
      <c r="N67" s="16" t="n">
        <v>0</v>
      </c>
      <c r="O67" s="16" t="n">
        <f aca="false">L67+M67+N67</f>
        <v>0.0661894059440293</v>
      </c>
      <c r="P67" s="21" t="n">
        <f aca="false">P66*(1+O67)</f>
        <v>1.5278532056609</v>
      </c>
      <c r="Q67" s="21" t="n">
        <f aca="false">MAX($P$5:P67)</f>
        <v>1.75366194502288</v>
      </c>
      <c r="R67" s="16" t="n">
        <f aca="false">P67/Q67-1</f>
        <v>-0.128764121273693</v>
      </c>
      <c r="S67" s="16" t="n">
        <f aca="false">O67-Benchmark_RF!D67</f>
        <v>0.0604115955109255</v>
      </c>
    </row>
    <row r="68" customFormat="false" ht="15" hidden="false" customHeight="true" outlineLevel="0" collapsed="false">
      <c r="A68" s="1" t="n">
        <v>71</v>
      </c>
      <c r="B68" s="13" t="n">
        <f aca="false">Returns!A72</f>
        <v>44136</v>
      </c>
      <c r="C68" s="17" t="n">
        <f aca="false">IF(Rankings!C74&lt;=3,1,0)</f>
        <v>1</v>
      </c>
      <c r="D68" s="17" t="n">
        <f aca="false">IF(Rankings!D74&lt;=3,1,0)</f>
        <v>0</v>
      </c>
      <c r="E68" s="17" t="n">
        <f aca="false">IF(Rankings!E74&lt;=3,1,0)</f>
        <v>0</v>
      </c>
      <c r="F68" s="17" t="n">
        <f aca="false">IF(Rankings!F74&lt;=3,1,0)</f>
        <v>1</v>
      </c>
      <c r="G68" s="17" t="n">
        <f aca="false">IF(Rankings!G74&lt;=3,1,0)</f>
        <v>0</v>
      </c>
      <c r="H68" s="17" t="n">
        <f aca="false">IF(Rankings!H74&lt;=3,1,0)</f>
        <v>1</v>
      </c>
      <c r="I68" s="17" t="n">
        <f aca="false">IF(Rankings!I74&lt;=3,1,0)</f>
        <v>0</v>
      </c>
      <c r="J68" s="17" t="n">
        <f aca="false">IF(Rankings!J74&lt;=3,1,0)</f>
        <v>0</v>
      </c>
      <c r="K68" s="20" t="n">
        <f aca="false">SUM(C68:J68)</f>
        <v>3</v>
      </c>
      <c r="L68" s="16" t="n">
        <f aca="false">SUMPRODUCT(C68:J68,Returns!B72:I72)/K68</f>
        <v>0.0349310465369885</v>
      </c>
      <c r="M68" s="16" t="n">
        <f aca="false">-2*Assumptions!$B$13</f>
        <v>-0.007</v>
      </c>
      <c r="N68" s="16" t="n">
        <f aca="false">-Assumptions!$B$16*MAX(0,(1+O65)*(1+O66)*(1+O67)-1)</f>
        <v>-0.0142191549225677</v>
      </c>
      <c r="O68" s="16" t="n">
        <f aca="false">L68+M68+N68</f>
        <v>0.0137118916144208</v>
      </c>
      <c r="P68" s="21" t="n">
        <f aca="false">P67*(1+O68)</f>
        <v>1.54880296321966</v>
      </c>
      <c r="Q68" s="21" t="n">
        <f aca="false">MAX($P$5:P68)</f>
        <v>1.75366194502288</v>
      </c>
      <c r="R68" s="16" t="n">
        <f aca="false">P68/Q68-1</f>
        <v>-0.116817829334003</v>
      </c>
      <c r="S68" s="16" t="n">
        <f aca="false">O68-Benchmark_RF!D68</f>
        <v>0.00794800470870933</v>
      </c>
    </row>
    <row r="69" customFormat="false" ht="15" hidden="false" customHeight="true" outlineLevel="0" collapsed="false">
      <c r="A69" s="1" t="n">
        <v>72</v>
      </c>
      <c r="B69" s="13" t="n">
        <f aca="false">Returns!A73</f>
        <v>44166</v>
      </c>
      <c r="C69" s="17" t="n">
        <f aca="false">IF(Rankings!C74&lt;=3,1,0)</f>
        <v>1</v>
      </c>
      <c r="D69" s="17" t="n">
        <f aca="false">IF(Rankings!D74&lt;=3,1,0)</f>
        <v>0</v>
      </c>
      <c r="E69" s="17" t="n">
        <f aca="false">IF(Rankings!E74&lt;=3,1,0)</f>
        <v>0</v>
      </c>
      <c r="F69" s="17" t="n">
        <f aca="false">IF(Rankings!F74&lt;=3,1,0)</f>
        <v>1</v>
      </c>
      <c r="G69" s="17" t="n">
        <f aca="false">IF(Rankings!G74&lt;=3,1,0)</f>
        <v>0</v>
      </c>
      <c r="H69" s="17" t="n">
        <f aca="false">IF(Rankings!H74&lt;=3,1,0)</f>
        <v>1</v>
      </c>
      <c r="I69" s="17" t="n">
        <f aca="false">IF(Rankings!I74&lt;=3,1,0)</f>
        <v>0</v>
      </c>
      <c r="J69" s="17" t="n">
        <f aca="false">IF(Rankings!J74&lt;=3,1,0)</f>
        <v>0</v>
      </c>
      <c r="K69" s="20" t="n">
        <f aca="false">SUM(C69:J69)</f>
        <v>3</v>
      </c>
      <c r="L69" s="16" t="n">
        <f aca="false">SUMPRODUCT(C69:J69,Returns!B73:I73)/K69</f>
        <v>0.0568510443900189</v>
      </c>
      <c r="M69" s="16" t="n">
        <v>0</v>
      </c>
      <c r="N69" s="16" t="n">
        <v>0</v>
      </c>
      <c r="O69" s="16" t="n">
        <f aca="false">L69+M69+N69</f>
        <v>0.0568510443900189</v>
      </c>
      <c r="P69" s="21" t="n">
        <f aca="false">P68*(1+O69)</f>
        <v>1.63685402923306</v>
      </c>
      <c r="Q69" s="21" t="n">
        <f aca="false">MAX($P$5:P69)</f>
        <v>1.75366194502288</v>
      </c>
      <c r="R69" s="16" t="n">
        <f aca="false">P69/Q69-1</f>
        <v>-0.0666080005449969</v>
      </c>
      <c r="S69" s="16" t="n">
        <f aca="false">O69-Benchmark_RF!D69</f>
        <v>0.0511115678848203</v>
      </c>
    </row>
    <row r="70" customFormat="false" ht="15" hidden="false" customHeight="true" outlineLevel="0" collapsed="false">
      <c r="A70" s="1" t="n">
        <v>73</v>
      </c>
      <c r="B70" s="13" t="n">
        <f aca="false">Returns!A74</f>
        <v>44197</v>
      </c>
      <c r="C70" s="17" t="n">
        <f aca="false">IF(Rankings!C74&lt;=3,1,0)</f>
        <v>1</v>
      </c>
      <c r="D70" s="17" t="n">
        <f aca="false">IF(Rankings!D74&lt;=3,1,0)</f>
        <v>0</v>
      </c>
      <c r="E70" s="17" t="n">
        <f aca="false">IF(Rankings!E74&lt;=3,1,0)</f>
        <v>0</v>
      </c>
      <c r="F70" s="17" t="n">
        <f aca="false">IF(Rankings!F74&lt;=3,1,0)</f>
        <v>1</v>
      </c>
      <c r="G70" s="17" t="n">
        <f aca="false">IF(Rankings!G74&lt;=3,1,0)</f>
        <v>0</v>
      </c>
      <c r="H70" s="17" t="n">
        <f aca="false">IF(Rankings!H74&lt;=3,1,0)</f>
        <v>1</v>
      </c>
      <c r="I70" s="17" t="n">
        <f aca="false">IF(Rankings!I74&lt;=3,1,0)</f>
        <v>0</v>
      </c>
      <c r="J70" s="17" t="n">
        <f aca="false">IF(Rankings!J74&lt;=3,1,0)</f>
        <v>0</v>
      </c>
      <c r="K70" s="20" t="n">
        <f aca="false">SUM(C70:J70)</f>
        <v>3</v>
      </c>
      <c r="L70" s="16" t="n">
        <f aca="false">SUMPRODUCT(C70:J70,Returns!B74:I74)/K70</f>
        <v>0.0214199009734329</v>
      </c>
      <c r="M70" s="16" t="n">
        <v>0</v>
      </c>
      <c r="N70" s="16" t="n">
        <v>0</v>
      </c>
      <c r="O70" s="16" t="n">
        <f aca="false">L70+M70+N70</f>
        <v>0.0214199009734329</v>
      </c>
      <c r="P70" s="21" t="n">
        <f aca="false">P69*(1+O70)</f>
        <v>1.67191528044719</v>
      </c>
      <c r="Q70" s="21" t="n">
        <f aca="false">MAX($P$5:P70)</f>
        <v>1.75366194502288</v>
      </c>
      <c r="R70" s="16" t="n">
        <f aca="false">P70/Q70-1</f>
        <v>-0.0466148363472763</v>
      </c>
      <c r="S70" s="16" t="n">
        <f aca="false">O70-Benchmark_RF!D70</f>
        <v>0.0156470182879492</v>
      </c>
    </row>
    <row r="71" customFormat="false" ht="15" hidden="false" customHeight="true" outlineLevel="0" collapsed="false">
      <c r="A71" s="1" t="n">
        <v>74</v>
      </c>
      <c r="B71" s="13" t="n">
        <f aca="false">Returns!A75</f>
        <v>44228</v>
      </c>
      <c r="C71" s="17" t="n">
        <f aca="false">IF(Rankings!C77&lt;=3,1,0)</f>
        <v>1</v>
      </c>
      <c r="D71" s="17" t="n">
        <f aca="false">IF(Rankings!D77&lt;=3,1,0)</f>
        <v>0</v>
      </c>
      <c r="E71" s="17" t="n">
        <f aca="false">IF(Rankings!E77&lt;=3,1,0)</f>
        <v>0</v>
      </c>
      <c r="F71" s="17" t="n">
        <f aca="false">IF(Rankings!F77&lt;=3,1,0)</f>
        <v>1</v>
      </c>
      <c r="G71" s="17" t="n">
        <f aca="false">IF(Rankings!G77&lt;=3,1,0)</f>
        <v>0</v>
      </c>
      <c r="H71" s="17" t="n">
        <f aca="false">IF(Rankings!H77&lt;=3,1,0)</f>
        <v>1</v>
      </c>
      <c r="I71" s="17" t="n">
        <f aca="false">IF(Rankings!I77&lt;=3,1,0)</f>
        <v>0</v>
      </c>
      <c r="J71" s="17" t="n">
        <f aca="false">IF(Rankings!J77&lt;=3,1,0)</f>
        <v>0</v>
      </c>
      <c r="K71" s="20" t="n">
        <f aca="false">SUM(C71:J71)</f>
        <v>3</v>
      </c>
      <c r="L71" s="16" t="n">
        <f aca="false">SUMPRODUCT(C71:J71,Returns!B75:I75)/K71</f>
        <v>-0.0207936488904526</v>
      </c>
      <c r="M71" s="16" t="n">
        <f aca="false">-2*Assumptions!$B$13</f>
        <v>-0.007</v>
      </c>
      <c r="N71" s="16" t="n">
        <f aca="false">-Assumptions!$B$16*MAX(0,(1+O68)*(1+O69)*(1+O70)-1)</f>
        <v>-0.0141435781512775</v>
      </c>
      <c r="O71" s="16" t="n">
        <f aca="false">L71+M71+N71</f>
        <v>-0.0419372270417301</v>
      </c>
      <c r="P71" s="21" t="n">
        <f aca="false">P70*(1+O71)</f>
        <v>1.60179978973654</v>
      </c>
      <c r="Q71" s="21" t="n">
        <f aca="false">MAX($P$5:P71)</f>
        <v>1.75366194502288</v>
      </c>
      <c r="R71" s="16" t="n">
        <f aca="false">P71/Q71-1</f>
        <v>-0.0865971664135975</v>
      </c>
      <c r="S71" s="16" t="n">
        <f aca="false">O71-Benchmark_RF!D71</f>
        <v>-0.0477405323714947</v>
      </c>
    </row>
    <row r="72" customFormat="false" ht="15" hidden="false" customHeight="true" outlineLevel="0" collapsed="false">
      <c r="A72" s="1" t="n">
        <v>75</v>
      </c>
      <c r="B72" s="13" t="n">
        <f aca="false">Returns!A76</f>
        <v>44256</v>
      </c>
      <c r="C72" s="17" t="n">
        <f aca="false">IF(Rankings!C77&lt;=3,1,0)</f>
        <v>1</v>
      </c>
      <c r="D72" s="17" t="n">
        <f aca="false">IF(Rankings!D77&lt;=3,1,0)</f>
        <v>0</v>
      </c>
      <c r="E72" s="17" t="n">
        <f aca="false">IF(Rankings!E77&lt;=3,1,0)</f>
        <v>0</v>
      </c>
      <c r="F72" s="17" t="n">
        <f aca="false">IF(Rankings!F77&lt;=3,1,0)</f>
        <v>1</v>
      </c>
      <c r="G72" s="17" t="n">
        <f aca="false">IF(Rankings!G77&lt;=3,1,0)</f>
        <v>0</v>
      </c>
      <c r="H72" s="17" t="n">
        <f aca="false">IF(Rankings!H77&lt;=3,1,0)</f>
        <v>1</v>
      </c>
      <c r="I72" s="17" t="n">
        <f aca="false">IF(Rankings!I77&lt;=3,1,0)</f>
        <v>0</v>
      </c>
      <c r="J72" s="17" t="n">
        <f aca="false">IF(Rankings!J77&lt;=3,1,0)</f>
        <v>0</v>
      </c>
      <c r="K72" s="20" t="n">
        <f aca="false">SUM(C72:J72)</f>
        <v>3</v>
      </c>
      <c r="L72" s="16" t="n">
        <f aca="false">SUMPRODUCT(C72:J72,Returns!B76:I76)/K72</f>
        <v>-0.0507731183203386</v>
      </c>
      <c r="M72" s="16" t="n">
        <v>0</v>
      </c>
      <c r="N72" s="16" t="n">
        <v>0</v>
      </c>
      <c r="O72" s="16" t="n">
        <f aca="false">L72+M72+N72</f>
        <v>-0.0507731183203386</v>
      </c>
      <c r="P72" s="21" t="n">
        <f aca="false">P71*(1+O72)</f>
        <v>1.52047141948676</v>
      </c>
      <c r="Q72" s="21" t="n">
        <f aca="false">MAX($P$5:P72)</f>
        <v>1.75366194502288</v>
      </c>
      <c r="R72" s="16" t="n">
        <f aca="false">P72/Q72-1</f>
        <v>-0.132973476557412</v>
      </c>
      <c r="S72" s="16" t="n">
        <f aca="false">O72-Benchmark_RF!D72</f>
        <v>-0.0567632733910086</v>
      </c>
    </row>
    <row r="73" customFormat="false" ht="15" hidden="false" customHeight="true" outlineLevel="0" collapsed="false">
      <c r="A73" s="1" t="n">
        <v>76</v>
      </c>
      <c r="B73" s="13" t="n">
        <f aca="false">Returns!A77</f>
        <v>44287</v>
      </c>
      <c r="C73" s="17" t="n">
        <f aca="false">IF(Rankings!C77&lt;=3,1,0)</f>
        <v>1</v>
      </c>
      <c r="D73" s="17" t="n">
        <f aca="false">IF(Rankings!D77&lt;=3,1,0)</f>
        <v>0</v>
      </c>
      <c r="E73" s="17" t="n">
        <f aca="false">IF(Rankings!E77&lt;=3,1,0)</f>
        <v>0</v>
      </c>
      <c r="F73" s="17" t="n">
        <f aca="false">IF(Rankings!F77&lt;=3,1,0)</f>
        <v>1</v>
      </c>
      <c r="G73" s="17" t="n">
        <f aca="false">IF(Rankings!G77&lt;=3,1,0)</f>
        <v>0</v>
      </c>
      <c r="H73" s="17" t="n">
        <f aca="false">IF(Rankings!H77&lt;=3,1,0)</f>
        <v>1</v>
      </c>
      <c r="I73" s="17" t="n">
        <f aca="false">IF(Rankings!I77&lt;=3,1,0)</f>
        <v>0</v>
      </c>
      <c r="J73" s="17" t="n">
        <f aca="false">IF(Rankings!J77&lt;=3,1,0)</f>
        <v>0</v>
      </c>
      <c r="K73" s="20" t="n">
        <f aca="false">SUM(C73:J73)</f>
        <v>3</v>
      </c>
      <c r="L73" s="16" t="n">
        <f aca="false">SUMPRODUCT(C73:J73,Returns!B77:I77)/K73</f>
        <v>-0.0487194908806777</v>
      </c>
      <c r="M73" s="16" t="n">
        <v>0</v>
      </c>
      <c r="N73" s="16" t="n">
        <v>0</v>
      </c>
      <c r="O73" s="16" t="n">
        <f aca="false">L73+M73+N73</f>
        <v>-0.0487194908806777</v>
      </c>
      <c r="P73" s="21" t="n">
        <f aca="false">P72*(1+O73)</f>
        <v>1.44639482603074</v>
      </c>
      <c r="Q73" s="21" t="n">
        <f aca="false">MAX($P$5:P73)</f>
        <v>1.75366194502288</v>
      </c>
      <c r="R73" s="16" t="n">
        <f aca="false">P73/Q73-1</f>
        <v>-0.175214567359579</v>
      </c>
      <c r="S73" s="16" t="n">
        <f aca="false">O73-Benchmark_RF!D73</f>
        <v>-0.0546678878593038</v>
      </c>
    </row>
    <row r="74" customFormat="false" ht="15" hidden="false" customHeight="true" outlineLevel="0" collapsed="false">
      <c r="A74" s="1" t="n">
        <v>77</v>
      </c>
      <c r="B74" s="13" t="n">
        <f aca="false">Returns!A78</f>
        <v>44317</v>
      </c>
      <c r="C74" s="17" t="n">
        <f aca="false">IF(Rankings!C80&lt;=3,1,0)</f>
        <v>1</v>
      </c>
      <c r="D74" s="17" t="n">
        <f aca="false">IF(Rankings!D80&lt;=3,1,0)</f>
        <v>0</v>
      </c>
      <c r="E74" s="17" t="n">
        <f aca="false">IF(Rankings!E80&lt;=3,1,0)</f>
        <v>0</v>
      </c>
      <c r="F74" s="17" t="n">
        <f aca="false">IF(Rankings!F80&lt;=3,1,0)</f>
        <v>1</v>
      </c>
      <c r="G74" s="17" t="n">
        <f aca="false">IF(Rankings!G80&lt;=3,1,0)</f>
        <v>0</v>
      </c>
      <c r="H74" s="17" t="n">
        <f aca="false">IF(Rankings!H80&lt;=3,1,0)</f>
        <v>0</v>
      </c>
      <c r="I74" s="17" t="n">
        <f aca="false">IF(Rankings!I80&lt;=3,1,0)</f>
        <v>1</v>
      </c>
      <c r="J74" s="17" t="n">
        <f aca="false">IF(Rankings!J80&lt;=3,1,0)</f>
        <v>0</v>
      </c>
      <c r="K74" s="20" t="n">
        <f aca="false">SUM(C74:J74)</f>
        <v>3</v>
      </c>
      <c r="L74" s="16" t="n">
        <f aca="false">SUMPRODUCT(C74:J74,Returns!B78:I78)/K74</f>
        <v>0.0546549444732155</v>
      </c>
      <c r="M74" s="16" t="n">
        <f aca="false">-2*Assumptions!$B$13</f>
        <v>-0.007</v>
      </c>
      <c r="N74" s="16" t="n">
        <f aca="false">-Assumptions!$B$16*MAX(0,(1+O71)*(1+O72)*(1+O73)-1)</f>
        <v>-0</v>
      </c>
      <c r="O74" s="16" t="n">
        <f aca="false">L74+M74+N74</f>
        <v>0.0476549444732155</v>
      </c>
      <c r="P74" s="21" t="n">
        <f aca="false">P73*(1+O74)</f>
        <v>1.51532269115158</v>
      </c>
      <c r="Q74" s="21" t="n">
        <f aca="false">MAX($P$5:P74)</f>
        <v>1.75366194502288</v>
      </c>
      <c r="R74" s="16" t="n">
        <f aca="false">P74/Q74-1</f>
        <v>-0.135909463364783</v>
      </c>
      <c r="S74" s="16" t="n">
        <f aca="false">O74-Benchmark_RF!D74</f>
        <v>0.041733329539557</v>
      </c>
    </row>
    <row r="75" customFormat="false" ht="15" hidden="false" customHeight="true" outlineLevel="0" collapsed="false">
      <c r="A75" s="1" t="n">
        <v>78</v>
      </c>
      <c r="B75" s="13" t="n">
        <f aca="false">Returns!A79</f>
        <v>44348</v>
      </c>
      <c r="C75" s="17" t="n">
        <f aca="false">IF(Rankings!C80&lt;=3,1,0)</f>
        <v>1</v>
      </c>
      <c r="D75" s="17" t="n">
        <f aca="false">IF(Rankings!D80&lt;=3,1,0)</f>
        <v>0</v>
      </c>
      <c r="E75" s="17" t="n">
        <f aca="false">IF(Rankings!E80&lt;=3,1,0)</f>
        <v>0</v>
      </c>
      <c r="F75" s="17" t="n">
        <f aca="false">IF(Rankings!F80&lt;=3,1,0)</f>
        <v>1</v>
      </c>
      <c r="G75" s="17" t="n">
        <f aca="false">IF(Rankings!G80&lt;=3,1,0)</f>
        <v>0</v>
      </c>
      <c r="H75" s="17" t="n">
        <f aca="false">IF(Rankings!H80&lt;=3,1,0)</f>
        <v>0</v>
      </c>
      <c r="I75" s="17" t="n">
        <f aca="false">IF(Rankings!I80&lt;=3,1,0)</f>
        <v>1</v>
      </c>
      <c r="J75" s="17" t="n">
        <f aca="false">IF(Rankings!J80&lt;=3,1,0)</f>
        <v>0</v>
      </c>
      <c r="K75" s="20" t="n">
        <f aca="false">SUM(C75:J75)</f>
        <v>3</v>
      </c>
      <c r="L75" s="16" t="n">
        <f aca="false">SUMPRODUCT(C75:J75,Returns!B79:I79)/K75</f>
        <v>-0.0226285773255287</v>
      </c>
      <c r="M75" s="16" t="n">
        <v>0</v>
      </c>
      <c r="N75" s="16" t="n">
        <v>0</v>
      </c>
      <c r="O75" s="16" t="n">
        <f aca="false">L75+M75+N75</f>
        <v>-0.0226285773255287</v>
      </c>
      <c r="P75" s="21" t="n">
        <f aca="false">P74*(1+O75)</f>
        <v>1.48103309446173</v>
      </c>
      <c r="Q75" s="21" t="n">
        <f aca="false">MAX($P$5:P75)</f>
        <v>1.75366194502288</v>
      </c>
      <c r="R75" s="16" t="n">
        <f aca="false">P75/Q75-1</f>
        <v>-0.155462602889291</v>
      </c>
      <c r="S75" s="16" t="n">
        <f aca="false">O75-Benchmark_RF!D75</f>
        <v>-0.0285137154613363</v>
      </c>
    </row>
    <row r="76" customFormat="false" ht="15" hidden="false" customHeight="true" outlineLevel="0" collapsed="false">
      <c r="A76" s="1" t="n">
        <v>79</v>
      </c>
      <c r="B76" s="13" t="n">
        <f aca="false">Returns!A80</f>
        <v>44378</v>
      </c>
      <c r="C76" s="17" t="n">
        <f aca="false">IF(Rankings!C80&lt;=3,1,0)</f>
        <v>1</v>
      </c>
      <c r="D76" s="17" t="n">
        <f aca="false">IF(Rankings!D80&lt;=3,1,0)</f>
        <v>0</v>
      </c>
      <c r="E76" s="17" t="n">
        <f aca="false">IF(Rankings!E80&lt;=3,1,0)</f>
        <v>0</v>
      </c>
      <c r="F76" s="17" t="n">
        <f aca="false">IF(Rankings!F80&lt;=3,1,0)</f>
        <v>1</v>
      </c>
      <c r="G76" s="17" t="n">
        <f aca="false">IF(Rankings!G80&lt;=3,1,0)</f>
        <v>0</v>
      </c>
      <c r="H76" s="17" t="n">
        <f aca="false">IF(Rankings!H80&lt;=3,1,0)</f>
        <v>0</v>
      </c>
      <c r="I76" s="17" t="n">
        <f aca="false">IF(Rankings!I80&lt;=3,1,0)</f>
        <v>1</v>
      </c>
      <c r="J76" s="17" t="n">
        <f aca="false">IF(Rankings!J80&lt;=3,1,0)</f>
        <v>0</v>
      </c>
      <c r="K76" s="20" t="n">
        <f aca="false">SUM(C76:J76)</f>
        <v>3</v>
      </c>
      <c r="L76" s="16" t="n">
        <f aca="false">SUMPRODUCT(C76:J76,Returns!B80:I80)/K76</f>
        <v>-0.021606706902174</v>
      </c>
      <c r="M76" s="16" t="n">
        <v>0</v>
      </c>
      <c r="N76" s="16" t="n">
        <v>0</v>
      </c>
      <c r="O76" s="16" t="n">
        <f aca="false">L76+M76+N76</f>
        <v>-0.021606706902174</v>
      </c>
      <c r="P76" s="21" t="n">
        <f aca="false">P75*(1+O76)</f>
        <v>1.44903284647728</v>
      </c>
      <c r="Q76" s="21" t="n">
        <f aca="false">MAX($P$5:P76)</f>
        <v>1.75366194502288</v>
      </c>
      <c r="R76" s="16" t="n">
        <f aca="false">P76/Q76-1</f>
        <v>-0.173710274896587</v>
      </c>
      <c r="S76" s="16" t="n">
        <f aca="false">O76-Benchmark_RF!D76</f>
        <v>-0.0274427697763267</v>
      </c>
    </row>
    <row r="77" customFormat="false" ht="15" hidden="false" customHeight="true" outlineLevel="0" collapsed="false">
      <c r="A77" s="1" t="n">
        <v>80</v>
      </c>
      <c r="B77" s="13" t="n">
        <f aca="false">Returns!A81</f>
        <v>44409</v>
      </c>
      <c r="C77" s="17" t="n">
        <f aca="false">IF(Rankings!C83&lt;=3,1,0)</f>
        <v>1</v>
      </c>
      <c r="D77" s="17" t="n">
        <f aca="false">IF(Rankings!D83&lt;=3,1,0)</f>
        <v>1</v>
      </c>
      <c r="E77" s="17" t="n">
        <f aca="false">IF(Rankings!E83&lt;=3,1,0)</f>
        <v>0</v>
      </c>
      <c r="F77" s="17" t="n">
        <f aca="false">IF(Rankings!F83&lt;=3,1,0)</f>
        <v>1</v>
      </c>
      <c r="G77" s="17" t="n">
        <f aca="false">IF(Rankings!G83&lt;=3,1,0)</f>
        <v>0</v>
      </c>
      <c r="H77" s="17" t="n">
        <f aca="false">IF(Rankings!H83&lt;=3,1,0)</f>
        <v>0</v>
      </c>
      <c r="I77" s="17" t="n">
        <f aca="false">IF(Rankings!I83&lt;=3,1,0)</f>
        <v>0</v>
      </c>
      <c r="J77" s="17" t="n">
        <f aca="false">IF(Rankings!J83&lt;=3,1,0)</f>
        <v>0</v>
      </c>
      <c r="K77" s="20" t="n">
        <f aca="false">SUM(C77:J77)</f>
        <v>3</v>
      </c>
      <c r="L77" s="16" t="n">
        <f aca="false">SUMPRODUCT(C77:J77,Returns!B81:I81)/K77</f>
        <v>0.0822933502238807</v>
      </c>
      <c r="M77" s="16" t="n">
        <f aca="false">-2*Assumptions!$B$13</f>
        <v>-0.007</v>
      </c>
      <c r="N77" s="16" t="n">
        <f aca="false">-Assumptions!$B$16*MAX(0,(1+O74)*(1+O75)*(1+O76)-1)</f>
        <v>-0.000273578873388347</v>
      </c>
      <c r="O77" s="16" t="n">
        <f aca="false">L77+M77+N77</f>
        <v>0.0750197713504923</v>
      </c>
      <c r="P77" s="21" t="n">
        <f aca="false">P76*(1+O77)</f>
        <v>1.55773895929935</v>
      </c>
      <c r="Q77" s="21" t="n">
        <f aca="false">MAX($P$5:P77)</f>
        <v>1.75366194502288</v>
      </c>
      <c r="R77" s="16" t="n">
        <f aca="false">P77/Q77-1</f>
        <v>-0.111722208650067</v>
      </c>
      <c r="S77" s="16" t="n">
        <f aca="false">O77-Benchmark_RF!D77</f>
        <v>0.0691862098319807</v>
      </c>
    </row>
    <row r="78" customFormat="false" ht="15" hidden="false" customHeight="true" outlineLevel="0" collapsed="false">
      <c r="A78" s="1" t="n">
        <v>81</v>
      </c>
      <c r="B78" s="13" t="n">
        <f aca="false">Returns!A82</f>
        <v>44440</v>
      </c>
      <c r="C78" s="17" t="n">
        <f aca="false">IF(Rankings!C83&lt;=3,1,0)</f>
        <v>1</v>
      </c>
      <c r="D78" s="17" t="n">
        <f aca="false">IF(Rankings!D83&lt;=3,1,0)</f>
        <v>1</v>
      </c>
      <c r="E78" s="17" t="n">
        <f aca="false">IF(Rankings!E83&lt;=3,1,0)</f>
        <v>0</v>
      </c>
      <c r="F78" s="17" t="n">
        <f aca="false">IF(Rankings!F83&lt;=3,1,0)</f>
        <v>1</v>
      </c>
      <c r="G78" s="17" t="n">
        <f aca="false">IF(Rankings!G83&lt;=3,1,0)</f>
        <v>0</v>
      </c>
      <c r="H78" s="17" t="n">
        <f aca="false">IF(Rankings!H83&lt;=3,1,0)</f>
        <v>0</v>
      </c>
      <c r="I78" s="17" t="n">
        <f aca="false">IF(Rankings!I83&lt;=3,1,0)</f>
        <v>0</v>
      </c>
      <c r="J78" s="17" t="n">
        <f aca="false">IF(Rankings!J83&lt;=3,1,0)</f>
        <v>0</v>
      </c>
      <c r="K78" s="20" t="n">
        <f aca="false">SUM(C78:J78)</f>
        <v>3</v>
      </c>
      <c r="L78" s="16" t="n">
        <f aca="false">SUMPRODUCT(C78:J78,Returns!B82:I82)/K78</f>
        <v>-0.0425416156620153</v>
      </c>
      <c r="M78" s="16" t="n">
        <v>0</v>
      </c>
      <c r="N78" s="16" t="n">
        <v>0</v>
      </c>
      <c r="O78" s="16" t="n">
        <f aca="false">L78+M78+N78</f>
        <v>-0.0425416156620153</v>
      </c>
      <c r="P78" s="21" t="n">
        <f aca="false">P77*(1+O78)</f>
        <v>1.49147022719109</v>
      </c>
      <c r="Q78" s="21" t="n">
        <f aca="false">MAX($P$5:P78)</f>
        <v>1.75366194502288</v>
      </c>
      <c r="R78" s="16" t="n">
        <f aca="false">P78/Q78-1</f>
        <v>-0.14951098105078</v>
      </c>
      <c r="S78" s="16" t="n">
        <f aca="false">O78-Benchmark_RF!D78</f>
        <v>-0.0486419673369987</v>
      </c>
    </row>
    <row r="79" customFormat="false" ht="15" hidden="false" customHeight="true" outlineLevel="0" collapsed="false">
      <c r="A79" s="1" t="n">
        <v>82</v>
      </c>
      <c r="B79" s="13" t="n">
        <f aca="false">Returns!A83</f>
        <v>44470</v>
      </c>
      <c r="C79" s="17" t="n">
        <f aca="false">IF(Rankings!C83&lt;=3,1,0)</f>
        <v>1</v>
      </c>
      <c r="D79" s="17" t="n">
        <f aca="false">IF(Rankings!D83&lt;=3,1,0)</f>
        <v>1</v>
      </c>
      <c r="E79" s="17" t="n">
        <f aca="false">IF(Rankings!E83&lt;=3,1,0)</f>
        <v>0</v>
      </c>
      <c r="F79" s="17" t="n">
        <f aca="false">IF(Rankings!F83&lt;=3,1,0)</f>
        <v>1</v>
      </c>
      <c r="G79" s="17" t="n">
        <f aca="false">IF(Rankings!G83&lt;=3,1,0)</f>
        <v>0</v>
      </c>
      <c r="H79" s="17" t="n">
        <f aca="false">IF(Rankings!H83&lt;=3,1,0)</f>
        <v>0</v>
      </c>
      <c r="I79" s="17" t="n">
        <f aca="false">IF(Rankings!I83&lt;=3,1,0)</f>
        <v>0</v>
      </c>
      <c r="J79" s="17" t="n">
        <f aca="false">IF(Rankings!J83&lt;=3,1,0)</f>
        <v>0</v>
      </c>
      <c r="K79" s="20" t="n">
        <f aca="false">SUM(C79:J79)</f>
        <v>3</v>
      </c>
      <c r="L79" s="16" t="n">
        <f aca="false">SUMPRODUCT(C79:J79,Returns!B83:I83)/K79</f>
        <v>0.0153164425736314</v>
      </c>
      <c r="M79" s="16" t="n">
        <v>0</v>
      </c>
      <c r="N79" s="16" t="n">
        <v>0</v>
      </c>
      <c r="O79" s="16" t="n">
        <f aca="false">L79+M79+N79</f>
        <v>0.0153164425736314</v>
      </c>
      <c r="P79" s="21" t="n">
        <f aca="false">P78*(1+O79)</f>
        <v>1.51431424527615</v>
      </c>
      <c r="Q79" s="21" t="n">
        <f aca="false">MAX($P$5:P79)</f>
        <v>1.75366194502288</v>
      </c>
      <c r="R79" s="16" t="n">
        <f aca="false">P79/Q79-1</f>
        <v>-0.13648451483254</v>
      </c>
      <c r="S79" s="16" t="n">
        <f aca="false">O79-Benchmark_RF!D79</f>
        <v>0.00874676871467609</v>
      </c>
    </row>
    <row r="80" customFormat="false" ht="15" hidden="false" customHeight="true" outlineLevel="0" collapsed="false">
      <c r="A80" s="1" t="n">
        <v>83</v>
      </c>
      <c r="B80" s="13" t="n">
        <f aca="false">Returns!A84</f>
        <v>44501</v>
      </c>
      <c r="C80" s="17" t="n">
        <f aca="false">IF(Rankings!C86&lt;=3,1,0)</f>
        <v>1</v>
      </c>
      <c r="D80" s="17" t="n">
        <f aca="false">IF(Rankings!D86&lt;=3,1,0)</f>
        <v>1</v>
      </c>
      <c r="E80" s="17" t="n">
        <f aca="false">IF(Rankings!E86&lt;=3,1,0)</f>
        <v>0</v>
      </c>
      <c r="F80" s="17" t="n">
        <f aca="false">IF(Rankings!F86&lt;=3,1,0)</f>
        <v>0</v>
      </c>
      <c r="G80" s="17" t="n">
        <f aca="false">IF(Rankings!G86&lt;=3,1,0)</f>
        <v>0</v>
      </c>
      <c r="H80" s="17" t="n">
        <f aca="false">IF(Rankings!H86&lt;=3,1,0)</f>
        <v>0</v>
      </c>
      <c r="I80" s="17" t="n">
        <f aca="false">IF(Rankings!I86&lt;=3,1,0)</f>
        <v>1</v>
      </c>
      <c r="J80" s="17" t="n">
        <f aca="false">IF(Rankings!J86&lt;=3,1,0)</f>
        <v>0</v>
      </c>
      <c r="K80" s="20" t="n">
        <f aca="false">SUM(C80:J80)</f>
        <v>3</v>
      </c>
      <c r="L80" s="16" t="n">
        <f aca="false">SUMPRODUCT(C80:J80,Returns!B84:I84)/K80</f>
        <v>-0.00866620774177977</v>
      </c>
      <c r="M80" s="16" t="n">
        <f aca="false">-2*Assumptions!$B$13</f>
        <v>-0.007</v>
      </c>
      <c r="N80" s="16" t="n">
        <f aca="false">-Assumptions!$B$16*MAX(0,(1+O77)*(1+O78)*(1+O79)-1)</f>
        <v>-0.00675775559100423</v>
      </c>
      <c r="O80" s="16" t="n">
        <f aca="false">L80+M80+N80</f>
        <v>-0.022423963332784</v>
      </c>
      <c r="P80" s="21" t="n">
        <f aca="false">P79*(1+O80)</f>
        <v>1.48035731816576</v>
      </c>
      <c r="Q80" s="21" t="n">
        <f aca="false">MAX($P$5:P80)</f>
        <v>1.75366194502288</v>
      </c>
      <c r="R80" s="16" t="n">
        <f aca="false">P80/Q80-1</f>
        <v>-0.155847954409227</v>
      </c>
      <c r="S80" s="16" t="n">
        <f aca="false">O80-Benchmark_RF!D80</f>
        <v>-0.0292456886849714</v>
      </c>
    </row>
    <row r="81" customFormat="false" ht="15" hidden="false" customHeight="true" outlineLevel="0" collapsed="false">
      <c r="A81" s="1" t="n">
        <v>84</v>
      </c>
      <c r="B81" s="13" t="n">
        <f aca="false">Returns!A85</f>
        <v>44531</v>
      </c>
      <c r="C81" s="17" t="n">
        <f aca="false">IF(Rankings!C86&lt;=3,1,0)</f>
        <v>1</v>
      </c>
      <c r="D81" s="17" t="n">
        <f aca="false">IF(Rankings!D86&lt;=3,1,0)</f>
        <v>1</v>
      </c>
      <c r="E81" s="17" t="n">
        <f aca="false">IF(Rankings!E86&lt;=3,1,0)</f>
        <v>0</v>
      </c>
      <c r="F81" s="17" t="n">
        <f aca="false">IF(Rankings!F86&lt;=3,1,0)</f>
        <v>0</v>
      </c>
      <c r="G81" s="17" t="n">
        <f aca="false">IF(Rankings!G86&lt;=3,1,0)</f>
        <v>0</v>
      </c>
      <c r="H81" s="17" t="n">
        <f aca="false">IF(Rankings!H86&lt;=3,1,0)</f>
        <v>0</v>
      </c>
      <c r="I81" s="17" t="n">
        <f aca="false">IF(Rankings!I86&lt;=3,1,0)</f>
        <v>1</v>
      </c>
      <c r="J81" s="17" t="n">
        <f aca="false">IF(Rankings!J86&lt;=3,1,0)</f>
        <v>0</v>
      </c>
      <c r="K81" s="20" t="n">
        <f aca="false">SUM(C81:J81)</f>
        <v>3</v>
      </c>
      <c r="L81" s="16" t="n">
        <f aca="false">SUMPRODUCT(C81:J81,Returns!B85:I85)/K81</f>
        <v>-0.0450379038249136</v>
      </c>
      <c r="M81" s="16" t="n">
        <v>0</v>
      </c>
      <c r="N81" s="16" t="n">
        <v>0</v>
      </c>
      <c r="O81" s="16" t="n">
        <f aca="false">L81+M81+N81</f>
        <v>-0.0450379038249136</v>
      </c>
      <c r="P81" s="21" t="n">
        <f aca="false">P80*(1+O81)</f>
        <v>1.4136851276437</v>
      </c>
      <c r="Q81" s="21" t="n">
        <f aca="false">MAX($P$5:P81)</f>
        <v>1.75366194502288</v>
      </c>
      <c r="R81" s="16" t="n">
        <f aca="false">P81/Q81-1</f>
        <v>-0.193866793052148</v>
      </c>
      <c r="S81" s="16" t="n">
        <f aca="false">O81-Benchmark_RF!D81</f>
        <v>-0.0533073168362764</v>
      </c>
    </row>
    <row r="82" customFormat="false" ht="15" hidden="false" customHeight="true" outlineLevel="0" collapsed="false">
      <c r="A82" s="1" t="n">
        <v>85</v>
      </c>
      <c r="B82" s="13" t="n">
        <f aca="false">Returns!A86</f>
        <v>44562</v>
      </c>
      <c r="C82" s="17" t="n">
        <f aca="false">IF(Rankings!C86&lt;=3,1,0)</f>
        <v>1</v>
      </c>
      <c r="D82" s="17" t="n">
        <f aca="false">IF(Rankings!D86&lt;=3,1,0)</f>
        <v>1</v>
      </c>
      <c r="E82" s="17" t="n">
        <f aca="false">IF(Rankings!E86&lt;=3,1,0)</f>
        <v>0</v>
      </c>
      <c r="F82" s="17" t="n">
        <f aca="false">IF(Rankings!F86&lt;=3,1,0)</f>
        <v>0</v>
      </c>
      <c r="G82" s="17" t="n">
        <f aca="false">IF(Rankings!G86&lt;=3,1,0)</f>
        <v>0</v>
      </c>
      <c r="H82" s="17" t="n">
        <f aca="false">IF(Rankings!H86&lt;=3,1,0)</f>
        <v>0</v>
      </c>
      <c r="I82" s="17" t="n">
        <f aca="false">IF(Rankings!I86&lt;=3,1,0)</f>
        <v>1</v>
      </c>
      <c r="J82" s="17" t="n">
        <f aca="false">IF(Rankings!J86&lt;=3,1,0)</f>
        <v>0</v>
      </c>
      <c r="K82" s="20" t="n">
        <f aca="false">SUM(C82:J82)</f>
        <v>3</v>
      </c>
      <c r="L82" s="16" t="n">
        <f aca="false">SUMPRODUCT(C82:J82,Returns!B86:I86)/K82</f>
        <v>-0.00573859390373666</v>
      </c>
      <c r="M82" s="16" t="n">
        <v>0</v>
      </c>
      <c r="N82" s="16" t="n">
        <v>0</v>
      </c>
      <c r="O82" s="16" t="n">
        <f aca="false">L82+M82+N82</f>
        <v>-0.00573859390373666</v>
      </c>
      <c r="P82" s="21" t="n">
        <f aca="false">P81*(1+O82)</f>
        <v>1.40557256278841</v>
      </c>
      <c r="Q82" s="21" t="n">
        <f aca="false">MAX($P$5:P82)</f>
        <v>1.75366194502288</v>
      </c>
      <c r="R82" s="16" t="n">
        <f aca="false">P82/Q82-1</f>
        <v>-0.198492864159138</v>
      </c>
      <c r="S82" s="16" t="n">
        <f aca="false">O82-Benchmark_RF!D82</f>
        <v>-0.0138676175757719</v>
      </c>
    </row>
    <row r="83" customFormat="false" ht="15" hidden="false" customHeight="true" outlineLevel="0" collapsed="false">
      <c r="A83" s="1" t="n">
        <v>86</v>
      </c>
      <c r="B83" s="13" t="n">
        <f aca="false">Returns!A87</f>
        <v>44593</v>
      </c>
      <c r="C83" s="17" t="n">
        <f aca="false">IF(Rankings!C89&lt;=3,1,0)</f>
        <v>1</v>
      </c>
      <c r="D83" s="17" t="n">
        <f aca="false">IF(Rankings!D89&lt;=3,1,0)</f>
        <v>1</v>
      </c>
      <c r="E83" s="17" t="n">
        <f aca="false">IF(Rankings!E89&lt;=3,1,0)</f>
        <v>0</v>
      </c>
      <c r="F83" s="17" t="n">
        <f aca="false">IF(Rankings!F89&lt;=3,1,0)</f>
        <v>0</v>
      </c>
      <c r="G83" s="17" t="n">
        <f aca="false">IF(Rankings!G89&lt;=3,1,0)</f>
        <v>0</v>
      </c>
      <c r="H83" s="17" t="n">
        <f aca="false">IF(Rankings!H89&lt;=3,1,0)</f>
        <v>0</v>
      </c>
      <c r="I83" s="17" t="n">
        <f aca="false">IF(Rankings!I89&lt;=3,1,0)</f>
        <v>1</v>
      </c>
      <c r="J83" s="17" t="n">
        <f aca="false">IF(Rankings!J89&lt;=3,1,0)</f>
        <v>0</v>
      </c>
      <c r="K83" s="20" t="n">
        <f aca="false">SUM(C83:J83)</f>
        <v>3</v>
      </c>
      <c r="L83" s="16" t="n">
        <f aca="false">SUMPRODUCT(C83:J83,Returns!B87:I87)/K83</f>
        <v>-0.0176533260464273</v>
      </c>
      <c r="M83" s="16" t="n">
        <f aca="false">-2*Assumptions!$B$13</f>
        <v>-0.007</v>
      </c>
      <c r="N83" s="16" t="n">
        <f aca="false">-Assumptions!$B$16*MAX(0,(1+O80)*(1+O81)*(1+O82)-1)</f>
        <v>-0</v>
      </c>
      <c r="O83" s="16" t="n">
        <f aca="false">L83+M83+N83</f>
        <v>-0.0246533260464273</v>
      </c>
      <c r="P83" s="21" t="n">
        <f aca="false">P82*(1+O83)</f>
        <v>1.37092052411607</v>
      </c>
      <c r="Q83" s="21" t="n">
        <f aca="false">MAX($P$5:P83)</f>
        <v>1.75366194502288</v>
      </c>
      <c r="R83" s="16" t="n">
        <f aca="false">P83/Q83-1</f>
        <v>-0.218252680907561</v>
      </c>
      <c r="S83" s="16" t="n">
        <f aca="false">O83-Benchmark_RF!D83</f>
        <v>-0.0329199227207199</v>
      </c>
    </row>
    <row r="84" customFormat="false" ht="15" hidden="false" customHeight="true" outlineLevel="0" collapsed="false">
      <c r="A84" s="1" t="n">
        <v>87</v>
      </c>
      <c r="B84" s="13" t="n">
        <f aca="false">Returns!A88</f>
        <v>44621</v>
      </c>
      <c r="C84" s="17" t="n">
        <f aca="false">IF(Rankings!C89&lt;=3,1,0)</f>
        <v>1</v>
      </c>
      <c r="D84" s="17" t="n">
        <f aca="false">IF(Rankings!D89&lt;=3,1,0)</f>
        <v>1</v>
      </c>
      <c r="E84" s="17" t="n">
        <f aca="false">IF(Rankings!E89&lt;=3,1,0)</f>
        <v>0</v>
      </c>
      <c r="F84" s="17" t="n">
        <f aca="false">IF(Rankings!F89&lt;=3,1,0)</f>
        <v>0</v>
      </c>
      <c r="G84" s="17" t="n">
        <f aca="false">IF(Rankings!G89&lt;=3,1,0)</f>
        <v>0</v>
      </c>
      <c r="H84" s="17" t="n">
        <f aca="false">IF(Rankings!H89&lt;=3,1,0)</f>
        <v>0</v>
      </c>
      <c r="I84" s="17" t="n">
        <f aca="false">IF(Rankings!I89&lt;=3,1,0)</f>
        <v>1</v>
      </c>
      <c r="J84" s="17" t="n">
        <f aca="false">IF(Rankings!J89&lt;=3,1,0)</f>
        <v>0</v>
      </c>
      <c r="K84" s="20" t="n">
        <f aca="false">SUM(C84:J84)</f>
        <v>3</v>
      </c>
      <c r="L84" s="16" t="n">
        <f aca="false">SUMPRODUCT(C84:J84,Returns!B88:I88)/K84</f>
        <v>-0.0740906259480961</v>
      </c>
      <c r="M84" s="16" t="n">
        <v>0</v>
      </c>
      <c r="N84" s="16" t="n">
        <v>0</v>
      </c>
      <c r="O84" s="16" t="n">
        <f aca="false">L84+M84+N84</f>
        <v>-0.0740906259480961</v>
      </c>
      <c r="P84" s="21" t="n">
        <f aca="false">P83*(1+O84)</f>
        <v>1.26934816435922</v>
      </c>
      <c r="Q84" s="21" t="n">
        <f aca="false">MAX($P$5:P84)</f>
        <v>1.75366194502288</v>
      </c>
      <c r="R84" s="16" t="n">
        <f aca="false">P84/Q84-1</f>
        <v>-0.276172829112366</v>
      </c>
      <c r="S84" s="16" t="n">
        <f aca="false">O84-Benchmark_RF!D84</f>
        <v>-0.0833919011545857</v>
      </c>
    </row>
    <row r="85" customFormat="false" ht="15" hidden="false" customHeight="true" outlineLevel="0" collapsed="false">
      <c r="A85" s="1" t="n">
        <v>88</v>
      </c>
      <c r="B85" s="13" t="n">
        <f aca="false">Returns!A89</f>
        <v>44652</v>
      </c>
      <c r="C85" s="17" t="n">
        <f aca="false">IF(Rankings!C89&lt;=3,1,0)</f>
        <v>1</v>
      </c>
      <c r="D85" s="17" t="n">
        <f aca="false">IF(Rankings!D89&lt;=3,1,0)</f>
        <v>1</v>
      </c>
      <c r="E85" s="17" t="n">
        <f aca="false">IF(Rankings!E89&lt;=3,1,0)</f>
        <v>0</v>
      </c>
      <c r="F85" s="17" t="n">
        <f aca="false">IF(Rankings!F89&lt;=3,1,0)</f>
        <v>0</v>
      </c>
      <c r="G85" s="17" t="n">
        <f aca="false">IF(Rankings!G89&lt;=3,1,0)</f>
        <v>0</v>
      </c>
      <c r="H85" s="17" t="n">
        <f aca="false">IF(Rankings!H89&lt;=3,1,0)</f>
        <v>0</v>
      </c>
      <c r="I85" s="17" t="n">
        <f aca="false">IF(Rankings!I89&lt;=3,1,0)</f>
        <v>1</v>
      </c>
      <c r="J85" s="17" t="n">
        <f aca="false">IF(Rankings!J89&lt;=3,1,0)</f>
        <v>0</v>
      </c>
      <c r="K85" s="20" t="n">
        <f aca="false">SUM(C85:J85)</f>
        <v>3</v>
      </c>
      <c r="L85" s="16" t="n">
        <f aca="false">SUMPRODUCT(C85:J85,Returns!B89:I89)/K85</f>
        <v>0.0303134307539305</v>
      </c>
      <c r="M85" s="16" t="n">
        <v>0</v>
      </c>
      <c r="N85" s="16" t="n">
        <v>0</v>
      </c>
      <c r="O85" s="16" t="n">
        <f aca="false">L85+M85+N85</f>
        <v>0.0303134307539305</v>
      </c>
      <c r="P85" s="21" t="n">
        <f aca="false">P84*(1+O85)</f>
        <v>1.30782646204215</v>
      </c>
      <c r="Q85" s="21" t="n">
        <f aca="false">MAX($P$5:P85)</f>
        <v>1.75366194502288</v>
      </c>
      <c r="R85" s="16" t="n">
        <f aca="false">P85/Q85-1</f>
        <v>-0.25423114428985</v>
      </c>
      <c r="S85" s="16" t="n">
        <f aca="false">O85-Benchmark_RF!D85</f>
        <v>0.0191916158465798</v>
      </c>
    </row>
    <row r="86" customFormat="false" ht="15" hidden="false" customHeight="true" outlineLevel="0" collapsed="false">
      <c r="A86" s="1" t="n">
        <v>89</v>
      </c>
      <c r="B86" s="13" t="n">
        <f aca="false">Returns!A90</f>
        <v>44682</v>
      </c>
      <c r="C86" s="17" t="n">
        <f aca="false">IF(Rankings!C92&lt;=3,1,0)</f>
        <v>1</v>
      </c>
      <c r="D86" s="17" t="n">
        <f aca="false">IF(Rankings!D92&lt;=3,1,0)</f>
        <v>1</v>
      </c>
      <c r="E86" s="17" t="n">
        <f aca="false">IF(Rankings!E92&lt;=3,1,0)</f>
        <v>0</v>
      </c>
      <c r="F86" s="17" t="n">
        <f aca="false">IF(Rankings!F92&lt;=3,1,0)</f>
        <v>0</v>
      </c>
      <c r="G86" s="17" t="n">
        <f aca="false">IF(Rankings!G92&lt;=3,1,0)</f>
        <v>1</v>
      </c>
      <c r="H86" s="17" t="n">
        <f aca="false">IF(Rankings!H92&lt;=3,1,0)</f>
        <v>0</v>
      </c>
      <c r="I86" s="17" t="n">
        <f aca="false">IF(Rankings!I92&lt;=3,1,0)</f>
        <v>0</v>
      </c>
      <c r="J86" s="17" t="n">
        <f aca="false">IF(Rankings!J92&lt;=3,1,0)</f>
        <v>0</v>
      </c>
      <c r="K86" s="20" t="n">
        <f aca="false">SUM(C86:J86)</f>
        <v>3</v>
      </c>
      <c r="L86" s="16" t="n">
        <f aca="false">SUMPRODUCT(C86:J86,Returns!B90:I90)/K86</f>
        <v>-0.0908305283654604</v>
      </c>
      <c r="M86" s="16" t="n">
        <f aca="false">-2*Assumptions!$B$13</f>
        <v>-0.007</v>
      </c>
      <c r="N86" s="16" t="n">
        <f aca="false">-Assumptions!$B$16*MAX(0,(1+O83)*(1+O84)*(1+O85)-1)</f>
        <v>-0</v>
      </c>
      <c r="O86" s="16" t="n">
        <f aca="false">L86+M86+N86</f>
        <v>-0.0978305283654604</v>
      </c>
      <c r="P86" s="21" t="n">
        <f aca="false">P85*(1+O86)</f>
        <v>1.17988110825024</v>
      </c>
      <c r="Q86" s="21" t="n">
        <f aca="false">MAX($P$5:P86)</f>
        <v>1.75366194502288</v>
      </c>
      <c r="R86" s="16" t="n">
        <f aca="false">P86/Q86-1</f>
        <v>-0.327190105482479</v>
      </c>
      <c r="S86" s="16" t="n">
        <f aca="false">O86-Benchmark_RF!D86</f>
        <v>-0.109121086982579</v>
      </c>
    </row>
    <row r="87" customFormat="false" ht="15" hidden="false" customHeight="true" outlineLevel="0" collapsed="false">
      <c r="A87" s="1" t="n">
        <v>90</v>
      </c>
      <c r="B87" s="13" t="n">
        <f aca="false">Returns!A91</f>
        <v>44713</v>
      </c>
      <c r="C87" s="17" t="n">
        <f aca="false">IF(Rankings!C92&lt;=3,1,0)</f>
        <v>1</v>
      </c>
      <c r="D87" s="17" t="n">
        <f aca="false">IF(Rankings!D92&lt;=3,1,0)</f>
        <v>1</v>
      </c>
      <c r="E87" s="17" t="n">
        <f aca="false">IF(Rankings!E92&lt;=3,1,0)</f>
        <v>0</v>
      </c>
      <c r="F87" s="17" t="n">
        <f aca="false">IF(Rankings!F92&lt;=3,1,0)</f>
        <v>0</v>
      </c>
      <c r="G87" s="17" t="n">
        <f aca="false">IF(Rankings!G92&lt;=3,1,0)</f>
        <v>1</v>
      </c>
      <c r="H87" s="17" t="n">
        <f aca="false">IF(Rankings!H92&lt;=3,1,0)</f>
        <v>0</v>
      </c>
      <c r="I87" s="17" t="n">
        <f aca="false">IF(Rankings!I92&lt;=3,1,0)</f>
        <v>0</v>
      </c>
      <c r="J87" s="17" t="n">
        <f aca="false">IF(Rankings!J92&lt;=3,1,0)</f>
        <v>0</v>
      </c>
      <c r="K87" s="20" t="n">
        <f aca="false">SUM(C87:J87)</f>
        <v>3</v>
      </c>
      <c r="L87" s="16" t="n">
        <f aca="false">SUMPRODUCT(C87:J87,Returns!B91:I91)/K87</f>
        <v>-0.0669250353857562</v>
      </c>
      <c r="M87" s="16" t="n">
        <v>0</v>
      </c>
      <c r="N87" s="16" t="n">
        <v>0</v>
      </c>
      <c r="O87" s="16" t="n">
        <f aca="false">L87+M87+N87</f>
        <v>-0.0669250353857562</v>
      </c>
      <c r="P87" s="21" t="n">
        <f aca="false">P86*(1+O87)</f>
        <v>1.1009175233296</v>
      </c>
      <c r="Q87" s="21" t="n">
        <f aca="false">MAX($P$5:P87)</f>
        <v>1.75366194502288</v>
      </c>
      <c r="R87" s="16" t="n">
        <f aca="false">P87/Q87-1</f>
        <v>-0.372217931480951</v>
      </c>
      <c r="S87" s="16" t="n">
        <f aca="false">O87-Benchmark_RF!D87</f>
        <v>-0.078698583753983</v>
      </c>
    </row>
    <row r="88" customFormat="false" ht="15" hidden="false" customHeight="true" outlineLevel="0" collapsed="false">
      <c r="A88" s="1" t="n">
        <v>91</v>
      </c>
      <c r="B88" s="13" t="n">
        <f aca="false">Returns!A92</f>
        <v>44743</v>
      </c>
      <c r="C88" s="17" t="n">
        <f aca="false">IF(Rankings!C92&lt;=3,1,0)</f>
        <v>1</v>
      </c>
      <c r="D88" s="17" t="n">
        <f aca="false">IF(Rankings!D92&lt;=3,1,0)</f>
        <v>1</v>
      </c>
      <c r="E88" s="17" t="n">
        <f aca="false">IF(Rankings!E92&lt;=3,1,0)</f>
        <v>0</v>
      </c>
      <c r="F88" s="17" t="n">
        <f aca="false">IF(Rankings!F92&lt;=3,1,0)</f>
        <v>0</v>
      </c>
      <c r="G88" s="17" t="n">
        <f aca="false">IF(Rankings!G92&lt;=3,1,0)</f>
        <v>1</v>
      </c>
      <c r="H88" s="17" t="n">
        <f aca="false">IF(Rankings!H92&lt;=3,1,0)</f>
        <v>0</v>
      </c>
      <c r="I88" s="17" t="n">
        <f aca="false">IF(Rankings!I92&lt;=3,1,0)</f>
        <v>0</v>
      </c>
      <c r="J88" s="17" t="n">
        <f aca="false">IF(Rankings!J92&lt;=3,1,0)</f>
        <v>0</v>
      </c>
      <c r="K88" s="20" t="n">
        <f aca="false">SUM(C88:J88)</f>
        <v>3</v>
      </c>
      <c r="L88" s="16" t="n">
        <f aca="false">SUMPRODUCT(C88:J88,Returns!B92:I92)/K88</f>
        <v>-0.00816021871686945</v>
      </c>
      <c r="M88" s="16" t="n">
        <v>0</v>
      </c>
      <c r="N88" s="16" t="n">
        <v>0</v>
      </c>
      <c r="O88" s="16" t="n">
        <f aca="false">L88+M88+N88</f>
        <v>-0.00816021871686945</v>
      </c>
      <c r="P88" s="21" t="n">
        <f aca="false">P87*(1+O88)</f>
        <v>1.09193379555</v>
      </c>
      <c r="Q88" s="21" t="n">
        <f aca="false">MAX($P$5:P88)</f>
        <v>1.75366194502288</v>
      </c>
      <c r="R88" s="16" t="n">
        <f aca="false">P88/Q88-1</f>
        <v>-0.377340770466595</v>
      </c>
      <c r="S88" s="16" t="n">
        <f aca="false">O88-Benchmark_RF!D88</f>
        <v>-0.0203358498379291</v>
      </c>
    </row>
    <row r="89" customFormat="false" ht="15" hidden="false" customHeight="true" outlineLevel="0" collapsed="false">
      <c r="A89" s="1" t="n">
        <v>92</v>
      </c>
      <c r="B89" s="13" t="n">
        <f aca="false">Returns!A93</f>
        <v>44774</v>
      </c>
      <c r="C89" s="17" t="n">
        <f aca="false">IF(Rankings!C95&lt;=3,1,0)</f>
        <v>0</v>
      </c>
      <c r="D89" s="17" t="n">
        <f aca="false">IF(Rankings!D95&lt;=3,1,0)</f>
        <v>1</v>
      </c>
      <c r="E89" s="17" t="n">
        <f aca="false">IF(Rankings!E95&lt;=3,1,0)</f>
        <v>0</v>
      </c>
      <c r="F89" s="17" t="n">
        <f aca="false">IF(Rankings!F95&lt;=3,1,0)</f>
        <v>0</v>
      </c>
      <c r="G89" s="17" t="n">
        <f aca="false">IF(Rankings!G95&lt;=3,1,0)</f>
        <v>1</v>
      </c>
      <c r="H89" s="17" t="n">
        <f aca="false">IF(Rankings!H95&lt;=3,1,0)</f>
        <v>0</v>
      </c>
      <c r="I89" s="17" t="n">
        <f aca="false">IF(Rankings!I95&lt;=3,1,0)</f>
        <v>1</v>
      </c>
      <c r="J89" s="17" t="n">
        <f aca="false">IF(Rankings!J95&lt;=3,1,0)</f>
        <v>0</v>
      </c>
      <c r="K89" s="20" t="n">
        <f aca="false">SUM(C89:J89)</f>
        <v>3</v>
      </c>
      <c r="L89" s="16" t="n">
        <f aca="false">SUMPRODUCT(C89:J89,Returns!B93:I93)/K89</f>
        <v>0.15216587181785</v>
      </c>
      <c r="M89" s="16" t="n">
        <f aca="false">-2*Assumptions!$B$13</f>
        <v>-0.007</v>
      </c>
      <c r="N89" s="16" t="n">
        <f aca="false">-Assumptions!$B$16*MAX(0,(1+O86)*(1+O87)*(1+O88)-1)</f>
        <v>-0</v>
      </c>
      <c r="O89" s="16" t="n">
        <f aca="false">L89+M89+N89</f>
        <v>0.14516587181785</v>
      </c>
      <c r="P89" s="21" t="n">
        <f aca="false">P88*(1+O89)</f>
        <v>1.25044531694839</v>
      </c>
      <c r="Q89" s="21" t="n">
        <f aca="false">MAX($P$5:P89)</f>
        <v>1.75366194502288</v>
      </c>
      <c r="R89" s="16" t="n">
        <f aca="false">P89/Q89-1</f>
        <v>-0.286951900565947</v>
      </c>
      <c r="S89" s="16" t="n">
        <f aca="false">O89-Benchmark_RF!D89</f>
        <v>0.132917323154685</v>
      </c>
    </row>
    <row r="90" customFormat="false" ht="15" hidden="false" customHeight="true" outlineLevel="0" collapsed="false">
      <c r="A90" s="1" t="n">
        <v>93</v>
      </c>
      <c r="B90" s="13" t="n">
        <f aca="false">Returns!A94</f>
        <v>44805</v>
      </c>
      <c r="C90" s="17" t="n">
        <f aca="false">IF(Rankings!C95&lt;=3,1,0)</f>
        <v>0</v>
      </c>
      <c r="D90" s="17" t="n">
        <f aca="false">IF(Rankings!D95&lt;=3,1,0)</f>
        <v>1</v>
      </c>
      <c r="E90" s="17" t="n">
        <f aca="false">IF(Rankings!E95&lt;=3,1,0)</f>
        <v>0</v>
      </c>
      <c r="F90" s="17" t="n">
        <f aca="false">IF(Rankings!F95&lt;=3,1,0)</f>
        <v>0</v>
      </c>
      <c r="G90" s="17" t="n">
        <f aca="false">IF(Rankings!G95&lt;=3,1,0)</f>
        <v>1</v>
      </c>
      <c r="H90" s="17" t="n">
        <f aca="false">IF(Rankings!H95&lt;=3,1,0)</f>
        <v>0</v>
      </c>
      <c r="I90" s="17" t="n">
        <f aca="false">IF(Rankings!I95&lt;=3,1,0)</f>
        <v>1</v>
      </c>
      <c r="J90" s="17" t="n">
        <f aca="false">IF(Rankings!J95&lt;=3,1,0)</f>
        <v>0</v>
      </c>
      <c r="K90" s="20" t="n">
        <f aca="false">SUM(C90:J90)</f>
        <v>3</v>
      </c>
      <c r="L90" s="16" t="n">
        <f aca="false">SUMPRODUCT(C90:J90,Returns!B94:I94)/K90</f>
        <v>-0.0731890873578067</v>
      </c>
      <c r="M90" s="16" t="n">
        <v>0</v>
      </c>
      <c r="N90" s="16" t="n">
        <v>0</v>
      </c>
      <c r="O90" s="16" t="n">
        <f aca="false">L90+M90+N90</f>
        <v>-0.0731890873578067</v>
      </c>
      <c r="P90" s="21" t="n">
        <f aca="false">P89*(1+O90)</f>
        <v>1.15892636541009</v>
      </c>
      <c r="Q90" s="21" t="n">
        <f aca="false">MAX($P$5:P90)</f>
        <v>1.75366194502288</v>
      </c>
      <c r="R90" s="16" t="n">
        <f aca="false">P90/Q90-1</f>
        <v>-0.339139240205744</v>
      </c>
      <c r="S90" s="16" t="n">
        <f aca="false">O90-Benchmark_RF!D90</f>
        <v>-0.0856124027523603</v>
      </c>
    </row>
    <row r="91" customFormat="false" ht="15" hidden="false" customHeight="true" outlineLevel="0" collapsed="false">
      <c r="A91" s="1" t="n">
        <v>94</v>
      </c>
      <c r="B91" s="13" t="n">
        <f aca="false">Returns!A95</f>
        <v>44835</v>
      </c>
      <c r="C91" s="17" t="n">
        <f aca="false">IF(Rankings!C95&lt;=3,1,0)</f>
        <v>0</v>
      </c>
      <c r="D91" s="17" t="n">
        <f aca="false">IF(Rankings!D95&lt;=3,1,0)</f>
        <v>1</v>
      </c>
      <c r="E91" s="17" t="n">
        <f aca="false">IF(Rankings!E95&lt;=3,1,0)</f>
        <v>0</v>
      </c>
      <c r="F91" s="17" t="n">
        <f aca="false">IF(Rankings!F95&lt;=3,1,0)</f>
        <v>0</v>
      </c>
      <c r="G91" s="17" t="n">
        <f aca="false">IF(Rankings!G95&lt;=3,1,0)</f>
        <v>1</v>
      </c>
      <c r="H91" s="17" t="n">
        <f aca="false">IF(Rankings!H95&lt;=3,1,0)</f>
        <v>0</v>
      </c>
      <c r="I91" s="17" t="n">
        <f aca="false">IF(Rankings!I95&lt;=3,1,0)</f>
        <v>1</v>
      </c>
      <c r="J91" s="17" t="n">
        <f aca="false">IF(Rankings!J95&lt;=3,1,0)</f>
        <v>0</v>
      </c>
      <c r="K91" s="20" t="n">
        <f aca="false">SUM(C91:J91)</f>
        <v>3</v>
      </c>
      <c r="L91" s="16" t="n">
        <f aca="false">SUMPRODUCT(C91:J91,Returns!B95:I95)/K91</f>
        <v>-0.0630228203599335</v>
      </c>
      <c r="M91" s="16" t="n">
        <v>0</v>
      </c>
      <c r="N91" s="16" t="n">
        <v>0</v>
      </c>
      <c r="O91" s="16" t="n">
        <f aca="false">L91+M91+N91</f>
        <v>-0.0630228203599335</v>
      </c>
      <c r="P91" s="21" t="n">
        <f aca="false">P90*(1+O91)</f>
        <v>1.08588755727246</v>
      </c>
      <c r="Q91" s="21" t="n">
        <f aca="false">MAX($P$5:P91)</f>
        <v>1.75366194502288</v>
      </c>
      <c r="R91" s="16" t="n">
        <f aca="false">P91/Q91-1</f>
        <v>-0.380788549153187</v>
      </c>
      <c r="S91" s="16" t="n">
        <f aca="false">O91-Benchmark_RF!D91</f>
        <v>-0.0752276254319407</v>
      </c>
    </row>
    <row r="92" customFormat="false" ht="15" hidden="false" customHeight="true" outlineLevel="0" collapsed="false">
      <c r="A92" s="1" t="n">
        <v>95</v>
      </c>
      <c r="B92" s="13" t="n">
        <f aca="false">Returns!A96</f>
        <v>44866</v>
      </c>
      <c r="C92" s="17" t="n">
        <f aca="false">IF(Rankings!C98&lt;=3,1,0)</f>
        <v>0</v>
      </c>
      <c r="D92" s="17" t="n">
        <f aca="false">IF(Rankings!D98&lt;=3,1,0)</f>
        <v>0</v>
      </c>
      <c r="E92" s="17" t="n">
        <f aca="false">IF(Rankings!E98&lt;=3,1,0)</f>
        <v>0</v>
      </c>
      <c r="F92" s="17" t="n">
        <f aca="false">IF(Rankings!F98&lt;=3,1,0)</f>
        <v>1</v>
      </c>
      <c r="G92" s="17" t="n">
        <f aca="false">IF(Rankings!G98&lt;=3,1,0)</f>
        <v>0</v>
      </c>
      <c r="H92" s="17" t="n">
        <f aca="false">IF(Rankings!H98&lt;=3,1,0)</f>
        <v>0</v>
      </c>
      <c r="I92" s="17" t="n">
        <f aca="false">IF(Rankings!I98&lt;=3,1,0)</f>
        <v>1</v>
      </c>
      <c r="J92" s="17" t="n">
        <f aca="false">IF(Rankings!J98&lt;=3,1,0)</f>
        <v>1</v>
      </c>
      <c r="K92" s="20" t="n">
        <f aca="false">SUM(C92:J92)</f>
        <v>3</v>
      </c>
      <c r="L92" s="16" t="n">
        <f aca="false">SUMPRODUCT(C92:J92,Returns!B96:I96)/K92</f>
        <v>0.0361266492710873</v>
      </c>
      <c r="M92" s="16" t="n">
        <f aca="false">-2*Assumptions!$B$13</f>
        <v>-0.007</v>
      </c>
      <c r="N92" s="16" t="n">
        <f aca="false">-Assumptions!$B$16*MAX(0,(1+O89)*(1+O90)*(1+O91)-1)</f>
        <v>-0</v>
      </c>
      <c r="O92" s="16" t="n">
        <f aca="false">L92+M92+N92</f>
        <v>0.0291266492710873</v>
      </c>
      <c r="P92" s="21" t="n">
        <f aca="false">P91*(1+O92)</f>
        <v>1.11751582330098</v>
      </c>
      <c r="Q92" s="21" t="n">
        <f aca="false">MAX($P$5:P92)</f>
        <v>1.75366194502288</v>
      </c>
      <c r="R92" s="16" t="n">
        <f aca="false">P92/Q92-1</f>
        <v>-0.362752994399731</v>
      </c>
      <c r="S92" s="16" t="n">
        <f aca="false">O92-Benchmark_RF!D92</f>
        <v>0.0160436745669554</v>
      </c>
    </row>
    <row r="93" customFormat="false" ht="15" hidden="false" customHeight="true" outlineLevel="0" collapsed="false">
      <c r="A93" s="1" t="n">
        <v>96</v>
      </c>
      <c r="B93" s="13" t="n">
        <f aca="false">Returns!A97</f>
        <v>44896</v>
      </c>
      <c r="C93" s="17" t="n">
        <f aca="false">IF(Rankings!C98&lt;=3,1,0)</f>
        <v>0</v>
      </c>
      <c r="D93" s="17" t="n">
        <f aca="false">IF(Rankings!D98&lt;=3,1,0)</f>
        <v>0</v>
      </c>
      <c r="E93" s="17" t="n">
        <f aca="false">IF(Rankings!E98&lt;=3,1,0)</f>
        <v>0</v>
      </c>
      <c r="F93" s="17" t="n">
        <f aca="false">IF(Rankings!F98&lt;=3,1,0)</f>
        <v>1</v>
      </c>
      <c r="G93" s="17" t="n">
        <f aca="false">IF(Rankings!G98&lt;=3,1,0)</f>
        <v>0</v>
      </c>
      <c r="H93" s="17" t="n">
        <f aca="false">IF(Rankings!H98&lt;=3,1,0)</f>
        <v>0</v>
      </c>
      <c r="I93" s="17" t="n">
        <f aca="false">IF(Rankings!I98&lt;=3,1,0)</f>
        <v>1</v>
      </c>
      <c r="J93" s="17" t="n">
        <f aca="false">IF(Rankings!J98&lt;=3,1,0)</f>
        <v>1</v>
      </c>
      <c r="K93" s="20" t="n">
        <f aca="false">SUM(C93:J93)</f>
        <v>3</v>
      </c>
      <c r="L93" s="16" t="n">
        <f aca="false">SUMPRODUCT(C93:J93,Returns!B97:I97)/K93</f>
        <v>-0.0892542304270679</v>
      </c>
      <c r="M93" s="16" t="n">
        <v>0</v>
      </c>
      <c r="N93" s="16" t="n">
        <v>0</v>
      </c>
      <c r="O93" s="16" t="n">
        <f aca="false">L93+M93+N93</f>
        <v>-0.0892542304270679</v>
      </c>
      <c r="P93" s="21" t="n">
        <f aca="false">P92*(1+O93)</f>
        <v>1.01777280850218</v>
      </c>
      <c r="Q93" s="21" t="n">
        <f aca="false">MAX($P$5:P93)</f>
        <v>1.75366194502288</v>
      </c>
      <c r="R93" s="16" t="n">
        <f aca="false">P93/Q93-1</f>
        <v>-0.419629985476536</v>
      </c>
      <c r="S93" s="16" t="n">
        <f aca="false">O93-Benchmark_RF!D93</f>
        <v>-0.102394971803414</v>
      </c>
    </row>
    <row r="94" customFormat="false" ht="15" hidden="false" customHeight="true" outlineLevel="0" collapsed="false">
      <c r="A94" s="1" t="n">
        <v>97</v>
      </c>
      <c r="B94" s="13" t="n">
        <f aca="false">Returns!A98</f>
        <v>44927</v>
      </c>
      <c r="C94" s="17" t="n">
        <f aca="false">IF(Rankings!C98&lt;=3,1,0)</f>
        <v>0</v>
      </c>
      <c r="D94" s="17" t="n">
        <f aca="false">IF(Rankings!D98&lt;=3,1,0)</f>
        <v>0</v>
      </c>
      <c r="E94" s="17" t="n">
        <f aca="false">IF(Rankings!E98&lt;=3,1,0)</f>
        <v>0</v>
      </c>
      <c r="F94" s="17" t="n">
        <f aca="false">IF(Rankings!F98&lt;=3,1,0)</f>
        <v>1</v>
      </c>
      <c r="G94" s="17" t="n">
        <f aca="false">IF(Rankings!G98&lt;=3,1,0)</f>
        <v>0</v>
      </c>
      <c r="H94" s="17" t="n">
        <f aca="false">IF(Rankings!H98&lt;=3,1,0)</f>
        <v>0</v>
      </c>
      <c r="I94" s="17" t="n">
        <f aca="false">IF(Rankings!I98&lt;=3,1,0)</f>
        <v>1</v>
      </c>
      <c r="J94" s="17" t="n">
        <f aca="false">IF(Rankings!J98&lt;=3,1,0)</f>
        <v>1</v>
      </c>
      <c r="K94" s="20" t="n">
        <f aca="false">SUM(C94:J94)</f>
        <v>3</v>
      </c>
      <c r="L94" s="16" t="n">
        <f aca="false">SUMPRODUCT(C94:J94,Returns!B98:I98)/K94</f>
        <v>-0.0195746705462456</v>
      </c>
      <c r="M94" s="16" t="n">
        <v>0</v>
      </c>
      <c r="N94" s="16" t="n">
        <v>0</v>
      </c>
      <c r="O94" s="16" t="n">
        <f aca="false">L94+M94+N94</f>
        <v>-0.0195746705462456</v>
      </c>
      <c r="P94" s="21" t="n">
        <f aca="false">P93*(1+O94)</f>
        <v>0.997850241084819</v>
      </c>
      <c r="Q94" s="21" t="n">
        <f aca="false">MAX($P$5:P94)</f>
        <v>1.75366194502288</v>
      </c>
      <c r="R94" s="16" t="n">
        <f aca="false">P94/Q94-1</f>
        <v>-0.430990537305753</v>
      </c>
      <c r="S94" s="16" t="n">
        <f aca="false">O94-Benchmark_RF!D94</f>
        <v>-0.0333341265745752</v>
      </c>
    </row>
    <row r="95" customFormat="false" ht="15" hidden="false" customHeight="true" outlineLevel="0" collapsed="false">
      <c r="A95" s="1" t="n">
        <v>98</v>
      </c>
      <c r="B95" s="13" t="n">
        <f aca="false">Returns!A99</f>
        <v>44958</v>
      </c>
      <c r="C95" s="17" t="n">
        <f aca="false">IF(Rankings!C101&lt;=3,1,0)</f>
        <v>0</v>
      </c>
      <c r="D95" s="17" t="n">
        <f aca="false">IF(Rankings!D101&lt;=3,1,0)</f>
        <v>1</v>
      </c>
      <c r="E95" s="17" t="n">
        <f aca="false">IF(Rankings!E101&lt;=3,1,0)</f>
        <v>0</v>
      </c>
      <c r="F95" s="17" t="n">
        <f aca="false">IF(Rankings!F101&lt;=3,1,0)</f>
        <v>0</v>
      </c>
      <c r="G95" s="17" t="n">
        <f aca="false">IF(Rankings!G101&lt;=3,1,0)</f>
        <v>1</v>
      </c>
      <c r="H95" s="17" t="n">
        <f aca="false">IF(Rankings!H101&lt;=3,1,0)</f>
        <v>0</v>
      </c>
      <c r="I95" s="17" t="n">
        <f aca="false">IF(Rankings!I101&lt;=3,1,0)</f>
        <v>0</v>
      </c>
      <c r="J95" s="17" t="n">
        <f aca="false">IF(Rankings!J101&lt;=3,1,0)</f>
        <v>1</v>
      </c>
      <c r="K95" s="20" t="n">
        <f aca="false">SUM(C95:J95)</f>
        <v>3</v>
      </c>
      <c r="L95" s="16" t="n">
        <f aca="false">SUMPRODUCT(C95:J95,Returns!B99:I99)/K95</f>
        <v>-0.00540847399900453</v>
      </c>
      <c r="M95" s="16" t="n">
        <f aca="false">-2*Assumptions!$B$13</f>
        <v>-0.007</v>
      </c>
      <c r="N95" s="16" t="n">
        <f aca="false">-Assumptions!$B$16*MAX(0,(1+O92)*(1+O93)*(1+O94)-1)</f>
        <v>-0</v>
      </c>
      <c r="O95" s="16" t="n">
        <f aca="false">L95+M95+N95</f>
        <v>-0.0124084739990045</v>
      </c>
      <c r="P95" s="21" t="n">
        <f aca="false">P94*(1+O95)</f>
        <v>0.985468442313418</v>
      </c>
      <c r="Q95" s="21" t="n">
        <f aca="false">MAX($P$5:P95)</f>
        <v>1.75366194502288</v>
      </c>
      <c r="R95" s="16" t="n">
        <f aca="false">P95/Q95-1</f>
        <v>-0.438051076428782</v>
      </c>
      <c r="S95" s="16" t="n">
        <f aca="false">O95-Benchmark_RF!D95</f>
        <v>-0.027201798301793</v>
      </c>
    </row>
    <row r="96" customFormat="false" ht="15" hidden="false" customHeight="true" outlineLevel="0" collapsed="false">
      <c r="A96" s="1" t="n">
        <v>99</v>
      </c>
      <c r="B96" s="13" t="n">
        <f aca="false">Returns!A100</f>
        <v>44986</v>
      </c>
      <c r="C96" s="17" t="n">
        <f aca="false">IF(Rankings!C101&lt;=3,1,0)</f>
        <v>0</v>
      </c>
      <c r="D96" s="17" t="n">
        <f aca="false">IF(Rankings!D101&lt;=3,1,0)</f>
        <v>1</v>
      </c>
      <c r="E96" s="17" t="n">
        <f aca="false">IF(Rankings!E101&lt;=3,1,0)</f>
        <v>0</v>
      </c>
      <c r="F96" s="17" t="n">
        <f aca="false">IF(Rankings!F101&lt;=3,1,0)</f>
        <v>0</v>
      </c>
      <c r="G96" s="17" t="n">
        <f aca="false">IF(Rankings!G101&lt;=3,1,0)</f>
        <v>1</v>
      </c>
      <c r="H96" s="17" t="n">
        <f aca="false">IF(Rankings!H101&lt;=3,1,0)</f>
        <v>0</v>
      </c>
      <c r="I96" s="17" t="n">
        <f aca="false">IF(Rankings!I101&lt;=3,1,0)</f>
        <v>0</v>
      </c>
      <c r="J96" s="17" t="n">
        <f aca="false">IF(Rankings!J101&lt;=3,1,0)</f>
        <v>1</v>
      </c>
      <c r="K96" s="20" t="n">
        <f aca="false">SUM(C96:J96)</f>
        <v>3</v>
      </c>
      <c r="L96" s="16" t="n">
        <f aca="false">SUMPRODUCT(C96:J96,Returns!B100:I100)/K96</f>
        <v>0.0121232400987629</v>
      </c>
      <c r="M96" s="16" t="n">
        <v>0</v>
      </c>
      <c r="N96" s="16" t="n">
        <v>0</v>
      </c>
      <c r="O96" s="16" t="n">
        <f aca="false">L96+M96+N96</f>
        <v>0.0121232400987629</v>
      </c>
      <c r="P96" s="21" t="n">
        <f aca="false">P95*(1+O96)</f>
        <v>0.997415512849337</v>
      </c>
      <c r="Q96" s="21" t="n">
        <f aca="false">MAX($P$5:P96)</f>
        <v>1.75366194502288</v>
      </c>
      <c r="R96" s="16" t="n">
        <f aca="false">P96/Q96-1</f>
        <v>-0.431238434705087</v>
      </c>
      <c r="S96" s="16" t="n">
        <f aca="false">O96-Benchmark_RF!D96</f>
        <v>-0.003930602097315</v>
      </c>
    </row>
    <row r="97" customFormat="false" ht="15" hidden="false" customHeight="true" outlineLevel="0" collapsed="false">
      <c r="A97" s="1" t="n">
        <v>100</v>
      </c>
      <c r="B97" s="13" t="n">
        <f aca="false">Returns!A101</f>
        <v>45017</v>
      </c>
      <c r="C97" s="17" t="n">
        <f aca="false">IF(Rankings!C101&lt;=3,1,0)</f>
        <v>0</v>
      </c>
      <c r="D97" s="17" t="n">
        <f aca="false">IF(Rankings!D101&lt;=3,1,0)</f>
        <v>1</v>
      </c>
      <c r="E97" s="17" t="n">
        <f aca="false">IF(Rankings!E101&lt;=3,1,0)</f>
        <v>0</v>
      </c>
      <c r="F97" s="17" t="n">
        <f aca="false">IF(Rankings!F101&lt;=3,1,0)</f>
        <v>0</v>
      </c>
      <c r="G97" s="17" t="n">
        <f aca="false">IF(Rankings!G101&lt;=3,1,0)</f>
        <v>1</v>
      </c>
      <c r="H97" s="17" t="n">
        <f aca="false">IF(Rankings!H101&lt;=3,1,0)</f>
        <v>0</v>
      </c>
      <c r="I97" s="17" t="n">
        <f aca="false">IF(Rankings!I101&lt;=3,1,0)</f>
        <v>0</v>
      </c>
      <c r="J97" s="17" t="n">
        <f aca="false">IF(Rankings!J101&lt;=3,1,0)</f>
        <v>1</v>
      </c>
      <c r="K97" s="20" t="n">
        <f aca="false">SUM(C97:J97)</f>
        <v>3</v>
      </c>
      <c r="L97" s="16" t="n">
        <f aca="false">SUMPRODUCT(C97:J97,Returns!B101:I101)/K97</f>
        <v>0.0285555390347579</v>
      </c>
      <c r="M97" s="16" t="n">
        <v>0</v>
      </c>
      <c r="N97" s="16" t="n">
        <v>0</v>
      </c>
      <c r="O97" s="16" t="n">
        <f aca="false">L97+M97+N97</f>
        <v>0.0285555390347579</v>
      </c>
      <c r="P97" s="21" t="n">
        <f aca="false">P96*(1+O97)</f>
        <v>1.02589725046038</v>
      </c>
      <c r="Q97" s="21" t="n">
        <f aca="false">MAX($P$5:P97)</f>
        <v>1.75366194502288</v>
      </c>
      <c r="R97" s="16" t="n">
        <f aca="false">P97/Q97-1</f>
        <v>-0.414997141625838</v>
      </c>
      <c r="S97" s="16" t="n">
        <f aca="false">O97-Benchmark_RF!D97</f>
        <v>0.011860465672066</v>
      </c>
    </row>
    <row r="98" customFormat="false" ht="15" hidden="false" customHeight="true" outlineLevel="0" collapsed="false">
      <c r="A98" s="1" t="n">
        <v>101</v>
      </c>
      <c r="B98" s="13" t="n">
        <f aca="false">Returns!A102</f>
        <v>45047</v>
      </c>
      <c r="C98" s="17" t="n">
        <f aca="false">IF(Rankings!C104&lt;=3,1,0)</f>
        <v>0</v>
      </c>
      <c r="D98" s="17" t="n">
        <f aca="false">IF(Rankings!D104&lt;=3,1,0)</f>
        <v>1</v>
      </c>
      <c r="E98" s="17" t="n">
        <f aca="false">IF(Rankings!E104&lt;=3,1,0)</f>
        <v>0</v>
      </c>
      <c r="F98" s="17" t="n">
        <f aca="false">IF(Rankings!F104&lt;=3,1,0)</f>
        <v>0</v>
      </c>
      <c r="G98" s="17" t="n">
        <f aca="false">IF(Rankings!G104&lt;=3,1,0)</f>
        <v>0</v>
      </c>
      <c r="H98" s="17" t="n">
        <f aca="false">IF(Rankings!H104&lt;=3,1,0)</f>
        <v>1</v>
      </c>
      <c r="I98" s="17" t="n">
        <f aca="false">IF(Rankings!I104&lt;=3,1,0)</f>
        <v>0</v>
      </c>
      <c r="J98" s="17" t="n">
        <f aca="false">IF(Rankings!J104&lt;=3,1,0)</f>
        <v>1</v>
      </c>
      <c r="K98" s="20" t="n">
        <f aca="false">SUM(C98:J98)</f>
        <v>3</v>
      </c>
      <c r="L98" s="16" t="n">
        <f aca="false">SUMPRODUCT(C98:J98,Returns!B102:I102)/K98</f>
        <v>-0.0510949140182745</v>
      </c>
      <c r="M98" s="16" t="n">
        <f aca="false">-2*Assumptions!$B$13</f>
        <v>-0.007</v>
      </c>
      <c r="N98" s="16" t="n">
        <f aca="false">-Assumptions!$B$16*MAX(0,(1+O95)*(1+O96)*(1+O97)-1)</f>
        <v>-0.00421611503722276</v>
      </c>
      <c r="O98" s="16" t="n">
        <f aca="false">L98+M98+N98</f>
        <v>-0.0623110290554972</v>
      </c>
      <c r="P98" s="21" t="n">
        <f aca="false">P97*(1+O98)</f>
        <v>0.961972537078988</v>
      </c>
      <c r="Q98" s="21" t="n">
        <f aca="false">MAX($P$5:P98)</f>
        <v>1.75366194502288</v>
      </c>
      <c r="R98" s="16" t="n">
        <f aca="false">P98/Q98-1</f>
        <v>-0.451449271731539</v>
      </c>
      <c r="S98" s="16" t="n">
        <f aca="false">O98-Benchmark_RF!D98</f>
        <v>-0.079006102418189</v>
      </c>
    </row>
    <row r="99" customFormat="false" ht="15" hidden="false" customHeight="true" outlineLevel="0" collapsed="false">
      <c r="A99" s="1" t="n">
        <v>102</v>
      </c>
      <c r="B99" s="13" t="n">
        <f aca="false">Returns!A103</f>
        <v>45078</v>
      </c>
      <c r="C99" s="17" t="n">
        <f aca="false">IF(Rankings!C104&lt;=3,1,0)</f>
        <v>0</v>
      </c>
      <c r="D99" s="17" t="n">
        <f aca="false">IF(Rankings!D104&lt;=3,1,0)</f>
        <v>1</v>
      </c>
      <c r="E99" s="17" t="n">
        <f aca="false">IF(Rankings!E104&lt;=3,1,0)</f>
        <v>0</v>
      </c>
      <c r="F99" s="17" t="n">
        <f aca="false">IF(Rankings!F104&lt;=3,1,0)</f>
        <v>0</v>
      </c>
      <c r="G99" s="17" t="n">
        <f aca="false">IF(Rankings!G104&lt;=3,1,0)</f>
        <v>0</v>
      </c>
      <c r="H99" s="17" t="n">
        <f aca="false">IF(Rankings!H104&lt;=3,1,0)</f>
        <v>1</v>
      </c>
      <c r="I99" s="17" t="n">
        <f aca="false">IF(Rankings!I104&lt;=3,1,0)</f>
        <v>0</v>
      </c>
      <c r="J99" s="17" t="n">
        <f aca="false">IF(Rankings!J104&lt;=3,1,0)</f>
        <v>1</v>
      </c>
      <c r="K99" s="20" t="n">
        <f aca="false">SUM(C99:J99)</f>
        <v>3</v>
      </c>
      <c r="L99" s="16" t="n">
        <f aca="false">SUMPRODUCT(C99:J99,Returns!B103:I103)/K99</f>
        <v>-0.0266891512731755</v>
      </c>
      <c r="M99" s="16" t="n">
        <v>0</v>
      </c>
      <c r="N99" s="16" t="n">
        <v>0</v>
      </c>
      <c r="O99" s="16" t="n">
        <f aca="false">L99+M99+N99</f>
        <v>-0.0266891512731755</v>
      </c>
      <c r="P99" s="21" t="n">
        <f aca="false">P98*(1+O99)</f>
        <v>0.936298306516247</v>
      </c>
      <c r="Q99" s="21" t="n">
        <f aca="false">MAX($P$5:P99)</f>
        <v>1.75366194502288</v>
      </c>
      <c r="R99" s="16" t="n">
        <f aca="false">P99/Q99-1</f>
        <v>-0.466089625099307</v>
      </c>
      <c r="S99" s="16" t="n">
        <f aca="false">O99-Benchmark_RF!D99</f>
        <v>-0.0433911701520285</v>
      </c>
    </row>
    <row r="100" customFormat="false" ht="15" hidden="false" customHeight="true" outlineLevel="0" collapsed="false">
      <c r="A100" s="1" t="n">
        <v>103</v>
      </c>
      <c r="B100" s="13" t="n">
        <f aca="false">Returns!A104</f>
        <v>45108</v>
      </c>
      <c r="C100" s="17" t="n">
        <f aca="false">IF(Rankings!C104&lt;=3,1,0)</f>
        <v>0</v>
      </c>
      <c r="D100" s="17" t="n">
        <f aca="false">IF(Rankings!D104&lt;=3,1,0)</f>
        <v>1</v>
      </c>
      <c r="E100" s="17" t="n">
        <f aca="false">IF(Rankings!E104&lt;=3,1,0)</f>
        <v>0</v>
      </c>
      <c r="F100" s="17" t="n">
        <f aca="false">IF(Rankings!F104&lt;=3,1,0)</f>
        <v>0</v>
      </c>
      <c r="G100" s="17" t="n">
        <f aca="false">IF(Rankings!G104&lt;=3,1,0)</f>
        <v>0</v>
      </c>
      <c r="H100" s="17" t="n">
        <f aca="false">IF(Rankings!H104&lt;=3,1,0)</f>
        <v>1</v>
      </c>
      <c r="I100" s="17" t="n">
        <f aca="false">IF(Rankings!I104&lt;=3,1,0)</f>
        <v>0</v>
      </c>
      <c r="J100" s="17" t="n">
        <f aca="false">IF(Rankings!J104&lt;=3,1,0)</f>
        <v>1</v>
      </c>
      <c r="K100" s="20" t="n">
        <f aca="false">SUM(C100:J100)</f>
        <v>3</v>
      </c>
      <c r="L100" s="16" t="n">
        <f aca="false">SUMPRODUCT(C100:J100,Returns!B104:I104)/K100</f>
        <v>0.207670613112125</v>
      </c>
      <c r="M100" s="16" t="n">
        <v>0</v>
      </c>
      <c r="N100" s="16" t="n">
        <v>0</v>
      </c>
      <c r="O100" s="16" t="n">
        <f aca="false">L100+M100+N100</f>
        <v>0.207670613112125</v>
      </c>
      <c r="P100" s="21" t="n">
        <f aca="false">P99*(1+O100)</f>
        <v>1.13073994988632</v>
      </c>
      <c r="Q100" s="21" t="n">
        <f aca="false">MAX($P$5:P100)</f>
        <v>1.75366194502288</v>
      </c>
      <c r="R100" s="16" t="n">
        <f aca="false">P100/Q100-1</f>
        <v>-0.355212130196755</v>
      </c>
      <c r="S100" s="16" t="n">
        <f aca="false">O100-Benchmark_RF!D100</f>
        <v>0.190340520158331</v>
      </c>
    </row>
    <row r="101" customFormat="false" ht="15" hidden="false" customHeight="true" outlineLevel="0" collapsed="false">
      <c r="A101" s="1" t="n">
        <v>104</v>
      </c>
      <c r="B101" s="13" t="n">
        <f aca="false">Returns!A105</f>
        <v>45139</v>
      </c>
      <c r="C101" s="17" t="n">
        <f aca="false">IF(Rankings!C107&lt;=3,1,0)</f>
        <v>1</v>
      </c>
      <c r="D101" s="17" t="n">
        <f aca="false">IF(Rankings!D107&lt;=3,1,0)</f>
        <v>0</v>
      </c>
      <c r="E101" s="17" t="n">
        <f aca="false">IF(Rankings!E107&lt;=3,1,0)</f>
        <v>0</v>
      </c>
      <c r="F101" s="17" t="n">
        <f aca="false">IF(Rankings!F107&lt;=3,1,0)</f>
        <v>1</v>
      </c>
      <c r="G101" s="17" t="n">
        <f aca="false">IF(Rankings!G107&lt;=3,1,0)</f>
        <v>0</v>
      </c>
      <c r="H101" s="17" t="n">
        <f aca="false">IF(Rankings!H107&lt;=3,1,0)</f>
        <v>1</v>
      </c>
      <c r="I101" s="17" t="n">
        <f aca="false">IF(Rankings!I107&lt;=3,1,0)</f>
        <v>0</v>
      </c>
      <c r="J101" s="17" t="n">
        <f aca="false">IF(Rankings!J107&lt;=3,1,0)</f>
        <v>0</v>
      </c>
      <c r="K101" s="20" t="n">
        <f aca="false">SUM(C101:J101)</f>
        <v>3</v>
      </c>
      <c r="L101" s="16" t="n">
        <f aca="false">SUMPRODUCT(C101:J101,Returns!B105:I105)/K101</f>
        <v>-0.0661234782797656</v>
      </c>
      <c r="M101" s="16" t="n">
        <f aca="false">-2*Assumptions!$B$13</f>
        <v>-0.007</v>
      </c>
      <c r="N101" s="16" t="n">
        <f aca="false">-Assumptions!$B$16*MAX(0,(1+O98)*(1+O99)*(1+O100)-1)</f>
        <v>-0.0153294152088172</v>
      </c>
      <c r="O101" s="16" t="n">
        <f aca="false">L101+M101+N101</f>
        <v>-0.0884528934885827</v>
      </c>
      <c r="P101" s="21" t="n">
        <f aca="false">P100*(1+O101)</f>
        <v>1.03072272953574</v>
      </c>
      <c r="Q101" s="21" t="n">
        <f aca="false">MAX($P$5:P101)</f>
        <v>1.75366194502288</v>
      </c>
      <c r="R101" s="16" t="n">
        <f aca="false">P101/Q101-1</f>
        <v>-0.412245482967192</v>
      </c>
      <c r="S101" s="16" t="n">
        <f aca="false">O101-Benchmark_RF!D101</f>
        <v>-0.105764083348307</v>
      </c>
    </row>
    <row r="102" customFormat="false" ht="15" hidden="false" customHeight="true" outlineLevel="0" collapsed="false">
      <c r="A102" s="1" t="n">
        <v>105</v>
      </c>
      <c r="B102" s="13" t="n">
        <f aca="false">Returns!A106</f>
        <v>45170</v>
      </c>
      <c r="C102" s="17" t="n">
        <f aca="false">IF(Rankings!C107&lt;=3,1,0)</f>
        <v>1</v>
      </c>
      <c r="D102" s="17" t="n">
        <f aca="false">IF(Rankings!D107&lt;=3,1,0)</f>
        <v>0</v>
      </c>
      <c r="E102" s="17" t="n">
        <f aca="false">IF(Rankings!E107&lt;=3,1,0)</f>
        <v>0</v>
      </c>
      <c r="F102" s="17" t="n">
        <f aca="false">IF(Rankings!F107&lt;=3,1,0)</f>
        <v>1</v>
      </c>
      <c r="G102" s="17" t="n">
        <f aca="false">IF(Rankings!G107&lt;=3,1,0)</f>
        <v>0</v>
      </c>
      <c r="H102" s="17" t="n">
        <f aca="false">IF(Rankings!H107&lt;=3,1,0)</f>
        <v>1</v>
      </c>
      <c r="I102" s="17" t="n">
        <f aca="false">IF(Rankings!I107&lt;=3,1,0)</f>
        <v>0</v>
      </c>
      <c r="J102" s="17" t="n">
        <f aca="false">IF(Rankings!J107&lt;=3,1,0)</f>
        <v>0</v>
      </c>
      <c r="K102" s="20" t="n">
        <f aca="false">SUM(C102:J102)</f>
        <v>3</v>
      </c>
      <c r="L102" s="16" t="n">
        <f aca="false">SUMPRODUCT(C102:J102,Returns!B106:I106)/K102</f>
        <v>0.00281252478283452</v>
      </c>
      <c r="M102" s="16" t="n">
        <v>0</v>
      </c>
      <c r="N102" s="16" t="n">
        <v>0</v>
      </c>
      <c r="O102" s="16" t="n">
        <f aca="false">L102+M102+N102</f>
        <v>0.00281252478283452</v>
      </c>
      <c r="P102" s="21" t="n">
        <f aca="false">P101*(1+O102)</f>
        <v>1.03362166275679</v>
      </c>
      <c r="Q102" s="21" t="n">
        <f aca="false">MAX($P$5:P102)</f>
        <v>1.75366194502288</v>
      </c>
      <c r="R102" s="16" t="n">
        <f aca="false">P102/Q102-1</f>
        <v>-0.410592408821814</v>
      </c>
      <c r="S102" s="16" t="n">
        <f aca="false">O102-Benchmark_RF!D102</f>
        <v>-0.0144202518814292</v>
      </c>
    </row>
    <row r="103" customFormat="false" ht="15" hidden="false" customHeight="true" outlineLevel="0" collapsed="false">
      <c r="A103" s="1" t="n">
        <v>106</v>
      </c>
      <c r="B103" s="13" t="n">
        <f aca="false">Returns!A107</f>
        <v>45200</v>
      </c>
      <c r="C103" s="17" t="n">
        <f aca="false">IF(Rankings!C107&lt;=3,1,0)</f>
        <v>1</v>
      </c>
      <c r="D103" s="17" t="n">
        <f aca="false">IF(Rankings!D107&lt;=3,1,0)</f>
        <v>0</v>
      </c>
      <c r="E103" s="17" t="n">
        <f aca="false">IF(Rankings!E107&lt;=3,1,0)</f>
        <v>0</v>
      </c>
      <c r="F103" s="17" t="n">
        <f aca="false">IF(Rankings!F107&lt;=3,1,0)</f>
        <v>1</v>
      </c>
      <c r="G103" s="17" t="n">
        <f aca="false">IF(Rankings!G107&lt;=3,1,0)</f>
        <v>0</v>
      </c>
      <c r="H103" s="17" t="n">
        <f aca="false">IF(Rankings!H107&lt;=3,1,0)</f>
        <v>1</v>
      </c>
      <c r="I103" s="17" t="n">
        <f aca="false">IF(Rankings!I107&lt;=3,1,0)</f>
        <v>0</v>
      </c>
      <c r="J103" s="17" t="n">
        <f aca="false">IF(Rankings!J107&lt;=3,1,0)</f>
        <v>0</v>
      </c>
      <c r="K103" s="20" t="n">
        <f aca="false">SUM(C103:J103)</f>
        <v>3</v>
      </c>
      <c r="L103" s="16" t="n">
        <f aca="false">SUMPRODUCT(C103:J103,Returns!B107:I107)/K103</f>
        <v>0.110729093966947</v>
      </c>
      <c r="M103" s="16" t="n">
        <v>0</v>
      </c>
      <c r="N103" s="16" t="n">
        <v>0</v>
      </c>
      <c r="O103" s="16" t="n">
        <f aca="false">L103+M103+N103</f>
        <v>0.110729093966947</v>
      </c>
      <c r="P103" s="21" t="n">
        <f aca="false">P102*(1+O103)</f>
        <v>1.14807365297846</v>
      </c>
      <c r="Q103" s="21" t="n">
        <f aca="false">MAX($P$5:P103)</f>
        <v>1.75366194502288</v>
      </c>
      <c r="R103" s="16" t="n">
        <f aca="false">P103/Q103-1</f>
        <v>-0.345327840273413</v>
      </c>
      <c r="S103" s="16" t="n">
        <f aca="false">O103-Benchmark_RF!D103</f>
        <v>0.0939229549260882</v>
      </c>
    </row>
    <row r="104" customFormat="false" ht="15" hidden="false" customHeight="true" outlineLevel="0" collapsed="false">
      <c r="A104" s="1" t="n">
        <v>107</v>
      </c>
      <c r="B104" s="13" t="n">
        <f aca="false">Returns!A108</f>
        <v>45231</v>
      </c>
      <c r="C104" s="17" t="n">
        <f aca="false">IF(Rankings!C110&lt;=3,1,0)</f>
        <v>1</v>
      </c>
      <c r="D104" s="17" t="n">
        <f aca="false">IF(Rankings!D110&lt;=3,1,0)</f>
        <v>0</v>
      </c>
      <c r="E104" s="17" t="n">
        <f aca="false">IF(Rankings!E110&lt;=3,1,0)</f>
        <v>0</v>
      </c>
      <c r="F104" s="17" t="n">
        <f aca="false">IF(Rankings!F110&lt;=3,1,0)</f>
        <v>1</v>
      </c>
      <c r="G104" s="17" t="n">
        <f aca="false">IF(Rankings!G110&lt;=3,1,0)</f>
        <v>0</v>
      </c>
      <c r="H104" s="17" t="n">
        <f aca="false">IF(Rankings!H110&lt;=3,1,0)</f>
        <v>1</v>
      </c>
      <c r="I104" s="17" t="n">
        <f aca="false">IF(Rankings!I110&lt;=3,1,0)</f>
        <v>0</v>
      </c>
      <c r="J104" s="17" t="n">
        <f aca="false">IF(Rankings!J110&lt;=3,1,0)</f>
        <v>0</v>
      </c>
      <c r="K104" s="20" t="n">
        <f aca="false">SUM(C104:J104)</f>
        <v>3</v>
      </c>
      <c r="L104" s="16" t="n">
        <f aca="false">SUMPRODUCT(C104:J104,Returns!B108:I108)/K104</f>
        <v>0.0894132742504564</v>
      </c>
      <c r="M104" s="16" t="n">
        <f aca="false">-2*Assumptions!$B$13</f>
        <v>-0.007</v>
      </c>
      <c r="N104" s="16" t="n">
        <f aca="false">-Assumptions!$B$16*MAX(0,(1+O101)*(1+O102)*(1+O103)-1)</f>
        <v>-0.00229942832043942</v>
      </c>
      <c r="O104" s="16" t="n">
        <f aca="false">L104+M104+N104</f>
        <v>0.080113845930017</v>
      </c>
      <c r="P104" s="21" t="n">
        <f aca="false">P103*(1+O104)</f>
        <v>1.24005024872949</v>
      </c>
      <c r="Q104" s="21" t="n">
        <f aca="false">MAX($P$5:P104)</f>
        <v>1.75366194502288</v>
      </c>
      <c r="R104" s="16" t="n">
        <f aca="false">P104/Q104-1</f>
        <v>-0.292879535734405</v>
      </c>
      <c r="S104" s="16" t="n">
        <f aca="false">O104-Benchmark_RF!D104</f>
        <v>0.0638643748907598</v>
      </c>
    </row>
    <row r="105" customFormat="false" ht="15" hidden="false" customHeight="true" outlineLevel="0" collapsed="false">
      <c r="A105" s="1" t="n">
        <v>108</v>
      </c>
      <c r="B105" s="13" t="n">
        <f aca="false">Returns!A109</f>
        <v>45261</v>
      </c>
      <c r="C105" s="17" t="n">
        <f aca="false">IF(Rankings!C110&lt;=3,1,0)</f>
        <v>1</v>
      </c>
      <c r="D105" s="17" t="n">
        <f aca="false">IF(Rankings!D110&lt;=3,1,0)</f>
        <v>0</v>
      </c>
      <c r="E105" s="17" t="n">
        <f aca="false">IF(Rankings!E110&lt;=3,1,0)</f>
        <v>0</v>
      </c>
      <c r="F105" s="17" t="n">
        <f aca="false">IF(Rankings!F110&lt;=3,1,0)</f>
        <v>1</v>
      </c>
      <c r="G105" s="17" t="n">
        <f aca="false">IF(Rankings!G110&lt;=3,1,0)</f>
        <v>0</v>
      </c>
      <c r="H105" s="17" t="n">
        <f aca="false">IF(Rankings!H110&lt;=3,1,0)</f>
        <v>1</v>
      </c>
      <c r="I105" s="17" t="n">
        <f aca="false">IF(Rankings!I110&lt;=3,1,0)</f>
        <v>0</v>
      </c>
      <c r="J105" s="17" t="n">
        <f aca="false">IF(Rankings!J110&lt;=3,1,0)</f>
        <v>0</v>
      </c>
      <c r="K105" s="20" t="n">
        <f aca="false">SUM(C105:J105)</f>
        <v>3</v>
      </c>
      <c r="L105" s="16" t="n">
        <f aca="false">SUMPRODUCT(C105:J105,Returns!B109:I109)/K105</f>
        <v>0.0221539242205228</v>
      </c>
      <c r="M105" s="16" t="n">
        <v>0</v>
      </c>
      <c r="N105" s="16" t="n">
        <v>0</v>
      </c>
      <c r="O105" s="16" t="n">
        <f aca="false">L105+M105+N105</f>
        <v>0.0221539242205228</v>
      </c>
      <c r="P105" s="21" t="n">
        <f aca="false">P104*(1+O105)</f>
        <v>1.26752222796948</v>
      </c>
      <c r="Q105" s="21" t="n">
        <f aca="false">MAX($P$5:P105)</f>
        <v>1.75366194502288</v>
      </c>
      <c r="R105" s="16" t="n">
        <f aca="false">P105/Q105-1</f>
        <v>-0.277214042554284</v>
      </c>
      <c r="S105" s="16" t="n">
        <f aca="false">O105-Benchmark_RF!D105</f>
        <v>0.00591841293968557</v>
      </c>
    </row>
    <row r="106" customFormat="false" ht="15" hidden="false" customHeight="true" outlineLevel="0" collapsed="false">
      <c r="A106" s="1" t="n">
        <v>109</v>
      </c>
      <c r="B106" s="13" t="n">
        <f aca="false">Returns!A110</f>
        <v>45292</v>
      </c>
      <c r="C106" s="17" t="n">
        <f aca="false">IF(Rankings!C110&lt;=3,1,0)</f>
        <v>1</v>
      </c>
      <c r="D106" s="17" t="n">
        <f aca="false">IF(Rankings!D110&lt;=3,1,0)</f>
        <v>0</v>
      </c>
      <c r="E106" s="17" t="n">
        <f aca="false">IF(Rankings!E110&lt;=3,1,0)</f>
        <v>0</v>
      </c>
      <c r="F106" s="17" t="n">
        <f aca="false">IF(Rankings!F110&lt;=3,1,0)</f>
        <v>1</v>
      </c>
      <c r="G106" s="17" t="n">
        <f aca="false">IF(Rankings!G110&lt;=3,1,0)</f>
        <v>0</v>
      </c>
      <c r="H106" s="17" t="n">
        <f aca="false">IF(Rankings!H110&lt;=3,1,0)</f>
        <v>1</v>
      </c>
      <c r="I106" s="17" t="n">
        <f aca="false">IF(Rankings!I110&lt;=3,1,0)</f>
        <v>0</v>
      </c>
      <c r="J106" s="17" t="n">
        <f aca="false">IF(Rankings!J110&lt;=3,1,0)</f>
        <v>0</v>
      </c>
      <c r="K106" s="20" t="n">
        <f aca="false">SUM(C106:J106)</f>
        <v>3</v>
      </c>
      <c r="L106" s="16" t="n">
        <f aca="false">SUMPRODUCT(C106:J106,Returns!B110:I110)/K106</f>
        <v>0.0819995040709863</v>
      </c>
      <c r="M106" s="16" t="n">
        <v>0</v>
      </c>
      <c r="N106" s="16" t="n">
        <v>0</v>
      </c>
      <c r="O106" s="16" t="n">
        <f aca="false">L106+M106+N106</f>
        <v>0.0819995040709863</v>
      </c>
      <c r="P106" s="21" t="n">
        <f aca="false">P105*(1+O106)</f>
        <v>1.37145842206193</v>
      </c>
      <c r="Q106" s="21" t="n">
        <f aca="false">MAX($P$5:P106)</f>
        <v>1.75366194502288</v>
      </c>
      <c r="R106" s="16" t="n">
        <f aca="false">P106/Q106-1</f>
        <v>-0.217945952494263</v>
      </c>
      <c r="S106" s="16" t="n">
        <f aca="false">O106-Benchmark_RF!D106</f>
        <v>0.0660105903818844</v>
      </c>
    </row>
    <row r="107" customFormat="false" ht="15" hidden="false" customHeight="true" outlineLevel="0" collapsed="false">
      <c r="A107" s="1" t="n">
        <v>110</v>
      </c>
      <c r="B107" s="13" t="n">
        <f aca="false">Returns!A111</f>
        <v>45323</v>
      </c>
      <c r="C107" s="17" t="n">
        <f aca="false">IF(Rankings!C113&lt;=3,1,0)</f>
        <v>0</v>
      </c>
      <c r="D107" s="17" t="n">
        <f aca="false">IF(Rankings!D113&lt;=3,1,0)</f>
        <v>1</v>
      </c>
      <c r="E107" s="17" t="n">
        <f aca="false">IF(Rankings!E113&lt;=3,1,0)</f>
        <v>0</v>
      </c>
      <c r="F107" s="17" t="n">
        <f aca="false">IF(Rankings!F113&lt;=3,1,0)</f>
        <v>0</v>
      </c>
      <c r="G107" s="17" t="n">
        <f aca="false">IF(Rankings!G113&lt;=3,1,0)</f>
        <v>0</v>
      </c>
      <c r="H107" s="17" t="n">
        <f aca="false">IF(Rankings!H113&lt;=3,1,0)</f>
        <v>1</v>
      </c>
      <c r="I107" s="17" t="n">
        <f aca="false">IF(Rankings!I113&lt;=3,1,0)</f>
        <v>1</v>
      </c>
      <c r="J107" s="17" t="n">
        <f aca="false">IF(Rankings!J113&lt;=3,1,0)</f>
        <v>0</v>
      </c>
      <c r="K107" s="20" t="n">
        <f aca="false">SUM(C107:J107)</f>
        <v>3</v>
      </c>
      <c r="L107" s="16" t="n">
        <f aca="false">SUMPRODUCT(C107:J107,Returns!B111:I111)/K107</f>
        <v>0.307774959526435</v>
      </c>
      <c r="M107" s="16" t="n">
        <f aca="false">-2*Assumptions!$B$13</f>
        <v>-0.007</v>
      </c>
      <c r="N107" s="16" t="n">
        <f aca="false">-Assumptions!$B$16*MAX(0,(1+O104)*(1+O105)*(1+O106)-1)</f>
        <v>-0.0291860328608632</v>
      </c>
      <c r="O107" s="16" t="n">
        <f aca="false">L107+M107+N107</f>
        <v>0.271588926665571</v>
      </c>
      <c r="P107" s="21" t="n">
        <f aca="false">P106*(1+O107)</f>
        <v>1.74393134287619</v>
      </c>
      <c r="Q107" s="21" t="n">
        <f aca="false">MAX($P$5:P107)</f>
        <v>1.75366194502288</v>
      </c>
      <c r="R107" s="16" t="n">
        <f aca="false">P107/Q107-1</f>
        <v>-0.00554873313771365</v>
      </c>
      <c r="S107" s="16" t="n">
        <f aca="false">O107-Benchmark_RF!D107</f>
        <v>0.255360396055038</v>
      </c>
    </row>
    <row r="108" customFormat="false" ht="15" hidden="false" customHeight="true" outlineLevel="0" collapsed="false">
      <c r="A108" s="1" t="n">
        <v>111</v>
      </c>
      <c r="B108" s="13" t="n">
        <f aca="false">Returns!A112</f>
        <v>45352</v>
      </c>
      <c r="C108" s="17" t="n">
        <f aca="false">IF(Rankings!C113&lt;=3,1,0)</f>
        <v>0</v>
      </c>
      <c r="D108" s="17" t="n">
        <f aca="false">IF(Rankings!D113&lt;=3,1,0)</f>
        <v>1</v>
      </c>
      <c r="E108" s="17" t="n">
        <f aca="false">IF(Rankings!E113&lt;=3,1,0)</f>
        <v>0</v>
      </c>
      <c r="F108" s="17" t="n">
        <f aca="false">IF(Rankings!F113&lt;=3,1,0)</f>
        <v>0</v>
      </c>
      <c r="G108" s="17" t="n">
        <f aca="false">IF(Rankings!G113&lt;=3,1,0)</f>
        <v>0</v>
      </c>
      <c r="H108" s="17" t="n">
        <f aca="false">IF(Rankings!H113&lt;=3,1,0)</f>
        <v>1</v>
      </c>
      <c r="I108" s="17" t="n">
        <f aca="false">IF(Rankings!I113&lt;=3,1,0)</f>
        <v>1</v>
      </c>
      <c r="J108" s="17" t="n">
        <f aca="false">IF(Rankings!J113&lt;=3,1,0)</f>
        <v>0</v>
      </c>
      <c r="K108" s="20" t="n">
        <f aca="false">SUM(C108:J108)</f>
        <v>3</v>
      </c>
      <c r="L108" s="16" t="n">
        <f aca="false">SUMPRODUCT(C108:J108,Returns!B112:I112)/K108</f>
        <v>0.092716521233437</v>
      </c>
      <c r="M108" s="16" t="n">
        <v>0</v>
      </c>
      <c r="N108" s="16" t="n">
        <v>0</v>
      </c>
      <c r="O108" s="16" t="n">
        <f aca="false">L108+M108+N108</f>
        <v>0.092716521233437</v>
      </c>
      <c r="P108" s="21" t="n">
        <f aca="false">P107*(1+O108)</f>
        <v>1.90562259025762</v>
      </c>
      <c r="Q108" s="21" t="n">
        <f aca="false">MAX($P$5:P108)</f>
        <v>1.90562259025762</v>
      </c>
      <c r="R108" s="16" t="n">
        <f aca="false">P108/Q108-1</f>
        <v>0</v>
      </c>
      <c r="S108" s="16" t="n">
        <f aca="false">O108-Benchmark_RF!D108</f>
        <v>0.07640425737091</v>
      </c>
    </row>
    <row r="109" customFormat="false" ht="15" hidden="false" customHeight="true" outlineLevel="0" collapsed="false">
      <c r="A109" s="1" t="n">
        <v>112</v>
      </c>
      <c r="B109" s="13" t="n">
        <f aca="false">Returns!A113</f>
        <v>45383</v>
      </c>
      <c r="C109" s="17" t="n">
        <f aca="false">IF(Rankings!C113&lt;=3,1,0)</f>
        <v>0</v>
      </c>
      <c r="D109" s="17" t="n">
        <f aca="false">IF(Rankings!D113&lt;=3,1,0)</f>
        <v>1</v>
      </c>
      <c r="E109" s="17" t="n">
        <f aca="false">IF(Rankings!E113&lt;=3,1,0)</f>
        <v>0</v>
      </c>
      <c r="F109" s="17" t="n">
        <f aca="false">IF(Rankings!F113&lt;=3,1,0)</f>
        <v>0</v>
      </c>
      <c r="G109" s="17" t="n">
        <f aca="false">IF(Rankings!G113&lt;=3,1,0)</f>
        <v>0</v>
      </c>
      <c r="H109" s="17" t="n">
        <f aca="false">IF(Rankings!H113&lt;=3,1,0)</f>
        <v>1</v>
      </c>
      <c r="I109" s="17" t="n">
        <f aca="false">IF(Rankings!I113&lt;=3,1,0)</f>
        <v>1</v>
      </c>
      <c r="J109" s="17" t="n">
        <f aca="false">IF(Rankings!J113&lt;=3,1,0)</f>
        <v>0</v>
      </c>
      <c r="K109" s="20" t="n">
        <f aca="false">SUM(C109:J109)</f>
        <v>3</v>
      </c>
      <c r="L109" s="16" t="n">
        <f aca="false">SUMPRODUCT(C109:J109,Returns!B113:I113)/K109</f>
        <v>0.318286721326519</v>
      </c>
      <c r="M109" s="16" t="n">
        <v>0</v>
      </c>
      <c r="N109" s="16" t="n">
        <v>0</v>
      </c>
      <c r="O109" s="16" t="n">
        <f aca="false">L109+M109+N109</f>
        <v>0.318286721326519</v>
      </c>
      <c r="P109" s="21" t="n">
        <f aca="false">P108*(1+O109)</f>
        <v>2.51215695659647</v>
      </c>
      <c r="Q109" s="21" t="n">
        <f aca="false">MAX($P$5:P109)</f>
        <v>2.51215695659647</v>
      </c>
      <c r="R109" s="16" t="n">
        <f aca="false">P109/Q109-1</f>
        <v>0</v>
      </c>
      <c r="S109" s="16" t="n">
        <f aca="false">O109-Benchmark_RF!D109</f>
        <v>0.301862931041156</v>
      </c>
    </row>
    <row r="110" customFormat="false" ht="15" hidden="false" customHeight="true" outlineLevel="0" collapsed="false">
      <c r="A110" s="1" t="n">
        <v>113</v>
      </c>
      <c r="B110" s="13" t="n">
        <f aca="false">Returns!A114</f>
        <v>45413</v>
      </c>
      <c r="C110" s="17" t="n">
        <f aca="false">IF(Rankings!C116&lt;=3,1,0)</f>
        <v>0</v>
      </c>
      <c r="D110" s="17" t="n">
        <f aca="false">IF(Rankings!D116&lt;=3,1,0)</f>
        <v>1</v>
      </c>
      <c r="E110" s="17" t="n">
        <f aca="false">IF(Rankings!E116&lt;=3,1,0)</f>
        <v>0</v>
      </c>
      <c r="F110" s="17" t="n">
        <f aca="false">IF(Rankings!F116&lt;=3,1,0)</f>
        <v>0</v>
      </c>
      <c r="G110" s="17" t="n">
        <f aca="false">IF(Rankings!G116&lt;=3,1,0)</f>
        <v>0</v>
      </c>
      <c r="H110" s="17" t="n">
        <f aca="false">IF(Rankings!H116&lt;=3,1,0)</f>
        <v>1</v>
      </c>
      <c r="I110" s="17" t="n">
        <f aca="false">IF(Rankings!I116&lt;=3,1,0)</f>
        <v>1</v>
      </c>
      <c r="J110" s="17" t="n">
        <f aca="false">IF(Rankings!J116&lt;=3,1,0)</f>
        <v>0</v>
      </c>
      <c r="K110" s="20" t="n">
        <f aca="false">SUM(C110:J110)</f>
        <v>3</v>
      </c>
      <c r="L110" s="16" t="n">
        <f aca="false">SUMPRODUCT(C110:J110,Returns!B114:I114)/K110</f>
        <v>0.0837711212661035</v>
      </c>
      <c r="M110" s="16" t="n">
        <f aca="false">-2*Assumptions!$B$13</f>
        <v>-0.007</v>
      </c>
      <c r="N110" s="16" t="n">
        <f aca="false">-Assumptions!$B$16*MAX(0,(1+O107)*(1+O108)*(1+O109)-1)</f>
        <v>-0.124761186651895</v>
      </c>
      <c r="O110" s="16" t="n">
        <f aca="false">L110+M110+N110</f>
        <v>-0.0479900653857911</v>
      </c>
      <c r="P110" s="21" t="n">
        <f aca="false">P109*(1+O110)</f>
        <v>2.39159837999004</v>
      </c>
      <c r="Q110" s="21" t="n">
        <f aca="false">MAX($P$5:P110)</f>
        <v>2.51215695659647</v>
      </c>
      <c r="R110" s="16" t="n">
        <f aca="false">P110/Q110-1</f>
        <v>-0.0479900653857911</v>
      </c>
      <c r="S110" s="16" t="n">
        <f aca="false">O110-Benchmark_RF!D110</f>
        <v>-0.0639599396528668</v>
      </c>
    </row>
    <row r="111" customFormat="false" ht="15" hidden="false" customHeight="true" outlineLevel="0" collapsed="false">
      <c r="A111" s="1" t="n">
        <v>114</v>
      </c>
      <c r="B111" s="13" t="n">
        <f aca="false">Returns!A115</f>
        <v>45444</v>
      </c>
      <c r="C111" s="17" t="n">
        <f aca="false">IF(Rankings!C116&lt;=3,1,0)</f>
        <v>0</v>
      </c>
      <c r="D111" s="17" t="n">
        <f aca="false">IF(Rankings!D116&lt;=3,1,0)</f>
        <v>1</v>
      </c>
      <c r="E111" s="17" t="n">
        <f aca="false">IF(Rankings!E116&lt;=3,1,0)</f>
        <v>0</v>
      </c>
      <c r="F111" s="17" t="n">
        <f aca="false">IF(Rankings!F116&lt;=3,1,0)</f>
        <v>0</v>
      </c>
      <c r="G111" s="17" t="n">
        <f aca="false">IF(Rankings!G116&lt;=3,1,0)</f>
        <v>0</v>
      </c>
      <c r="H111" s="17" t="n">
        <f aca="false">IF(Rankings!H116&lt;=3,1,0)</f>
        <v>1</v>
      </c>
      <c r="I111" s="17" t="n">
        <f aca="false">IF(Rankings!I116&lt;=3,1,0)</f>
        <v>1</v>
      </c>
      <c r="J111" s="17" t="n">
        <f aca="false">IF(Rankings!J116&lt;=3,1,0)</f>
        <v>0</v>
      </c>
      <c r="K111" s="20" t="n">
        <f aca="false">SUM(C111:J111)</f>
        <v>3</v>
      </c>
      <c r="L111" s="16" t="n">
        <f aca="false">SUMPRODUCT(C111:J111,Returns!B115:I115)/K111</f>
        <v>0.0598711225113479</v>
      </c>
      <c r="M111" s="16" t="n">
        <v>0</v>
      </c>
      <c r="N111" s="16" t="n">
        <v>0</v>
      </c>
      <c r="O111" s="16" t="n">
        <f aca="false">L111+M111+N111</f>
        <v>0.0598711225113479</v>
      </c>
      <c r="P111" s="21" t="n">
        <f aca="false">P110*(1+O111)</f>
        <v>2.53478605959636</v>
      </c>
      <c r="Q111" s="21" t="n">
        <f aca="false">MAX($P$5:P111)</f>
        <v>2.53478605959636</v>
      </c>
      <c r="R111" s="16" t="n">
        <f aca="false">P111/Q111-1</f>
        <v>0</v>
      </c>
      <c r="S111" s="16" t="n">
        <f aca="false">O111-Benchmark_RF!D111</f>
        <v>0.0445514289754689</v>
      </c>
    </row>
    <row r="112" customFormat="false" ht="15" hidden="false" customHeight="true" outlineLevel="0" collapsed="false">
      <c r="A112" s="1" t="n">
        <v>115</v>
      </c>
      <c r="B112" s="13" t="n">
        <f aca="false">Returns!A116</f>
        <v>45474</v>
      </c>
      <c r="C112" s="17" t="n">
        <f aca="false">IF(Rankings!C116&lt;=3,1,0)</f>
        <v>0</v>
      </c>
      <c r="D112" s="17" t="n">
        <f aca="false">IF(Rankings!D116&lt;=3,1,0)</f>
        <v>1</v>
      </c>
      <c r="E112" s="17" t="n">
        <f aca="false">IF(Rankings!E116&lt;=3,1,0)</f>
        <v>0</v>
      </c>
      <c r="F112" s="17" t="n">
        <f aca="false">IF(Rankings!F116&lt;=3,1,0)</f>
        <v>0</v>
      </c>
      <c r="G112" s="17" t="n">
        <f aca="false">IF(Rankings!G116&lt;=3,1,0)</f>
        <v>0</v>
      </c>
      <c r="H112" s="17" t="n">
        <f aca="false">IF(Rankings!H116&lt;=3,1,0)</f>
        <v>1</v>
      </c>
      <c r="I112" s="17" t="n">
        <f aca="false">IF(Rankings!I116&lt;=3,1,0)</f>
        <v>1</v>
      </c>
      <c r="J112" s="17" t="n">
        <f aca="false">IF(Rankings!J116&lt;=3,1,0)</f>
        <v>0</v>
      </c>
      <c r="K112" s="20" t="n">
        <f aca="false">SUM(C112:J112)</f>
        <v>3</v>
      </c>
      <c r="L112" s="16" t="n">
        <f aca="false">SUMPRODUCT(C112:J112,Returns!B116:I116)/K112</f>
        <v>0.126893995363733</v>
      </c>
      <c r="M112" s="16" t="n">
        <v>0</v>
      </c>
      <c r="N112" s="16" t="n">
        <v>0</v>
      </c>
      <c r="O112" s="16" t="n">
        <f aca="false">L112+M112+N112</f>
        <v>0.126893995363733</v>
      </c>
      <c r="P112" s="21" t="n">
        <f aca="false">P111*(1+O112)</f>
        <v>2.85643519009084</v>
      </c>
      <c r="Q112" s="21" t="n">
        <f aca="false">MAX($P$5:P112)</f>
        <v>2.85643519009084</v>
      </c>
      <c r="R112" s="16" t="n">
        <f aca="false">P112/Q112-1</f>
        <v>0</v>
      </c>
      <c r="S112" s="16" t="n">
        <f aca="false">O112-Benchmark_RF!D112</f>
        <v>0.111944815991591</v>
      </c>
    </row>
    <row r="113" customFormat="false" ht="15" hidden="false" customHeight="true" outlineLevel="0" collapsed="false">
      <c r="A113" s="1" t="n">
        <v>116</v>
      </c>
      <c r="B113" s="13" t="n">
        <f aca="false">Returns!A117</f>
        <v>45505</v>
      </c>
      <c r="C113" s="17" t="n">
        <f aca="false">IF(Rankings!C119&lt;=3,1,0)</f>
        <v>1</v>
      </c>
      <c r="D113" s="17" t="n">
        <f aca="false">IF(Rankings!D119&lt;=3,1,0)</f>
        <v>0</v>
      </c>
      <c r="E113" s="17" t="n">
        <f aca="false">IF(Rankings!E119&lt;=3,1,0)</f>
        <v>0</v>
      </c>
      <c r="F113" s="17" t="n">
        <f aca="false">IF(Rankings!F119&lt;=3,1,0)</f>
        <v>0</v>
      </c>
      <c r="G113" s="17" t="n">
        <f aca="false">IF(Rankings!G119&lt;=3,1,0)</f>
        <v>1</v>
      </c>
      <c r="H113" s="17" t="n">
        <f aca="false">IF(Rankings!H119&lt;=3,1,0)</f>
        <v>1</v>
      </c>
      <c r="I113" s="17" t="n">
        <f aca="false">IF(Rankings!I119&lt;=3,1,0)</f>
        <v>0</v>
      </c>
      <c r="J113" s="17" t="n">
        <f aca="false">IF(Rankings!J119&lt;=3,1,0)</f>
        <v>0</v>
      </c>
      <c r="K113" s="20" t="n">
        <f aca="false">SUM(C113:J113)</f>
        <v>3</v>
      </c>
      <c r="L113" s="16" t="n">
        <f aca="false">SUMPRODUCT(C113:J113,Returns!B117:I117)/K113</f>
        <v>-0.00674963174291573</v>
      </c>
      <c r="M113" s="16" t="n">
        <f aca="false">-2*Assumptions!$B$13</f>
        <v>-0.007</v>
      </c>
      <c r="N113" s="16" t="n">
        <f aca="false">-Assumptions!$B$16*MAX(0,(1+O110)*(1+O111)*(1+O112)-1)</f>
        <v>-0.0205567310945891</v>
      </c>
      <c r="O113" s="16" t="n">
        <f aca="false">L113+M113+N113</f>
        <v>-0.0343063628375048</v>
      </c>
      <c r="P113" s="21" t="n">
        <f aca="false">P112*(1+O113)</f>
        <v>2.75844128803776</v>
      </c>
      <c r="Q113" s="21" t="n">
        <f aca="false">MAX($P$5:P113)</f>
        <v>2.85643519009084</v>
      </c>
      <c r="R113" s="16" t="n">
        <f aca="false">P113/Q113-1</f>
        <v>-0.0343063628375049</v>
      </c>
      <c r="S113" s="16" t="n">
        <f aca="false">O113-Benchmark_RF!D113</f>
        <v>-0.0478145175697472</v>
      </c>
    </row>
    <row r="114" customFormat="false" ht="15" hidden="false" customHeight="true" outlineLevel="0" collapsed="false">
      <c r="A114" s="1" t="n">
        <v>117</v>
      </c>
      <c r="B114" s="13" t="n">
        <f aca="false">Returns!A118</f>
        <v>45536</v>
      </c>
      <c r="C114" s="17" t="n">
        <f aca="false">IF(Rankings!C119&lt;=3,1,0)</f>
        <v>1</v>
      </c>
      <c r="D114" s="17" t="n">
        <f aca="false">IF(Rankings!D119&lt;=3,1,0)</f>
        <v>0</v>
      </c>
      <c r="E114" s="17" t="n">
        <f aca="false">IF(Rankings!E119&lt;=3,1,0)</f>
        <v>0</v>
      </c>
      <c r="F114" s="17" t="n">
        <f aca="false">IF(Rankings!F119&lt;=3,1,0)</f>
        <v>0</v>
      </c>
      <c r="G114" s="17" t="n">
        <f aca="false">IF(Rankings!G119&lt;=3,1,0)</f>
        <v>1</v>
      </c>
      <c r="H114" s="17" t="n">
        <f aca="false">IF(Rankings!H119&lt;=3,1,0)</f>
        <v>1</v>
      </c>
      <c r="I114" s="17" t="n">
        <f aca="false">IF(Rankings!I119&lt;=3,1,0)</f>
        <v>0</v>
      </c>
      <c r="J114" s="17" t="n">
        <f aca="false">IF(Rankings!J119&lt;=3,1,0)</f>
        <v>0</v>
      </c>
      <c r="K114" s="20" t="n">
        <f aca="false">SUM(C114:J114)</f>
        <v>3</v>
      </c>
      <c r="L114" s="16" t="n">
        <f aca="false">SUMPRODUCT(C114:J114,Returns!B118:I118)/K114</f>
        <v>0.124586408301897</v>
      </c>
      <c r="M114" s="16" t="n">
        <v>0</v>
      </c>
      <c r="N114" s="16" t="n">
        <v>0</v>
      </c>
      <c r="O114" s="16" t="n">
        <f aca="false">L114+M114+N114</f>
        <v>0.124586408301897</v>
      </c>
      <c r="P114" s="21" t="n">
        <f aca="false">P113*(1+O114)</f>
        <v>3.10210558062605</v>
      </c>
      <c r="Q114" s="21" t="n">
        <f aca="false">MAX($P$5:P114)</f>
        <v>3.10210558062605</v>
      </c>
      <c r="R114" s="16" t="n">
        <f aca="false">P114/Q114-1</f>
        <v>0</v>
      </c>
      <c r="S114" s="16" t="n">
        <f aca="false">O114-Benchmark_RF!D114</f>
        <v>0.111121402692699</v>
      </c>
    </row>
    <row r="115" customFormat="false" ht="15" hidden="false" customHeight="true" outlineLevel="0" collapsed="false">
      <c r="A115" s="1" t="n">
        <v>118</v>
      </c>
      <c r="B115" s="13" t="n">
        <f aca="false">Returns!A119</f>
        <v>45566</v>
      </c>
      <c r="C115" s="17" t="n">
        <f aca="false">IF(Rankings!C119&lt;=3,1,0)</f>
        <v>1</v>
      </c>
      <c r="D115" s="17" t="n">
        <f aca="false">IF(Rankings!D119&lt;=3,1,0)</f>
        <v>0</v>
      </c>
      <c r="E115" s="17" t="n">
        <f aca="false">IF(Rankings!E119&lt;=3,1,0)</f>
        <v>0</v>
      </c>
      <c r="F115" s="17" t="n">
        <f aca="false">IF(Rankings!F119&lt;=3,1,0)</f>
        <v>0</v>
      </c>
      <c r="G115" s="17" t="n">
        <f aca="false">IF(Rankings!G119&lt;=3,1,0)</f>
        <v>1</v>
      </c>
      <c r="H115" s="17" t="n">
        <f aca="false">IF(Rankings!H119&lt;=3,1,0)</f>
        <v>1</v>
      </c>
      <c r="I115" s="17" t="n">
        <f aca="false">IF(Rankings!I119&lt;=3,1,0)</f>
        <v>0</v>
      </c>
      <c r="J115" s="17" t="n">
        <f aca="false">IF(Rankings!J119&lt;=3,1,0)</f>
        <v>0</v>
      </c>
      <c r="K115" s="20" t="n">
        <f aca="false">SUM(C115:J115)</f>
        <v>3</v>
      </c>
      <c r="L115" s="16" t="n">
        <f aca="false">SUMPRODUCT(C115:J115,Returns!B119:I119)/K115</f>
        <v>0.154731916935442</v>
      </c>
      <c r="M115" s="16" t="n">
        <v>0</v>
      </c>
      <c r="N115" s="16" t="n">
        <v>0</v>
      </c>
      <c r="O115" s="16" t="n">
        <f aca="false">L115+M115+N115</f>
        <v>0.154731916935442</v>
      </c>
      <c r="P115" s="21" t="n">
        <f aca="false">P114*(1+O115)</f>
        <v>3.58210032365245</v>
      </c>
      <c r="Q115" s="21" t="n">
        <f aca="false">MAX($P$5:P115)</f>
        <v>3.58210032365245</v>
      </c>
      <c r="R115" s="16" t="n">
        <f aca="false">P115/Q115-1</f>
        <v>0</v>
      </c>
      <c r="S115" s="16" t="n">
        <f aca="false">O115-Benchmark_RF!D115</f>
        <v>0.143849187786961</v>
      </c>
    </row>
    <row r="116" customFormat="false" ht="15" hidden="false" customHeight="true" outlineLevel="0" collapsed="false">
      <c r="A116" s="1" t="n">
        <v>119</v>
      </c>
      <c r="B116" s="13" t="n">
        <f aca="false">Returns!A120</f>
        <v>45597</v>
      </c>
      <c r="C116" s="17" t="n">
        <f aca="false">IF(Rankings!C122&lt;=3,1,0)</f>
        <v>0</v>
      </c>
      <c r="D116" s="17" t="n">
        <f aca="false">IF(Rankings!D122&lt;=3,1,0)</f>
        <v>0</v>
      </c>
      <c r="E116" s="17" t="n">
        <f aca="false">IF(Rankings!E122&lt;=3,1,0)</f>
        <v>0</v>
      </c>
      <c r="F116" s="17" t="n">
        <f aca="false">IF(Rankings!F122&lt;=3,1,0)</f>
        <v>0</v>
      </c>
      <c r="G116" s="17" t="n">
        <f aca="false">IF(Rankings!G122&lt;=3,1,0)</f>
        <v>1</v>
      </c>
      <c r="H116" s="17" t="n">
        <f aca="false">IF(Rankings!H122&lt;=3,1,0)</f>
        <v>1</v>
      </c>
      <c r="I116" s="17" t="n">
        <f aca="false">IF(Rankings!I122&lt;=3,1,0)</f>
        <v>1</v>
      </c>
      <c r="J116" s="17" t="n">
        <f aca="false">IF(Rankings!J122&lt;=3,1,0)</f>
        <v>0</v>
      </c>
      <c r="K116" s="20" t="n">
        <f aca="false">SUM(C116:J116)</f>
        <v>3</v>
      </c>
      <c r="L116" s="16" t="n">
        <f aca="false">SUMPRODUCT(C116:J116,Returns!B120:I120)/K116</f>
        <v>0.089998380177991</v>
      </c>
      <c r="M116" s="16" t="n">
        <f aca="false">-2*Assumptions!$B$13</f>
        <v>-0.007</v>
      </c>
      <c r="N116" s="16" t="n">
        <f aca="false">-Assumptions!$B$16*MAX(0,(1+O113)*(1+O114)*(1+O115)-1)</f>
        <v>-0.0381068579507244</v>
      </c>
      <c r="O116" s="16" t="n">
        <f aca="false">L116+M116+N116</f>
        <v>0.0448915222272666</v>
      </c>
      <c r="P116" s="21" t="n">
        <f aca="false">P115*(1+O116)</f>
        <v>3.74290625995199</v>
      </c>
      <c r="Q116" s="21" t="n">
        <f aca="false">MAX($P$5:P116)</f>
        <v>3.74290625995199</v>
      </c>
      <c r="R116" s="16" t="n">
        <f aca="false">P116/Q116-1</f>
        <v>0</v>
      </c>
      <c r="S116" s="16" t="n">
        <f aca="false">O116-Benchmark_RF!D116</f>
        <v>0.0340087930787858</v>
      </c>
    </row>
    <row r="117" customFormat="false" ht="15" hidden="false" customHeight="true" outlineLevel="0" collapsed="false">
      <c r="A117" s="1" t="n">
        <v>120</v>
      </c>
      <c r="B117" s="13" t="n">
        <f aca="false">Returns!A121</f>
        <v>45627</v>
      </c>
      <c r="C117" s="17" t="n">
        <f aca="false">IF(Rankings!C122&lt;=3,1,0)</f>
        <v>0</v>
      </c>
      <c r="D117" s="17" t="n">
        <f aca="false">IF(Rankings!D122&lt;=3,1,0)</f>
        <v>0</v>
      </c>
      <c r="E117" s="17" t="n">
        <f aca="false">IF(Rankings!E122&lt;=3,1,0)</f>
        <v>0</v>
      </c>
      <c r="F117" s="17" t="n">
        <f aca="false">IF(Rankings!F122&lt;=3,1,0)</f>
        <v>0</v>
      </c>
      <c r="G117" s="17" t="n">
        <f aca="false">IF(Rankings!G122&lt;=3,1,0)</f>
        <v>1</v>
      </c>
      <c r="H117" s="17" t="n">
        <f aca="false">IF(Rankings!H122&lt;=3,1,0)</f>
        <v>1</v>
      </c>
      <c r="I117" s="17" t="n">
        <f aca="false">IF(Rankings!I122&lt;=3,1,0)</f>
        <v>1</v>
      </c>
      <c r="J117" s="17" t="n">
        <f aca="false">IF(Rankings!J122&lt;=3,1,0)</f>
        <v>0</v>
      </c>
      <c r="K117" s="20" t="n">
        <f aca="false">SUM(C117:J117)</f>
        <v>3</v>
      </c>
      <c r="L117" s="16" t="n">
        <f aca="false">SUMPRODUCT(C117:J117,Returns!B121:I121)/K117</f>
        <v>0.106762989556707</v>
      </c>
      <c r="M117" s="16" t="n">
        <v>0</v>
      </c>
      <c r="N117" s="16" t="n">
        <v>0</v>
      </c>
      <c r="O117" s="16" t="n">
        <f aca="false">L117+M117+N117</f>
        <v>0.106762989556707</v>
      </c>
      <c r="P117" s="21" t="n">
        <f aca="false">P116*(1+O117)</f>
        <v>4.14251012189498</v>
      </c>
      <c r="Q117" s="21" t="n">
        <f aca="false">MAX($P$5:P117)</f>
        <v>4.14251012189498</v>
      </c>
      <c r="R117" s="16" t="n">
        <f aca="false">P117/Q117-1</f>
        <v>0</v>
      </c>
      <c r="S117" s="16" t="n">
        <f aca="false">O117-Benchmark_RF!D117</f>
        <v>0.0973869320001993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10" min="3" style="1" width="8"/>
    <col collapsed="false" customWidth="true" hidden="false" outlineLevel="0" max="16" min="11" style="1" width="11"/>
    <col collapsed="false" customWidth="true" hidden="false" outlineLevel="0" max="17" min="17" style="1" width="12"/>
    <col collapsed="false" customWidth="true" hidden="false" outlineLevel="0" max="18" min="18" style="1" width="11"/>
    <col collapsed="false" customWidth="true" hidden="false" outlineLevel="0" max="19" min="19" style="1" width="13"/>
  </cols>
  <sheetData>
    <row r="1" customFormat="false" ht="15.75" hidden="false" customHeight="true" outlineLevel="0" collapsed="false">
      <c r="A1" s="18" t="s">
        <v>85</v>
      </c>
    </row>
    <row r="2" customFormat="false" ht="15" hidden="false" customHeight="true" outlineLevel="0" collapsed="false">
      <c r="A2" s="5" t="s">
        <v>69</v>
      </c>
    </row>
    <row r="4" customFormat="false" ht="15" hidden="false" customHeight="true" outlineLevel="0" collapsed="false">
      <c r="A4" s="12" t="s">
        <v>70</v>
      </c>
      <c r="B4" s="12" t="s">
        <v>51</v>
      </c>
      <c r="C4" s="12" t="s">
        <v>52</v>
      </c>
      <c r="D4" s="12" t="s">
        <v>53</v>
      </c>
      <c r="E4" s="12" t="s">
        <v>54</v>
      </c>
      <c r="F4" s="12" t="s">
        <v>55</v>
      </c>
      <c r="G4" s="12" t="s">
        <v>56</v>
      </c>
      <c r="H4" s="12" t="s">
        <v>57</v>
      </c>
      <c r="I4" s="12" t="s">
        <v>58</v>
      </c>
      <c r="J4" s="12" t="s">
        <v>59</v>
      </c>
      <c r="K4" s="12" t="s">
        <v>71</v>
      </c>
      <c r="L4" s="12" t="s">
        <v>72</v>
      </c>
      <c r="M4" s="12" t="s">
        <v>73</v>
      </c>
      <c r="N4" s="12" t="s">
        <v>74</v>
      </c>
      <c r="O4" s="12" t="s">
        <v>75</v>
      </c>
      <c r="P4" s="12" t="s">
        <v>76</v>
      </c>
      <c r="Q4" s="19" t="s">
        <v>77</v>
      </c>
      <c r="R4" s="19" t="s">
        <v>78</v>
      </c>
      <c r="S4" s="19" t="s">
        <v>79</v>
      </c>
    </row>
    <row r="5" customFormat="false" ht="15" hidden="false" customHeight="true" outlineLevel="0" collapsed="false">
      <c r="A5" s="1" t="n">
        <v>8</v>
      </c>
      <c r="B5" s="13" t="n">
        <f aca="false">Returns!A9</f>
        <v>42217</v>
      </c>
      <c r="C5" s="17" t="n">
        <f aca="false">IF(Rankings!C11&lt;=5,1,0)</f>
        <v>0</v>
      </c>
      <c r="D5" s="17" t="n">
        <f aca="false">IF(Rankings!D11&lt;=5,1,0)</f>
        <v>1</v>
      </c>
      <c r="E5" s="17" t="n">
        <f aca="false">IF(Rankings!E11&lt;=5,1,0)</f>
        <v>0</v>
      </c>
      <c r="F5" s="17" t="n">
        <f aca="false">IF(Rankings!F11&lt;=5,1,0)</f>
        <v>1</v>
      </c>
      <c r="G5" s="17" t="n">
        <f aca="false">IF(Rankings!G11&lt;=5,1,0)</f>
        <v>1</v>
      </c>
      <c r="H5" s="17" t="n">
        <f aca="false">IF(Rankings!H11&lt;=5,1,0)</f>
        <v>1</v>
      </c>
      <c r="I5" s="17" t="n">
        <f aca="false">IF(Rankings!I11&lt;=5,1,0)</f>
        <v>0</v>
      </c>
      <c r="J5" s="17" t="n">
        <f aca="false">IF(Rankings!J11&lt;=5,1,0)</f>
        <v>1</v>
      </c>
      <c r="K5" s="20" t="n">
        <f aca="false">SUM(C5:J5)</f>
        <v>5</v>
      </c>
      <c r="L5" s="16" t="n">
        <f aca="false">SUMPRODUCT(C5:J5,Returns!B9:I9)/K5</f>
        <v>-0.0455796089027458</v>
      </c>
      <c r="M5" s="16" t="n">
        <f aca="false">-2*Assumptions!$B$13</f>
        <v>-0.007</v>
      </c>
      <c r="N5" s="16" t="n">
        <v>0</v>
      </c>
      <c r="O5" s="16" t="n">
        <f aca="false">L5+M5+N5</f>
        <v>-0.0525796089027457</v>
      </c>
      <c r="P5" s="21" t="n">
        <f aca="false">1*(1+O5)</f>
        <v>0.947420391097254</v>
      </c>
      <c r="Q5" s="21" t="n">
        <f aca="false">MAX($P$5:P5)</f>
        <v>0.947420391097254</v>
      </c>
      <c r="R5" s="16" t="n">
        <f aca="false">P5/Q5-1</f>
        <v>0</v>
      </c>
      <c r="S5" s="16" t="n">
        <f aca="false">O5-Benchmark_RF!D5</f>
        <v>-0.0581795394120719</v>
      </c>
    </row>
    <row r="6" customFormat="false" ht="15" hidden="false" customHeight="true" outlineLevel="0" collapsed="false">
      <c r="A6" s="1" t="n">
        <v>9</v>
      </c>
      <c r="B6" s="13" t="n">
        <f aca="false">Returns!A10</f>
        <v>42248</v>
      </c>
      <c r="C6" s="17" t="n">
        <f aca="false">IF(Rankings!C11&lt;=5,1,0)</f>
        <v>0</v>
      </c>
      <c r="D6" s="17" t="n">
        <f aca="false">IF(Rankings!D11&lt;=5,1,0)</f>
        <v>1</v>
      </c>
      <c r="E6" s="17" t="n">
        <f aca="false">IF(Rankings!E11&lt;=5,1,0)</f>
        <v>0</v>
      </c>
      <c r="F6" s="17" t="n">
        <f aca="false">IF(Rankings!F11&lt;=5,1,0)</f>
        <v>1</v>
      </c>
      <c r="G6" s="17" t="n">
        <f aca="false">IF(Rankings!G11&lt;=5,1,0)</f>
        <v>1</v>
      </c>
      <c r="H6" s="17" t="n">
        <f aca="false">IF(Rankings!H11&lt;=5,1,0)</f>
        <v>1</v>
      </c>
      <c r="I6" s="17" t="n">
        <f aca="false">IF(Rankings!I11&lt;=5,1,0)</f>
        <v>0</v>
      </c>
      <c r="J6" s="17" t="n">
        <f aca="false">IF(Rankings!J11&lt;=5,1,0)</f>
        <v>1</v>
      </c>
      <c r="K6" s="20" t="n">
        <f aca="false">SUM(C6:J6)</f>
        <v>5</v>
      </c>
      <c r="L6" s="16" t="n">
        <f aca="false">SUMPRODUCT(C6:J6,Returns!B10:I10)/K6</f>
        <v>-0.0589943258463786</v>
      </c>
      <c r="M6" s="16" t="n">
        <v>0</v>
      </c>
      <c r="N6" s="16" t="n">
        <v>0</v>
      </c>
      <c r="O6" s="16" t="n">
        <f aca="false">L6+M6+N6</f>
        <v>-0.0589943258463786</v>
      </c>
      <c r="P6" s="21" t="n">
        <f aca="false">P5*(1+O6)</f>
        <v>0.89152796383136</v>
      </c>
      <c r="Q6" s="21" t="n">
        <f aca="false">MAX($P$5:P6)</f>
        <v>0.947420391097254</v>
      </c>
      <c r="R6" s="16" t="n">
        <f aca="false">P6/Q6-1</f>
        <v>-0.0589943258463785</v>
      </c>
      <c r="S6" s="16" t="n">
        <f aca="false">O6-Benchmark_RF!D6</f>
        <v>-0.0642295082035376</v>
      </c>
    </row>
    <row r="7" customFormat="false" ht="15" hidden="false" customHeight="true" outlineLevel="0" collapsed="false">
      <c r="A7" s="1" t="n">
        <v>10</v>
      </c>
      <c r="B7" s="13" t="n">
        <f aca="false">Returns!A11</f>
        <v>42278</v>
      </c>
      <c r="C7" s="17" t="n">
        <f aca="false">IF(Rankings!C11&lt;=5,1,0)</f>
        <v>0</v>
      </c>
      <c r="D7" s="17" t="n">
        <f aca="false">IF(Rankings!D11&lt;=5,1,0)</f>
        <v>1</v>
      </c>
      <c r="E7" s="17" t="n">
        <f aca="false">IF(Rankings!E11&lt;=5,1,0)</f>
        <v>0</v>
      </c>
      <c r="F7" s="17" t="n">
        <f aca="false">IF(Rankings!F11&lt;=5,1,0)</f>
        <v>1</v>
      </c>
      <c r="G7" s="17" t="n">
        <f aca="false">IF(Rankings!G11&lt;=5,1,0)</f>
        <v>1</v>
      </c>
      <c r="H7" s="17" t="n">
        <f aca="false">IF(Rankings!H11&lt;=5,1,0)</f>
        <v>1</v>
      </c>
      <c r="I7" s="17" t="n">
        <f aca="false">IF(Rankings!I11&lt;=5,1,0)</f>
        <v>0</v>
      </c>
      <c r="J7" s="17" t="n">
        <f aca="false">IF(Rankings!J11&lt;=5,1,0)</f>
        <v>1</v>
      </c>
      <c r="K7" s="20" t="n">
        <f aca="false">SUM(C7:J7)</f>
        <v>5</v>
      </c>
      <c r="L7" s="16" t="n">
        <f aca="false">SUMPRODUCT(C7:J7,Returns!B11:I11)/K7</f>
        <v>0.0419683463490294</v>
      </c>
      <c r="M7" s="16" t="n">
        <v>0</v>
      </c>
      <c r="N7" s="16" t="n">
        <v>0</v>
      </c>
      <c r="O7" s="16" t="n">
        <f aca="false">L7+M7+N7</f>
        <v>0.0419683463490294</v>
      </c>
      <c r="P7" s="21" t="n">
        <f aca="false">P6*(1+O7)</f>
        <v>0.928943918197279</v>
      </c>
      <c r="Q7" s="21" t="n">
        <f aca="false">MAX($P$5:P7)</f>
        <v>0.947420391097254</v>
      </c>
      <c r="R7" s="16" t="n">
        <f aca="false">P7/Q7-1</f>
        <v>-0.0195018737970974</v>
      </c>
      <c r="S7" s="16" t="n">
        <f aca="false">O7-Benchmark_RF!D7</f>
        <v>0.0368611114438701</v>
      </c>
    </row>
    <row r="8" customFormat="false" ht="15" hidden="false" customHeight="true" outlineLevel="0" collapsed="false">
      <c r="A8" s="1" t="n">
        <v>11</v>
      </c>
      <c r="B8" s="13" t="n">
        <f aca="false">Returns!A12</f>
        <v>42309</v>
      </c>
      <c r="C8" s="17" t="n">
        <f aca="false">IF(Rankings!C11&lt;=5,1,0)</f>
        <v>0</v>
      </c>
      <c r="D8" s="17" t="n">
        <f aca="false">IF(Rankings!D11&lt;=5,1,0)</f>
        <v>1</v>
      </c>
      <c r="E8" s="17" t="n">
        <f aca="false">IF(Rankings!E11&lt;=5,1,0)</f>
        <v>0</v>
      </c>
      <c r="F8" s="17" t="n">
        <f aca="false">IF(Rankings!F11&lt;=5,1,0)</f>
        <v>1</v>
      </c>
      <c r="G8" s="17" t="n">
        <f aca="false">IF(Rankings!G11&lt;=5,1,0)</f>
        <v>1</v>
      </c>
      <c r="H8" s="17" t="n">
        <f aca="false">IF(Rankings!H11&lt;=5,1,0)</f>
        <v>1</v>
      </c>
      <c r="I8" s="17" t="n">
        <f aca="false">IF(Rankings!I11&lt;=5,1,0)</f>
        <v>0</v>
      </c>
      <c r="J8" s="17" t="n">
        <f aca="false">IF(Rankings!J11&lt;=5,1,0)</f>
        <v>1</v>
      </c>
      <c r="K8" s="20" t="n">
        <f aca="false">SUM(C8:J8)</f>
        <v>5</v>
      </c>
      <c r="L8" s="16" t="n">
        <f aca="false">SUMPRODUCT(C8:J8,Returns!B12:I12)/K8</f>
        <v>-0.0254700688336249</v>
      </c>
      <c r="M8" s="16" t="n">
        <v>0</v>
      </c>
      <c r="N8" s="16" t="n">
        <v>0</v>
      </c>
      <c r="O8" s="16" t="n">
        <f aca="false">L8+M8+N8</f>
        <v>-0.0254700688336249</v>
      </c>
      <c r="P8" s="21" t="n">
        <f aca="false">P7*(1+O8)</f>
        <v>0.905283652658217</v>
      </c>
      <c r="Q8" s="21" t="n">
        <f aca="false">MAX($P$5:P8)</f>
        <v>0.947420391097254</v>
      </c>
      <c r="R8" s="16" t="n">
        <f aca="false">P8/Q8-1</f>
        <v>-0.0444752285627256</v>
      </c>
      <c r="S8" s="16" t="n">
        <f aca="false">O8-Benchmark_RF!D8</f>
        <v>-0.03062874046305</v>
      </c>
    </row>
    <row r="9" customFormat="false" ht="15" hidden="false" customHeight="true" outlineLevel="0" collapsed="false">
      <c r="A9" s="1" t="n">
        <v>12</v>
      </c>
      <c r="B9" s="13" t="n">
        <f aca="false">Returns!A13</f>
        <v>42339</v>
      </c>
      <c r="C9" s="17" t="n">
        <f aca="false">IF(Rankings!C11&lt;=5,1,0)</f>
        <v>0</v>
      </c>
      <c r="D9" s="17" t="n">
        <f aca="false">IF(Rankings!D11&lt;=5,1,0)</f>
        <v>1</v>
      </c>
      <c r="E9" s="17" t="n">
        <f aca="false">IF(Rankings!E11&lt;=5,1,0)</f>
        <v>0</v>
      </c>
      <c r="F9" s="17" t="n">
        <f aca="false">IF(Rankings!F11&lt;=5,1,0)</f>
        <v>1</v>
      </c>
      <c r="G9" s="17" t="n">
        <f aca="false">IF(Rankings!G11&lt;=5,1,0)</f>
        <v>1</v>
      </c>
      <c r="H9" s="17" t="n">
        <f aca="false">IF(Rankings!H11&lt;=5,1,0)</f>
        <v>1</v>
      </c>
      <c r="I9" s="17" t="n">
        <f aca="false">IF(Rankings!I11&lt;=5,1,0)</f>
        <v>0</v>
      </c>
      <c r="J9" s="17" t="n">
        <f aca="false">IF(Rankings!J11&lt;=5,1,0)</f>
        <v>1</v>
      </c>
      <c r="K9" s="20" t="n">
        <f aca="false">SUM(C9:J9)</f>
        <v>5</v>
      </c>
      <c r="L9" s="16" t="n">
        <f aca="false">SUMPRODUCT(C9:J9,Returns!B13:I13)/K9</f>
        <v>0.0858523048034645</v>
      </c>
      <c r="M9" s="16" t="n">
        <v>0</v>
      </c>
      <c r="N9" s="16" t="n">
        <v>0</v>
      </c>
      <c r="O9" s="16" t="n">
        <f aca="false">L9+M9+N9</f>
        <v>0.0858523048034645</v>
      </c>
      <c r="P9" s="21" t="n">
        <f aca="false">P8*(1+O9)</f>
        <v>0.983004340739824</v>
      </c>
      <c r="Q9" s="21" t="n">
        <f aca="false">MAX($P$5:P9)</f>
        <v>0.983004340739824</v>
      </c>
      <c r="R9" s="16" t="n">
        <f aca="false">P9/Q9-1</f>
        <v>0</v>
      </c>
      <c r="S9" s="16" t="n">
        <f aca="false">O9-Benchmark_RF!D9</f>
        <v>0.0807185996061943</v>
      </c>
    </row>
    <row r="10" customFormat="false" ht="15" hidden="false" customHeight="true" outlineLevel="0" collapsed="false">
      <c r="A10" s="1" t="n">
        <v>13</v>
      </c>
      <c r="B10" s="13" t="n">
        <f aca="false">Returns!A14</f>
        <v>42370</v>
      </c>
      <c r="C10" s="17" t="n">
        <f aca="false">IF(Rankings!C11&lt;=5,1,0)</f>
        <v>0</v>
      </c>
      <c r="D10" s="17" t="n">
        <f aca="false">IF(Rankings!D11&lt;=5,1,0)</f>
        <v>1</v>
      </c>
      <c r="E10" s="17" t="n">
        <f aca="false">IF(Rankings!E11&lt;=5,1,0)</f>
        <v>0</v>
      </c>
      <c r="F10" s="17" t="n">
        <f aca="false">IF(Rankings!F11&lt;=5,1,0)</f>
        <v>1</v>
      </c>
      <c r="G10" s="17" t="n">
        <f aca="false">IF(Rankings!G11&lt;=5,1,0)</f>
        <v>1</v>
      </c>
      <c r="H10" s="17" t="n">
        <f aca="false">IF(Rankings!H11&lt;=5,1,0)</f>
        <v>1</v>
      </c>
      <c r="I10" s="17" t="n">
        <f aca="false">IF(Rankings!I11&lt;=5,1,0)</f>
        <v>0</v>
      </c>
      <c r="J10" s="17" t="n">
        <f aca="false">IF(Rankings!J11&lt;=5,1,0)</f>
        <v>1</v>
      </c>
      <c r="K10" s="20" t="n">
        <f aca="false">SUM(C10:J10)</f>
        <v>5</v>
      </c>
      <c r="L10" s="16" t="n">
        <f aca="false">SUMPRODUCT(C10:J10,Returns!B14:I14)/K10</f>
        <v>-0.0722842864641417</v>
      </c>
      <c r="M10" s="16" t="n">
        <v>0</v>
      </c>
      <c r="N10" s="16" t="n">
        <v>0</v>
      </c>
      <c r="O10" s="16" t="n">
        <f aca="false">L10+M10+N10</f>
        <v>-0.0722842864641417</v>
      </c>
      <c r="P10" s="21" t="n">
        <f aca="false">P9*(1+O10)</f>
        <v>0.911948573378292</v>
      </c>
      <c r="Q10" s="21" t="n">
        <f aca="false">MAX($P$5:P10)</f>
        <v>0.983004340739824</v>
      </c>
      <c r="R10" s="16" t="n">
        <f aca="false">P10/Q10-1</f>
        <v>-0.0722842864641416</v>
      </c>
      <c r="S10" s="16" t="n">
        <f aca="false">O10-Benchmark_RF!D10</f>
        <v>-0.0772794892202834</v>
      </c>
    </row>
    <row r="11" customFormat="false" ht="15" hidden="false" customHeight="true" outlineLevel="0" collapsed="false">
      <c r="A11" s="1" t="n">
        <v>14</v>
      </c>
      <c r="B11" s="13" t="n">
        <f aca="false">Returns!A15</f>
        <v>42401</v>
      </c>
      <c r="C11" s="17" t="n">
        <f aca="false">IF(Rankings!C11&lt;=5,1,0)</f>
        <v>0</v>
      </c>
      <c r="D11" s="17" t="n">
        <f aca="false">IF(Rankings!D11&lt;=5,1,0)</f>
        <v>1</v>
      </c>
      <c r="E11" s="17" t="n">
        <f aca="false">IF(Rankings!E11&lt;=5,1,0)</f>
        <v>0</v>
      </c>
      <c r="F11" s="17" t="n">
        <f aca="false">IF(Rankings!F11&lt;=5,1,0)</f>
        <v>1</v>
      </c>
      <c r="G11" s="17" t="n">
        <f aca="false">IF(Rankings!G11&lt;=5,1,0)</f>
        <v>1</v>
      </c>
      <c r="H11" s="17" t="n">
        <f aca="false">IF(Rankings!H11&lt;=5,1,0)</f>
        <v>1</v>
      </c>
      <c r="I11" s="17" t="n">
        <f aca="false">IF(Rankings!I11&lt;=5,1,0)</f>
        <v>0</v>
      </c>
      <c r="J11" s="17" t="n">
        <f aca="false">IF(Rankings!J11&lt;=5,1,0)</f>
        <v>1</v>
      </c>
      <c r="K11" s="20" t="n">
        <f aca="false">SUM(C11:J11)</f>
        <v>5</v>
      </c>
      <c r="L11" s="16" t="n">
        <f aca="false">SUMPRODUCT(C11:J11,Returns!B15:I15)/K11</f>
        <v>-0.017266692772446</v>
      </c>
      <c r="M11" s="16" t="n">
        <v>0</v>
      </c>
      <c r="N11" s="16" t="n">
        <v>0</v>
      </c>
      <c r="O11" s="16" t="n">
        <f aca="false">L11+M11+N11</f>
        <v>-0.017266692772446</v>
      </c>
      <c r="P11" s="21" t="n">
        <f aca="false">P10*(1+O11)</f>
        <v>0.896202237537499</v>
      </c>
      <c r="Q11" s="21" t="n">
        <f aca="false">MAX($P$5:P11)</f>
        <v>0.983004340739824</v>
      </c>
      <c r="R11" s="16" t="n">
        <f aca="false">P11/Q11-1</f>
        <v>-0.0883028686699358</v>
      </c>
      <c r="S11" s="16" t="n">
        <f aca="false">O11-Benchmark_RF!D11</f>
        <v>-0.0223032238661291</v>
      </c>
    </row>
    <row r="12" customFormat="false" ht="15" hidden="false" customHeight="true" outlineLevel="0" collapsed="false">
      <c r="A12" s="1" t="n">
        <v>15</v>
      </c>
      <c r="B12" s="13" t="n">
        <f aca="false">Returns!A16</f>
        <v>42430</v>
      </c>
      <c r="C12" s="17" t="n">
        <f aca="false">IF(Rankings!C11&lt;=5,1,0)</f>
        <v>0</v>
      </c>
      <c r="D12" s="17" t="n">
        <f aca="false">IF(Rankings!D11&lt;=5,1,0)</f>
        <v>1</v>
      </c>
      <c r="E12" s="17" t="n">
        <f aca="false">IF(Rankings!E11&lt;=5,1,0)</f>
        <v>0</v>
      </c>
      <c r="F12" s="17" t="n">
        <f aca="false">IF(Rankings!F11&lt;=5,1,0)</f>
        <v>1</v>
      </c>
      <c r="G12" s="17" t="n">
        <f aca="false">IF(Rankings!G11&lt;=5,1,0)</f>
        <v>1</v>
      </c>
      <c r="H12" s="17" t="n">
        <f aca="false">IF(Rankings!H11&lt;=5,1,0)</f>
        <v>1</v>
      </c>
      <c r="I12" s="17" t="n">
        <f aca="false">IF(Rankings!I11&lt;=5,1,0)</f>
        <v>0</v>
      </c>
      <c r="J12" s="17" t="n">
        <f aca="false">IF(Rankings!J11&lt;=5,1,0)</f>
        <v>1</v>
      </c>
      <c r="K12" s="20" t="n">
        <f aca="false">SUM(C12:J12)</f>
        <v>5</v>
      </c>
      <c r="L12" s="16" t="n">
        <f aca="false">SUMPRODUCT(C12:J12,Returns!B16:I16)/K12</f>
        <v>0.0684038082589818</v>
      </c>
      <c r="M12" s="16" t="n">
        <v>0</v>
      </c>
      <c r="N12" s="16" t="n">
        <v>0</v>
      </c>
      <c r="O12" s="16" t="n">
        <f aca="false">L12+M12+N12</f>
        <v>0.0684038082589818</v>
      </c>
      <c r="P12" s="21" t="n">
        <f aca="false">P11*(1+O12)</f>
        <v>0.957505883555284</v>
      </c>
      <c r="Q12" s="21" t="n">
        <f aca="false">MAX($P$5:P12)</f>
        <v>0.983004340739824</v>
      </c>
      <c r="R12" s="16" t="n">
        <f aca="false">P12/Q12-1</f>
        <v>-0.0259393129081704</v>
      </c>
      <c r="S12" s="16" t="n">
        <f aca="false">O12-Benchmark_RF!D12</f>
        <v>0.0634022946236599</v>
      </c>
    </row>
    <row r="13" customFormat="false" ht="15" hidden="false" customHeight="true" outlineLevel="0" collapsed="false">
      <c r="A13" s="1" t="n">
        <v>16</v>
      </c>
      <c r="B13" s="13" t="n">
        <f aca="false">Returns!A17</f>
        <v>42461</v>
      </c>
      <c r="C13" s="17" t="n">
        <f aca="false">IF(Rankings!C11&lt;=5,1,0)</f>
        <v>0</v>
      </c>
      <c r="D13" s="17" t="n">
        <f aca="false">IF(Rankings!D11&lt;=5,1,0)</f>
        <v>1</v>
      </c>
      <c r="E13" s="17" t="n">
        <f aca="false">IF(Rankings!E11&lt;=5,1,0)</f>
        <v>0</v>
      </c>
      <c r="F13" s="17" t="n">
        <f aca="false">IF(Rankings!F11&lt;=5,1,0)</f>
        <v>1</v>
      </c>
      <c r="G13" s="17" t="n">
        <f aca="false">IF(Rankings!G11&lt;=5,1,0)</f>
        <v>1</v>
      </c>
      <c r="H13" s="17" t="n">
        <f aca="false">IF(Rankings!H11&lt;=5,1,0)</f>
        <v>1</v>
      </c>
      <c r="I13" s="17" t="n">
        <f aca="false">IF(Rankings!I11&lt;=5,1,0)</f>
        <v>0</v>
      </c>
      <c r="J13" s="17" t="n">
        <f aca="false">IF(Rankings!J11&lt;=5,1,0)</f>
        <v>1</v>
      </c>
      <c r="K13" s="20" t="n">
        <f aca="false">SUM(C13:J13)</f>
        <v>5</v>
      </c>
      <c r="L13" s="16" t="n">
        <f aca="false">SUMPRODUCT(C13:J13,Returns!B17:I17)/K13</f>
        <v>0.028113308980716</v>
      </c>
      <c r="M13" s="16" t="n">
        <v>0</v>
      </c>
      <c r="N13" s="16" t="n">
        <v>0</v>
      </c>
      <c r="O13" s="16" t="n">
        <f aca="false">L13+M13+N13</f>
        <v>0.028113308980716</v>
      </c>
      <c r="P13" s="21" t="n">
        <f aca="false">P12*(1+O13)</f>
        <v>0.984424542310527</v>
      </c>
      <c r="Q13" s="21" t="n">
        <f aca="false">MAX($P$5:P13)</f>
        <v>0.984424542310527</v>
      </c>
      <c r="R13" s="16" t="n">
        <f aca="false">P13/Q13-1</f>
        <v>0</v>
      </c>
      <c r="S13" s="16" t="n">
        <f aca="false">O13-Benchmark_RF!D13</f>
        <v>0.0231117953453941</v>
      </c>
    </row>
    <row r="14" customFormat="false" ht="15" hidden="false" customHeight="true" outlineLevel="0" collapsed="false">
      <c r="A14" s="1" t="n">
        <v>17</v>
      </c>
      <c r="B14" s="13" t="n">
        <f aca="false">Returns!A18</f>
        <v>42491</v>
      </c>
      <c r="C14" s="17" t="n">
        <f aca="false">IF(Rankings!C11&lt;=5,1,0)</f>
        <v>0</v>
      </c>
      <c r="D14" s="17" t="n">
        <f aca="false">IF(Rankings!D11&lt;=5,1,0)</f>
        <v>1</v>
      </c>
      <c r="E14" s="17" t="n">
        <f aca="false">IF(Rankings!E11&lt;=5,1,0)</f>
        <v>0</v>
      </c>
      <c r="F14" s="17" t="n">
        <f aca="false">IF(Rankings!F11&lt;=5,1,0)</f>
        <v>1</v>
      </c>
      <c r="G14" s="17" t="n">
        <f aca="false">IF(Rankings!G11&lt;=5,1,0)</f>
        <v>1</v>
      </c>
      <c r="H14" s="17" t="n">
        <f aca="false">IF(Rankings!H11&lt;=5,1,0)</f>
        <v>1</v>
      </c>
      <c r="I14" s="17" t="n">
        <f aca="false">IF(Rankings!I11&lt;=5,1,0)</f>
        <v>0</v>
      </c>
      <c r="J14" s="17" t="n">
        <f aca="false">IF(Rankings!J11&lt;=5,1,0)</f>
        <v>1</v>
      </c>
      <c r="K14" s="20" t="n">
        <f aca="false">SUM(C14:J14)</f>
        <v>5</v>
      </c>
      <c r="L14" s="16" t="n">
        <f aca="false">SUMPRODUCT(C14:J14,Returns!B18:I18)/K14</f>
        <v>0.0531408135409897</v>
      </c>
      <c r="M14" s="16" t="n">
        <v>0</v>
      </c>
      <c r="N14" s="16" t="n">
        <v>0</v>
      </c>
      <c r="O14" s="16" t="n">
        <f aca="false">L14+M14+N14</f>
        <v>0.0531408135409897</v>
      </c>
      <c r="P14" s="21" t="n">
        <f aca="false">P13*(1+O14)</f>
        <v>1.03673766335863</v>
      </c>
      <c r="Q14" s="21" t="n">
        <f aca="false">MAX($P$5:P14)</f>
        <v>1.03673766335863</v>
      </c>
      <c r="R14" s="16" t="n">
        <f aca="false">P14/Q14-1</f>
        <v>0</v>
      </c>
      <c r="S14" s="16" t="n">
        <f aca="false">O14-Benchmark_RF!D14</f>
        <v>0.0482831383870704</v>
      </c>
    </row>
    <row r="15" customFormat="false" ht="15" hidden="false" customHeight="true" outlineLevel="0" collapsed="false">
      <c r="A15" s="1" t="n">
        <v>18</v>
      </c>
      <c r="B15" s="13" t="n">
        <f aca="false">Returns!A19</f>
        <v>42522</v>
      </c>
      <c r="C15" s="17" t="n">
        <f aca="false">IF(Rankings!C11&lt;=5,1,0)</f>
        <v>0</v>
      </c>
      <c r="D15" s="17" t="n">
        <f aca="false">IF(Rankings!D11&lt;=5,1,0)</f>
        <v>1</v>
      </c>
      <c r="E15" s="17" t="n">
        <f aca="false">IF(Rankings!E11&lt;=5,1,0)</f>
        <v>0</v>
      </c>
      <c r="F15" s="17" t="n">
        <f aca="false">IF(Rankings!F11&lt;=5,1,0)</f>
        <v>1</v>
      </c>
      <c r="G15" s="17" t="n">
        <f aca="false">IF(Rankings!G11&lt;=5,1,0)</f>
        <v>1</v>
      </c>
      <c r="H15" s="17" t="n">
        <f aca="false">IF(Rankings!H11&lt;=5,1,0)</f>
        <v>1</v>
      </c>
      <c r="I15" s="17" t="n">
        <f aca="false">IF(Rankings!I11&lt;=5,1,0)</f>
        <v>0</v>
      </c>
      <c r="J15" s="17" t="n">
        <f aca="false">IF(Rankings!J11&lt;=5,1,0)</f>
        <v>1</v>
      </c>
      <c r="K15" s="20" t="n">
        <f aca="false">SUM(C15:J15)</f>
        <v>5</v>
      </c>
      <c r="L15" s="16" t="n">
        <f aca="false">SUMPRODUCT(C15:J15,Returns!B19:I19)/K15</f>
        <v>0.0416039116718651</v>
      </c>
      <c r="M15" s="16" t="n">
        <v>0</v>
      </c>
      <c r="N15" s="16" t="n">
        <v>0</v>
      </c>
      <c r="O15" s="16" t="n">
        <f aca="false">L15+M15+N15</f>
        <v>0.0416039116718651</v>
      </c>
      <c r="P15" s="21" t="n">
        <f aca="false">P14*(1+O15)</f>
        <v>1.07987000553189</v>
      </c>
      <c r="Q15" s="21" t="n">
        <f aca="false">MAX($P$5:P15)</f>
        <v>1.07987000553189</v>
      </c>
      <c r="R15" s="16" t="n">
        <f aca="false">P15/Q15-1</f>
        <v>0</v>
      </c>
      <c r="S15" s="16" t="n">
        <f aca="false">O15-Benchmark_RF!D15</f>
        <v>0.0368155524417137</v>
      </c>
    </row>
    <row r="16" customFormat="false" ht="15" hidden="false" customHeight="true" outlineLevel="0" collapsed="false">
      <c r="A16" s="1" t="n">
        <v>19</v>
      </c>
      <c r="B16" s="13" t="n">
        <f aca="false">Returns!A20</f>
        <v>42552</v>
      </c>
      <c r="C16" s="17" t="n">
        <f aca="false">IF(Rankings!C11&lt;=5,1,0)</f>
        <v>0</v>
      </c>
      <c r="D16" s="17" t="n">
        <f aca="false">IF(Rankings!D11&lt;=5,1,0)</f>
        <v>1</v>
      </c>
      <c r="E16" s="17" t="n">
        <f aca="false">IF(Rankings!E11&lt;=5,1,0)</f>
        <v>0</v>
      </c>
      <c r="F16" s="17" t="n">
        <f aca="false">IF(Rankings!F11&lt;=5,1,0)</f>
        <v>1</v>
      </c>
      <c r="G16" s="17" t="n">
        <f aca="false">IF(Rankings!G11&lt;=5,1,0)</f>
        <v>1</v>
      </c>
      <c r="H16" s="17" t="n">
        <f aca="false">IF(Rankings!H11&lt;=5,1,0)</f>
        <v>1</v>
      </c>
      <c r="I16" s="17" t="n">
        <f aca="false">IF(Rankings!I11&lt;=5,1,0)</f>
        <v>0</v>
      </c>
      <c r="J16" s="17" t="n">
        <f aca="false">IF(Rankings!J11&lt;=5,1,0)</f>
        <v>1</v>
      </c>
      <c r="K16" s="20" t="n">
        <f aca="false">SUM(C16:J16)</f>
        <v>5</v>
      </c>
      <c r="L16" s="16" t="n">
        <f aca="false">SUMPRODUCT(C16:J16,Returns!B20:I20)/K16</f>
        <v>0.0645300549339577</v>
      </c>
      <c r="M16" s="16" t="n">
        <v>0</v>
      </c>
      <c r="N16" s="16" t="n">
        <v>0</v>
      </c>
      <c r="O16" s="16" t="n">
        <f aca="false">L16+M16+N16</f>
        <v>0.0645300549339577</v>
      </c>
      <c r="P16" s="21" t="n">
        <f aca="false">P15*(1+O16)</f>
        <v>1.1495540763104</v>
      </c>
      <c r="Q16" s="21" t="n">
        <f aca="false">MAX($P$5:P16)</f>
        <v>1.1495540763104</v>
      </c>
      <c r="R16" s="16" t="n">
        <f aca="false">P16/Q16-1</f>
        <v>0</v>
      </c>
      <c r="S16" s="16" t="n">
        <f aca="false">O16-Benchmark_RF!D16</f>
        <v>0.0598306900221897</v>
      </c>
    </row>
    <row r="17" customFormat="false" ht="15" hidden="false" customHeight="true" outlineLevel="0" collapsed="false">
      <c r="A17" s="1" t="n">
        <v>20</v>
      </c>
      <c r="B17" s="13" t="n">
        <f aca="false">Returns!A21</f>
        <v>42583</v>
      </c>
      <c r="C17" s="17" t="n">
        <f aca="false">IF(Rankings!C23&lt;=5,1,0)</f>
        <v>0</v>
      </c>
      <c r="D17" s="17" t="n">
        <f aca="false">IF(Rankings!D23&lt;=5,1,0)</f>
        <v>0</v>
      </c>
      <c r="E17" s="17" t="n">
        <f aca="false">IF(Rankings!E23&lt;=5,1,0)</f>
        <v>1</v>
      </c>
      <c r="F17" s="17" t="n">
        <f aca="false">IF(Rankings!F23&lt;=5,1,0)</f>
        <v>1</v>
      </c>
      <c r="G17" s="17" t="n">
        <f aca="false">IF(Rankings!G23&lt;=5,1,0)</f>
        <v>0</v>
      </c>
      <c r="H17" s="17" t="n">
        <f aca="false">IF(Rankings!H23&lt;=5,1,0)</f>
        <v>1</v>
      </c>
      <c r="I17" s="17" t="n">
        <f aca="false">IF(Rankings!I23&lt;=5,1,0)</f>
        <v>1</v>
      </c>
      <c r="J17" s="17" t="n">
        <f aca="false">IF(Rankings!J23&lt;=5,1,0)</f>
        <v>1</v>
      </c>
      <c r="K17" s="20" t="n">
        <f aca="false">SUM(C17:J17)</f>
        <v>5</v>
      </c>
      <c r="L17" s="16" t="n">
        <f aca="false">SUMPRODUCT(C17:J17,Returns!B21:I21)/K17</f>
        <v>0.00729340619926251</v>
      </c>
      <c r="M17" s="16" t="n">
        <f aca="false">-2*Assumptions!$B$13</f>
        <v>-0.007</v>
      </c>
      <c r="N17" s="16" t="n">
        <f aca="false">-Assumptions!$B$16*MAX(0,(1+O5)*(1+O6)*(1+O7)*(1+O8)*(1+O9)*(1+O10)*(1+O11)*(1+O12)*(1+O13)*(1+O14)*(1+O15)*(1+O16)-1)</f>
        <v>-0.0224331114465599</v>
      </c>
      <c r="O17" s="16" t="n">
        <f aca="false">L17+M17+N17</f>
        <v>-0.0221397052472974</v>
      </c>
      <c r="P17" s="21" t="n">
        <f aca="false">P16*(1+O17)</f>
        <v>1.12410328789506</v>
      </c>
      <c r="Q17" s="21" t="n">
        <f aca="false">MAX($P$5:P17)</f>
        <v>1.1495540763104</v>
      </c>
      <c r="R17" s="16" t="n">
        <f aca="false">P17/Q17-1</f>
        <v>-0.0221397052472974</v>
      </c>
      <c r="S17" s="16" t="n">
        <f aca="false">O17-Benchmark_RF!D17</f>
        <v>-0.0268965901758844</v>
      </c>
    </row>
    <row r="18" customFormat="false" ht="15" hidden="false" customHeight="true" outlineLevel="0" collapsed="false">
      <c r="A18" s="1" t="n">
        <v>21</v>
      </c>
      <c r="B18" s="13" t="n">
        <f aca="false">Returns!A22</f>
        <v>42614</v>
      </c>
      <c r="C18" s="17" t="n">
        <f aca="false">IF(Rankings!C23&lt;=5,1,0)</f>
        <v>0</v>
      </c>
      <c r="D18" s="17" t="n">
        <f aca="false">IF(Rankings!D23&lt;=5,1,0)</f>
        <v>0</v>
      </c>
      <c r="E18" s="17" t="n">
        <f aca="false">IF(Rankings!E23&lt;=5,1,0)</f>
        <v>1</v>
      </c>
      <c r="F18" s="17" t="n">
        <f aca="false">IF(Rankings!F23&lt;=5,1,0)</f>
        <v>1</v>
      </c>
      <c r="G18" s="17" t="n">
        <f aca="false">IF(Rankings!G23&lt;=5,1,0)</f>
        <v>0</v>
      </c>
      <c r="H18" s="17" t="n">
        <f aca="false">IF(Rankings!H23&lt;=5,1,0)</f>
        <v>1</v>
      </c>
      <c r="I18" s="17" t="n">
        <f aca="false">IF(Rankings!I23&lt;=5,1,0)</f>
        <v>1</v>
      </c>
      <c r="J18" s="17" t="n">
        <f aca="false">IF(Rankings!J23&lt;=5,1,0)</f>
        <v>1</v>
      </c>
      <c r="K18" s="20" t="n">
        <f aca="false">SUM(C18:J18)</f>
        <v>5</v>
      </c>
      <c r="L18" s="16" t="n">
        <f aca="false">SUMPRODUCT(C18:J18,Returns!B22:I22)/K18</f>
        <v>0.087712388664118</v>
      </c>
      <c r="M18" s="16" t="n">
        <v>0</v>
      </c>
      <c r="N18" s="16" t="n">
        <v>0</v>
      </c>
      <c r="O18" s="16" t="n">
        <f aca="false">L18+M18+N18</f>
        <v>0.087712388664118</v>
      </c>
      <c r="P18" s="21" t="n">
        <f aca="false">P17*(1+O18)</f>
        <v>1.22270107238152</v>
      </c>
      <c r="Q18" s="21" t="n">
        <f aca="false">MAX($P$5:P18)</f>
        <v>1.22270107238152</v>
      </c>
      <c r="R18" s="16" t="n">
        <f aca="false">P18/Q18-1</f>
        <v>0</v>
      </c>
      <c r="S18" s="16" t="n">
        <f aca="false">O18-Benchmark_RF!D18</f>
        <v>0.0829555037355309</v>
      </c>
    </row>
    <row r="19" customFormat="false" ht="15" hidden="false" customHeight="true" outlineLevel="0" collapsed="false">
      <c r="A19" s="1" t="n">
        <v>22</v>
      </c>
      <c r="B19" s="13" t="n">
        <f aca="false">Returns!A23</f>
        <v>42644</v>
      </c>
      <c r="C19" s="17" t="n">
        <f aca="false">IF(Rankings!C23&lt;=5,1,0)</f>
        <v>0</v>
      </c>
      <c r="D19" s="17" t="n">
        <f aca="false">IF(Rankings!D23&lt;=5,1,0)</f>
        <v>0</v>
      </c>
      <c r="E19" s="17" t="n">
        <f aca="false">IF(Rankings!E23&lt;=5,1,0)</f>
        <v>1</v>
      </c>
      <c r="F19" s="17" t="n">
        <f aca="false">IF(Rankings!F23&lt;=5,1,0)</f>
        <v>1</v>
      </c>
      <c r="G19" s="17" t="n">
        <f aca="false">IF(Rankings!G23&lt;=5,1,0)</f>
        <v>0</v>
      </c>
      <c r="H19" s="17" t="n">
        <f aca="false">IF(Rankings!H23&lt;=5,1,0)</f>
        <v>1</v>
      </c>
      <c r="I19" s="17" t="n">
        <f aca="false">IF(Rankings!I23&lt;=5,1,0)</f>
        <v>1</v>
      </c>
      <c r="J19" s="17" t="n">
        <f aca="false">IF(Rankings!J23&lt;=5,1,0)</f>
        <v>1</v>
      </c>
      <c r="K19" s="20" t="n">
        <f aca="false">SUM(C19:J19)</f>
        <v>5</v>
      </c>
      <c r="L19" s="16" t="n">
        <f aca="false">SUMPRODUCT(C19:J19,Returns!B23:I23)/K19</f>
        <v>0.055321812020397</v>
      </c>
      <c r="M19" s="16" t="n">
        <v>0</v>
      </c>
      <c r="N19" s="16" t="n">
        <v>0</v>
      </c>
      <c r="O19" s="16" t="n">
        <f aca="false">L19+M19+N19</f>
        <v>0.055321812020397</v>
      </c>
      <c r="P19" s="21" t="n">
        <f aca="false">P18*(1+O19)</f>
        <v>1.29034311126495</v>
      </c>
      <c r="Q19" s="21" t="n">
        <f aca="false">MAX($P$5:P19)</f>
        <v>1.29034311126495</v>
      </c>
      <c r="R19" s="16" t="n">
        <f aca="false">P19/Q19-1</f>
        <v>0</v>
      </c>
      <c r="S19" s="16" t="n">
        <f aca="false">O19-Benchmark_RF!D19</f>
        <v>0.0505491095042544</v>
      </c>
    </row>
    <row r="20" customFormat="false" ht="15" hidden="false" customHeight="true" outlineLevel="0" collapsed="false">
      <c r="A20" s="1" t="n">
        <v>23</v>
      </c>
      <c r="B20" s="13" t="n">
        <f aca="false">Returns!A24</f>
        <v>42675</v>
      </c>
      <c r="C20" s="17" t="n">
        <f aca="false">IF(Rankings!C23&lt;=5,1,0)</f>
        <v>0</v>
      </c>
      <c r="D20" s="17" t="n">
        <f aca="false">IF(Rankings!D23&lt;=5,1,0)</f>
        <v>0</v>
      </c>
      <c r="E20" s="17" t="n">
        <f aca="false">IF(Rankings!E23&lt;=5,1,0)</f>
        <v>1</v>
      </c>
      <c r="F20" s="17" t="n">
        <f aca="false">IF(Rankings!F23&lt;=5,1,0)</f>
        <v>1</v>
      </c>
      <c r="G20" s="17" t="n">
        <f aca="false">IF(Rankings!G23&lt;=5,1,0)</f>
        <v>0</v>
      </c>
      <c r="H20" s="17" t="n">
        <f aca="false">IF(Rankings!H23&lt;=5,1,0)</f>
        <v>1</v>
      </c>
      <c r="I20" s="17" t="n">
        <f aca="false">IF(Rankings!I23&lt;=5,1,0)</f>
        <v>1</v>
      </c>
      <c r="J20" s="17" t="n">
        <f aca="false">IF(Rankings!J23&lt;=5,1,0)</f>
        <v>1</v>
      </c>
      <c r="K20" s="20" t="n">
        <f aca="false">SUM(C20:J20)</f>
        <v>5</v>
      </c>
      <c r="L20" s="16" t="n">
        <f aca="false">SUMPRODUCT(C20:J20,Returns!B24:I24)/K20</f>
        <v>0.106189487708167</v>
      </c>
      <c r="M20" s="16" t="n">
        <v>0</v>
      </c>
      <c r="N20" s="16" t="n">
        <v>0</v>
      </c>
      <c r="O20" s="16" t="n">
        <f aca="false">L20+M20+N20</f>
        <v>0.106189487708167</v>
      </c>
      <c r="P20" s="21" t="n">
        <f aca="false">P19*(1+O20)</f>
        <v>1.42736398521794</v>
      </c>
      <c r="Q20" s="21" t="n">
        <f aca="false">MAX($P$5:P20)</f>
        <v>1.42736398521794</v>
      </c>
      <c r="R20" s="16" t="n">
        <f aca="false">P20/Q20-1</f>
        <v>0</v>
      </c>
      <c r="S20" s="16" t="n">
        <f aca="false">O20-Benchmark_RF!D20</f>
        <v>0.10136144519563</v>
      </c>
    </row>
    <row r="21" customFormat="false" ht="15" hidden="false" customHeight="true" outlineLevel="0" collapsed="false">
      <c r="A21" s="1" t="n">
        <v>24</v>
      </c>
      <c r="B21" s="13" t="n">
        <f aca="false">Returns!A25</f>
        <v>42705</v>
      </c>
      <c r="C21" s="17" t="n">
        <f aca="false">IF(Rankings!C23&lt;=5,1,0)</f>
        <v>0</v>
      </c>
      <c r="D21" s="17" t="n">
        <f aca="false">IF(Rankings!D23&lt;=5,1,0)</f>
        <v>0</v>
      </c>
      <c r="E21" s="17" t="n">
        <f aca="false">IF(Rankings!E23&lt;=5,1,0)</f>
        <v>1</v>
      </c>
      <c r="F21" s="17" t="n">
        <f aca="false">IF(Rankings!F23&lt;=5,1,0)</f>
        <v>1</v>
      </c>
      <c r="G21" s="17" t="n">
        <f aca="false">IF(Rankings!G23&lt;=5,1,0)</f>
        <v>0</v>
      </c>
      <c r="H21" s="17" t="n">
        <f aca="false">IF(Rankings!H23&lt;=5,1,0)</f>
        <v>1</v>
      </c>
      <c r="I21" s="17" t="n">
        <f aca="false">IF(Rankings!I23&lt;=5,1,0)</f>
        <v>1</v>
      </c>
      <c r="J21" s="17" t="n">
        <f aca="false">IF(Rankings!J23&lt;=5,1,0)</f>
        <v>1</v>
      </c>
      <c r="K21" s="20" t="n">
        <f aca="false">SUM(C21:J21)</f>
        <v>5</v>
      </c>
      <c r="L21" s="16" t="n">
        <f aca="false">SUMPRODUCT(C21:J21,Returns!B25:I25)/K21</f>
        <v>0.0787252272397067</v>
      </c>
      <c r="M21" s="16" t="n">
        <v>0</v>
      </c>
      <c r="N21" s="16" t="n">
        <v>0</v>
      </c>
      <c r="O21" s="16" t="n">
        <f aca="false">L21+M21+N21</f>
        <v>0.0787252272397067</v>
      </c>
      <c r="P21" s="21" t="n">
        <f aca="false">P20*(1+O21)</f>
        <v>1.53973353930799</v>
      </c>
      <c r="Q21" s="21" t="n">
        <f aca="false">MAX($P$5:P21)</f>
        <v>1.53973353930799</v>
      </c>
      <c r="R21" s="16" t="n">
        <f aca="false">P21/Q21-1</f>
        <v>0</v>
      </c>
      <c r="S21" s="16" t="n">
        <f aca="false">O21-Benchmark_RF!D21</f>
        <v>0.0738854095400671</v>
      </c>
    </row>
    <row r="22" customFormat="false" ht="15" hidden="false" customHeight="true" outlineLevel="0" collapsed="false">
      <c r="A22" s="1" t="n">
        <v>25</v>
      </c>
      <c r="B22" s="13" t="n">
        <f aca="false">Returns!A26</f>
        <v>42736</v>
      </c>
      <c r="C22" s="17" t="n">
        <f aca="false">IF(Rankings!C23&lt;=5,1,0)</f>
        <v>0</v>
      </c>
      <c r="D22" s="17" t="n">
        <f aca="false">IF(Rankings!D23&lt;=5,1,0)</f>
        <v>0</v>
      </c>
      <c r="E22" s="17" t="n">
        <f aca="false">IF(Rankings!E23&lt;=5,1,0)</f>
        <v>1</v>
      </c>
      <c r="F22" s="17" t="n">
        <f aca="false">IF(Rankings!F23&lt;=5,1,0)</f>
        <v>1</v>
      </c>
      <c r="G22" s="17" t="n">
        <f aca="false">IF(Rankings!G23&lt;=5,1,0)</f>
        <v>0</v>
      </c>
      <c r="H22" s="17" t="n">
        <f aca="false">IF(Rankings!H23&lt;=5,1,0)</f>
        <v>1</v>
      </c>
      <c r="I22" s="17" t="n">
        <f aca="false">IF(Rankings!I23&lt;=5,1,0)</f>
        <v>1</v>
      </c>
      <c r="J22" s="17" t="n">
        <f aca="false">IF(Rankings!J23&lt;=5,1,0)</f>
        <v>1</v>
      </c>
      <c r="K22" s="20" t="n">
        <f aca="false">SUM(C22:J22)</f>
        <v>5</v>
      </c>
      <c r="L22" s="16" t="n">
        <f aca="false">SUMPRODUCT(C22:J22,Returns!B26:I26)/K22</f>
        <v>0.0160962371340665</v>
      </c>
      <c r="M22" s="16" t="n">
        <v>0</v>
      </c>
      <c r="N22" s="16" t="n">
        <v>0</v>
      </c>
      <c r="O22" s="16" t="n">
        <f aca="false">L22+M22+N22</f>
        <v>0.0160962371340665</v>
      </c>
      <c r="P22" s="21" t="n">
        <f aca="false">P21*(1+O22)</f>
        <v>1.56451745547997</v>
      </c>
      <c r="Q22" s="21" t="n">
        <f aca="false">MAX($P$5:P22)</f>
        <v>1.56451745547997</v>
      </c>
      <c r="R22" s="16" t="n">
        <f aca="false">P22/Q22-1</f>
        <v>0</v>
      </c>
      <c r="S22" s="16" t="n">
        <f aca="false">O22-Benchmark_RF!D22</f>
        <v>0.0113218739301215</v>
      </c>
    </row>
    <row r="23" customFormat="false" ht="15" hidden="false" customHeight="true" outlineLevel="0" collapsed="false">
      <c r="A23" s="1" t="n">
        <v>26</v>
      </c>
      <c r="B23" s="13" t="n">
        <f aca="false">Returns!A27</f>
        <v>42767</v>
      </c>
      <c r="C23" s="17" t="n">
        <f aca="false">IF(Rankings!C23&lt;=5,1,0)</f>
        <v>0</v>
      </c>
      <c r="D23" s="17" t="n">
        <f aca="false">IF(Rankings!D23&lt;=5,1,0)</f>
        <v>0</v>
      </c>
      <c r="E23" s="17" t="n">
        <f aca="false">IF(Rankings!E23&lt;=5,1,0)</f>
        <v>1</v>
      </c>
      <c r="F23" s="17" t="n">
        <f aca="false">IF(Rankings!F23&lt;=5,1,0)</f>
        <v>1</v>
      </c>
      <c r="G23" s="17" t="n">
        <f aca="false">IF(Rankings!G23&lt;=5,1,0)</f>
        <v>0</v>
      </c>
      <c r="H23" s="17" t="n">
        <f aca="false">IF(Rankings!H23&lt;=5,1,0)</f>
        <v>1</v>
      </c>
      <c r="I23" s="17" t="n">
        <f aca="false">IF(Rankings!I23&lt;=5,1,0)</f>
        <v>1</v>
      </c>
      <c r="J23" s="17" t="n">
        <f aca="false">IF(Rankings!J23&lt;=5,1,0)</f>
        <v>1</v>
      </c>
      <c r="K23" s="20" t="n">
        <f aca="false">SUM(C23:J23)</f>
        <v>5</v>
      </c>
      <c r="L23" s="16" t="n">
        <f aca="false">SUMPRODUCT(C23:J23,Returns!B27:I27)/K23</f>
        <v>-0.034272151448182</v>
      </c>
      <c r="M23" s="16" t="n">
        <v>0</v>
      </c>
      <c r="N23" s="16" t="n">
        <v>0</v>
      </c>
      <c r="O23" s="16" t="n">
        <f aca="false">L23+M23+N23</f>
        <v>-0.034272151448182</v>
      </c>
      <c r="P23" s="21" t="n">
        <f aca="false">P22*(1+O23)</f>
        <v>1.51089807630244</v>
      </c>
      <c r="Q23" s="21" t="n">
        <f aca="false">MAX($P$5:P23)</f>
        <v>1.56451745547997</v>
      </c>
      <c r="R23" s="16" t="n">
        <f aca="false">P23/Q23-1</f>
        <v>-0.034272151448182</v>
      </c>
      <c r="S23" s="16" t="n">
        <f aca="false">O23-Benchmark_RF!D23</f>
        <v>-0.0390936339699847</v>
      </c>
    </row>
    <row r="24" customFormat="false" ht="15" hidden="false" customHeight="true" outlineLevel="0" collapsed="false">
      <c r="A24" s="1" t="n">
        <v>27</v>
      </c>
      <c r="B24" s="13" t="n">
        <f aca="false">Returns!A28</f>
        <v>42795</v>
      </c>
      <c r="C24" s="17" t="n">
        <f aca="false">IF(Rankings!C23&lt;=5,1,0)</f>
        <v>0</v>
      </c>
      <c r="D24" s="17" t="n">
        <f aca="false">IF(Rankings!D23&lt;=5,1,0)</f>
        <v>0</v>
      </c>
      <c r="E24" s="17" t="n">
        <f aca="false">IF(Rankings!E23&lt;=5,1,0)</f>
        <v>1</v>
      </c>
      <c r="F24" s="17" t="n">
        <f aca="false">IF(Rankings!F23&lt;=5,1,0)</f>
        <v>1</v>
      </c>
      <c r="G24" s="17" t="n">
        <f aca="false">IF(Rankings!G23&lt;=5,1,0)</f>
        <v>0</v>
      </c>
      <c r="H24" s="17" t="n">
        <f aca="false">IF(Rankings!H23&lt;=5,1,0)</f>
        <v>1</v>
      </c>
      <c r="I24" s="17" t="n">
        <f aca="false">IF(Rankings!I23&lt;=5,1,0)</f>
        <v>1</v>
      </c>
      <c r="J24" s="17" t="n">
        <f aca="false">IF(Rankings!J23&lt;=5,1,0)</f>
        <v>1</v>
      </c>
      <c r="K24" s="20" t="n">
        <f aca="false">SUM(C24:J24)</f>
        <v>5</v>
      </c>
      <c r="L24" s="16" t="n">
        <f aca="false">SUMPRODUCT(C24:J24,Returns!B28:I28)/K24</f>
        <v>0.00971901212287367</v>
      </c>
      <c r="M24" s="16" t="n">
        <v>0</v>
      </c>
      <c r="N24" s="16" t="n">
        <v>0</v>
      </c>
      <c r="O24" s="16" t="n">
        <f aca="false">L24+M24+N24</f>
        <v>0.00971901212287367</v>
      </c>
      <c r="P24" s="21" t="n">
        <f aca="false">P23*(1+O24)</f>
        <v>1.52558251302245</v>
      </c>
      <c r="Q24" s="21" t="n">
        <f aca="false">MAX($P$5:P24)</f>
        <v>1.56451745547997</v>
      </c>
      <c r="R24" s="16" t="n">
        <f aca="false">P24/Q24-1</f>
        <v>-0.0248862307807102</v>
      </c>
      <c r="S24" s="16" t="n">
        <f aca="false">O24-Benchmark_RF!D24</f>
        <v>0.004873741998402</v>
      </c>
    </row>
    <row r="25" customFormat="false" ht="15" hidden="false" customHeight="true" outlineLevel="0" collapsed="false">
      <c r="A25" s="1" t="n">
        <v>28</v>
      </c>
      <c r="B25" s="13" t="n">
        <f aca="false">Returns!A29</f>
        <v>42826</v>
      </c>
      <c r="C25" s="17" t="n">
        <f aca="false">IF(Rankings!C23&lt;=5,1,0)</f>
        <v>0</v>
      </c>
      <c r="D25" s="17" t="n">
        <f aca="false">IF(Rankings!D23&lt;=5,1,0)</f>
        <v>0</v>
      </c>
      <c r="E25" s="17" t="n">
        <f aca="false">IF(Rankings!E23&lt;=5,1,0)</f>
        <v>1</v>
      </c>
      <c r="F25" s="17" t="n">
        <f aca="false">IF(Rankings!F23&lt;=5,1,0)</f>
        <v>1</v>
      </c>
      <c r="G25" s="17" t="n">
        <f aca="false">IF(Rankings!G23&lt;=5,1,0)</f>
        <v>0</v>
      </c>
      <c r="H25" s="17" t="n">
        <f aca="false">IF(Rankings!H23&lt;=5,1,0)</f>
        <v>1</v>
      </c>
      <c r="I25" s="17" t="n">
        <f aca="false">IF(Rankings!I23&lt;=5,1,0)</f>
        <v>1</v>
      </c>
      <c r="J25" s="17" t="n">
        <f aca="false">IF(Rankings!J23&lt;=5,1,0)</f>
        <v>1</v>
      </c>
      <c r="K25" s="20" t="n">
        <f aca="false">SUM(C25:J25)</f>
        <v>5</v>
      </c>
      <c r="L25" s="16" t="n">
        <f aca="false">SUMPRODUCT(C25:J25,Returns!B29:I29)/K25</f>
        <v>0.0278203108642111</v>
      </c>
      <c r="M25" s="16" t="n">
        <v>0</v>
      </c>
      <c r="N25" s="16" t="n">
        <v>0</v>
      </c>
      <c r="O25" s="16" t="n">
        <f aca="false">L25+M25+N25</f>
        <v>0.0278203108642111</v>
      </c>
      <c r="P25" s="21" t="n">
        <f aca="false">P24*(1+O25)</f>
        <v>1.56802469278374</v>
      </c>
      <c r="Q25" s="21" t="n">
        <f aca="false">MAX($P$5:P25)</f>
        <v>1.56802469278374</v>
      </c>
      <c r="R25" s="16" t="n">
        <f aca="false">P25/Q25-1</f>
        <v>0</v>
      </c>
      <c r="S25" s="16" t="n">
        <f aca="false">O25-Benchmark_RF!D25</f>
        <v>0.0229645319114558</v>
      </c>
    </row>
    <row r="26" customFormat="false" ht="15" hidden="false" customHeight="true" outlineLevel="0" collapsed="false">
      <c r="A26" s="1" t="n">
        <v>29</v>
      </c>
      <c r="B26" s="13" t="n">
        <f aca="false">Returns!A30</f>
        <v>42856</v>
      </c>
      <c r="C26" s="17" t="n">
        <f aca="false">IF(Rankings!C23&lt;=5,1,0)</f>
        <v>0</v>
      </c>
      <c r="D26" s="17" t="n">
        <f aca="false">IF(Rankings!D23&lt;=5,1,0)</f>
        <v>0</v>
      </c>
      <c r="E26" s="17" t="n">
        <f aca="false">IF(Rankings!E23&lt;=5,1,0)</f>
        <v>1</v>
      </c>
      <c r="F26" s="17" t="n">
        <f aca="false">IF(Rankings!F23&lt;=5,1,0)</f>
        <v>1</v>
      </c>
      <c r="G26" s="17" t="n">
        <f aca="false">IF(Rankings!G23&lt;=5,1,0)</f>
        <v>0</v>
      </c>
      <c r="H26" s="17" t="n">
        <f aca="false">IF(Rankings!H23&lt;=5,1,0)</f>
        <v>1</v>
      </c>
      <c r="I26" s="17" t="n">
        <f aca="false">IF(Rankings!I23&lt;=5,1,0)</f>
        <v>1</v>
      </c>
      <c r="J26" s="17" t="n">
        <f aca="false">IF(Rankings!J23&lt;=5,1,0)</f>
        <v>1</v>
      </c>
      <c r="K26" s="20" t="n">
        <f aca="false">SUM(C26:J26)</f>
        <v>5</v>
      </c>
      <c r="L26" s="16" t="n">
        <f aca="false">SUMPRODUCT(C26:J26,Returns!B30:I30)/K26</f>
        <v>0.168546605642253</v>
      </c>
      <c r="M26" s="16" t="n">
        <v>0</v>
      </c>
      <c r="N26" s="16" t="n">
        <v>0</v>
      </c>
      <c r="O26" s="16" t="n">
        <f aca="false">L26+M26+N26</f>
        <v>0.168546605642253</v>
      </c>
      <c r="P26" s="21" t="n">
        <f aca="false">P25*(1+O26)</f>
        <v>1.83230993231567</v>
      </c>
      <c r="Q26" s="21" t="n">
        <f aca="false">MAX($P$5:P26)</f>
        <v>1.83230993231567</v>
      </c>
      <c r="R26" s="16" t="n">
        <f aca="false">P26/Q26-1</f>
        <v>0</v>
      </c>
      <c r="S26" s="16" t="n">
        <f aca="false">O26-Benchmark_RF!D26</f>
        <v>0.163690826689498</v>
      </c>
    </row>
    <row r="27" customFormat="false" ht="15" hidden="false" customHeight="true" outlineLevel="0" collapsed="false">
      <c r="A27" s="1" t="n">
        <v>30</v>
      </c>
      <c r="B27" s="13" t="n">
        <f aca="false">Returns!A31</f>
        <v>42887</v>
      </c>
      <c r="C27" s="17" t="n">
        <f aca="false">IF(Rankings!C23&lt;=5,1,0)</f>
        <v>0</v>
      </c>
      <c r="D27" s="17" t="n">
        <f aca="false">IF(Rankings!D23&lt;=5,1,0)</f>
        <v>0</v>
      </c>
      <c r="E27" s="17" t="n">
        <f aca="false">IF(Rankings!E23&lt;=5,1,0)</f>
        <v>1</v>
      </c>
      <c r="F27" s="17" t="n">
        <f aca="false">IF(Rankings!F23&lt;=5,1,0)</f>
        <v>1</v>
      </c>
      <c r="G27" s="17" t="n">
        <f aca="false">IF(Rankings!G23&lt;=5,1,0)</f>
        <v>0</v>
      </c>
      <c r="H27" s="17" t="n">
        <f aca="false">IF(Rankings!H23&lt;=5,1,0)</f>
        <v>1</v>
      </c>
      <c r="I27" s="17" t="n">
        <f aca="false">IF(Rankings!I23&lt;=5,1,0)</f>
        <v>1</v>
      </c>
      <c r="J27" s="17" t="n">
        <f aca="false">IF(Rankings!J23&lt;=5,1,0)</f>
        <v>1</v>
      </c>
      <c r="K27" s="20" t="n">
        <f aca="false">SUM(C27:J27)</f>
        <v>5</v>
      </c>
      <c r="L27" s="16" t="n">
        <f aca="false">SUMPRODUCT(C27:J27,Returns!B31:I31)/K27</f>
        <v>-0.00148966056740631</v>
      </c>
      <c r="M27" s="16" t="n">
        <v>0</v>
      </c>
      <c r="N27" s="16" t="n">
        <v>0</v>
      </c>
      <c r="O27" s="16" t="n">
        <f aca="false">L27+M27+N27</f>
        <v>-0.00148966056740631</v>
      </c>
      <c r="P27" s="21" t="n">
        <f aca="false">P26*(1+O27)</f>
        <v>1.82958041246223</v>
      </c>
      <c r="Q27" s="21" t="n">
        <f aca="false">MAX($P$5:P27)</f>
        <v>1.83230993231567</v>
      </c>
      <c r="R27" s="16" t="n">
        <f aca="false">P27/Q27-1</f>
        <v>-0.00148966056740629</v>
      </c>
      <c r="S27" s="16" t="n">
        <f aca="false">O27-Benchmark_RF!D27</f>
        <v>-0.00635010094413704</v>
      </c>
    </row>
    <row r="28" customFormat="false" ht="15" hidden="false" customHeight="true" outlineLevel="0" collapsed="false">
      <c r="A28" s="1" t="n">
        <v>31</v>
      </c>
      <c r="B28" s="13" t="n">
        <f aca="false">Returns!A32</f>
        <v>42917</v>
      </c>
      <c r="C28" s="17" t="n">
        <f aca="false">IF(Rankings!C23&lt;=5,1,0)</f>
        <v>0</v>
      </c>
      <c r="D28" s="17" t="n">
        <f aca="false">IF(Rankings!D23&lt;=5,1,0)</f>
        <v>0</v>
      </c>
      <c r="E28" s="17" t="n">
        <f aca="false">IF(Rankings!E23&lt;=5,1,0)</f>
        <v>1</v>
      </c>
      <c r="F28" s="17" t="n">
        <f aca="false">IF(Rankings!F23&lt;=5,1,0)</f>
        <v>1</v>
      </c>
      <c r="G28" s="17" t="n">
        <f aca="false">IF(Rankings!G23&lt;=5,1,0)</f>
        <v>0</v>
      </c>
      <c r="H28" s="17" t="n">
        <f aca="false">IF(Rankings!H23&lt;=5,1,0)</f>
        <v>1</v>
      </c>
      <c r="I28" s="17" t="n">
        <f aca="false">IF(Rankings!I23&lt;=5,1,0)</f>
        <v>1</v>
      </c>
      <c r="J28" s="17" t="n">
        <f aca="false">IF(Rankings!J23&lt;=5,1,0)</f>
        <v>1</v>
      </c>
      <c r="K28" s="20" t="n">
        <f aca="false">SUM(C28:J28)</f>
        <v>5</v>
      </c>
      <c r="L28" s="16" t="n">
        <f aca="false">SUMPRODUCT(C28:J28,Returns!B32:I32)/K28</f>
        <v>-0.0115196201456372</v>
      </c>
      <c r="M28" s="16" t="n">
        <v>0</v>
      </c>
      <c r="N28" s="16" t="n">
        <v>0</v>
      </c>
      <c r="O28" s="16" t="n">
        <f aca="false">L28+M28+N28</f>
        <v>-0.0115196201456372</v>
      </c>
      <c r="P28" s="21" t="n">
        <f aca="false">P27*(1+O28)</f>
        <v>1.80850434108477</v>
      </c>
      <c r="Q28" s="21" t="n">
        <f aca="false">MAX($P$5:P28)</f>
        <v>1.83230993231567</v>
      </c>
      <c r="R28" s="16" t="n">
        <f aca="false">P28/Q28-1</f>
        <v>-0.0129921203891611</v>
      </c>
      <c r="S28" s="16" t="n">
        <f aca="false">O28-Benchmark_RF!D28</f>
        <v>-0.0163799815171636</v>
      </c>
    </row>
    <row r="29" customFormat="false" ht="15" hidden="false" customHeight="true" outlineLevel="0" collapsed="false">
      <c r="A29" s="1" t="n">
        <v>32</v>
      </c>
      <c r="B29" s="13" t="n">
        <f aca="false">Returns!A33</f>
        <v>42948</v>
      </c>
      <c r="C29" s="17" t="n">
        <f aca="false">IF(Rankings!C35&lt;=5,1,0)</f>
        <v>1</v>
      </c>
      <c r="D29" s="17" t="n">
        <f aca="false">IF(Rankings!D35&lt;=5,1,0)</f>
        <v>0</v>
      </c>
      <c r="E29" s="17" t="n">
        <f aca="false">IF(Rankings!E35&lt;=5,1,0)</f>
        <v>1</v>
      </c>
      <c r="F29" s="17" t="n">
        <f aca="false">IF(Rankings!F35&lt;=5,1,0)</f>
        <v>0</v>
      </c>
      <c r="G29" s="17" t="n">
        <f aca="false">IF(Rankings!G35&lt;=5,1,0)</f>
        <v>0</v>
      </c>
      <c r="H29" s="17" t="n">
        <f aca="false">IF(Rankings!H35&lt;=5,1,0)</f>
        <v>1</v>
      </c>
      <c r="I29" s="17" t="n">
        <f aca="false">IF(Rankings!I35&lt;=5,1,0)</f>
        <v>1</v>
      </c>
      <c r="J29" s="17" t="n">
        <f aca="false">IF(Rankings!J35&lt;=5,1,0)</f>
        <v>1</v>
      </c>
      <c r="K29" s="20" t="n">
        <f aca="false">SUM(C29:J29)</f>
        <v>5</v>
      </c>
      <c r="L29" s="16" t="n">
        <f aca="false">SUMPRODUCT(C29:J29,Returns!B33:I33)/K29</f>
        <v>-0.135731144520714</v>
      </c>
      <c r="M29" s="16" t="n">
        <f aca="false">-2*Assumptions!$B$13</f>
        <v>-0.007</v>
      </c>
      <c r="N29" s="16" t="n">
        <f aca="false">-Assumptions!$B$16*MAX(0,(1+O17)*(1+O18)*(1+O19)*(1+O20)*(1+O21)*(1+O22)*(1+O23)*(1+O24)*(1+O25)*(1+O26)*(1+O27)*(1+O28)-1)</f>
        <v>-0.0859833754262348</v>
      </c>
      <c r="O29" s="16" t="n">
        <f aca="false">L29+M29+N29</f>
        <v>-0.228714519946948</v>
      </c>
      <c r="P29" s="21" t="n">
        <f aca="false">P28*(1+O29)</f>
        <v>1.39487313889159</v>
      </c>
      <c r="Q29" s="21" t="n">
        <f aca="false">MAX($P$5:P29)</f>
        <v>1.83230993231567</v>
      </c>
      <c r="R29" s="16" t="n">
        <f aca="false">P29/Q29-1</f>
        <v>-0.238735153758209</v>
      </c>
      <c r="S29" s="16" t="n">
        <f aca="false">O29-Benchmark_RF!D29</f>
        <v>-0.23357432828013</v>
      </c>
    </row>
    <row r="30" customFormat="false" ht="15" hidden="false" customHeight="true" outlineLevel="0" collapsed="false">
      <c r="A30" s="1" t="n">
        <v>33</v>
      </c>
      <c r="B30" s="13" t="n">
        <f aca="false">Returns!A34</f>
        <v>42979</v>
      </c>
      <c r="C30" s="17" t="n">
        <f aca="false">IF(Rankings!C35&lt;=5,1,0)</f>
        <v>1</v>
      </c>
      <c r="D30" s="17" t="n">
        <f aca="false">IF(Rankings!D35&lt;=5,1,0)</f>
        <v>0</v>
      </c>
      <c r="E30" s="17" t="n">
        <f aca="false">IF(Rankings!E35&lt;=5,1,0)</f>
        <v>1</v>
      </c>
      <c r="F30" s="17" t="n">
        <f aca="false">IF(Rankings!F35&lt;=5,1,0)</f>
        <v>0</v>
      </c>
      <c r="G30" s="17" t="n">
        <f aca="false">IF(Rankings!G35&lt;=5,1,0)</f>
        <v>0</v>
      </c>
      <c r="H30" s="17" t="n">
        <f aca="false">IF(Rankings!H35&lt;=5,1,0)</f>
        <v>1</v>
      </c>
      <c r="I30" s="17" t="n">
        <f aca="false">IF(Rankings!I35&lt;=5,1,0)</f>
        <v>1</v>
      </c>
      <c r="J30" s="17" t="n">
        <f aca="false">IF(Rankings!J35&lt;=5,1,0)</f>
        <v>1</v>
      </c>
      <c r="K30" s="20" t="n">
        <f aca="false">SUM(C30:J30)</f>
        <v>5</v>
      </c>
      <c r="L30" s="16" t="n">
        <f aca="false">SUMPRODUCT(C30:J30,Returns!B34:I34)/K30</f>
        <v>0.0704266414818385</v>
      </c>
      <c r="M30" s="16" t="n">
        <v>0</v>
      </c>
      <c r="N30" s="16" t="n">
        <v>0</v>
      </c>
      <c r="O30" s="16" t="n">
        <f aca="false">L30+M30+N30</f>
        <v>0.0704266414818385</v>
      </c>
      <c r="P30" s="21" t="n">
        <f aca="false">P29*(1+O30)</f>
        <v>1.49310936935696</v>
      </c>
      <c r="Q30" s="21" t="n">
        <f aca="false">MAX($P$5:P30)</f>
        <v>1.83230993231567</v>
      </c>
      <c r="R30" s="16" t="n">
        <f aca="false">P30/Q30-1</f>
        <v>-0.185121827359212</v>
      </c>
      <c r="S30" s="16" t="n">
        <f aca="false">O30-Benchmark_RF!D30</f>
        <v>0.0655662011051078</v>
      </c>
    </row>
    <row r="31" customFormat="false" ht="15" hidden="false" customHeight="true" outlineLevel="0" collapsed="false">
      <c r="A31" s="1" t="n">
        <v>34</v>
      </c>
      <c r="B31" s="13" t="n">
        <f aca="false">Returns!A35</f>
        <v>43009</v>
      </c>
      <c r="C31" s="17" t="n">
        <f aca="false">IF(Rankings!C35&lt;=5,1,0)</f>
        <v>1</v>
      </c>
      <c r="D31" s="17" t="n">
        <f aca="false">IF(Rankings!D35&lt;=5,1,0)</f>
        <v>0</v>
      </c>
      <c r="E31" s="17" t="n">
        <f aca="false">IF(Rankings!E35&lt;=5,1,0)</f>
        <v>1</v>
      </c>
      <c r="F31" s="17" t="n">
        <f aca="false">IF(Rankings!F35&lt;=5,1,0)</f>
        <v>0</v>
      </c>
      <c r="G31" s="17" t="n">
        <f aca="false">IF(Rankings!G35&lt;=5,1,0)</f>
        <v>0</v>
      </c>
      <c r="H31" s="17" t="n">
        <f aca="false">IF(Rankings!H35&lt;=5,1,0)</f>
        <v>1</v>
      </c>
      <c r="I31" s="17" t="n">
        <f aca="false">IF(Rankings!I35&lt;=5,1,0)</f>
        <v>1</v>
      </c>
      <c r="J31" s="17" t="n">
        <f aca="false">IF(Rankings!J35&lt;=5,1,0)</f>
        <v>1</v>
      </c>
      <c r="K31" s="20" t="n">
        <f aca="false">SUM(C31:J31)</f>
        <v>5</v>
      </c>
      <c r="L31" s="16" t="n">
        <f aca="false">SUMPRODUCT(C31:J31,Returns!B35:I35)/K31</f>
        <v>-0.0248941209038813</v>
      </c>
      <c r="M31" s="16" t="n">
        <v>0</v>
      </c>
      <c r="N31" s="16" t="n">
        <v>0</v>
      </c>
      <c r="O31" s="16" t="n">
        <f aca="false">L31+M31+N31</f>
        <v>-0.0248941209038813</v>
      </c>
      <c r="P31" s="21" t="n">
        <f aca="false">P30*(1+O31)</f>
        <v>1.45593972419347</v>
      </c>
      <c r="Q31" s="21" t="n">
        <f aca="false">MAX($P$5:P31)</f>
        <v>1.83230993231567</v>
      </c>
      <c r="R31" s="16" t="n">
        <f aca="false">P31/Q31-1</f>
        <v>-0.205407503110866</v>
      </c>
      <c r="S31" s="16" t="n">
        <f aca="false">O31-Benchmark_RF!D31</f>
        <v>-0.029754561280612</v>
      </c>
    </row>
    <row r="32" customFormat="false" ht="15" hidden="false" customHeight="true" outlineLevel="0" collapsed="false">
      <c r="A32" s="1" t="n">
        <v>35</v>
      </c>
      <c r="B32" s="13" t="n">
        <f aca="false">Returns!A36</f>
        <v>43040</v>
      </c>
      <c r="C32" s="17" t="n">
        <f aca="false">IF(Rankings!C35&lt;=5,1,0)</f>
        <v>1</v>
      </c>
      <c r="D32" s="17" t="n">
        <f aca="false">IF(Rankings!D35&lt;=5,1,0)</f>
        <v>0</v>
      </c>
      <c r="E32" s="17" t="n">
        <f aca="false">IF(Rankings!E35&lt;=5,1,0)</f>
        <v>1</v>
      </c>
      <c r="F32" s="17" t="n">
        <f aca="false">IF(Rankings!F35&lt;=5,1,0)</f>
        <v>0</v>
      </c>
      <c r="G32" s="17" t="n">
        <f aca="false">IF(Rankings!G35&lt;=5,1,0)</f>
        <v>0</v>
      </c>
      <c r="H32" s="17" t="n">
        <f aca="false">IF(Rankings!H35&lt;=5,1,0)</f>
        <v>1</v>
      </c>
      <c r="I32" s="17" t="n">
        <f aca="false">IF(Rankings!I35&lt;=5,1,0)</f>
        <v>1</v>
      </c>
      <c r="J32" s="17" t="n">
        <f aca="false">IF(Rankings!J35&lt;=5,1,0)</f>
        <v>1</v>
      </c>
      <c r="K32" s="20" t="n">
        <f aca="false">SUM(C32:J32)</f>
        <v>5</v>
      </c>
      <c r="L32" s="16" t="n">
        <f aca="false">SUMPRODUCT(C32:J32,Returns!B36:I36)/K32</f>
        <v>0.126987875186009</v>
      </c>
      <c r="M32" s="16" t="n">
        <v>0</v>
      </c>
      <c r="N32" s="16" t="n">
        <v>0</v>
      </c>
      <c r="O32" s="16" t="n">
        <f aca="false">L32+M32+N32</f>
        <v>0.126987875186009</v>
      </c>
      <c r="P32" s="21" t="n">
        <f aca="false">P31*(1+O32)</f>
        <v>1.6408264161677</v>
      </c>
      <c r="Q32" s="21" t="n">
        <f aca="false">MAX($P$5:P32)</f>
        <v>1.83230993231567</v>
      </c>
      <c r="R32" s="16" t="n">
        <f aca="false">P32/Q32-1</f>
        <v>-0.104503890292169</v>
      </c>
      <c r="S32" s="16" t="n">
        <f aca="false">O32-Benchmark_RF!D32</f>
        <v>0.122127513814483</v>
      </c>
    </row>
    <row r="33" customFormat="false" ht="15" hidden="false" customHeight="true" outlineLevel="0" collapsed="false">
      <c r="A33" s="1" t="n">
        <v>36</v>
      </c>
      <c r="B33" s="13" t="n">
        <f aca="false">Returns!A37</f>
        <v>43070</v>
      </c>
      <c r="C33" s="17" t="n">
        <f aca="false">IF(Rankings!C35&lt;=5,1,0)</f>
        <v>1</v>
      </c>
      <c r="D33" s="17" t="n">
        <f aca="false">IF(Rankings!D35&lt;=5,1,0)</f>
        <v>0</v>
      </c>
      <c r="E33" s="17" t="n">
        <f aca="false">IF(Rankings!E35&lt;=5,1,0)</f>
        <v>1</v>
      </c>
      <c r="F33" s="17" t="n">
        <f aca="false">IF(Rankings!F35&lt;=5,1,0)</f>
        <v>0</v>
      </c>
      <c r="G33" s="17" t="n">
        <f aca="false">IF(Rankings!G35&lt;=5,1,0)</f>
        <v>0</v>
      </c>
      <c r="H33" s="17" t="n">
        <f aca="false">IF(Rankings!H35&lt;=5,1,0)</f>
        <v>1</v>
      </c>
      <c r="I33" s="17" t="n">
        <f aca="false">IF(Rankings!I35&lt;=5,1,0)</f>
        <v>1</v>
      </c>
      <c r="J33" s="17" t="n">
        <f aca="false">IF(Rankings!J35&lt;=5,1,0)</f>
        <v>1</v>
      </c>
      <c r="K33" s="20" t="n">
        <f aca="false">SUM(C33:J33)</f>
        <v>5</v>
      </c>
      <c r="L33" s="16" t="n">
        <f aca="false">SUMPRODUCT(C33:J33,Returns!B37:I37)/K33</f>
        <v>-0.000857499423807195</v>
      </c>
      <c r="M33" s="16" t="n">
        <v>0</v>
      </c>
      <c r="N33" s="16" t="n">
        <v>0</v>
      </c>
      <c r="O33" s="16" t="n">
        <f aca="false">L33+M33+N33</f>
        <v>-0.000857499423807195</v>
      </c>
      <c r="P33" s="21" t="n">
        <f aca="false">P32*(1+O33)</f>
        <v>1.63941940846127</v>
      </c>
      <c r="Q33" s="21" t="n">
        <f aca="false">MAX($P$5:P33)</f>
        <v>1.83230993231567</v>
      </c>
      <c r="R33" s="16" t="n">
        <f aca="false">P33/Q33-1</f>
        <v>-0.105271777690265</v>
      </c>
      <c r="S33" s="16" t="n">
        <f aca="false">O33-Benchmark_RF!D33</f>
        <v>-0.00571793980053792</v>
      </c>
    </row>
    <row r="34" customFormat="false" ht="15" hidden="false" customHeight="true" outlineLevel="0" collapsed="false">
      <c r="A34" s="1" t="n">
        <v>37</v>
      </c>
      <c r="B34" s="13" t="n">
        <f aca="false">Returns!A38</f>
        <v>43101</v>
      </c>
      <c r="C34" s="17" t="n">
        <f aca="false">IF(Rankings!C35&lt;=5,1,0)</f>
        <v>1</v>
      </c>
      <c r="D34" s="17" t="n">
        <f aca="false">IF(Rankings!D35&lt;=5,1,0)</f>
        <v>0</v>
      </c>
      <c r="E34" s="17" t="n">
        <f aca="false">IF(Rankings!E35&lt;=5,1,0)</f>
        <v>1</v>
      </c>
      <c r="F34" s="17" t="n">
        <f aca="false">IF(Rankings!F35&lt;=5,1,0)</f>
        <v>0</v>
      </c>
      <c r="G34" s="17" t="n">
        <f aca="false">IF(Rankings!G35&lt;=5,1,0)</f>
        <v>0</v>
      </c>
      <c r="H34" s="17" t="n">
        <f aca="false">IF(Rankings!H35&lt;=5,1,0)</f>
        <v>1</v>
      </c>
      <c r="I34" s="17" t="n">
        <f aca="false">IF(Rankings!I35&lt;=5,1,0)</f>
        <v>1</v>
      </c>
      <c r="J34" s="17" t="n">
        <f aca="false">IF(Rankings!J35&lt;=5,1,0)</f>
        <v>1</v>
      </c>
      <c r="K34" s="20" t="n">
        <f aca="false">SUM(C34:J34)</f>
        <v>5</v>
      </c>
      <c r="L34" s="16" t="n">
        <f aca="false">SUMPRODUCT(C34:J34,Returns!B38:I38)/K34</f>
        <v>0.046220993316941</v>
      </c>
      <c r="M34" s="16" t="n">
        <v>0</v>
      </c>
      <c r="N34" s="16" t="n">
        <v>0</v>
      </c>
      <c r="O34" s="16" t="n">
        <f aca="false">L34+M34+N34</f>
        <v>0.046220993316941</v>
      </c>
      <c r="P34" s="21" t="n">
        <f aca="false">P33*(1+O34)</f>
        <v>1.71519500198342</v>
      </c>
      <c r="Q34" s="21" t="n">
        <f aca="false">MAX($P$5:P34)</f>
        <v>1.83230993231567</v>
      </c>
      <c r="R34" s="16" t="n">
        <f aca="false">P34/Q34-1</f>
        <v>-0.0639165505064081</v>
      </c>
      <c r="S34" s="16" t="n">
        <f aca="false">O34-Benchmark_RF!D34</f>
        <v>0.0411955811781048</v>
      </c>
    </row>
    <row r="35" customFormat="false" ht="15" hidden="false" customHeight="true" outlineLevel="0" collapsed="false">
      <c r="A35" s="1" t="n">
        <v>38</v>
      </c>
      <c r="B35" s="13" t="n">
        <f aca="false">Returns!A39</f>
        <v>43132</v>
      </c>
      <c r="C35" s="17" t="n">
        <f aca="false">IF(Rankings!C35&lt;=5,1,0)</f>
        <v>1</v>
      </c>
      <c r="D35" s="17" t="n">
        <f aca="false">IF(Rankings!D35&lt;=5,1,0)</f>
        <v>0</v>
      </c>
      <c r="E35" s="17" t="n">
        <f aca="false">IF(Rankings!E35&lt;=5,1,0)</f>
        <v>1</v>
      </c>
      <c r="F35" s="17" t="n">
        <f aca="false">IF(Rankings!F35&lt;=5,1,0)</f>
        <v>0</v>
      </c>
      <c r="G35" s="17" t="n">
        <f aca="false">IF(Rankings!G35&lt;=5,1,0)</f>
        <v>0</v>
      </c>
      <c r="H35" s="17" t="n">
        <f aca="false">IF(Rankings!H35&lt;=5,1,0)</f>
        <v>1</v>
      </c>
      <c r="I35" s="17" t="n">
        <f aca="false">IF(Rankings!I35&lt;=5,1,0)</f>
        <v>1</v>
      </c>
      <c r="J35" s="17" t="n">
        <f aca="false">IF(Rankings!J35&lt;=5,1,0)</f>
        <v>1</v>
      </c>
      <c r="K35" s="20" t="n">
        <f aca="false">SUM(C35:J35)</f>
        <v>5</v>
      </c>
      <c r="L35" s="16" t="n">
        <f aca="false">SUMPRODUCT(C35:J35,Returns!B39:I39)/K35</f>
        <v>-0.0107782386788375</v>
      </c>
      <c r="M35" s="16" t="n">
        <v>0</v>
      </c>
      <c r="N35" s="16" t="n">
        <v>0</v>
      </c>
      <c r="O35" s="16" t="n">
        <f aca="false">L35+M35+N35</f>
        <v>-0.0107782386788375</v>
      </c>
      <c r="P35" s="21" t="n">
        <f aca="false">P34*(1+O35)</f>
        <v>1.6967082208713</v>
      </c>
      <c r="Q35" s="21" t="n">
        <f aca="false">MAX($P$5:P35)</f>
        <v>1.83230993231567</v>
      </c>
      <c r="R35" s="16" t="n">
        <f aca="false">P35/Q35-1</f>
        <v>-0.0740058813483596</v>
      </c>
      <c r="S35" s="16" t="n">
        <f aca="false">O35-Benchmark_RF!D35</f>
        <v>-0.0158290410577124</v>
      </c>
    </row>
    <row r="36" customFormat="false" ht="15" hidden="false" customHeight="true" outlineLevel="0" collapsed="false">
      <c r="A36" s="1" t="n">
        <v>39</v>
      </c>
      <c r="B36" s="13" t="n">
        <f aca="false">Returns!A40</f>
        <v>43160</v>
      </c>
      <c r="C36" s="17" t="n">
        <f aca="false">IF(Rankings!C35&lt;=5,1,0)</f>
        <v>1</v>
      </c>
      <c r="D36" s="17" t="n">
        <f aca="false">IF(Rankings!D35&lt;=5,1,0)</f>
        <v>0</v>
      </c>
      <c r="E36" s="17" t="n">
        <f aca="false">IF(Rankings!E35&lt;=5,1,0)</f>
        <v>1</v>
      </c>
      <c r="F36" s="17" t="n">
        <f aca="false">IF(Rankings!F35&lt;=5,1,0)</f>
        <v>0</v>
      </c>
      <c r="G36" s="17" t="n">
        <f aca="false">IF(Rankings!G35&lt;=5,1,0)</f>
        <v>0</v>
      </c>
      <c r="H36" s="17" t="n">
        <f aca="false">IF(Rankings!H35&lt;=5,1,0)</f>
        <v>1</v>
      </c>
      <c r="I36" s="17" t="n">
        <f aca="false">IF(Rankings!I35&lt;=5,1,0)</f>
        <v>1</v>
      </c>
      <c r="J36" s="17" t="n">
        <f aca="false">IF(Rankings!J35&lt;=5,1,0)</f>
        <v>1</v>
      </c>
      <c r="K36" s="20" t="n">
        <f aca="false">SUM(C36:J36)</f>
        <v>5</v>
      </c>
      <c r="L36" s="16" t="n">
        <f aca="false">SUMPRODUCT(C36:J36,Returns!B40:I40)/K36</f>
        <v>0.10094287907572</v>
      </c>
      <c r="M36" s="16" t="n">
        <v>0</v>
      </c>
      <c r="N36" s="16" t="n">
        <v>0</v>
      </c>
      <c r="O36" s="16" t="n">
        <f aca="false">L36+M36+N36</f>
        <v>0.10094287907572</v>
      </c>
      <c r="P36" s="21" t="n">
        <f aca="false">P35*(1+O36)</f>
        <v>1.86797883363749</v>
      </c>
      <c r="Q36" s="21" t="n">
        <f aca="false">MAX($P$5:P36)</f>
        <v>1.86797883363749</v>
      </c>
      <c r="R36" s="16" t="n">
        <f aca="false">P36/Q36-1</f>
        <v>0</v>
      </c>
      <c r="S36" s="16" t="n">
        <f aca="false">O36-Benchmark_RF!D36</f>
        <v>0.0958708710036044</v>
      </c>
    </row>
    <row r="37" customFormat="false" ht="15" hidden="false" customHeight="true" outlineLevel="0" collapsed="false">
      <c r="A37" s="1" t="n">
        <v>40</v>
      </c>
      <c r="B37" s="13" t="n">
        <f aca="false">Returns!A41</f>
        <v>43191</v>
      </c>
      <c r="C37" s="17" t="n">
        <f aca="false">IF(Rankings!C35&lt;=5,1,0)</f>
        <v>1</v>
      </c>
      <c r="D37" s="17" t="n">
        <f aca="false">IF(Rankings!D35&lt;=5,1,0)</f>
        <v>0</v>
      </c>
      <c r="E37" s="17" t="n">
        <f aca="false">IF(Rankings!E35&lt;=5,1,0)</f>
        <v>1</v>
      </c>
      <c r="F37" s="17" t="n">
        <f aca="false">IF(Rankings!F35&lt;=5,1,0)</f>
        <v>0</v>
      </c>
      <c r="G37" s="17" t="n">
        <f aca="false">IF(Rankings!G35&lt;=5,1,0)</f>
        <v>0</v>
      </c>
      <c r="H37" s="17" t="n">
        <f aca="false">IF(Rankings!H35&lt;=5,1,0)</f>
        <v>1</v>
      </c>
      <c r="I37" s="17" t="n">
        <f aca="false">IF(Rankings!I35&lt;=5,1,0)</f>
        <v>1</v>
      </c>
      <c r="J37" s="17" t="n">
        <f aca="false">IF(Rankings!J35&lt;=5,1,0)</f>
        <v>1</v>
      </c>
      <c r="K37" s="20" t="n">
        <f aca="false">SUM(C37:J37)</f>
        <v>5</v>
      </c>
      <c r="L37" s="16" t="n">
        <f aca="false">SUMPRODUCT(C37:J37,Returns!B41:I41)/K37</f>
        <v>0.0162233688895122</v>
      </c>
      <c r="M37" s="16" t="n">
        <v>0</v>
      </c>
      <c r="N37" s="16" t="n">
        <v>0</v>
      </c>
      <c r="O37" s="16" t="n">
        <f aca="false">L37+M37+N37</f>
        <v>0.0162233688895122</v>
      </c>
      <c r="P37" s="21" t="n">
        <f aca="false">P36*(1+O37)</f>
        <v>1.89828374333339</v>
      </c>
      <c r="Q37" s="21" t="n">
        <f aca="false">MAX($P$5:P37)</f>
        <v>1.89828374333339</v>
      </c>
      <c r="R37" s="16" t="n">
        <f aca="false">P37/Q37-1</f>
        <v>0</v>
      </c>
      <c r="S37" s="16" t="n">
        <f aca="false">O37-Benchmark_RF!D37</f>
        <v>0.0111688610718388</v>
      </c>
    </row>
    <row r="38" customFormat="false" ht="15" hidden="false" customHeight="true" outlineLevel="0" collapsed="false">
      <c r="A38" s="1" t="n">
        <v>41</v>
      </c>
      <c r="B38" s="13" t="n">
        <f aca="false">Returns!A42</f>
        <v>43221</v>
      </c>
      <c r="C38" s="17" t="n">
        <f aca="false">IF(Rankings!C35&lt;=5,1,0)</f>
        <v>1</v>
      </c>
      <c r="D38" s="17" t="n">
        <f aca="false">IF(Rankings!D35&lt;=5,1,0)</f>
        <v>0</v>
      </c>
      <c r="E38" s="17" t="n">
        <f aca="false">IF(Rankings!E35&lt;=5,1,0)</f>
        <v>1</v>
      </c>
      <c r="F38" s="17" t="n">
        <f aca="false">IF(Rankings!F35&lt;=5,1,0)</f>
        <v>0</v>
      </c>
      <c r="G38" s="17" t="n">
        <f aca="false">IF(Rankings!G35&lt;=5,1,0)</f>
        <v>0</v>
      </c>
      <c r="H38" s="17" t="n">
        <f aca="false">IF(Rankings!H35&lt;=5,1,0)</f>
        <v>1</v>
      </c>
      <c r="I38" s="17" t="n">
        <f aca="false">IF(Rankings!I35&lt;=5,1,0)</f>
        <v>1</v>
      </c>
      <c r="J38" s="17" t="n">
        <f aca="false">IF(Rankings!J35&lt;=5,1,0)</f>
        <v>1</v>
      </c>
      <c r="K38" s="20" t="n">
        <f aca="false">SUM(C38:J38)</f>
        <v>5</v>
      </c>
      <c r="L38" s="16" t="n">
        <f aca="false">SUMPRODUCT(C38:J38,Returns!B42:I42)/K38</f>
        <v>0.00636901879847604</v>
      </c>
      <c r="M38" s="16" t="n">
        <v>0</v>
      </c>
      <c r="N38" s="16" t="n">
        <v>0</v>
      </c>
      <c r="O38" s="16" t="n">
        <f aca="false">L38+M38+N38</f>
        <v>0.00636901879847604</v>
      </c>
      <c r="P38" s="21" t="n">
        <f aca="false">P37*(1+O38)</f>
        <v>1.91037394817952</v>
      </c>
      <c r="Q38" s="21" t="n">
        <f aca="false">MAX($P$5:P38)</f>
        <v>1.91037394817952</v>
      </c>
      <c r="R38" s="16" t="n">
        <f aca="false">P38/Q38-1</f>
        <v>0</v>
      </c>
      <c r="S38" s="16" t="n">
        <f aca="false">O38-Benchmark_RF!D38</f>
        <v>0.00129748366214208</v>
      </c>
    </row>
    <row r="39" customFormat="false" ht="15" hidden="false" customHeight="true" outlineLevel="0" collapsed="false">
      <c r="A39" s="1" t="n">
        <v>42</v>
      </c>
      <c r="B39" s="13" t="n">
        <f aca="false">Returns!A43</f>
        <v>43252</v>
      </c>
      <c r="C39" s="17" t="n">
        <f aca="false">IF(Rankings!C35&lt;=5,1,0)</f>
        <v>1</v>
      </c>
      <c r="D39" s="17" t="n">
        <f aca="false">IF(Rankings!D35&lt;=5,1,0)</f>
        <v>0</v>
      </c>
      <c r="E39" s="17" t="n">
        <f aca="false">IF(Rankings!E35&lt;=5,1,0)</f>
        <v>1</v>
      </c>
      <c r="F39" s="17" t="n">
        <f aca="false">IF(Rankings!F35&lt;=5,1,0)</f>
        <v>0</v>
      </c>
      <c r="G39" s="17" t="n">
        <f aca="false">IF(Rankings!G35&lt;=5,1,0)</f>
        <v>0</v>
      </c>
      <c r="H39" s="17" t="n">
        <f aca="false">IF(Rankings!H35&lt;=5,1,0)</f>
        <v>1</v>
      </c>
      <c r="I39" s="17" t="n">
        <f aca="false">IF(Rankings!I35&lt;=5,1,0)</f>
        <v>1</v>
      </c>
      <c r="J39" s="17" t="n">
        <f aca="false">IF(Rankings!J35&lt;=5,1,0)</f>
        <v>1</v>
      </c>
      <c r="K39" s="20" t="n">
        <f aca="false">SUM(C39:J39)</f>
        <v>5</v>
      </c>
      <c r="L39" s="16" t="n">
        <f aca="false">SUMPRODUCT(C39:J39,Returns!B43:I43)/K39</f>
        <v>0.00855442965148392</v>
      </c>
      <c r="M39" s="16" t="n">
        <v>0</v>
      </c>
      <c r="N39" s="16" t="n">
        <v>0</v>
      </c>
      <c r="O39" s="16" t="n">
        <f aca="false">L39+M39+N39</f>
        <v>0.00855442965148392</v>
      </c>
      <c r="P39" s="21" t="n">
        <f aca="false">P38*(1+O39)</f>
        <v>1.92671610772725</v>
      </c>
      <c r="Q39" s="21" t="n">
        <f aca="false">MAX($P$5:P39)</f>
        <v>1.92671610772725</v>
      </c>
      <c r="R39" s="16" t="n">
        <f aca="false">P39/Q39-1</f>
        <v>0</v>
      </c>
      <c r="S39" s="16" t="n">
        <f aca="false">O39-Benchmark_RF!D39</f>
        <v>0.00308884293953617</v>
      </c>
    </row>
    <row r="40" customFormat="false" ht="15" hidden="false" customHeight="true" outlineLevel="0" collapsed="false">
      <c r="A40" s="1" t="n">
        <v>43</v>
      </c>
      <c r="B40" s="13" t="n">
        <f aca="false">Returns!A44</f>
        <v>43282</v>
      </c>
      <c r="C40" s="17" t="n">
        <f aca="false">IF(Rankings!C35&lt;=5,1,0)</f>
        <v>1</v>
      </c>
      <c r="D40" s="17" t="n">
        <f aca="false">IF(Rankings!D35&lt;=5,1,0)</f>
        <v>0</v>
      </c>
      <c r="E40" s="17" t="n">
        <f aca="false">IF(Rankings!E35&lt;=5,1,0)</f>
        <v>1</v>
      </c>
      <c r="F40" s="17" t="n">
        <f aca="false">IF(Rankings!F35&lt;=5,1,0)</f>
        <v>0</v>
      </c>
      <c r="G40" s="17" t="n">
        <f aca="false">IF(Rankings!G35&lt;=5,1,0)</f>
        <v>0</v>
      </c>
      <c r="H40" s="17" t="n">
        <f aca="false">IF(Rankings!H35&lt;=5,1,0)</f>
        <v>1</v>
      </c>
      <c r="I40" s="17" t="n">
        <f aca="false">IF(Rankings!I35&lt;=5,1,0)</f>
        <v>1</v>
      </c>
      <c r="J40" s="17" t="n">
        <f aca="false">IF(Rankings!J35&lt;=5,1,0)</f>
        <v>1</v>
      </c>
      <c r="K40" s="20" t="n">
        <f aca="false">SUM(C40:J40)</f>
        <v>5</v>
      </c>
      <c r="L40" s="16" t="n">
        <f aca="false">SUMPRODUCT(C40:J40,Returns!B44:I44)/K40</f>
        <v>0.0255903202848544</v>
      </c>
      <c r="M40" s="16" t="n">
        <v>0</v>
      </c>
      <c r="N40" s="16" t="n">
        <v>0</v>
      </c>
      <c r="O40" s="16" t="n">
        <f aca="false">L40+M40+N40</f>
        <v>0.0255903202848544</v>
      </c>
      <c r="P40" s="21" t="n">
        <f aca="false">P39*(1+O40)</f>
        <v>1.97602139002198</v>
      </c>
      <c r="Q40" s="21" t="n">
        <f aca="false">MAX($P$5:P40)</f>
        <v>1.97602139002198</v>
      </c>
      <c r="R40" s="16" t="n">
        <f aca="false">P40/Q40-1</f>
        <v>0</v>
      </c>
      <c r="S40" s="16" t="n">
        <f aca="false">O40-Benchmark_RF!D40</f>
        <v>0.0193729764918042</v>
      </c>
    </row>
    <row r="41" customFormat="false" ht="15" hidden="false" customHeight="true" outlineLevel="0" collapsed="false">
      <c r="A41" s="1" t="n">
        <v>44</v>
      </c>
      <c r="B41" s="13" t="n">
        <f aca="false">Returns!A45</f>
        <v>43313</v>
      </c>
      <c r="C41" s="17" t="n">
        <f aca="false">IF(Rankings!C47&lt;=5,1,0)</f>
        <v>1</v>
      </c>
      <c r="D41" s="17" t="n">
        <f aca="false">IF(Rankings!D47&lt;=5,1,0)</f>
        <v>1</v>
      </c>
      <c r="E41" s="17" t="n">
        <f aca="false">IF(Rankings!E47&lt;=5,1,0)</f>
        <v>0</v>
      </c>
      <c r="F41" s="17" t="n">
        <f aca="false">IF(Rankings!F47&lt;=5,1,0)</f>
        <v>0</v>
      </c>
      <c r="G41" s="17" t="n">
        <f aca="false">IF(Rankings!G47&lt;=5,1,0)</f>
        <v>1</v>
      </c>
      <c r="H41" s="17" t="n">
        <f aca="false">IF(Rankings!H47&lt;=5,1,0)</f>
        <v>1</v>
      </c>
      <c r="I41" s="17" t="n">
        <f aca="false">IF(Rankings!I47&lt;=5,1,0)</f>
        <v>0</v>
      </c>
      <c r="J41" s="17" t="n">
        <f aca="false">IF(Rankings!J47&lt;=5,1,0)</f>
        <v>1</v>
      </c>
      <c r="K41" s="20" t="n">
        <f aca="false">SUM(C41:J41)</f>
        <v>5</v>
      </c>
      <c r="L41" s="16" t="n">
        <f aca="false">SUMPRODUCT(C41:J41,Returns!B45:I45)/K41</f>
        <v>0.0140143369988927</v>
      </c>
      <c r="M41" s="16" t="n">
        <f aca="false">-2*Assumptions!$B$13</f>
        <v>-0.007</v>
      </c>
      <c r="N41" s="16" t="n">
        <f aca="false">-Assumptions!$B$16*MAX(0,(1+O29)*(1+O30)*(1+O31)*(1+O32)*(1+O33)*(1+O34)*(1+O35)*(1+O36)*(1+O37)*(1+O38)*(1+O39)*(1+O40)-1)</f>
        <v>-0.0138941094968615</v>
      </c>
      <c r="O41" s="16" t="n">
        <f aca="false">L41+M41+N41</f>
        <v>-0.00687977249796883</v>
      </c>
      <c r="P41" s="21" t="n">
        <f aca="false">P40*(1+O41)</f>
        <v>1.96242681240751</v>
      </c>
      <c r="Q41" s="21" t="n">
        <f aca="false">MAX($P$5:P41)</f>
        <v>1.97602139002198</v>
      </c>
      <c r="R41" s="16" t="n">
        <f aca="false">P41/Q41-1</f>
        <v>-0.00687977249796878</v>
      </c>
      <c r="S41" s="16" t="n">
        <f aca="false">O41-Benchmark_RF!D41</f>
        <v>-0.0131194539592546</v>
      </c>
    </row>
    <row r="42" customFormat="false" ht="15" hidden="false" customHeight="true" outlineLevel="0" collapsed="false">
      <c r="A42" s="1" t="n">
        <v>45</v>
      </c>
      <c r="B42" s="13" t="n">
        <f aca="false">Returns!A46</f>
        <v>43344</v>
      </c>
      <c r="C42" s="17" t="n">
        <f aca="false">IF(Rankings!C47&lt;=5,1,0)</f>
        <v>1</v>
      </c>
      <c r="D42" s="17" t="n">
        <f aca="false">IF(Rankings!D47&lt;=5,1,0)</f>
        <v>1</v>
      </c>
      <c r="E42" s="17" t="n">
        <f aca="false">IF(Rankings!E47&lt;=5,1,0)</f>
        <v>0</v>
      </c>
      <c r="F42" s="17" t="n">
        <f aca="false">IF(Rankings!F47&lt;=5,1,0)</f>
        <v>0</v>
      </c>
      <c r="G42" s="17" t="n">
        <f aca="false">IF(Rankings!G47&lt;=5,1,0)</f>
        <v>1</v>
      </c>
      <c r="H42" s="17" t="n">
        <f aca="false">IF(Rankings!H47&lt;=5,1,0)</f>
        <v>1</v>
      </c>
      <c r="I42" s="17" t="n">
        <f aca="false">IF(Rankings!I47&lt;=5,1,0)</f>
        <v>0</v>
      </c>
      <c r="J42" s="17" t="n">
        <f aca="false">IF(Rankings!J47&lt;=5,1,0)</f>
        <v>1</v>
      </c>
      <c r="K42" s="20" t="n">
        <f aca="false">SUM(C42:J42)</f>
        <v>5</v>
      </c>
      <c r="L42" s="16" t="n">
        <f aca="false">SUMPRODUCT(C42:J42,Returns!B46:I46)/K42</f>
        <v>0.00356213337310491</v>
      </c>
      <c r="M42" s="16" t="n">
        <v>0</v>
      </c>
      <c r="N42" s="16" t="n">
        <v>0</v>
      </c>
      <c r="O42" s="16" t="n">
        <f aca="false">L42+M42+N42</f>
        <v>0.00356213337310491</v>
      </c>
      <c r="P42" s="21" t="n">
        <f aca="false">P41*(1+O42)</f>
        <v>1.96941723844826</v>
      </c>
      <c r="Q42" s="21" t="n">
        <f aca="false">MAX($P$5:P42)</f>
        <v>1.97602139002198</v>
      </c>
      <c r="R42" s="16" t="n">
        <f aca="false">P42/Q42-1</f>
        <v>-0.00334214579207837</v>
      </c>
      <c r="S42" s="16" t="n">
        <f aca="false">O42-Benchmark_RF!D42</f>
        <v>-0.00267754808818081</v>
      </c>
    </row>
    <row r="43" customFormat="false" ht="15" hidden="false" customHeight="true" outlineLevel="0" collapsed="false">
      <c r="A43" s="1" t="n">
        <v>46</v>
      </c>
      <c r="B43" s="13" t="n">
        <f aca="false">Returns!A47</f>
        <v>43374</v>
      </c>
      <c r="C43" s="17" t="n">
        <f aca="false">IF(Rankings!C47&lt;=5,1,0)</f>
        <v>1</v>
      </c>
      <c r="D43" s="17" t="n">
        <f aca="false">IF(Rankings!D47&lt;=5,1,0)</f>
        <v>1</v>
      </c>
      <c r="E43" s="17" t="n">
        <f aca="false">IF(Rankings!E47&lt;=5,1,0)</f>
        <v>0</v>
      </c>
      <c r="F43" s="17" t="n">
        <f aca="false">IF(Rankings!F47&lt;=5,1,0)</f>
        <v>0</v>
      </c>
      <c r="G43" s="17" t="n">
        <f aca="false">IF(Rankings!G47&lt;=5,1,0)</f>
        <v>1</v>
      </c>
      <c r="H43" s="17" t="n">
        <f aca="false">IF(Rankings!H47&lt;=5,1,0)</f>
        <v>1</v>
      </c>
      <c r="I43" s="17" t="n">
        <f aca="false">IF(Rankings!I47&lt;=5,1,0)</f>
        <v>0</v>
      </c>
      <c r="J43" s="17" t="n">
        <f aca="false">IF(Rankings!J47&lt;=5,1,0)</f>
        <v>1</v>
      </c>
      <c r="K43" s="20" t="n">
        <f aca="false">SUM(C43:J43)</f>
        <v>5</v>
      </c>
      <c r="L43" s="16" t="n">
        <f aca="false">SUMPRODUCT(C43:J43,Returns!B47:I47)/K43</f>
        <v>0.0331929040481222</v>
      </c>
      <c r="M43" s="16" t="n">
        <v>0</v>
      </c>
      <c r="N43" s="16" t="n">
        <v>0</v>
      </c>
      <c r="O43" s="16" t="n">
        <f aca="false">L43+M43+N43</f>
        <v>0.0331929040481222</v>
      </c>
      <c r="P43" s="21" t="n">
        <f aca="false">P42*(1+O43)</f>
        <v>2.03478791587479</v>
      </c>
      <c r="Q43" s="21" t="n">
        <f aca="false">MAX($P$5:P43)</f>
        <v>2.03478791587479</v>
      </c>
      <c r="R43" s="16" t="n">
        <f aca="false">P43/Q43-1</f>
        <v>0</v>
      </c>
      <c r="S43" s="16" t="n">
        <f aca="false">O43-Benchmark_RF!D43</f>
        <v>0.0261459656523843</v>
      </c>
    </row>
    <row r="44" customFormat="false" ht="15" hidden="false" customHeight="true" outlineLevel="0" collapsed="false">
      <c r="A44" s="1" t="n">
        <v>47</v>
      </c>
      <c r="B44" s="13" t="n">
        <f aca="false">Returns!A48</f>
        <v>43405</v>
      </c>
      <c r="C44" s="17" t="n">
        <f aca="false">IF(Rankings!C47&lt;=5,1,0)</f>
        <v>1</v>
      </c>
      <c r="D44" s="17" t="n">
        <f aca="false">IF(Rankings!D47&lt;=5,1,0)</f>
        <v>1</v>
      </c>
      <c r="E44" s="17" t="n">
        <f aca="false">IF(Rankings!E47&lt;=5,1,0)</f>
        <v>0</v>
      </c>
      <c r="F44" s="17" t="n">
        <f aca="false">IF(Rankings!F47&lt;=5,1,0)</f>
        <v>0</v>
      </c>
      <c r="G44" s="17" t="n">
        <f aca="false">IF(Rankings!G47&lt;=5,1,0)</f>
        <v>1</v>
      </c>
      <c r="H44" s="17" t="n">
        <f aca="false">IF(Rankings!H47&lt;=5,1,0)</f>
        <v>1</v>
      </c>
      <c r="I44" s="17" t="n">
        <f aca="false">IF(Rankings!I47&lt;=5,1,0)</f>
        <v>0</v>
      </c>
      <c r="J44" s="17" t="n">
        <f aca="false">IF(Rankings!J47&lt;=5,1,0)</f>
        <v>1</v>
      </c>
      <c r="K44" s="20" t="n">
        <f aca="false">SUM(C44:J44)</f>
        <v>5</v>
      </c>
      <c r="L44" s="16" t="n">
        <f aca="false">SUMPRODUCT(C44:J44,Returns!B48:I48)/K44</f>
        <v>-0.0275308238771301</v>
      </c>
      <c r="M44" s="16" t="n">
        <v>0</v>
      </c>
      <c r="N44" s="16" t="n">
        <v>0</v>
      </c>
      <c r="O44" s="16" t="n">
        <f aca="false">L44+M44+N44</f>
        <v>-0.0275308238771301</v>
      </c>
      <c r="P44" s="21" t="n">
        <f aca="false">P43*(1+O44)</f>
        <v>1.97876852813553</v>
      </c>
      <c r="Q44" s="21" t="n">
        <f aca="false">MAX($P$5:P44)</f>
        <v>2.03478791587479</v>
      </c>
      <c r="R44" s="16" t="n">
        <f aca="false">P44/Q44-1</f>
        <v>-0.0275308238771301</v>
      </c>
      <c r="S44" s="16" t="n">
        <f aca="false">O44-Benchmark_RF!D44</f>
        <v>-0.0345825447428387</v>
      </c>
    </row>
    <row r="45" customFormat="false" ht="15" hidden="false" customHeight="true" outlineLevel="0" collapsed="false">
      <c r="A45" s="1" t="n">
        <v>48</v>
      </c>
      <c r="B45" s="13" t="n">
        <f aca="false">Returns!A49</f>
        <v>43435</v>
      </c>
      <c r="C45" s="17" t="n">
        <f aca="false">IF(Rankings!C47&lt;=5,1,0)</f>
        <v>1</v>
      </c>
      <c r="D45" s="17" t="n">
        <f aca="false">IF(Rankings!D47&lt;=5,1,0)</f>
        <v>1</v>
      </c>
      <c r="E45" s="17" t="n">
        <f aca="false">IF(Rankings!E47&lt;=5,1,0)</f>
        <v>0</v>
      </c>
      <c r="F45" s="17" t="n">
        <f aca="false">IF(Rankings!F47&lt;=5,1,0)</f>
        <v>0</v>
      </c>
      <c r="G45" s="17" t="n">
        <f aca="false">IF(Rankings!G47&lt;=5,1,0)</f>
        <v>1</v>
      </c>
      <c r="H45" s="17" t="n">
        <f aca="false">IF(Rankings!H47&lt;=5,1,0)</f>
        <v>1</v>
      </c>
      <c r="I45" s="17" t="n">
        <f aca="false">IF(Rankings!I47&lt;=5,1,0)</f>
        <v>0</v>
      </c>
      <c r="J45" s="17" t="n">
        <f aca="false">IF(Rankings!J47&lt;=5,1,0)</f>
        <v>1</v>
      </c>
      <c r="K45" s="20" t="n">
        <f aca="false">SUM(C45:J45)</f>
        <v>5</v>
      </c>
      <c r="L45" s="16" t="n">
        <f aca="false">SUMPRODUCT(C45:J45,Returns!B49:I49)/K45</f>
        <v>-0.105349548648847</v>
      </c>
      <c r="M45" s="16" t="n">
        <v>0</v>
      </c>
      <c r="N45" s="16" t="n">
        <v>0</v>
      </c>
      <c r="O45" s="16" t="n">
        <f aca="false">L45+M45+N45</f>
        <v>-0.105349548648847</v>
      </c>
      <c r="P45" s="21" t="n">
        <f aca="false">P44*(1+O45)</f>
        <v>1.77030615681591</v>
      </c>
      <c r="Q45" s="21" t="n">
        <f aca="false">MAX($P$5:P45)</f>
        <v>2.03478791587479</v>
      </c>
      <c r="R45" s="16" t="n">
        <f aca="false">P45/Q45-1</f>
        <v>-0.12998001265659</v>
      </c>
      <c r="S45" s="16" t="n">
        <f aca="false">O45-Benchmark_RF!D45</f>
        <v>-0.113549898391545</v>
      </c>
    </row>
    <row r="46" customFormat="false" ht="15" hidden="false" customHeight="true" outlineLevel="0" collapsed="false">
      <c r="A46" s="1" t="n">
        <v>49</v>
      </c>
      <c r="B46" s="13" t="n">
        <f aca="false">Returns!A50</f>
        <v>43466</v>
      </c>
      <c r="C46" s="17" t="n">
        <f aca="false">IF(Rankings!C47&lt;=5,1,0)</f>
        <v>1</v>
      </c>
      <c r="D46" s="17" t="n">
        <f aca="false">IF(Rankings!D47&lt;=5,1,0)</f>
        <v>1</v>
      </c>
      <c r="E46" s="17" t="n">
        <f aca="false">IF(Rankings!E47&lt;=5,1,0)</f>
        <v>0</v>
      </c>
      <c r="F46" s="17" t="n">
        <f aca="false">IF(Rankings!F47&lt;=5,1,0)</f>
        <v>0</v>
      </c>
      <c r="G46" s="17" t="n">
        <f aca="false">IF(Rankings!G47&lt;=5,1,0)</f>
        <v>1</v>
      </c>
      <c r="H46" s="17" t="n">
        <f aca="false">IF(Rankings!H47&lt;=5,1,0)</f>
        <v>1</v>
      </c>
      <c r="I46" s="17" t="n">
        <f aca="false">IF(Rankings!I47&lt;=5,1,0)</f>
        <v>0</v>
      </c>
      <c r="J46" s="17" t="n">
        <f aca="false">IF(Rankings!J47&lt;=5,1,0)</f>
        <v>1</v>
      </c>
      <c r="K46" s="20" t="n">
        <f aca="false">SUM(C46:J46)</f>
        <v>5</v>
      </c>
      <c r="L46" s="16" t="n">
        <f aca="false">SUMPRODUCT(C46:J46,Returns!B50:I50)/K46</f>
        <v>0.0954867688391635</v>
      </c>
      <c r="M46" s="16" t="n">
        <v>0</v>
      </c>
      <c r="N46" s="16" t="n">
        <v>0</v>
      </c>
      <c r="O46" s="16" t="n">
        <f aca="false">L46+M46+N46</f>
        <v>0.0954867688391635</v>
      </c>
      <c r="P46" s="21" t="n">
        <f aca="false">P45*(1+O46)</f>
        <v>1.93934697158634</v>
      </c>
      <c r="Q46" s="21" t="n">
        <f aca="false">MAX($P$5:P46)</f>
        <v>2.03478791587479</v>
      </c>
      <c r="R46" s="16" t="n">
        <f aca="false">P46/Q46-1</f>
        <v>-0.0469046152396785</v>
      </c>
      <c r="S46" s="16" t="n">
        <f aca="false">O46-Benchmark_RF!D46</f>
        <v>0.0872830675271278</v>
      </c>
    </row>
    <row r="47" customFormat="false" ht="15" hidden="false" customHeight="true" outlineLevel="0" collapsed="false">
      <c r="A47" s="1" t="n">
        <v>50</v>
      </c>
      <c r="B47" s="13" t="n">
        <f aca="false">Returns!A51</f>
        <v>43497</v>
      </c>
      <c r="C47" s="17" t="n">
        <f aca="false">IF(Rankings!C47&lt;=5,1,0)</f>
        <v>1</v>
      </c>
      <c r="D47" s="17" t="n">
        <f aca="false">IF(Rankings!D47&lt;=5,1,0)</f>
        <v>1</v>
      </c>
      <c r="E47" s="17" t="n">
        <f aca="false">IF(Rankings!E47&lt;=5,1,0)</f>
        <v>0</v>
      </c>
      <c r="F47" s="17" t="n">
        <f aca="false">IF(Rankings!F47&lt;=5,1,0)</f>
        <v>0</v>
      </c>
      <c r="G47" s="17" t="n">
        <f aca="false">IF(Rankings!G47&lt;=5,1,0)</f>
        <v>1</v>
      </c>
      <c r="H47" s="17" t="n">
        <f aca="false">IF(Rankings!H47&lt;=5,1,0)</f>
        <v>1</v>
      </c>
      <c r="I47" s="17" t="n">
        <f aca="false">IF(Rankings!I47&lt;=5,1,0)</f>
        <v>0</v>
      </c>
      <c r="J47" s="17" t="n">
        <f aca="false">IF(Rankings!J47&lt;=5,1,0)</f>
        <v>1</v>
      </c>
      <c r="K47" s="20" t="n">
        <f aca="false">SUM(C47:J47)</f>
        <v>5</v>
      </c>
      <c r="L47" s="16" t="n">
        <f aca="false">SUMPRODUCT(C47:J47,Returns!B51:I51)/K47</f>
        <v>0.0141515261195601</v>
      </c>
      <c r="M47" s="16" t="n">
        <v>0</v>
      </c>
      <c r="N47" s="16" t="n">
        <v>0</v>
      </c>
      <c r="O47" s="16" t="n">
        <f aca="false">L47+M47+N47</f>
        <v>0.0141515261195601</v>
      </c>
      <c r="P47" s="21" t="n">
        <f aca="false">P46*(1+O47)</f>
        <v>1.96679169090963</v>
      </c>
      <c r="Q47" s="21" t="n">
        <f aca="false">MAX($P$5:P47)</f>
        <v>2.03478791587479</v>
      </c>
      <c r="R47" s="16" t="n">
        <f aca="false">P47/Q47-1</f>
        <v>-0.0334168610078106</v>
      </c>
      <c r="S47" s="16" t="n">
        <f aca="false">O47-Benchmark_RF!D47</f>
        <v>0.00575850790421371</v>
      </c>
    </row>
    <row r="48" customFormat="false" ht="15" hidden="false" customHeight="true" outlineLevel="0" collapsed="false">
      <c r="A48" s="1" t="n">
        <v>51</v>
      </c>
      <c r="B48" s="13" t="n">
        <f aca="false">Returns!A52</f>
        <v>43525</v>
      </c>
      <c r="C48" s="17" t="n">
        <f aca="false">IF(Rankings!C47&lt;=5,1,0)</f>
        <v>1</v>
      </c>
      <c r="D48" s="17" t="n">
        <f aca="false">IF(Rankings!D47&lt;=5,1,0)</f>
        <v>1</v>
      </c>
      <c r="E48" s="17" t="n">
        <f aca="false">IF(Rankings!E47&lt;=5,1,0)</f>
        <v>0</v>
      </c>
      <c r="F48" s="17" t="n">
        <f aca="false">IF(Rankings!F47&lt;=5,1,0)</f>
        <v>0</v>
      </c>
      <c r="G48" s="17" t="n">
        <f aca="false">IF(Rankings!G47&lt;=5,1,0)</f>
        <v>1</v>
      </c>
      <c r="H48" s="17" t="n">
        <f aca="false">IF(Rankings!H47&lt;=5,1,0)</f>
        <v>1</v>
      </c>
      <c r="I48" s="17" t="n">
        <f aca="false">IF(Rankings!I47&lt;=5,1,0)</f>
        <v>0</v>
      </c>
      <c r="J48" s="17" t="n">
        <f aca="false">IF(Rankings!J47&lt;=5,1,0)</f>
        <v>1</v>
      </c>
      <c r="K48" s="20" t="n">
        <f aca="false">SUM(C48:J48)</f>
        <v>5</v>
      </c>
      <c r="L48" s="16" t="n">
        <f aca="false">SUMPRODUCT(C48:J48,Returns!B52:I52)/K48</f>
        <v>-0.0313533897993866</v>
      </c>
      <c r="M48" s="16" t="n">
        <v>0</v>
      </c>
      <c r="N48" s="16" t="n">
        <v>0</v>
      </c>
      <c r="O48" s="16" t="n">
        <f aca="false">L48+M48+N48</f>
        <v>-0.0313533897993866</v>
      </c>
      <c r="P48" s="21" t="n">
        <f aca="false">P47*(1+O48)</f>
        <v>1.90512610437035</v>
      </c>
      <c r="Q48" s="21" t="n">
        <f aca="false">MAX($P$5:P48)</f>
        <v>2.03478791587479</v>
      </c>
      <c r="R48" s="16" t="n">
        <f aca="false">P48/Q48-1</f>
        <v>-0.0637225189381474</v>
      </c>
      <c r="S48" s="16" t="n">
        <f aca="false">O48-Benchmark_RF!D48</f>
        <v>-0.0397410869166156</v>
      </c>
    </row>
    <row r="49" customFormat="false" ht="15" hidden="false" customHeight="true" outlineLevel="0" collapsed="false">
      <c r="A49" s="1" t="n">
        <v>52</v>
      </c>
      <c r="B49" s="13" t="n">
        <f aca="false">Returns!A53</f>
        <v>43556</v>
      </c>
      <c r="C49" s="17" t="n">
        <f aca="false">IF(Rankings!C47&lt;=5,1,0)</f>
        <v>1</v>
      </c>
      <c r="D49" s="17" t="n">
        <f aca="false">IF(Rankings!D47&lt;=5,1,0)</f>
        <v>1</v>
      </c>
      <c r="E49" s="17" t="n">
        <f aca="false">IF(Rankings!E47&lt;=5,1,0)</f>
        <v>0</v>
      </c>
      <c r="F49" s="17" t="n">
        <f aca="false">IF(Rankings!F47&lt;=5,1,0)</f>
        <v>0</v>
      </c>
      <c r="G49" s="17" t="n">
        <f aca="false">IF(Rankings!G47&lt;=5,1,0)</f>
        <v>1</v>
      </c>
      <c r="H49" s="17" t="n">
        <f aca="false">IF(Rankings!H47&lt;=5,1,0)</f>
        <v>1</v>
      </c>
      <c r="I49" s="17" t="n">
        <f aca="false">IF(Rankings!I47&lt;=5,1,0)</f>
        <v>0</v>
      </c>
      <c r="J49" s="17" t="n">
        <f aca="false">IF(Rankings!J47&lt;=5,1,0)</f>
        <v>1</v>
      </c>
      <c r="K49" s="20" t="n">
        <f aca="false">SUM(C49:J49)</f>
        <v>5</v>
      </c>
      <c r="L49" s="16" t="n">
        <f aca="false">SUMPRODUCT(C49:J49,Returns!B53:I53)/K49</f>
        <v>-0.0487231016347044</v>
      </c>
      <c r="M49" s="16" t="n">
        <v>0</v>
      </c>
      <c r="N49" s="16" t="n">
        <v>0</v>
      </c>
      <c r="O49" s="16" t="n">
        <f aca="false">L49+M49+N49</f>
        <v>-0.0487231016347044</v>
      </c>
      <c r="P49" s="21" t="n">
        <f aca="false">P48*(1+O49)</f>
        <v>1.81230245156018</v>
      </c>
      <c r="Q49" s="21" t="n">
        <f aca="false">MAX($P$5:P49)</f>
        <v>2.03478791587479</v>
      </c>
      <c r="R49" s="16" t="n">
        <f aca="false">P49/Q49-1</f>
        <v>-0.109340861806209</v>
      </c>
      <c r="S49" s="16" t="n">
        <f aca="false">O49-Benchmark_RF!D49</f>
        <v>-0.0574200495118115</v>
      </c>
    </row>
    <row r="50" customFormat="false" ht="15" hidden="false" customHeight="true" outlineLevel="0" collapsed="false">
      <c r="A50" s="1" t="n">
        <v>53</v>
      </c>
      <c r="B50" s="13" t="n">
        <f aca="false">Returns!A54</f>
        <v>43586</v>
      </c>
      <c r="C50" s="17" t="n">
        <f aca="false">IF(Rankings!C47&lt;=5,1,0)</f>
        <v>1</v>
      </c>
      <c r="D50" s="17" t="n">
        <f aca="false">IF(Rankings!D47&lt;=5,1,0)</f>
        <v>1</v>
      </c>
      <c r="E50" s="17" t="n">
        <f aca="false">IF(Rankings!E47&lt;=5,1,0)</f>
        <v>0</v>
      </c>
      <c r="F50" s="17" t="n">
        <f aca="false">IF(Rankings!F47&lt;=5,1,0)</f>
        <v>0</v>
      </c>
      <c r="G50" s="17" t="n">
        <f aca="false">IF(Rankings!G47&lt;=5,1,0)</f>
        <v>1</v>
      </c>
      <c r="H50" s="17" t="n">
        <f aca="false">IF(Rankings!H47&lt;=5,1,0)</f>
        <v>1</v>
      </c>
      <c r="I50" s="17" t="n">
        <f aca="false">IF(Rankings!I47&lt;=5,1,0)</f>
        <v>0</v>
      </c>
      <c r="J50" s="17" t="n">
        <f aca="false">IF(Rankings!J47&lt;=5,1,0)</f>
        <v>1</v>
      </c>
      <c r="K50" s="20" t="n">
        <f aca="false">SUM(C50:J50)</f>
        <v>5</v>
      </c>
      <c r="L50" s="16" t="n">
        <f aca="false">SUMPRODUCT(C50:J50,Returns!B54:I54)/K50</f>
        <v>0.00745411455193659</v>
      </c>
      <c r="M50" s="16" t="n">
        <v>0</v>
      </c>
      <c r="N50" s="16" t="n">
        <v>0</v>
      </c>
      <c r="O50" s="16" t="n">
        <f aca="false">L50+M50+N50</f>
        <v>0.00745411455193659</v>
      </c>
      <c r="P50" s="21" t="n">
        <f aca="false">P49*(1+O50)</f>
        <v>1.82581156163687</v>
      </c>
      <c r="Q50" s="21" t="n">
        <f aca="false">MAX($P$5:P50)</f>
        <v>2.03478791587479</v>
      </c>
      <c r="R50" s="16" t="n">
        <f aca="false">P50/Q50-1</f>
        <v>-0.102701786563383</v>
      </c>
      <c r="S50" s="16" t="n">
        <f aca="false">O50-Benchmark_RF!D50</f>
        <v>-0.0024653281207315</v>
      </c>
    </row>
    <row r="51" customFormat="false" ht="15" hidden="false" customHeight="true" outlineLevel="0" collapsed="false">
      <c r="A51" s="1" t="n">
        <v>54</v>
      </c>
      <c r="B51" s="13" t="n">
        <f aca="false">Returns!A55</f>
        <v>43617</v>
      </c>
      <c r="C51" s="17" t="n">
        <f aca="false">IF(Rankings!C47&lt;=5,1,0)</f>
        <v>1</v>
      </c>
      <c r="D51" s="17" t="n">
        <f aca="false">IF(Rankings!D47&lt;=5,1,0)</f>
        <v>1</v>
      </c>
      <c r="E51" s="17" t="n">
        <f aca="false">IF(Rankings!E47&lt;=5,1,0)</f>
        <v>0</v>
      </c>
      <c r="F51" s="17" t="n">
        <f aca="false">IF(Rankings!F47&lt;=5,1,0)</f>
        <v>0</v>
      </c>
      <c r="G51" s="17" t="n">
        <f aca="false">IF(Rankings!G47&lt;=5,1,0)</f>
        <v>1</v>
      </c>
      <c r="H51" s="17" t="n">
        <f aca="false">IF(Rankings!H47&lt;=5,1,0)</f>
        <v>1</v>
      </c>
      <c r="I51" s="17" t="n">
        <f aca="false">IF(Rankings!I47&lt;=5,1,0)</f>
        <v>0</v>
      </c>
      <c r="J51" s="17" t="n">
        <f aca="false">IF(Rankings!J47&lt;=5,1,0)</f>
        <v>1</v>
      </c>
      <c r="K51" s="20" t="n">
        <f aca="false">SUM(C51:J51)</f>
        <v>5</v>
      </c>
      <c r="L51" s="16" t="n">
        <f aca="false">SUMPRODUCT(C51:J51,Returns!B55:I55)/K51</f>
        <v>-0.0789148976949541</v>
      </c>
      <c r="M51" s="16" t="n">
        <v>0</v>
      </c>
      <c r="N51" s="16" t="n">
        <v>0</v>
      </c>
      <c r="O51" s="16" t="n">
        <f aca="false">L51+M51+N51</f>
        <v>-0.0789148976949541</v>
      </c>
      <c r="P51" s="21" t="n">
        <f aca="false">P50*(1+O51)</f>
        <v>1.68172782904003</v>
      </c>
      <c r="Q51" s="21" t="n">
        <f aca="false">MAX($P$5:P51)</f>
        <v>2.03478791587479</v>
      </c>
      <c r="R51" s="16" t="n">
        <f aca="false">P51/Q51-1</f>
        <v>-0.173511983278599</v>
      </c>
      <c r="S51" s="16" t="n">
        <f aca="false">O51-Benchmark_RF!D51</f>
        <v>-0.0889564157218407</v>
      </c>
    </row>
    <row r="52" customFormat="false" ht="15" hidden="false" customHeight="true" outlineLevel="0" collapsed="false">
      <c r="A52" s="1" t="n">
        <v>55</v>
      </c>
      <c r="B52" s="13" t="n">
        <f aca="false">Returns!A56</f>
        <v>43647</v>
      </c>
      <c r="C52" s="17" t="n">
        <f aca="false">IF(Rankings!C47&lt;=5,1,0)</f>
        <v>1</v>
      </c>
      <c r="D52" s="17" t="n">
        <f aca="false">IF(Rankings!D47&lt;=5,1,0)</f>
        <v>1</v>
      </c>
      <c r="E52" s="17" t="n">
        <f aca="false">IF(Rankings!E47&lt;=5,1,0)</f>
        <v>0</v>
      </c>
      <c r="F52" s="17" t="n">
        <f aca="false">IF(Rankings!F47&lt;=5,1,0)</f>
        <v>0</v>
      </c>
      <c r="G52" s="17" t="n">
        <f aca="false">IF(Rankings!G47&lt;=5,1,0)</f>
        <v>1</v>
      </c>
      <c r="H52" s="17" t="n">
        <f aca="false">IF(Rankings!H47&lt;=5,1,0)</f>
        <v>1</v>
      </c>
      <c r="I52" s="17" t="n">
        <f aca="false">IF(Rankings!I47&lt;=5,1,0)</f>
        <v>0</v>
      </c>
      <c r="J52" s="17" t="n">
        <f aca="false">IF(Rankings!J47&lt;=5,1,0)</f>
        <v>1</v>
      </c>
      <c r="K52" s="20" t="n">
        <f aca="false">SUM(C52:J52)</f>
        <v>5</v>
      </c>
      <c r="L52" s="16" t="n">
        <f aca="false">SUMPRODUCT(C52:J52,Returns!B56:I56)/K52</f>
        <v>-0.0151670033168117</v>
      </c>
      <c r="M52" s="16" t="n">
        <v>0</v>
      </c>
      <c r="N52" s="16" t="n">
        <v>0</v>
      </c>
      <c r="O52" s="16" t="n">
        <f aca="false">L52+M52+N52</f>
        <v>-0.0151670033168117</v>
      </c>
      <c r="P52" s="21" t="n">
        <f aca="false">P51*(1+O52)</f>
        <v>1.656221057479</v>
      </c>
      <c r="Q52" s="21" t="n">
        <f aca="false">MAX($P$5:P52)</f>
        <v>2.03478791587479</v>
      </c>
      <c r="R52" s="16" t="n">
        <f aca="false">P52/Q52-1</f>
        <v>-0.186047329769518</v>
      </c>
      <c r="S52" s="16" t="n">
        <f aca="false">O52-Benchmark_RF!D52</f>
        <v>-0.0259577301578263</v>
      </c>
    </row>
    <row r="53" customFormat="false" ht="15" hidden="false" customHeight="true" outlineLevel="0" collapsed="false">
      <c r="A53" s="1" t="n">
        <v>56</v>
      </c>
      <c r="B53" s="13" t="n">
        <f aca="false">Returns!A57</f>
        <v>43678</v>
      </c>
      <c r="C53" s="17" t="n">
        <f aca="false">IF(Rankings!C59&lt;=5,1,0)</f>
        <v>1</v>
      </c>
      <c r="D53" s="17" t="n">
        <f aca="false">IF(Rankings!D59&lt;=5,1,0)</f>
        <v>1</v>
      </c>
      <c r="E53" s="17" t="n">
        <f aca="false">IF(Rankings!E59&lt;=5,1,0)</f>
        <v>1</v>
      </c>
      <c r="F53" s="17" t="n">
        <f aca="false">IF(Rankings!F59&lt;=5,1,0)</f>
        <v>0</v>
      </c>
      <c r="G53" s="17" t="n">
        <f aca="false">IF(Rankings!G59&lt;=5,1,0)</f>
        <v>1</v>
      </c>
      <c r="H53" s="17" t="n">
        <f aca="false">IF(Rankings!H59&lt;=5,1,0)</f>
        <v>1</v>
      </c>
      <c r="I53" s="17" t="n">
        <f aca="false">IF(Rankings!I59&lt;=5,1,0)</f>
        <v>0</v>
      </c>
      <c r="J53" s="17" t="n">
        <f aca="false">IF(Rankings!J59&lt;=5,1,0)</f>
        <v>0</v>
      </c>
      <c r="K53" s="20" t="n">
        <f aca="false">SUM(C53:J53)</f>
        <v>5</v>
      </c>
      <c r="L53" s="16" t="n">
        <f aca="false">SUMPRODUCT(C53:J53,Returns!B57:I57)/K53</f>
        <v>-0.0689563488629755</v>
      </c>
      <c r="M53" s="16" t="n">
        <f aca="false">-2*Assumptions!$B$13</f>
        <v>-0.007</v>
      </c>
      <c r="N53" s="16" t="n">
        <f aca="false">-Assumptions!$B$16*MAX(0,(1+O41)*(1+O42)*(1+O43)*(1+O44)*(1+O45)*(1+O46)*(1+O47)*(1+O48)*(1+O49)*(1+O50)*(1+O51)*(1+O52)-1)</f>
        <v>-0</v>
      </c>
      <c r="O53" s="16" t="n">
        <f aca="false">L53+M53+N53</f>
        <v>-0.0759563488629755</v>
      </c>
      <c r="P53" s="21" t="n">
        <f aca="false">P52*(1+O53)</f>
        <v>1.53042055304292</v>
      </c>
      <c r="Q53" s="21" t="n">
        <f aca="false">MAX($P$5:P53)</f>
        <v>2.03478791587479</v>
      </c>
      <c r="R53" s="16" t="n">
        <f aca="false">P53/Q53-1</f>
        <v>-0.247872202747495</v>
      </c>
      <c r="S53" s="16" t="n">
        <f aca="false">O53-Benchmark_RF!D53</f>
        <v>-0.0867495194337642</v>
      </c>
    </row>
    <row r="54" customFormat="false" ht="15" hidden="false" customHeight="true" outlineLevel="0" collapsed="false">
      <c r="A54" s="1" t="n">
        <v>57</v>
      </c>
      <c r="B54" s="13" t="n">
        <f aca="false">Returns!A58</f>
        <v>43709</v>
      </c>
      <c r="C54" s="17" t="n">
        <f aca="false">IF(Rankings!C59&lt;=5,1,0)</f>
        <v>1</v>
      </c>
      <c r="D54" s="17" t="n">
        <f aca="false">IF(Rankings!D59&lt;=5,1,0)</f>
        <v>1</v>
      </c>
      <c r="E54" s="17" t="n">
        <f aca="false">IF(Rankings!E59&lt;=5,1,0)</f>
        <v>1</v>
      </c>
      <c r="F54" s="17" t="n">
        <f aca="false">IF(Rankings!F59&lt;=5,1,0)</f>
        <v>0</v>
      </c>
      <c r="G54" s="17" t="n">
        <f aca="false">IF(Rankings!G59&lt;=5,1,0)</f>
        <v>1</v>
      </c>
      <c r="H54" s="17" t="n">
        <f aca="false">IF(Rankings!H59&lt;=5,1,0)</f>
        <v>1</v>
      </c>
      <c r="I54" s="17" t="n">
        <f aca="false">IF(Rankings!I59&lt;=5,1,0)</f>
        <v>0</v>
      </c>
      <c r="J54" s="17" t="n">
        <f aca="false">IF(Rankings!J59&lt;=5,1,0)</f>
        <v>0</v>
      </c>
      <c r="K54" s="20" t="n">
        <f aca="false">SUM(C54:J54)</f>
        <v>5</v>
      </c>
      <c r="L54" s="16" t="n">
        <f aca="false">SUMPRODUCT(C54:J54,Returns!B58:I58)/K54</f>
        <v>0.0356935871530545</v>
      </c>
      <c r="M54" s="16" t="n">
        <v>0</v>
      </c>
      <c r="N54" s="16" t="n">
        <v>0</v>
      </c>
      <c r="O54" s="16" t="n">
        <f aca="false">L54+M54+N54</f>
        <v>0.0356935871530545</v>
      </c>
      <c r="P54" s="21" t="n">
        <f aca="false">P53*(1+O54)</f>
        <v>1.58504675243379</v>
      </c>
      <c r="Q54" s="21" t="n">
        <f aca="false">MAX($P$5:P54)</f>
        <v>2.03478791587479</v>
      </c>
      <c r="R54" s="16" t="n">
        <f aca="false">P54/Q54-1</f>
        <v>-0.221026063666027</v>
      </c>
      <c r="S54" s="16" t="n">
        <f aca="false">O54-Benchmark_RF!D54</f>
        <v>0.024923449464294</v>
      </c>
    </row>
    <row r="55" customFormat="false" ht="15" hidden="false" customHeight="true" outlineLevel="0" collapsed="false">
      <c r="A55" s="1" t="n">
        <v>58</v>
      </c>
      <c r="B55" s="13" t="n">
        <f aca="false">Returns!A59</f>
        <v>43739</v>
      </c>
      <c r="C55" s="17" t="n">
        <f aca="false">IF(Rankings!C59&lt;=5,1,0)</f>
        <v>1</v>
      </c>
      <c r="D55" s="17" t="n">
        <f aca="false">IF(Rankings!D59&lt;=5,1,0)</f>
        <v>1</v>
      </c>
      <c r="E55" s="17" t="n">
        <f aca="false">IF(Rankings!E59&lt;=5,1,0)</f>
        <v>1</v>
      </c>
      <c r="F55" s="17" t="n">
        <f aca="false">IF(Rankings!F59&lt;=5,1,0)</f>
        <v>0</v>
      </c>
      <c r="G55" s="17" t="n">
        <f aca="false">IF(Rankings!G59&lt;=5,1,0)</f>
        <v>1</v>
      </c>
      <c r="H55" s="17" t="n">
        <f aca="false">IF(Rankings!H59&lt;=5,1,0)</f>
        <v>1</v>
      </c>
      <c r="I55" s="17" t="n">
        <f aca="false">IF(Rankings!I59&lt;=5,1,0)</f>
        <v>0</v>
      </c>
      <c r="J55" s="17" t="n">
        <f aca="false">IF(Rankings!J59&lt;=5,1,0)</f>
        <v>0</v>
      </c>
      <c r="K55" s="20" t="n">
        <f aca="false">SUM(C55:J55)</f>
        <v>5</v>
      </c>
      <c r="L55" s="16" t="n">
        <f aca="false">SUMPRODUCT(C55:J55,Returns!B59:I59)/K55</f>
        <v>0.0388816476156709</v>
      </c>
      <c r="M55" s="16" t="n">
        <v>0</v>
      </c>
      <c r="N55" s="16" t="n">
        <v>0</v>
      </c>
      <c r="O55" s="16" t="n">
        <f aca="false">L55+M55+N55</f>
        <v>0.0388816476156709</v>
      </c>
      <c r="P55" s="21" t="n">
        <f aca="false">P54*(1+O55)</f>
        <v>1.64667598171628</v>
      </c>
      <c r="Q55" s="21" t="n">
        <f aca="false">MAX($P$5:P55)</f>
        <v>2.03478791587479</v>
      </c>
      <c r="R55" s="16" t="n">
        <f aca="false">P55/Q55-1</f>
        <v>-0.190738273571697</v>
      </c>
      <c r="S55" s="16" t="n">
        <f aca="false">O55-Benchmark_RF!D55</f>
        <v>0.0284584413468908</v>
      </c>
    </row>
    <row r="56" customFormat="false" ht="15" hidden="false" customHeight="true" outlineLevel="0" collapsed="false">
      <c r="A56" s="1" t="n">
        <v>59</v>
      </c>
      <c r="B56" s="13" t="n">
        <f aca="false">Returns!A60</f>
        <v>43770</v>
      </c>
      <c r="C56" s="17" t="n">
        <f aca="false">IF(Rankings!C59&lt;=5,1,0)</f>
        <v>1</v>
      </c>
      <c r="D56" s="17" t="n">
        <f aca="false">IF(Rankings!D59&lt;=5,1,0)</f>
        <v>1</v>
      </c>
      <c r="E56" s="17" t="n">
        <f aca="false">IF(Rankings!E59&lt;=5,1,0)</f>
        <v>1</v>
      </c>
      <c r="F56" s="17" t="n">
        <f aca="false">IF(Rankings!F59&lt;=5,1,0)</f>
        <v>0</v>
      </c>
      <c r="G56" s="17" t="n">
        <f aca="false">IF(Rankings!G59&lt;=5,1,0)</f>
        <v>1</v>
      </c>
      <c r="H56" s="17" t="n">
        <f aca="false">IF(Rankings!H59&lt;=5,1,0)</f>
        <v>1</v>
      </c>
      <c r="I56" s="17" t="n">
        <f aca="false">IF(Rankings!I59&lt;=5,1,0)</f>
        <v>0</v>
      </c>
      <c r="J56" s="17" t="n">
        <f aca="false">IF(Rankings!J59&lt;=5,1,0)</f>
        <v>0</v>
      </c>
      <c r="K56" s="20" t="n">
        <f aca="false">SUM(C56:J56)</f>
        <v>5</v>
      </c>
      <c r="L56" s="16" t="n">
        <f aca="false">SUMPRODUCT(C56:J56,Returns!B60:I60)/K56</f>
        <v>0.0871993969908136</v>
      </c>
      <c r="M56" s="16" t="n">
        <v>0</v>
      </c>
      <c r="N56" s="16" t="n">
        <v>0</v>
      </c>
      <c r="O56" s="16" t="n">
        <f aca="false">L56+M56+N56</f>
        <v>0.0871993969908136</v>
      </c>
      <c r="P56" s="21" t="n">
        <f aca="false">P55*(1+O56)</f>
        <v>1.7902651343612</v>
      </c>
      <c r="Q56" s="21" t="n">
        <f aca="false">MAX($P$5:P56)</f>
        <v>2.03478791587479</v>
      </c>
      <c r="R56" s="16" t="n">
        <f aca="false">P56/Q56-1</f>
        <v>-0.120171139019405</v>
      </c>
      <c r="S56" s="16" t="n">
        <f aca="false">O56-Benchmark_RF!D56</f>
        <v>0.0766198908818572</v>
      </c>
    </row>
    <row r="57" customFormat="false" ht="15" hidden="false" customHeight="true" outlineLevel="0" collapsed="false">
      <c r="A57" s="1" t="n">
        <v>60</v>
      </c>
      <c r="B57" s="13" t="n">
        <f aca="false">Returns!A61</f>
        <v>43800</v>
      </c>
      <c r="C57" s="17" t="n">
        <f aca="false">IF(Rankings!C59&lt;=5,1,0)</f>
        <v>1</v>
      </c>
      <c r="D57" s="17" t="n">
        <f aca="false">IF(Rankings!D59&lt;=5,1,0)</f>
        <v>1</v>
      </c>
      <c r="E57" s="17" t="n">
        <f aca="false">IF(Rankings!E59&lt;=5,1,0)</f>
        <v>1</v>
      </c>
      <c r="F57" s="17" t="n">
        <f aca="false">IF(Rankings!F59&lt;=5,1,0)</f>
        <v>0</v>
      </c>
      <c r="G57" s="17" t="n">
        <f aca="false">IF(Rankings!G59&lt;=5,1,0)</f>
        <v>1</v>
      </c>
      <c r="H57" s="17" t="n">
        <f aca="false">IF(Rankings!H59&lt;=5,1,0)</f>
        <v>1</v>
      </c>
      <c r="I57" s="17" t="n">
        <f aca="false">IF(Rankings!I59&lt;=5,1,0)</f>
        <v>0</v>
      </c>
      <c r="J57" s="17" t="n">
        <f aca="false">IF(Rankings!J59&lt;=5,1,0)</f>
        <v>0</v>
      </c>
      <c r="K57" s="20" t="n">
        <f aca="false">SUM(C57:J57)</f>
        <v>5</v>
      </c>
      <c r="L57" s="16" t="n">
        <f aca="false">SUMPRODUCT(C57:J57,Returns!B61:I61)/K57</f>
        <v>0.0402829108315553</v>
      </c>
      <c r="M57" s="16" t="n">
        <v>0</v>
      </c>
      <c r="N57" s="16" t="n">
        <v>0</v>
      </c>
      <c r="O57" s="16" t="n">
        <f aca="false">L57+M57+N57</f>
        <v>0.0402829108315553</v>
      </c>
      <c r="P57" s="21" t="n">
        <f aca="false">P56*(1+O57)</f>
        <v>1.86238222513351</v>
      </c>
      <c r="Q57" s="21" t="n">
        <f aca="false">MAX($P$5:P57)</f>
        <v>2.03478791587479</v>
      </c>
      <c r="R57" s="16" t="n">
        <f aca="false">P57/Q57-1</f>
        <v>-0.0847290714654947</v>
      </c>
      <c r="S57" s="16" t="n">
        <f aca="false">O57-Benchmark_RF!D57</f>
        <v>0.0297142420419241</v>
      </c>
    </row>
    <row r="58" customFormat="false" ht="15" hidden="false" customHeight="true" outlineLevel="0" collapsed="false">
      <c r="A58" s="1" t="n">
        <v>61</v>
      </c>
      <c r="B58" s="13" t="n">
        <f aca="false">Returns!A62</f>
        <v>43831</v>
      </c>
      <c r="C58" s="17" t="n">
        <f aca="false">IF(Rankings!C59&lt;=5,1,0)</f>
        <v>1</v>
      </c>
      <c r="D58" s="17" t="n">
        <f aca="false">IF(Rankings!D59&lt;=5,1,0)</f>
        <v>1</v>
      </c>
      <c r="E58" s="17" t="n">
        <f aca="false">IF(Rankings!E59&lt;=5,1,0)</f>
        <v>1</v>
      </c>
      <c r="F58" s="17" t="n">
        <f aca="false">IF(Rankings!F59&lt;=5,1,0)</f>
        <v>0</v>
      </c>
      <c r="G58" s="17" t="n">
        <f aca="false">IF(Rankings!G59&lt;=5,1,0)</f>
        <v>1</v>
      </c>
      <c r="H58" s="17" t="n">
        <f aca="false">IF(Rankings!H59&lt;=5,1,0)</f>
        <v>1</v>
      </c>
      <c r="I58" s="17" t="n">
        <f aca="false">IF(Rankings!I59&lt;=5,1,0)</f>
        <v>0</v>
      </c>
      <c r="J58" s="17" t="n">
        <f aca="false">IF(Rankings!J59&lt;=5,1,0)</f>
        <v>0</v>
      </c>
      <c r="K58" s="20" t="n">
        <f aca="false">SUM(C58:J58)</f>
        <v>5</v>
      </c>
      <c r="L58" s="16" t="n">
        <f aca="false">SUMPRODUCT(C58:J58,Returns!B62:I62)/K58</f>
        <v>0.0267037508808197</v>
      </c>
      <c r="M58" s="16" t="n">
        <v>0</v>
      </c>
      <c r="N58" s="16" t="n">
        <v>0</v>
      </c>
      <c r="O58" s="16" t="n">
        <f aca="false">L58+M58+N58</f>
        <v>0.0267037508808197</v>
      </c>
      <c r="P58" s="21" t="n">
        <f aca="false">P57*(1+O58)</f>
        <v>1.91211481611834</v>
      </c>
      <c r="Q58" s="21" t="n">
        <f aca="false">MAX($P$5:P58)</f>
        <v>2.03478791587479</v>
      </c>
      <c r="R58" s="16" t="n">
        <f aca="false">P58/Q58-1</f>
        <v>-0.0602879046014527</v>
      </c>
      <c r="S58" s="16" t="n">
        <f aca="false">O58-Benchmark_RF!D58</f>
        <v>0.0161779242852625</v>
      </c>
    </row>
    <row r="59" customFormat="false" ht="15" hidden="false" customHeight="true" outlineLevel="0" collapsed="false">
      <c r="A59" s="1" t="n">
        <v>62</v>
      </c>
      <c r="B59" s="13" t="n">
        <f aca="false">Returns!A63</f>
        <v>43862</v>
      </c>
      <c r="C59" s="17" t="n">
        <f aca="false">IF(Rankings!C59&lt;=5,1,0)</f>
        <v>1</v>
      </c>
      <c r="D59" s="17" t="n">
        <f aca="false">IF(Rankings!D59&lt;=5,1,0)</f>
        <v>1</v>
      </c>
      <c r="E59" s="17" t="n">
        <f aca="false">IF(Rankings!E59&lt;=5,1,0)</f>
        <v>1</v>
      </c>
      <c r="F59" s="17" t="n">
        <f aca="false">IF(Rankings!F59&lt;=5,1,0)</f>
        <v>0</v>
      </c>
      <c r="G59" s="17" t="n">
        <f aca="false">IF(Rankings!G59&lt;=5,1,0)</f>
        <v>1</v>
      </c>
      <c r="H59" s="17" t="n">
        <f aca="false">IF(Rankings!H59&lt;=5,1,0)</f>
        <v>1</v>
      </c>
      <c r="I59" s="17" t="n">
        <f aca="false">IF(Rankings!I59&lt;=5,1,0)</f>
        <v>0</v>
      </c>
      <c r="J59" s="17" t="n">
        <f aca="false">IF(Rankings!J59&lt;=5,1,0)</f>
        <v>0</v>
      </c>
      <c r="K59" s="20" t="n">
        <f aca="false">SUM(C59:J59)</f>
        <v>5</v>
      </c>
      <c r="L59" s="16" t="n">
        <f aca="false">SUMPRODUCT(C59:J59,Returns!B63:I63)/K59</f>
        <v>-0.0467057423360912</v>
      </c>
      <c r="M59" s="16" t="n">
        <v>0</v>
      </c>
      <c r="N59" s="16" t="n">
        <v>0</v>
      </c>
      <c r="O59" s="16" t="n">
        <f aca="false">L59+M59+N59</f>
        <v>-0.0467057423360912</v>
      </c>
      <c r="P59" s="21" t="n">
        <f aca="false">P58*(1+O59)</f>
        <v>1.8228080741997</v>
      </c>
      <c r="Q59" s="21" t="n">
        <f aca="false">MAX($P$5:P59)</f>
        <v>2.03478791587479</v>
      </c>
      <c r="R59" s="16" t="n">
        <f aca="false">P59/Q59-1</f>
        <v>-0.104177855599246</v>
      </c>
      <c r="S59" s="16" t="n">
        <f aca="false">O59-Benchmark_RF!D59</f>
        <v>-0.0572260729930506</v>
      </c>
    </row>
    <row r="60" customFormat="false" ht="15" hidden="false" customHeight="true" outlineLevel="0" collapsed="false">
      <c r="A60" s="1" t="n">
        <v>63</v>
      </c>
      <c r="B60" s="13" t="n">
        <f aca="false">Returns!A64</f>
        <v>43891</v>
      </c>
      <c r="C60" s="17" t="n">
        <f aca="false">IF(Rankings!C59&lt;=5,1,0)</f>
        <v>1</v>
      </c>
      <c r="D60" s="17" t="n">
        <f aca="false">IF(Rankings!D59&lt;=5,1,0)</f>
        <v>1</v>
      </c>
      <c r="E60" s="17" t="n">
        <f aca="false">IF(Rankings!E59&lt;=5,1,0)</f>
        <v>1</v>
      </c>
      <c r="F60" s="17" t="n">
        <f aca="false">IF(Rankings!F59&lt;=5,1,0)</f>
        <v>0</v>
      </c>
      <c r="G60" s="17" t="n">
        <f aca="false">IF(Rankings!G59&lt;=5,1,0)</f>
        <v>1</v>
      </c>
      <c r="H60" s="17" t="n">
        <f aca="false">IF(Rankings!H59&lt;=5,1,0)</f>
        <v>1</v>
      </c>
      <c r="I60" s="17" t="n">
        <f aca="false">IF(Rankings!I59&lt;=5,1,0)</f>
        <v>0</v>
      </c>
      <c r="J60" s="17" t="n">
        <f aca="false">IF(Rankings!J59&lt;=5,1,0)</f>
        <v>0</v>
      </c>
      <c r="K60" s="20" t="n">
        <f aca="false">SUM(C60:J60)</f>
        <v>5</v>
      </c>
      <c r="L60" s="16" t="n">
        <f aca="false">SUMPRODUCT(C60:J60,Returns!B64:I64)/K60</f>
        <v>-0.225776407731929</v>
      </c>
      <c r="M60" s="16" t="n">
        <v>0</v>
      </c>
      <c r="N60" s="16" t="n">
        <v>0</v>
      </c>
      <c r="O60" s="16" t="n">
        <f aca="false">L60+M60+N60</f>
        <v>-0.225776407731929</v>
      </c>
      <c r="P60" s="21" t="n">
        <f aca="false">P59*(1+O60)</f>
        <v>1.41126101522213</v>
      </c>
      <c r="Q60" s="21" t="n">
        <f aca="false">MAX($P$5:P60)</f>
        <v>2.03478791587479</v>
      </c>
      <c r="R60" s="16" t="n">
        <f aca="false">P60/Q60-1</f>
        <v>-0.306433361328761</v>
      </c>
      <c r="S60" s="16" t="n">
        <f aca="false">O60-Benchmark_RF!D60</f>
        <v>-0.234675492762722</v>
      </c>
    </row>
    <row r="61" customFormat="false" ht="15" hidden="false" customHeight="true" outlineLevel="0" collapsed="false">
      <c r="A61" s="1" t="n">
        <v>64</v>
      </c>
      <c r="B61" s="13" t="n">
        <f aca="false">Returns!A65</f>
        <v>43922</v>
      </c>
      <c r="C61" s="17" t="n">
        <f aca="false">IF(Rankings!C59&lt;=5,1,0)</f>
        <v>1</v>
      </c>
      <c r="D61" s="17" t="n">
        <f aca="false">IF(Rankings!D59&lt;=5,1,0)</f>
        <v>1</v>
      </c>
      <c r="E61" s="17" t="n">
        <f aca="false">IF(Rankings!E59&lt;=5,1,0)</f>
        <v>1</v>
      </c>
      <c r="F61" s="17" t="n">
        <f aca="false">IF(Rankings!F59&lt;=5,1,0)</f>
        <v>0</v>
      </c>
      <c r="G61" s="17" t="n">
        <f aca="false">IF(Rankings!G59&lt;=5,1,0)</f>
        <v>1</v>
      </c>
      <c r="H61" s="17" t="n">
        <f aca="false">IF(Rankings!H59&lt;=5,1,0)</f>
        <v>1</v>
      </c>
      <c r="I61" s="17" t="n">
        <f aca="false">IF(Rankings!I59&lt;=5,1,0)</f>
        <v>0</v>
      </c>
      <c r="J61" s="17" t="n">
        <f aca="false">IF(Rankings!J59&lt;=5,1,0)</f>
        <v>0</v>
      </c>
      <c r="K61" s="20" t="n">
        <f aca="false">SUM(C61:J61)</f>
        <v>5</v>
      </c>
      <c r="L61" s="16" t="n">
        <f aca="false">SUMPRODUCT(C61:J61,Returns!B65:I65)/K61</f>
        <v>0.184700874876452</v>
      </c>
      <c r="M61" s="16" t="n">
        <v>0</v>
      </c>
      <c r="N61" s="16" t="n">
        <v>0</v>
      </c>
      <c r="O61" s="16" t="n">
        <f aca="false">L61+M61+N61</f>
        <v>0.184700874876452</v>
      </c>
      <c r="P61" s="21" t="n">
        <f aca="false">P60*(1+O61)</f>
        <v>1.67192215941269</v>
      </c>
      <c r="Q61" s="21" t="n">
        <f aca="false">MAX($P$5:P61)</f>
        <v>2.03478791587479</v>
      </c>
      <c r="R61" s="16" t="n">
        <f aca="false">P61/Q61-1</f>
        <v>-0.178330996381063</v>
      </c>
      <c r="S61" s="16" t="n">
        <f aca="false">O61-Benchmark_RF!D61</f>
        <v>0.178100809636092</v>
      </c>
    </row>
    <row r="62" customFormat="false" ht="15" hidden="false" customHeight="true" outlineLevel="0" collapsed="false">
      <c r="A62" s="1" t="n">
        <v>65</v>
      </c>
      <c r="B62" s="13" t="n">
        <f aca="false">Returns!A66</f>
        <v>43952</v>
      </c>
      <c r="C62" s="17" t="n">
        <f aca="false">IF(Rankings!C59&lt;=5,1,0)</f>
        <v>1</v>
      </c>
      <c r="D62" s="17" t="n">
        <f aca="false">IF(Rankings!D59&lt;=5,1,0)</f>
        <v>1</v>
      </c>
      <c r="E62" s="17" t="n">
        <f aca="false">IF(Rankings!E59&lt;=5,1,0)</f>
        <v>1</v>
      </c>
      <c r="F62" s="17" t="n">
        <f aca="false">IF(Rankings!F59&lt;=5,1,0)</f>
        <v>0</v>
      </c>
      <c r="G62" s="17" t="n">
        <f aca="false">IF(Rankings!G59&lt;=5,1,0)</f>
        <v>1</v>
      </c>
      <c r="H62" s="17" t="n">
        <f aca="false">IF(Rankings!H59&lt;=5,1,0)</f>
        <v>1</v>
      </c>
      <c r="I62" s="17" t="n">
        <f aca="false">IF(Rankings!I59&lt;=5,1,0)</f>
        <v>0</v>
      </c>
      <c r="J62" s="17" t="n">
        <f aca="false">IF(Rankings!J59&lt;=5,1,0)</f>
        <v>0</v>
      </c>
      <c r="K62" s="20" t="n">
        <f aca="false">SUM(C62:J62)</f>
        <v>5</v>
      </c>
      <c r="L62" s="16" t="n">
        <f aca="false">SUMPRODUCT(C62:J62,Returns!B66:I66)/K62</f>
        <v>-0.0081653664981763</v>
      </c>
      <c r="M62" s="16" t="n">
        <v>0</v>
      </c>
      <c r="N62" s="16" t="n">
        <v>0</v>
      </c>
      <c r="O62" s="16" t="n">
        <f aca="false">L62+M62+N62</f>
        <v>-0.0081653664981763</v>
      </c>
      <c r="P62" s="21" t="n">
        <f aca="false">P61*(1+O62)</f>
        <v>1.65827030222466</v>
      </c>
      <c r="Q62" s="21" t="n">
        <f aca="false">MAX($P$5:P62)</f>
        <v>2.03478791587479</v>
      </c>
      <c r="R62" s="16" t="n">
        <f aca="false">P62/Q62-1</f>
        <v>-0.185040224935803</v>
      </c>
      <c r="S62" s="16" t="n">
        <f aca="false">O62-Benchmark_RF!D62</f>
        <v>-0.0146930805648789</v>
      </c>
    </row>
    <row r="63" customFormat="false" ht="15" hidden="false" customHeight="true" outlineLevel="0" collapsed="false">
      <c r="A63" s="1" t="n">
        <v>66</v>
      </c>
      <c r="B63" s="13" t="n">
        <f aca="false">Returns!A67</f>
        <v>43983</v>
      </c>
      <c r="C63" s="17" t="n">
        <f aca="false">IF(Rankings!C59&lt;=5,1,0)</f>
        <v>1</v>
      </c>
      <c r="D63" s="17" t="n">
        <f aca="false">IF(Rankings!D59&lt;=5,1,0)</f>
        <v>1</v>
      </c>
      <c r="E63" s="17" t="n">
        <f aca="false">IF(Rankings!E59&lt;=5,1,0)</f>
        <v>1</v>
      </c>
      <c r="F63" s="17" t="n">
        <f aca="false">IF(Rankings!F59&lt;=5,1,0)</f>
        <v>0</v>
      </c>
      <c r="G63" s="17" t="n">
        <f aca="false">IF(Rankings!G59&lt;=5,1,0)</f>
        <v>1</v>
      </c>
      <c r="H63" s="17" t="n">
        <f aca="false">IF(Rankings!H59&lt;=5,1,0)</f>
        <v>1</v>
      </c>
      <c r="I63" s="17" t="n">
        <f aca="false">IF(Rankings!I59&lt;=5,1,0)</f>
        <v>0</v>
      </c>
      <c r="J63" s="17" t="n">
        <f aca="false">IF(Rankings!J59&lt;=5,1,0)</f>
        <v>0</v>
      </c>
      <c r="K63" s="20" t="n">
        <f aca="false">SUM(C63:J63)</f>
        <v>5</v>
      </c>
      <c r="L63" s="16" t="n">
        <f aca="false">SUMPRODUCT(C63:J63,Returns!B67:I67)/K63</f>
        <v>0.0212462802100639</v>
      </c>
      <c r="M63" s="16" t="n">
        <v>0</v>
      </c>
      <c r="N63" s="16" t="n">
        <v>0</v>
      </c>
      <c r="O63" s="16" t="n">
        <f aca="false">L63+M63+N63</f>
        <v>0.0212462802100639</v>
      </c>
      <c r="P63" s="21" t="n">
        <f aca="false">P62*(1+O63)</f>
        <v>1.69350237772976</v>
      </c>
      <c r="Q63" s="21" t="n">
        <f aca="false">MAX($P$5:P63)</f>
        <v>2.03478791587479</v>
      </c>
      <c r="R63" s="16" t="n">
        <f aca="false">P63/Q63-1</f>
        <v>-0.167725361194859</v>
      </c>
      <c r="S63" s="16" t="n">
        <f aca="false">O63-Benchmark_RF!D63</f>
        <v>0.0157106344147175</v>
      </c>
    </row>
    <row r="64" customFormat="false" ht="15" hidden="false" customHeight="true" outlineLevel="0" collapsed="false">
      <c r="A64" s="1" t="n">
        <v>67</v>
      </c>
      <c r="B64" s="13" t="n">
        <f aca="false">Returns!A68</f>
        <v>44013</v>
      </c>
      <c r="C64" s="17" t="n">
        <f aca="false">IF(Rankings!C59&lt;=5,1,0)</f>
        <v>1</v>
      </c>
      <c r="D64" s="17" t="n">
        <f aca="false">IF(Rankings!D59&lt;=5,1,0)</f>
        <v>1</v>
      </c>
      <c r="E64" s="17" t="n">
        <f aca="false">IF(Rankings!E59&lt;=5,1,0)</f>
        <v>1</v>
      </c>
      <c r="F64" s="17" t="n">
        <f aca="false">IF(Rankings!F59&lt;=5,1,0)</f>
        <v>0</v>
      </c>
      <c r="G64" s="17" t="n">
        <f aca="false">IF(Rankings!G59&lt;=5,1,0)</f>
        <v>1</v>
      </c>
      <c r="H64" s="17" t="n">
        <f aca="false">IF(Rankings!H59&lt;=5,1,0)</f>
        <v>1</v>
      </c>
      <c r="I64" s="17" t="n">
        <f aca="false">IF(Rankings!I59&lt;=5,1,0)</f>
        <v>0</v>
      </c>
      <c r="J64" s="17" t="n">
        <f aca="false">IF(Rankings!J59&lt;=5,1,0)</f>
        <v>0</v>
      </c>
      <c r="K64" s="20" t="n">
        <f aca="false">SUM(C64:J64)</f>
        <v>5</v>
      </c>
      <c r="L64" s="16" t="n">
        <f aca="false">SUMPRODUCT(C64:J64,Returns!B68:I68)/K64</f>
        <v>0.124743626933357</v>
      </c>
      <c r="M64" s="16" t="n">
        <v>0</v>
      </c>
      <c r="N64" s="16" t="n">
        <v>0</v>
      </c>
      <c r="O64" s="16" t="n">
        <f aca="false">L64+M64+N64</f>
        <v>0.124743626933357</v>
      </c>
      <c r="P64" s="21" t="n">
        <f aca="false">P63*(1+O64)</f>
        <v>1.90475600654803</v>
      </c>
      <c r="Q64" s="21" t="n">
        <f aca="false">MAX($P$5:P64)</f>
        <v>2.03478791587479</v>
      </c>
      <c r="R64" s="16" t="n">
        <f aca="false">P64/Q64-1</f>
        <v>-0.0639044041456556</v>
      </c>
      <c r="S64" s="16" t="n">
        <f aca="false">O64-Benchmark_RF!D64</f>
        <v>0.119188690976714</v>
      </c>
    </row>
    <row r="65" customFormat="false" ht="15" hidden="false" customHeight="true" outlineLevel="0" collapsed="false">
      <c r="A65" s="1" t="n">
        <v>68</v>
      </c>
      <c r="B65" s="13" t="n">
        <f aca="false">Returns!A69</f>
        <v>44044</v>
      </c>
      <c r="C65" s="17" t="n">
        <f aca="false">IF(Rankings!C71&lt;=5,1,0)</f>
        <v>0</v>
      </c>
      <c r="D65" s="17" t="n">
        <f aca="false">IF(Rankings!D71&lt;=5,1,0)</f>
        <v>1</v>
      </c>
      <c r="E65" s="17" t="n">
        <f aca="false">IF(Rankings!E71&lt;=5,1,0)</f>
        <v>0</v>
      </c>
      <c r="F65" s="17" t="n">
        <f aca="false">IF(Rankings!F71&lt;=5,1,0)</f>
        <v>1</v>
      </c>
      <c r="G65" s="17" t="n">
        <f aca="false">IF(Rankings!G71&lt;=5,1,0)</f>
        <v>1</v>
      </c>
      <c r="H65" s="17" t="n">
        <f aca="false">IF(Rankings!H71&lt;=5,1,0)</f>
        <v>0</v>
      </c>
      <c r="I65" s="17" t="n">
        <f aca="false">IF(Rankings!I71&lt;=5,1,0)</f>
        <v>1</v>
      </c>
      <c r="J65" s="17" t="n">
        <f aca="false">IF(Rankings!J71&lt;=5,1,0)</f>
        <v>1</v>
      </c>
      <c r="K65" s="20" t="n">
        <f aca="false">SUM(C65:J65)</f>
        <v>5</v>
      </c>
      <c r="L65" s="16" t="n">
        <f aca="false">SUMPRODUCT(C65:J65,Returns!B69:I69)/K65</f>
        <v>0.0689622200906987</v>
      </c>
      <c r="M65" s="16" t="n">
        <f aca="false">-2*Assumptions!$B$13</f>
        <v>-0.007</v>
      </c>
      <c r="N65" s="16" t="n">
        <f aca="false">-Assumptions!$B$16*MAX(0,(1+O53)*(1+O54)*(1+O55)*(1+O56)*(1+O57)*(1+O58)*(1+O59)*(1+O60)*(1+O61)*(1+O62)*(1+O63)*(1+O64)-1)</f>
        <v>-0.0225092189185783</v>
      </c>
      <c r="O65" s="16" t="n">
        <f aca="false">L65+M65+N65</f>
        <v>0.0394530011721204</v>
      </c>
      <c r="P65" s="21" t="n">
        <f aca="false">P64*(1+O65)</f>
        <v>1.97990434750697</v>
      </c>
      <c r="Q65" s="21" t="n">
        <f aca="false">MAX($P$5:P65)</f>
        <v>2.03478791587479</v>
      </c>
      <c r="R65" s="16" t="n">
        <f aca="false">P65/Q65-1</f>
        <v>-0.0269726235051974</v>
      </c>
      <c r="S65" s="16" t="n">
        <f aca="false">O65-Benchmark_RF!D65</f>
        <v>0.0337271409908005</v>
      </c>
    </row>
    <row r="66" customFormat="false" ht="15" hidden="false" customHeight="true" outlineLevel="0" collapsed="false">
      <c r="A66" s="1" t="n">
        <v>69</v>
      </c>
      <c r="B66" s="13" t="n">
        <f aca="false">Returns!A70</f>
        <v>44075</v>
      </c>
      <c r="C66" s="17" t="n">
        <f aca="false">IF(Rankings!C71&lt;=5,1,0)</f>
        <v>0</v>
      </c>
      <c r="D66" s="17" t="n">
        <f aca="false">IF(Rankings!D71&lt;=5,1,0)</f>
        <v>1</v>
      </c>
      <c r="E66" s="17" t="n">
        <f aca="false">IF(Rankings!E71&lt;=5,1,0)</f>
        <v>0</v>
      </c>
      <c r="F66" s="17" t="n">
        <f aca="false">IF(Rankings!F71&lt;=5,1,0)</f>
        <v>1</v>
      </c>
      <c r="G66" s="17" t="n">
        <f aca="false">IF(Rankings!G71&lt;=5,1,0)</f>
        <v>1</v>
      </c>
      <c r="H66" s="17" t="n">
        <f aca="false">IF(Rankings!H71&lt;=5,1,0)</f>
        <v>0</v>
      </c>
      <c r="I66" s="17" t="n">
        <f aca="false">IF(Rankings!I71&lt;=5,1,0)</f>
        <v>1</v>
      </c>
      <c r="J66" s="17" t="n">
        <f aca="false">IF(Rankings!J71&lt;=5,1,0)</f>
        <v>1</v>
      </c>
      <c r="K66" s="20" t="n">
        <f aca="false">SUM(C66:J66)</f>
        <v>5</v>
      </c>
      <c r="L66" s="16" t="n">
        <f aca="false">SUMPRODUCT(C66:J66,Returns!B70:I70)/K66</f>
        <v>-0.0027460286400208</v>
      </c>
      <c r="M66" s="16" t="n">
        <v>0</v>
      </c>
      <c r="N66" s="16" t="n">
        <v>0</v>
      </c>
      <c r="O66" s="16" t="n">
        <f aca="false">L66+M66+N66</f>
        <v>-0.0027460286400208</v>
      </c>
      <c r="P66" s="21" t="n">
        <f aca="false">P65*(1+O66)</f>
        <v>1.97446747346422</v>
      </c>
      <c r="Q66" s="21" t="n">
        <f aca="false">MAX($P$5:P66)</f>
        <v>2.03478791587479</v>
      </c>
      <c r="R66" s="16" t="n">
        <f aca="false">P66/Q66-1</f>
        <v>-0.0296445845485764</v>
      </c>
      <c r="S66" s="16" t="n">
        <f aca="false">O66-Benchmark_RF!D66</f>
        <v>-0.00847713212866639</v>
      </c>
    </row>
    <row r="67" customFormat="false" ht="15" hidden="false" customHeight="true" outlineLevel="0" collapsed="false">
      <c r="A67" s="1" t="n">
        <v>70</v>
      </c>
      <c r="B67" s="13" t="n">
        <f aca="false">Returns!A71</f>
        <v>44105</v>
      </c>
      <c r="C67" s="17" t="n">
        <f aca="false">IF(Rankings!C71&lt;=5,1,0)</f>
        <v>0</v>
      </c>
      <c r="D67" s="17" t="n">
        <f aca="false">IF(Rankings!D71&lt;=5,1,0)</f>
        <v>1</v>
      </c>
      <c r="E67" s="17" t="n">
        <f aca="false">IF(Rankings!E71&lt;=5,1,0)</f>
        <v>0</v>
      </c>
      <c r="F67" s="17" t="n">
        <f aca="false">IF(Rankings!F71&lt;=5,1,0)</f>
        <v>1</v>
      </c>
      <c r="G67" s="17" t="n">
        <f aca="false">IF(Rankings!G71&lt;=5,1,0)</f>
        <v>1</v>
      </c>
      <c r="H67" s="17" t="n">
        <f aca="false">IF(Rankings!H71&lt;=5,1,0)</f>
        <v>0</v>
      </c>
      <c r="I67" s="17" t="n">
        <f aca="false">IF(Rankings!I71&lt;=5,1,0)</f>
        <v>1</v>
      </c>
      <c r="J67" s="17" t="n">
        <f aca="false">IF(Rankings!J71&lt;=5,1,0)</f>
        <v>1</v>
      </c>
      <c r="K67" s="20" t="n">
        <f aca="false">SUM(C67:J67)</f>
        <v>5</v>
      </c>
      <c r="L67" s="16" t="n">
        <f aca="false">SUMPRODUCT(C67:J67,Returns!B71:I71)/K67</f>
        <v>0.0310055233851952</v>
      </c>
      <c r="M67" s="16" t="n">
        <v>0</v>
      </c>
      <c r="N67" s="16" t="n">
        <v>0</v>
      </c>
      <c r="O67" s="16" t="n">
        <f aca="false">L67+M67+N67</f>
        <v>0.0310055233851952</v>
      </c>
      <c r="P67" s="21" t="n">
        <f aca="false">P66*(1+O67)</f>
        <v>2.03568687088602</v>
      </c>
      <c r="Q67" s="21" t="n">
        <f aca="false">MAX($P$5:P67)</f>
        <v>2.03568687088602</v>
      </c>
      <c r="R67" s="16" t="n">
        <f aca="false">P67/Q67-1</f>
        <v>0</v>
      </c>
      <c r="S67" s="16" t="n">
        <f aca="false">O67-Benchmark_RF!D67</f>
        <v>0.0252277129520913</v>
      </c>
    </row>
    <row r="68" customFormat="false" ht="15" hidden="false" customHeight="true" outlineLevel="0" collapsed="false">
      <c r="A68" s="1" t="n">
        <v>71</v>
      </c>
      <c r="B68" s="13" t="n">
        <f aca="false">Returns!A72</f>
        <v>44136</v>
      </c>
      <c r="C68" s="17" t="n">
        <f aca="false">IF(Rankings!C71&lt;=5,1,0)</f>
        <v>0</v>
      </c>
      <c r="D68" s="17" t="n">
        <f aca="false">IF(Rankings!D71&lt;=5,1,0)</f>
        <v>1</v>
      </c>
      <c r="E68" s="17" t="n">
        <f aca="false">IF(Rankings!E71&lt;=5,1,0)</f>
        <v>0</v>
      </c>
      <c r="F68" s="17" t="n">
        <f aca="false">IF(Rankings!F71&lt;=5,1,0)</f>
        <v>1</v>
      </c>
      <c r="G68" s="17" t="n">
        <f aca="false">IF(Rankings!G71&lt;=5,1,0)</f>
        <v>1</v>
      </c>
      <c r="H68" s="17" t="n">
        <f aca="false">IF(Rankings!H71&lt;=5,1,0)</f>
        <v>0</v>
      </c>
      <c r="I68" s="17" t="n">
        <f aca="false">IF(Rankings!I71&lt;=5,1,0)</f>
        <v>1</v>
      </c>
      <c r="J68" s="17" t="n">
        <f aca="false">IF(Rankings!J71&lt;=5,1,0)</f>
        <v>1</v>
      </c>
      <c r="K68" s="20" t="n">
        <f aca="false">SUM(C68:J68)</f>
        <v>5</v>
      </c>
      <c r="L68" s="16" t="n">
        <f aca="false">SUMPRODUCT(C68:J68,Returns!B72:I72)/K68</f>
        <v>0.0384307721658424</v>
      </c>
      <c r="M68" s="16" t="n">
        <v>0</v>
      </c>
      <c r="N68" s="16" t="n">
        <v>0</v>
      </c>
      <c r="O68" s="16" t="n">
        <f aca="false">L68+M68+N68</f>
        <v>0.0384307721658424</v>
      </c>
      <c r="P68" s="21" t="n">
        <f aca="false">P67*(1+O68)</f>
        <v>2.11391988922204</v>
      </c>
      <c r="Q68" s="21" t="n">
        <f aca="false">MAX($P$5:P68)</f>
        <v>2.11391988922204</v>
      </c>
      <c r="R68" s="16" t="n">
        <f aca="false">P68/Q68-1</f>
        <v>0</v>
      </c>
      <c r="S68" s="16" t="n">
        <f aca="false">O68-Benchmark_RF!D68</f>
        <v>0.0326668852601309</v>
      </c>
    </row>
    <row r="69" customFormat="false" ht="15" hidden="false" customHeight="true" outlineLevel="0" collapsed="false">
      <c r="A69" s="1" t="n">
        <v>72</v>
      </c>
      <c r="B69" s="13" t="n">
        <f aca="false">Returns!A73</f>
        <v>44166</v>
      </c>
      <c r="C69" s="17" t="n">
        <f aca="false">IF(Rankings!C71&lt;=5,1,0)</f>
        <v>0</v>
      </c>
      <c r="D69" s="17" t="n">
        <f aca="false">IF(Rankings!D71&lt;=5,1,0)</f>
        <v>1</v>
      </c>
      <c r="E69" s="17" t="n">
        <f aca="false">IF(Rankings!E71&lt;=5,1,0)</f>
        <v>0</v>
      </c>
      <c r="F69" s="17" t="n">
        <f aca="false">IF(Rankings!F71&lt;=5,1,0)</f>
        <v>1</v>
      </c>
      <c r="G69" s="17" t="n">
        <f aca="false">IF(Rankings!G71&lt;=5,1,0)</f>
        <v>1</v>
      </c>
      <c r="H69" s="17" t="n">
        <f aca="false">IF(Rankings!H71&lt;=5,1,0)</f>
        <v>0</v>
      </c>
      <c r="I69" s="17" t="n">
        <f aca="false">IF(Rankings!I71&lt;=5,1,0)</f>
        <v>1</v>
      </c>
      <c r="J69" s="17" t="n">
        <f aca="false">IF(Rankings!J71&lt;=5,1,0)</f>
        <v>1</v>
      </c>
      <c r="K69" s="20" t="n">
        <f aca="false">SUM(C69:J69)</f>
        <v>5</v>
      </c>
      <c r="L69" s="16" t="n">
        <f aca="false">SUMPRODUCT(C69:J69,Returns!B73:I73)/K69</f>
        <v>0.0804466459845079</v>
      </c>
      <c r="M69" s="16" t="n">
        <v>0</v>
      </c>
      <c r="N69" s="16" t="n">
        <v>0</v>
      </c>
      <c r="O69" s="16" t="n">
        <f aca="false">L69+M69+N69</f>
        <v>0.0804466459845079</v>
      </c>
      <c r="P69" s="21" t="n">
        <f aca="false">P68*(1+O69)</f>
        <v>2.28397765418989</v>
      </c>
      <c r="Q69" s="21" t="n">
        <f aca="false">MAX($P$5:P69)</f>
        <v>2.28397765418989</v>
      </c>
      <c r="R69" s="16" t="n">
        <f aca="false">P69/Q69-1</f>
        <v>0</v>
      </c>
      <c r="S69" s="16" t="n">
        <f aca="false">O69-Benchmark_RF!D69</f>
        <v>0.0747071694793094</v>
      </c>
    </row>
    <row r="70" customFormat="false" ht="15" hidden="false" customHeight="true" outlineLevel="0" collapsed="false">
      <c r="A70" s="1" t="n">
        <v>73</v>
      </c>
      <c r="B70" s="13" t="n">
        <f aca="false">Returns!A74</f>
        <v>44197</v>
      </c>
      <c r="C70" s="17" t="n">
        <f aca="false">IF(Rankings!C71&lt;=5,1,0)</f>
        <v>0</v>
      </c>
      <c r="D70" s="17" t="n">
        <f aca="false">IF(Rankings!D71&lt;=5,1,0)</f>
        <v>1</v>
      </c>
      <c r="E70" s="17" t="n">
        <f aca="false">IF(Rankings!E71&lt;=5,1,0)</f>
        <v>0</v>
      </c>
      <c r="F70" s="17" t="n">
        <f aca="false">IF(Rankings!F71&lt;=5,1,0)</f>
        <v>1</v>
      </c>
      <c r="G70" s="17" t="n">
        <f aca="false">IF(Rankings!G71&lt;=5,1,0)</f>
        <v>1</v>
      </c>
      <c r="H70" s="17" t="n">
        <f aca="false">IF(Rankings!H71&lt;=5,1,0)</f>
        <v>0</v>
      </c>
      <c r="I70" s="17" t="n">
        <f aca="false">IF(Rankings!I71&lt;=5,1,0)</f>
        <v>1</v>
      </c>
      <c r="J70" s="17" t="n">
        <f aca="false">IF(Rankings!J71&lt;=5,1,0)</f>
        <v>1</v>
      </c>
      <c r="K70" s="20" t="n">
        <f aca="false">SUM(C70:J70)</f>
        <v>5</v>
      </c>
      <c r="L70" s="16" t="n">
        <f aca="false">SUMPRODUCT(C70:J70,Returns!B74:I74)/K70</f>
        <v>0.0437497851929253</v>
      </c>
      <c r="M70" s="16" t="n">
        <v>0</v>
      </c>
      <c r="N70" s="16" t="n">
        <v>0</v>
      </c>
      <c r="O70" s="16" t="n">
        <f aca="false">L70+M70+N70</f>
        <v>0.0437497851929253</v>
      </c>
      <c r="P70" s="21" t="n">
        <f aca="false">P69*(1+O70)</f>
        <v>2.38390118594614</v>
      </c>
      <c r="Q70" s="21" t="n">
        <f aca="false">MAX($P$5:P70)</f>
        <v>2.38390118594614</v>
      </c>
      <c r="R70" s="16" t="n">
        <f aca="false">P70/Q70-1</f>
        <v>0</v>
      </c>
      <c r="S70" s="16" t="n">
        <f aca="false">O70-Benchmark_RF!D70</f>
        <v>0.0379769025074416</v>
      </c>
    </row>
    <row r="71" customFormat="false" ht="15" hidden="false" customHeight="true" outlineLevel="0" collapsed="false">
      <c r="A71" s="1" t="n">
        <v>74</v>
      </c>
      <c r="B71" s="13" t="n">
        <f aca="false">Returns!A75</f>
        <v>44228</v>
      </c>
      <c r="C71" s="17" t="n">
        <f aca="false">IF(Rankings!C71&lt;=5,1,0)</f>
        <v>0</v>
      </c>
      <c r="D71" s="17" t="n">
        <f aca="false">IF(Rankings!D71&lt;=5,1,0)</f>
        <v>1</v>
      </c>
      <c r="E71" s="17" t="n">
        <f aca="false">IF(Rankings!E71&lt;=5,1,0)</f>
        <v>0</v>
      </c>
      <c r="F71" s="17" t="n">
        <f aca="false">IF(Rankings!F71&lt;=5,1,0)</f>
        <v>1</v>
      </c>
      <c r="G71" s="17" t="n">
        <f aca="false">IF(Rankings!G71&lt;=5,1,0)</f>
        <v>1</v>
      </c>
      <c r="H71" s="17" t="n">
        <f aca="false">IF(Rankings!H71&lt;=5,1,0)</f>
        <v>0</v>
      </c>
      <c r="I71" s="17" t="n">
        <f aca="false">IF(Rankings!I71&lt;=5,1,0)</f>
        <v>1</v>
      </c>
      <c r="J71" s="17" t="n">
        <f aca="false">IF(Rankings!J71&lt;=5,1,0)</f>
        <v>1</v>
      </c>
      <c r="K71" s="20" t="n">
        <f aca="false">SUM(C71:J71)</f>
        <v>5</v>
      </c>
      <c r="L71" s="16" t="n">
        <f aca="false">SUMPRODUCT(C71:J71,Returns!B75:I75)/K71</f>
        <v>0.053054130700348</v>
      </c>
      <c r="M71" s="16" t="n">
        <v>0</v>
      </c>
      <c r="N71" s="16" t="n">
        <v>0</v>
      </c>
      <c r="O71" s="16" t="n">
        <f aca="false">L71+M71+N71</f>
        <v>0.053054130700348</v>
      </c>
      <c r="P71" s="21" t="n">
        <f aca="false">P70*(1+O71)</f>
        <v>2.51037699104204</v>
      </c>
      <c r="Q71" s="21" t="n">
        <f aca="false">MAX($P$5:P71)</f>
        <v>2.51037699104204</v>
      </c>
      <c r="R71" s="16" t="n">
        <f aca="false">P71/Q71-1</f>
        <v>0</v>
      </c>
      <c r="S71" s="16" t="n">
        <f aca="false">O71-Benchmark_RF!D71</f>
        <v>0.0472508253705835</v>
      </c>
    </row>
    <row r="72" customFormat="false" ht="15" hidden="false" customHeight="true" outlineLevel="0" collapsed="false">
      <c r="A72" s="1" t="n">
        <v>75</v>
      </c>
      <c r="B72" s="13" t="n">
        <f aca="false">Returns!A76</f>
        <v>44256</v>
      </c>
      <c r="C72" s="17" t="n">
        <f aca="false">IF(Rankings!C71&lt;=5,1,0)</f>
        <v>0</v>
      </c>
      <c r="D72" s="17" t="n">
        <f aca="false">IF(Rankings!D71&lt;=5,1,0)</f>
        <v>1</v>
      </c>
      <c r="E72" s="17" t="n">
        <f aca="false">IF(Rankings!E71&lt;=5,1,0)</f>
        <v>0</v>
      </c>
      <c r="F72" s="17" t="n">
        <f aca="false">IF(Rankings!F71&lt;=5,1,0)</f>
        <v>1</v>
      </c>
      <c r="G72" s="17" t="n">
        <f aca="false">IF(Rankings!G71&lt;=5,1,0)</f>
        <v>1</v>
      </c>
      <c r="H72" s="17" t="n">
        <f aca="false">IF(Rankings!H71&lt;=5,1,0)</f>
        <v>0</v>
      </c>
      <c r="I72" s="17" t="n">
        <f aca="false">IF(Rankings!I71&lt;=5,1,0)</f>
        <v>1</v>
      </c>
      <c r="J72" s="17" t="n">
        <f aca="false">IF(Rankings!J71&lt;=5,1,0)</f>
        <v>1</v>
      </c>
      <c r="K72" s="20" t="n">
        <f aca="false">SUM(C72:J72)</f>
        <v>5</v>
      </c>
      <c r="L72" s="16" t="n">
        <f aca="false">SUMPRODUCT(C72:J72,Returns!B76:I76)/K72</f>
        <v>-0.0334929368159815</v>
      </c>
      <c r="M72" s="16" t="n">
        <v>0</v>
      </c>
      <c r="N72" s="16" t="n">
        <v>0</v>
      </c>
      <c r="O72" s="16" t="n">
        <f aca="false">L72+M72+N72</f>
        <v>-0.0334929368159815</v>
      </c>
      <c r="P72" s="21" t="n">
        <f aca="false">P71*(1+O72)</f>
        <v>2.42629709309678</v>
      </c>
      <c r="Q72" s="21" t="n">
        <f aca="false">MAX($P$5:P72)</f>
        <v>2.51037699104204</v>
      </c>
      <c r="R72" s="16" t="n">
        <f aca="false">P72/Q72-1</f>
        <v>-0.0334929368159814</v>
      </c>
      <c r="S72" s="16" t="n">
        <f aca="false">O72-Benchmark_RF!D72</f>
        <v>-0.0394830918866515</v>
      </c>
    </row>
    <row r="73" customFormat="false" ht="15" hidden="false" customHeight="true" outlineLevel="0" collapsed="false">
      <c r="A73" s="1" t="n">
        <v>76</v>
      </c>
      <c r="B73" s="13" t="n">
        <f aca="false">Returns!A77</f>
        <v>44287</v>
      </c>
      <c r="C73" s="17" t="n">
        <f aca="false">IF(Rankings!C71&lt;=5,1,0)</f>
        <v>0</v>
      </c>
      <c r="D73" s="17" t="n">
        <f aca="false">IF(Rankings!D71&lt;=5,1,0)</f>
        <v>1</v>
      </c>
      <c r="E73" s="17" t="n">
        <f aca="false">IF(Rankings!E71&lt;=5,1,0)</f>
        <v>0</v>
      </c>
      <c r="F73" s="17" t="n">
        <f aca="false">IF(Rankings!F71&lt;=5,1,0)</f>
        <v>1</v>
      </c>
      <c r="G73" s="17" t="n">
        <f aca="false">IF(Rankings!G71&lt;=5,1,0)</f>
        <v>1</v>
      </c>
      <c r="H73" s="17" t="n">
        <f aca="false">IF(Rankings!H71&lt;=5,1,0)</f>
        <v>0</v>
      </c>
      <c r="I73" s="17" t="n">
        <f aca="false">IF(Rankings!I71&lt;=5,1,0)</f>
        <v>1</v>
      </c>
      <c r="J73" s="17" t="n">
        <f aca="false">IF(Rankings!J71&lt;=5,1,0)</f>
        <v>1</v>
      </c>
      <c r="K73" s="20" t="n">
        <f aca="false">SUM(C73:J73)</f>
        <v>5</v>
      </c>
      <c r="L73" s="16" t="n">
        <f aca="false">SUMPRODUCT(C73:J73,Returns!B77:I77)/K73</f>
        <v>-0.0415750884580529</v>
      </c>
      <c r="M73" s="16" t="n">
        <v>0</v>
      </c>
      <c r="N73" s="16" t="n">
        <v>0</v>
      </c>
      <c r="O73" s="16" t="n">
        <f aca="false">L73+M73+N73</f>
        <v>-0.0415750884580529</v>
      </c>
      <c r="P73" s="21" t="n">
        <f aca="false">P72*(1+O73)</f>
        <v>2.32542357682576</v>
      </c>
      <c r="Q73" s="21" t="n">
        <f aca="false">MAX($P$5:P73)</f>
        <v>2.51037699104204</v>
      </c>
      <c r="R73" s="16" t="n">
        <f aca="false">P73/Q73-1</f>
        <v>-0.07367555346319</v>
      </c>
      <c r="S73" s="16" t="n">
        <f aca="false">O73-Benchmark_RF!D73</f>
        <v>-0.047523485436679</v>
      </c>
    </row>
    <row r="74" customFormat="false" ht="15" hidden="false" customHeight="true" outlineLevel="0" collapsed="false">
      <c r="A74" s="1" t="n">
        <v>77</v>
      </c>
      <c r="B74" s="13" t="n">
        <f aca="false">Returns!A78</f>
        <v>44317</v>
      </c>
      <c r="C74" s="17" t="n">
        <f aca="false">IF(Rankings!C71&lt;=5,1,0)</f>
        <v>0</v>
      </c>
      <c r="D74" s="17" t="n">
        <f aca="false">IF(Rankings!D71&lt;=5,1,0)</f>
        <v>1</v>
      </c>
      <c r="E74" s="17" t="n">
        <f aca="false">IF(Rankings!E71&lt;=5,1,0)</f>
        <v>0</v>
      </c>
      <c r="F74" s="17" t="n">
        <f aca="false">IF(Rankings!F71&lt;=5,1,0)</f>
        <v>1</v>
      </c>
      <c r="G74" s="17" t="n">
        <f aca="false">IF(Rankings!G71&lt;=5,1,0)</f>
        <v>1</v>
      </c>
      <c r="H74" s="17" t="n">
        <f aca="false">IF(Rankings!H71&lt;=5,1,0)</f>
        <v>0</v>
      </c>
      <c r="I74" s="17" t="n">
        <f aca="false">IF(Rankings!I71&lt;=5,1,0)</f>
        <v>1</v>
      </c>
      <c r="J74" s="17" t="n">
        <f aca="false">IF(Rankings!J71&lt;=5,1,0)</f>
        <v>1</v>
      </c>
      <c r="K74" s="20" t="n">
        <f aca="false">SUM(C74:J74)</f>
        <v>5</v>
      </c>
      <c r="L74" s="16" t="n">
        <f aca="false">SUMPRODUCT(C74:J74,Returns!B78:I78)/K74</f>
        <v>0.0590253313967808</v>
      </c>
      <c r="M74" s="16" t="n">
        <v>0</v>
      </c>
      <c r="N74" s="16" t="n">
        <v>0</v>
      </c>
      <c r="O74" s="16" t="n">
        <f aca="false">L74+M74+N74</f>
        <v>0.0590253313967808</v>
      </c>
      <c r="P74" s="21" t="n">
        <f aca="false">P73*(1+O74)</f>
        <v>2.46268247408579</v>
      </c>
      <c r="Q74" s="21" t="n">
        <f aca="false">MAX($P$5:P74)</f>
        <v>2.51037699104204</v>
      </c>
      <c r="R74" s="16" t="n">
        <f aca="false">P74/Q74-1</f>
        <v>-0.0189989460254152</v>
      </c>
      <c r="S74" s="16" t="n">
        <f aca="false">O74-Benchmark_RF!D74</f>
        <v>0.0531037164631223</v>
      </c>
    </row>
    <row r="75" customFormat="false" ht="15" hidden="false" customHeight="true" outlineLevel="0" collapsed="false">
      <c r="A75" s="1" t="n">
        <v>78</v>
      </c>
      <c r="B75" s="13" t="n">
        <f aca="false">Returns!A79</f>
        <v>44348</v>
      </c>
      <c r="C75" s="17" t="n">
        <f aca="false">IF(Rankings!C71&lt;=5,1,0)</f>
        <v>0</v>
      </c>
      <c r="D75" s="17" t="n">
        <f aca="false">IF(Rankings!D71&lt;=5,1,0)</f>
        <v>1</v>
      </c>
      <c r="E75" s="17" t="n">
        <f aca="false">IF(Rankings!E71&lt;=5,1,0)</f>
        <v>0</v>
      </c>
      <c r="F75" s="17" t="n">
        <f aca="false">IF(Rankings!F71&lt;=5,1,0)</f>
        <v>1</v>
      </c>
      <c r="G75" s="17" t="n">
        <f aca="false">IF(Rankings!G71&lt;=5,1,0)</f>
        <v>1</v>
      </c>
      <c r="H75" s="17" t="n">
        <f aca="false">IF(Rankings!H71&lt;=5,1,0)</f>
        <v>0</v>
      </c>
      <c r="I75" s="17" t="n">
        <f aca="false">IF(Rankings!I71&lt;=5,1,0)</f>
        <v>1</v>
      </c>
      <c r="J75" s="17" t="n">
        <f aca="false">IF(Rankings!J71&lt;=5,1,0)</f>
        <v>1</v>
      </c>
      <c r="K75" s="20" t="n">
        <f aca="false">SUM(C75:J75)</f>
        <v>5</v>
      </c>
      <c r="L75" s="16" t="n">
        <f aca="false">SUMPRODUCT(C75:J75,Returns!B79:I79)/K75</f>
        <v>-0.0261667639245335</v>
      </c>
      <c r="M75" s="16" t="n">
        <v>0</v>
      </c>
      <c r="N75" s="16" t="n">
        <v>0</v>
      </c>
      <c r="O75" s="16" t="n">
        <f aca="false">L75+M75+N75</f>
        <v>-0.0261667639245335</v>
      </c>
      <c r="P75" s="21" t="n">
        <f aca="false">P74*(1+O75)</f>
        <v>2.3982420431653</v>
      </c>
      <c r="Q75" s="21" t="n">
        <f aca="false">MAX($P$5:P75)</f>
        <v>2.51037699104204</v>
      </c>
      <c r="R75" s="16" t="n">
        <f aca="false">P75/Q75-1</f>
        <v>-0.0446685690144867</v>
      </c>
      <c r="S75" s="16" t="n">
        <f aca="false">O75-Benchmark_RF!D75</f>
        <v>-0.0320519020603411</v>
      </c>
    </row>
    <row r="76" customFormat="false" ht="15" hidden="false" customHeight="true" outlineLevel="0" collapsed="false">
      <c r="A76" s="1" t="n">
        <v>79</v>
      </c>
      <c r="B76" s="13" t="n">
        <f aca="false">Returns!A80</f>
        <v>44378</v>
      </c>
      <c r="C76" s="17" t="n">
        <f aca="false">IF(Rankings!C71&lt;=5,1,0)</f>
        <v>0</v>
      </c>
      <c r="D76" s="17" t="n">
        <f aca="false">IF(Rankings!D71&lt;=5,1,0)</f>
        <v>1</v>
      </c>
      <c r="E76" s="17" t="n">
        <f aca="false">IF(Rankings!E71&lt;=5,1,0)</f>
        <v>0</v>
      </c>
      <c r="F76" s="17" t="n">
        <f aca="false">IF(Rankings!F71&lt;=5,1,0)</f>
        <v>1</v>
      </c>
      <c r="G76" s="17" t="n">
        <f aca="false">IF(Rankings!G71&lt;=5,1,0)</f>
        <v>1</v>
      </c>
      <c r="H76" s="17" t="n">
        <f aca="false">IF(Rankings!H71&lt;=5,1,0)</f>
        <v>0</v>
      </c>
      <c r="I76" s="17" t="n">
        <f aca="false">IF(Rankings!I71&lt;=5,1,0)</f>
        <v>1</v>
      </c>
      <c r="J76" s="17" t="n">
        <f aca="false">IF(Rankings!J71&lt;=5,1,0)</f>
        <v>1</v>
      </c>
      <c r="K76" s="20" t="n">
        <f aca="false">SUM(C76:J76)</f>
        <v>5</v>
      </c>
      <c r="L76" s="16" t="n">
        <f aca="false">SUMPRODUCT(C76:J76,Returns!B80:I80)/K76</f>
        <v>0.010859417871733</v>
      </c>
      <c r="M76" s="16" t="n">
        <v>0</v>
      </c>
      <c r="N76" s="16" t="n">
        <v>0</v>
      </c>
      <c r="O76" s="16" t="n">
        <f aca="false">L76+M76+N76</f>
        <v>0.010859417871733</v>
      </c>
      <c r="P76" s="21" t="n">
        <f aca="false">P75*(1+O76)</f>
        <v>2.42428555566959</v>
      </c>
      <c r="Q76" s="21" t="n">
        <f aca="false">MAX($P$5:P76)</f>
        <v>2.51037699104204</v>
      </c>
      <c r="R76" s="16" t="n">
        <f aca="false">P76/Q76-1</f>
        <v>-0.0342942257994143</v>
      </c>
      <c r="S76" s="16" t="n">
        <f aca="false">O76-Benchmark_RF!D76</f>
        <v>0.00502335499758029</v>
      </c>
    </row>
    <row r="77" customFormat="false" ht="15" hidden="false" customHeight="true" outlineLevel="0" collapsed="false">
      <c r="A77" s="1" t="n">
        <v>80</v>
      </c>
      <c r="B77" s="13" t="n">
        <f aca="false">Returns!A81</f>
        <v>44409</v>
      </c>
      <c r="C77" s="17" t="n">
        <f aca="false">IF(Rankings!C83&lt;=5,1,0)</f>
        <v>1</v>
      </c>
      <c r="D77" s="17" t="n">
        <f aca="false">IF(Rankings!D83&lt;=5,1,0)</f>
        <v>1</v>
      </c>
      <c r="E77" s="17" t="n">
        <f aca="false">IF(Rankings!E83&lt;=5,1,0)</f>
        <v>0</v>
      </c>
      <c r="F77" s="17" t="n">
        <f aca="false">IF(Rankings!F83&lt;=5,1,0)</f>
        <v>1</v>
      </c>
      <c r="G77" s="17" t="n">
        <f aca="false">IF(Rankings!G83&lt;=5,1,0)</f>
        <v>0</v>
      </c>
      <c r="H77" s="17" t="n">
        <f aca="false">IF(Rankings!H83&lt;=5,1,0)</f>
        <v>0</v>
      </c>
      <c r="I77" s="17" t="n">
        <f aca="false">IF(Rankings!I83&lt;=5,1,0)</f>
        <v>1</v>
      </c>
      <c r="J77" s="17" t="n">
        <f aca="false">IF(Rankings!J83&lt;=5,1,0)</f>
        <v>1</v>
      </c>
      <c r="K77" s="20" t="n">
        <f aca="false">SUM(C77:J77)</f>
        <v>5</v>
      </c>
      <c r="L77" s="16" t="n">
        <f aca="false">SUMPRODUCT(C77:J77,Returns!B81:I81)/K77</f>
        <v>0.0589502242984571</v>
      </c>
      <c r="M77" s="16" t="n">
        <f aca="false">-2*Assumptions!$B$13</f>
        <v>-0.007</v>
      </c>
      <c r="N77" s="16" t="n">
        <f aca="false">-Assumptions!$B$16*MAX(0,(1+O65)*(1+O66)*(1+O67)*(1+O68)*(1+O69)*(1+O70)*(1+O71)*(1+O72)*(1+O73)*(1+O74)*(1+O75)*(1+O76)-1)</f>
        <v>-0.0409130786832193</v>
      </c>
      <c r="O77" s="16" t="n">
        <f aca="false">L77+M77+N77</f>
        <v>0.0110371456152378</v>
      </c>
      <c r="P77" s="21" t="n">
        <f aca="false">P76*(1+O77)</f>
        <v>2.45104274836044</v>
      </c>
      <c r="Q77" s="21" t="n">
        <f aca="false">MAX($P$5:P77)</f>
        <v>2.51037699104204</v>
      </c>
      <c r="R77" s="16" t="n">
        <f aca="false">P77/Q77-1</f>
        <v>-0.0236355905480865</v>
      </c>
      <c r="S77" s="16" t="n">
        <f aca="false">O77-Benchmark_RF!D77</f>
        <v>0.00520358409672615</v>
      </c>
    </row>
    <row r="78" customFormat="false" ht="15" hidden="false" customHeight="true" outlineLevel="0" collapsed="false">
      <c r="A78" s="1" t="n">
        <v>81</v>
      </c>
      <c r="B78" s="13" t="n">
        <f aca="false">Returns!A82</f>
        <v>44440</v>
      </c>
      <c r="C78" s="17" t="n">
        <f aca="false">IF(Rankings!C83&lt;=5,1,0)</f>
        <v>1</v>
      </c>
      <c r="D78" s="17" t="n">
        <f aca="false">IF(Rankings!D83&lt;=5,1,0)</f>
        <v>1</v>
      </c>
      <c r="E78" s="17" t="n">
        <f aca="false">IF(Rankings!E83&lt;=5,1,0)</f>
        <v>0</v>
      </c>
      <c r="F78" s="17" t="n">
        <f aca="false">IF(Rankings!F83&lt;=5,1,0)</f>
        <v>1</v>
      </c>
      <c r="G78" s="17" t="n">
        <f aca="false">IF(Rankings!G83&lt;=5,1,0)</f>
        <v>0</v>
      </c>
      <c r="H78" s="17" t="n">
        <f aca="false">IF(Rankings!H83&lt;=5,1,0)</f>
        <v>0</v>
      </c>
      <c r="I78" s="17" t="n">
        <f aca="false">IF(Rankings!I83&lt;=5,1,0)</f>
        <v>1</v>
      </c>
      <c r="J78" s="17" t="n">
        <f aca="false">IF(Rankings!J83&lt;=5,1,0)</f>
        <v>1</v>
      </c>
      <c r="K78" s="20" t="n">
        <f aca="false">SUM(C78:J78)</f>
        <v>5</v>
      </c>
      <c r="L78" s="16" t="n">
        <f aca="false">SUMPRODUCT(C78:J78,Returns!B82:I82)/K78</f>
        <v>-0.063052416433259</v>
      </c>
      <c r="M78" s="16" t="n">
        <v>0</v>
      </c>
      <c r="N78" s="16" t="n">
        <v>0</v>
      </c>
      <c r="O78" s="16" t="n">
        <f aca="false">L78+M78+N78</f>
        <v>-0.063052416433259</v>
      </c>
      <c r="P78" s="21" t="n">
        <f aca="false">P77*(1+O78)</f>
        <v>2.29649858029509</v>
      </c>
      <c r="Q78" s="21" t="n">
        <f aca="false">MAX($P$5:P78)</f>
        <v>2.51037699104204</v>
      </c>
      <c r="R78" s="16" t="n">
        <f aca="false">P78/Q78-1</f>
        <v>-0.0851977258834614</v>
      </c>
      <c r="S78" s="16" t="n">
        <f aca="false">O78-Benchmark_RF!D78</f>
        <v>-0.0691527681082424</v>
      </c>
    </row>
    <row r="79" customFormat="false" ht="15" hidden="false" customHeight="true" outlineLevel="0" collapsed="false">
      <c r="A79" s="1" t="n">
        <v>82</v>
      </c>
      <c r="B79" s="13" t="n">
        <f aca="false">Returns!A83</f>
        <v>44470</v>
      </c>
      <c r="C79" s="17" t="n">
        <f aca="false">IF(Rankings!C83&lt;=5,1,0)</f>
        <v>1</v>
      </c>
      <c r="D79" s="17" t="n">
        <f aca="false">IF(Rankings!D83&lt;=5,1,0)</f>
        <v>1</v>
      </c>
      <c r="E79" s="17" t="n">
        <f aca="false">IF(Rankings!E83&lt;=5,1,0)</f>
        <v>0</v>
      </c>
      <c r="F79" s="17" t="n">
        <f aca="false">IF(Rankings!F83&lt;=5,1,0)</f>
        <v>1</v>
      </c>
      <c r="G79" s="17" t="n">
        <f aca="false">IF(Rankings!G83&lt;=5,1,0)</f>
        <v>0</v>
      </c>
      <c r="H79" s="17" t="n">
        <f aca="false">IF(Rankings!H83&lt;=5,1,0)</f>
        <v>0</v>
      </c>
      <c r="I79" s="17" t="n">
        <f aca="false">IF(Rankings!I83&lt;=5,1,0)</f>
        <v>1</v>
      </c>
      <c r="J79" s="17" t="n">
        <f aca="false">IF(Rankings!J83&lt;=5,1,0)</f>
        <v>1</v>
      </c>
      <c r="K79" s="20" t="n">
        <f aca="false">SUM(C79:J79)</f>
        <v>5</v>
      </c>
      <c r="L79" s="16" t="n">
        <f aca="false">SUMPRODUCT(C79:J79,Returns!B83:I83)/K79</f>
        <v>0.0616728525756457</v>
      </c>
      <c r="M79" s="16" t="n">
        <v>0</v>
      </c>
      <c r="N79" s="16" t="n">
        <v>0</v>
      </c>
      <c r="O79" s="16" t="n">
        <f aca="false">L79+M79+N79</f>
        <v>0.0616728525756457</v>
      </c>
      <c r="P79" s="21" t="n">
        <f aca="false">P78*(1+O79)</f>
        <v>2.43813019867781</v>
      </c>
      <c r="Q79" s="21" t="n">
        <f aca="false">MAX($P$5:P79)</f>
        <v>2.51037699104204</v>
      </c>
      <c r="R79" s="16" t="n">
        <f aca="false">P79/Q79-1</f>
        <v>-0.0287792600960067</v>
      </c>
      <c r="S79" s="16" t="n">
        <f aca="false">O79-Benchmark_RF!D79</f>
        <v>0.0551031787166904</v>
      </c>
    </row>
    <row r="80" customFormat="false" ht="15" hidden="false" customHeight="true" outlineLevel="0" collapsed="false">
      <c r="A80" s="1" t="n">
        <v>83</v>
      </c>
      <c r="B80" s="13" t="n">
        <f aca="false">Returns!A84</f>
        <v>44501</v>
      </c>
      <c r="C80" s="17" t="n">
        <f aca="false">IF(Rankings!C83&lt;=5,1,0)</f>
        <v>1</v>
      </c>
      <c r="D80" s="17" t="n">
        <f aca="false">IF(Rankings!D83&lt;=5,1,0)</f>
        <v>1</v>
      </c>
      <c r="E80" s="17" t="n">
        <f aca="false">IF(Rankings!E83&lt;=5,1,0)</f>
        <v>0</v>
      </c>
      <c r="F80" s="17" t="n">
        <f aca="false">IF(Rankings!F83&lt;=5,1,0)</f>
        <v>1</v>
      </c>
      <c r="G80" s="17" t="n">
        <f aca="false">IF(Rankings!G83&lt;=5,1,0)</f>
        <v>0</v>
      </c>
      <c r="H80" s="17" t="n">
        <f aca="false">IF(Rankings!H83&lt;=5,1,0)</f>
        <v>0</v>
      </c>
      <c r="I80" s="17" t="n">
        <f aca="false">IF(Rankings!I83&lt;=5,1,0)</f>
        <v>1</v>
      </c>
      <c r="J80" s="17" t="n">
        <f aca="false">IF(Rankings!J83&lt;=5,1,0)</f>
        <v>1</v>
      </c>
      <c r="K80" s="20" t="n">
        <f aca="false">SUM(C80:J80)</f>
        <v>5</v>
      </c>
      <c r="L80" s="16" t="n">
        <f aca="false">SUMPRODUCT(C80:J80,Returns!B84:I84)/K80</f>
        <v>-0.0125610228067286</v>
      </c>
      <c r="M80" s="16" t="n">
        <v>0</v>
      </c>
      <c r="N80" s="16" t="n">
        <v>0</v>
      </c>
      <c r="O80" s="16" t="n">
        <f aca="false">L80+M80+N80</f>
        <v>-0.0125610228067286</v>
      </c>
      <c r="P80" s="21" t="n">
        <f aca="false">P79*(1+O80)</f>
        <v>2.40750478964645</v>
      </c>
      <c r="Q80" s="21" t="n">
        <f aca="false">MAX($P$5:P80)</f>
        <v>2.51037699104204</v>
      </c>
      <c r="R80" s="16" t="n">
        <f aca="false">P80/Q80-1</f>
        <v>-0.0409787859603086</v>
      </c>
      <c r="S80" s="16" t="n">
        <f aca="false">O80-Benchmark_RF!D80</f>
        <v>-0.019382748158916</v>
      </c>
    </row>
    <row r="81" customFormat="false" ht="15" hidden="false" customHeight="true" outlineLevel="0" collapsed="false">
      <c r="A81" s="1" t="n">
        <v>84</v>
      </c>
      <c r="B81" s="13" t="n">
        <f aca="false">Returns!A85</f>
        <v>44531</v>
      </c>
      <c r="C81" s="17" t="n">
        <f aca="false">IF(Rankings!C83&lt;=5,1,0)</f>
        <v>1</v>
      </c>
      <c r="D81" s="17" t="n">
        <f aca="false">IF(Rankings!D83&lt;=5,1,0)</f>
        <v>1</v>
      </c>
      <c r="E81" s="17" t="n">
        <f aca="false">IF(Rankings!E83&lt;=5,1,0)</f>
        <v>0</v>
      </c>
      <c r="F81" s="17" t="n">
        <f aca="false">IF(Rankings!F83&lt;=5,1,0)</f>
        <v>1</v>
      </c>
      <c r="G81" s="17" t="n">
        <f aca="false">IF(Rankings!G83&lt;=5,1,0)</f>
        <v>0</v>
      </c>
      <c r="H81" s="17" t="n">
        <f aca="false">IF(Rankings!H83&lt;=5,1,0)</f>
        <v>0</v>
      </c>
      <c r="I81" s="17" t="n">
        <f aca="false">IF(Rankings!I83&lt;=5,1,0)</f>
        <v>1</v>
      </c>
      <c r="J81" s="17" t="n">
        <f aca="false">IF(Rankings!J83&lt;=5,1,0)</f>
        <v>1</v>
      </c>
      <c r="K81" s="20" t="n">
        <f aca="false">SUM(C81:J81)</f>
        <v>5</v>
      </c>
      <c r="L81" s="16" t="n">
        <f aca="false">SUMPRODUCT(C81:J81,Returns!B85:I85)/K81</f>
        <v>-0.038104002770979</v>
      </c>
      <c r="M81" s="16" t="n">
        <v>0</v>
      </c>
      <c r="N81" s="16" t="n">
        <v>0</v>
      </c>
      <c r="O81" s="16" t="n">
        <f aca="false">L81+M81+N81</f>
        <v>-0.038104002770979</v>
      </c>
      <c r="P81" s="21" t="n">
        <f aca="false">P80*(1+O81)</f>
        <v>2.31576922047061</v>
      </c>
      <c r="Q81" s="21" t="n">
        <f aca="false">MAX($P$5:P81)</f>
        <v>2.51037699104204</v>
      </c>
      <c r="R81" s="16" t="n">
        <f aca="false">P81/Q81-1</f>
        <v>-0.0775213329575046</v>
      </c>
      <c r="S81" s="16" t="n">
        <f aca="false">O81-Benchmark_RF!D81</f>
        <v>-0.0463734157823418</v>
      </c>
    </row>
    <row r="82" customFormat="false" ht="15" hidden="false" customHeight="true" outlineLevel="0" collapsed="false">
      <c r="A82" s="1" t="n">
        <v>85</v>
      </c>
      <c r="B82" s="13" t="n">
        <f aca="false">Returns!A86</f>
        <v>44562</v>
      </c>
      <c r="C82" s="17" t="n">
        <f aca="false">IF(Rankings!C83&lt;=5,1,0)</f>
        <v>1</v>
      </c>
      <c r="D82" s="17" t="n">
        <f aca="false">IF(Rankings!D83&lt;=5,1,0)</f>
        <v>1</v>
      </c>
      <c r="E82" s="17" t="n">
        <f aca="false">IF(Rankings!E83&lt;=5,1,0)</f>
        <v>0</v>
      </c>
      <c r="F82" s="17" t="n">
        <f aca="false">IF(Rankings!F83&lt;=5,1,0)</f>
        <v>1</v>
      </c>
      <c r="G82" s="17" t="n">
        <f aca="false">IF(Rankings!G83&lt;=5,1,0)</f>
        <v>0</v>
      </c>
      <c r="H82" s="17" t="n">
        <f aca="false">IF(Rankings!H83&lt;=5,1,0)</f>
        <v>0</v>
      </c>
      <c r="I82" s="17" t="n">
        <f aca="false">IF(Rankings!I83&lt;=5,1,0)</f>
        <v>1</v>
      </c>
      <c r="J82" s="17" t="n">
        <f aca="false">IF(Rankings!J83&lt;=5,1,0)</f>
        <v>1</v>
      </c>
      <c r="K82" s="20" t="n">
        <f aca="false">SUM(C82:J82)</f>
        <v>5</v>
      </c>
      <c r="L82" s="16" t="n">
        <f aca="false">SUMPRODUCT(C82:J82,Returns!B86:I86)/K82</f>
        <v>0.0122328948715876</v>
      </c>
      <c r="M82" s="16" t="n">
        <v>0</v>
      </c>
      <c r="N82" s="16" t="n">
        <v>0</v>
      </c>
      <c r="O82" s="16" t="n">
        <f aca="false">L82+M82+N82</f>
        <v>0.0122328948715876</v>
      </c>
      <c r="P82" s="21" t="n">
        <f aca="false">P81*(1+O82)</f>
        <v>2.34409778189149</v>
      </c>
      <c r="Q82" s="21" t="n">
        <f aca="false">MAX($P$5:P82)</f>
        <v>2.51037699104204</v>
      </c>
      <c r="R82" s="16" t="n">
        <f aca="false">P82/Q82-1</f>
        <v>-0.0662367484022916</v>
      </c>
      <c r="S82" s="16" t="n">
        <f aca="false">O82-Benchmark_RF!D82</f>
        <v>0.00410387119955229</v>
      </c>
    </row>
    <row r="83" customFormat="false" ht="15" hidden="false" customHeight="true" outlineLevel="0" collapsed="false">
      <c r="A83" s="1" t="n">
        <v>86</v>
      </c>
      <c r="B83" s="13" t="n">
        <f aca="false">Returns!A87</f>
        <v>44593</v>
      </c>
      <c r="C83" s="17" t="n">
        <f aca="false">IF(Rankings!C83&lt;=5,1,0)</f>
        <v>1</v>
      </c>
      <c r="D83" s="17" t="n">
        <f aca="false">IF(Rankings!D83&lt;=5,1,0)</f>
        <v>1</v>
      </c>
      <c r="E83" s="17" t="n">
        <f aca="false">IF(Rankings!E83&lt;=5,1,0)</f>
        <v>0</v>
      </c>
      <c r="F83" s="17" t="n">
        <f aca="false">IF(Rankings!F83&lt;=5,1,0)</f>
        <v>1</v>
      </c>
      <c r="G83" s="17" t="n">
        <f aca="false">IF(Rankings!G83&lt;=5,1,0)</f>
        <v>0</v>
      </c>
      <c r="H83" s="17" t="n">
        <f aca="false">IF(Rankings!H83&lt;=5,1,0)</f>
        <v>0</v>
      </c>
      <c r="I83" s="17" t="n">
        <f aca="false">IF(Rankings!I83&lt;=5,1,0)</f>
        <v>1</v>
      </c>
      <c r="J83" s="17" t="n">
        <f aca="false">IF(Rankings!J83&lt;=5,1,0)</f>
        <v>1</v>
      </c>
      <c r="K83" s="20" t="n">
        <f aca="false">SUM(C83:J83)</f>
        <v>5</v>
      </c>
      <c r="L83" s="16" t="n">
        <f aca="false">SUMPRODUCT(C83:J83,Returns!B87:I87)/K83</f>
        <v>-0.00453235859725825</v>
      </c>
      <c r="M83" s="16" t="n">
        <v>0</v>
      </c>
      <c r="N83" s="16" t="n">
        <v>0</v>
      </c>
      <c r="O83" s="16" t="n">
        <f aca="false">L83+M83+N83</f>
        <v>-0.00453235859725825</v>
      </c>
      <c r="P83" s="21" t="n">
        <f aca="false">P82*(1+O83)</f>
        <v>2.33347349015692</v>
      </c>
      <c r="Q83" s="21" t="n">
        <f aca="false">MAX($P$5:P83)</f>
        <v>2.51037699104204</v>
      </c>
      <c r="R83" s="16" t="n">
        <f aca="false">P83/Q83-1</f>
        <v>-0.0704688983034743</v>
      </c>
      <c r="S83" s="16" t="n">
        <f aca="false">O83-Benchmark_RF!D83</f>
        <v>-0.0127989552715508</v>
      </c>
    </row>
    <row r="84" customFormat="false" ht="15" hidden="false" customHeight="true" outlineLevel="0" collapsed="false">
      <c r="A84" s="1" t="n">
        <v>87</v>
      </c>
      <c r="B84" s="13" t="n">
        <f aca="false">Returns!A88</f>
        <v>44621</v>
      </c>
      <c r="C84" s="17" t="n">
        <f aca="false">IF(Rankings!C83&lt;=5,1,0)</f>
        <v>1</v>
      </c>
      <c r="D84" s="17" t="n">
        <f aca="false">IF(Rankings!D83&lt;=5,1,0)</f>
        <v>1</v>
      </c>
      <c r="E84" s="17" t="n">
        <f aca="false">IF(Rankings!E83&lt;=5,1,0)</f>
        <v>0</v>
      </c>
      <c r="F84" s="17" t="n">
        <f aca="false">IF(Rankings!F83&lt;=5,1,0)</f>
        <v>1</v>
      </c>
      <c r="G84" s="17" t="n">
        <f aca="false">IF(Rankings!G83&lt;=5,1,0)</f>
        <v>0</v>
      </c>
      <c r="H84" s="17" t="n">
        <f aca="false">IF(Rankings!H83&lt;=5,1,0)</f>
        <v>0</v>
      </c>
      <c r="I84" s="17" t="n">
        <f aca="false">IF(Rankings!I83&lt;=5,1,0)</f>
        <v>1</v>
      </c>
      <c r="J84" s="17" t="n">
        <f aca="false">IF(Rankings!J83&lt;=5,1,0)</f>
        <v>1</v>
      </c>
      <c r="K84" s="20" t="n">
        <f aca="false">SUM(C84:J84)</f>
        <v>5</v>
      </c>
      <c r="L84" s="16" t="n">
        <f aca="false">SUMPRODUCT(C84:J84,Returns!B88:I88)/K84</f>
        <v>-0.0623435117503871</v>
      </c>
      <c r="M84" s="16" t="n">
        <v>0</v>
      </c>
      <c r="N84" s="16" t="n">
        <v>0</v>
      </c>
      <c r="O84" s="16" t="n">
        <f aca="false">L84+M84+N84</f>
        <v>-0.0623435117503871</v>
      </c>
      <c r="P84" s="21" t="n">
        <f aca="false">P83*(1+O84)</f>
        <v>2.1879965582041</v>
      </c>
      <c r="Q84" s="21" t="n">
        <f aca="false">MAX($P$5:P84)</f>
        <v>2.51037699104204</v>
      </c>
      <c r="R84" s="16" t="n">
        <f aca="false">P84/Q84-1</f>
        <v>-0.128419131464442</v>
      </c>
      <c r="S84" s="16" t="n">
        <f aca="false">O84-Benchmark_RF!D84</f>
        <v>-0.0716447869568767</v>
      </c>
    </row>
    <row r="85" customFormat="false" ht="15" hidden="false" customHeight="true" outlineLevel="0" collapsed="false">
      <c r="A85" s="1" t="n">
        <v>88</v>
      </c>
      <c r="B85" s="13" t="n">
        <f aca="false">Returns!A89</f>
        <v>44652</v>
      </c>
      <c r="C85" s="17" t="n">
        <f aca="false">IF(Rankings!C83&lt;=5,1,0)</f>
        <v>1</v>
      </c>
      <c r="D85" s="17" t="n">
        <f aca="false">IF(Rankings!D83&lt;=5,1,0)</f>
        <v>1</v>
      </c>
      <c r="E85" s="17" t="n">
        <f aca="false">IF(Rankings!E83&lt;=5,1,0)</f>
        <v>0</v>
      </c>
      <c r="F85" s="17" t="n">
        <f aca="false">IF(Rankings!F83&lt;=5,1,0)</f>
        <v>1</v>
      </c>
      <c r="G85" s="17" t="n">
        <f aca="false">IF(Rankings!G83&lt;=5,1,0)</f>
        <v>0</v>
      </c>
      <c r="H85" s="17" t="n">
        <f aca="false">IF(Rankings!H83&lt;=5,1,0)</f>
        <v>0</v>
      </c>
      <c r="I85" s="17" t="n">
        <f aca="false">IF(Rankings!I83&lt;=5,1,0)</f>
        <v>1</v>
      </c>
      <c r="J85" s="17" t="n">
        <f aca="false">IF(Rankings!J83&lt;=5,1,0)</f>
        <v>1</v>
      </c>
      <c r="K85" s="20" t="n">
        <f aca="false">SUM(C85:J85)</f>
        <v>5</v>
      </c>
      <c r="L85" s="16" t="n">
        <f aca="false">SUMPRODUCT(C85:J85,Returns!B89:I89)/K85</f>
        <v>0.0198244986378295</v>
      </c>
      <c r="M85" s="16" t="n">
        <v>0</v>
      </c>
      <c r="N85" s="16" t="n">
        <v>0</v>
      </c>
      <c r="O85" s="16" t="n">
        <f aca="false">L85+M85+N85</f>
        <v>0.0198244986378295</v>
      </c>
      <c r="P85" s="21" t="n">
        <f aca="false">P84*(1+O85)</f>
        <v>2.2313724929918</v>
      </c>
      <c r="Q85" s="21" t="n">
        <f aca="false">MAX($P$5:P85)</f>
        <v>2.51037699104204</v>
      </c>
      <c r="R85" s="16" t="n">
        <f aca="false">P85/Q85-1</f>
        <v>-0.1111404777234</v>
      </c>
      <c r="S85" s="16" t="n">
        <f aca="false">O85-Benchmark_RF!D85</f>
        <v>0.00870268373047882</v>
      </c>
    </row>
    <row r="86" customFormat="false" ht="15" hidden="false" customHeight="true" outlineLevel="0" collapsed="false">
      <c r="A86" s="1" t="n">
        <v>89</v>
      </c>
      <c r="B86" s="13" t="n">
        <f aca="false">Returns!A90</f>
        <v>44682</v>
      </c>
      <c r="C86" s="17" t="n">
        <f aca="false">IF(Rankings!C83&lt;=5,1,0)</f>
        <v>1</v>
      </c>
      <c r="D86" s="17" t="n">
        <f aca="false">IF(Rankings!D83&lt;=5,1,0)</f>
        <v>1</v>
      </c>
      <c r="E86" s="17" t="n">
        <f aca="false">IF(Rankings!E83&lt;=5,1,0)</f>
        <v>0</v>
      </c>
      <c r="F86" s="17" t="n">
        <f aca="false">IF(Rankings!F83&lt;=5,1,0)</f>
        <v>1</v>
      </c>
      <c r="G86" s="17" t="n">
        <f aca="false">IF(Rankings!G83&lt;=5,1,0)</f>
        <v>0</v>
      </c>
      <c r="H86" s="17" t="n">
        <f aca="false">IF(Rankings!H83&lt;=5,1,0)</f>
        <v>0</v>
      </c>
      <c r="I86" s="17" t="n">
        <f aca="false">IF(Rankings!I83&lt;=5,1,0)</f>
        <v>1</v>
      </c>
      <c r="J86" s="17" t="n">
        <f aca="false">IF(Rankings!J83&lt;=5,1,0)</f>
        <v>1</v>
      </c>
      <c r="K86" s="20" t="n">
        <f aca="false">SUM(C86:J86)</f>
        <v>5</v>
      </c>
      <c r="L86" s="16" t="n">
        <f aca="false">SUMPRODUCT(C86:J86,Returns!B90:I90)/K86</f>
        <v>-0.0803598831838178</v>
      </c>
      <c r="M86" s="16" t="n">
        <v>0</v>
      </c>
      <c r="N86" s="16" t="n">
        <v>0</v>
      </c>
      <c r="O86" s="16" t="n">
        <f aca="false">L86+M86+N86</f>
        <v>-0.0803598831838178</v>
      </c>
      <c r="P86" s="21" t="n">
        <f aca="false">P85*(1+O86)</f>
        <v>2.05205966011539</v>
      </c>
      <c r="Q86" s="21" t="n">
        <f aca="false">MAX($P$5:P86)</f>
        <v>2.51037699104204</v>
      </c>
      <c r="R86" s="16" t="n">
        <f aca="false">P86/Q86-1</f>
        <v>-0.182569125100372</v>
      </c>
      <c r="S86" s="16" t="n">
        <f aca="false">O86-Benchmark_RF!D86</f>
        <v>-0.0916504418009359</v>
      </c>
    </row>
    <row r="87" customFormat="false" ht="15" hidden="false" customHeight="true" outlineLevel="0" collapsed="false">
      <c r="A87" s="1" t="n">
        <v>90</v>
      </c>
      <c r="B87" s="13" t="n">
        <f aca="false">Returns!A91</f>
        <v>44713</v>
      </c>
      <c r="C87" s="17" t="n">
        <f aca="false">IF(Rankings!C83&lt;=5,1,0)</f>
        <v>1</v>
      </c>
      <c r="D87" s="17" t="n">
        <f aca="false">IF(Rankings!D83&lt;=5,1,0)</f>
        <v>1</v>
      </c>
      <c r="E87" s="17" t="n">
        <f aca="false">IF(Rankings!E83&lt;=5,1,0)</f>
        <v>0</v>
      </c>
      <c r="F87" s="17" t="n">
        <f aca="false">IF(Rankings!F83&lt;=5,1,0)</f>
        <v>1</v>
      </c>
      <c r="G87" s="17" t="n">
        <f aca="false">IF(Rankings!G83&lt;=5,1,0)</f>
        <v>0</v>
      </c>
      <c r="H87" s="17" t="n">
        <f aca="false">IF(Rankings!H83&lt;=5,1,0)</f>
        <v>0</v>
      </c>
      <c r="I87" s="17" t="n">
        <f aca="false">IF(Rankings!I83&lt;=5,1,0)</f>
        <v>1</v>
      </c>
      <c r="J87" s="17" t="n">
        <f aca="false">IF(Rankings!J83&lt;=5,1,0)</f>
        <v>1</v>
      </c>
      <c r="K87" s="20" t="n">
        <f aca="false">SUM(C87:J87)</f>
        <v>5</v>
      </c>
      <c r="L87" s="16" t="n">
        <f aca="false">SUMPRODUCT(C87:J87,Returns!B91:I91)/K87</f>
        <v>-0.0483313963634815</v>
      </c>
      <c r="M87" s="16" t="n">
        <v>0</v>
      </c>
      <c r="N87" s="16" t="n">
        <v>0</v>
      </c>
      <c r="O87" s="16" t="n">
        <f aca="false">L87+M87+N87</f>
        <v>-0.0483313963634815</v>
      </c>
      <c r="P87" s="21" t="n">
        <f aca="false">P86*(1+O87)</f>
        <v>1.95288075132084</v>
      </c>
      <c r="Q87" s="21" t="n">
        <f aca="false">MAX($P$5:P87)</f>
        <v>2.51037699104204</v>
      </c>
      <c r="R87" s="16" t="n">
        <f aca="false">P87/Q87-1</f>
        <v>-0.222076700714893</v>
      </c>
      <c r="S87" s="16" t="n">
        <f aca="false">O87-Benchmark_RF!D87</f>
        <v>-0.0601049447317083</v>
      </c>
    </row>
    <row r="88" customFormat="false" ht="15" hidden="false" customHeight="true" outlineLevel="0" collapsed="false">
      <c r="A88" s="1" t="n">
        <v>91</v>
      </c>
      <c r="B88" s="13" t="n">
        <f aca="false">Returns!A92</f>
        <v>44743</v>
      </c>
      <c r="C88" s="17" t="n">
        <f aca="false">IF(Rankings!C83&lt;=5,1,0)</f>
        <v>1</v>
      </c>
      <c r="D88" s="17" t="n">
        <f aca="false">IF(Rankings!D83&lt;=5,1,0)</f>
        <v>1</v>
      </c>
      <c r="E88" s="17" t="n">
        <f aca="false">IF(Rankings!E83&lt;=5,1,0)</f>
        <v>0</v>
      </c>
      <c r="F88" s="17" t="n">
        <f aca="false">IF(Rankings!F83&lt;=5,1,0)</f>
        <v>1</v>
      </c>
      <c r="G88" s="17" t="n">
        <f aca="false">IF(Rankings!G83&lt;=5,1,0)</f>
        <v>0</v>
      </c>
      <c r="H88" s="17" t="n">
        <f aca="false">IF(Rankings!H83&lt;=5,1,0)</f>
        <v>0</v>
      </c>
      <c r="I88" s="17" t="n">
        <f aca="false">IF(Rankings!I83&lt;=5,1,0)</f>
        <v>1</v>
      </c>
      <c r="J88" s="17" t="n">
        <f aca="false">IF(Rankings!J83&lt;=5,1,0)</f>
        <v>1</v>
      </c>
      <c r="K88" s="20" t="n">
        <f aca="false">SUM(C88:J88)</f>
        <v>5</v>
      </c>
      <c r="L88" s="16" t="n">
        <f aca="false">SUMPRODUCT(C88:J88,Returns!B92:I92)/K88</f>
        <v>0.00302130538685181</v>
      </c>
      <c r="M88" s="16" t="n">
        <v>0</v>
      </c>
      <c r="N88" s="16" t="n">
        <v>0</v>
      </c>
      <c r="O88" s="16" t="n">
        <f aca="false">L88+M88+N88</f>
        <v>0.00302130538685181</v>
      </c>
      <c r="P88" s="21" t="n">
        <f aca="false">P87*(1+O88)</f>
        <v>1.95878100045469</v>
      </c>
      <c r="Q88" s="21" t="n">
        <f aca="false">MAX($P$5:P88)</f>
        <v>2.51037699104204</v>
      </c>
      <c r="R88" s="16" t="n">
        <f aca="false">P88/Q88-1</f>
        <v>-0.219726356860206</v>
      </c>
      <c r="S88" s="16" t="n">
        <f aca="false">O88-Benchmark_RF!D88</f>
        <v>-0.00915432573420787</v>
      </c>
    </row>
    <row r="89" customFormat="false" ht="15" hidden="false" customHeight="true" outlineLevel="0" collapsed="false">
      <c r="A89" s="1" t="n">
        <v>92</v>
      </c>
      <c r="B89" s="13" t="n">
        <f aca="false">Returns!A93</f>
        <v>44774</v>
      </c>
      <c r="C89" s="17" t="n">
        <f aca="false">IF(Rankings!C95&lt;=5,1,0)</f>
        <v>1</v>
      </c>
      <c r="D89" s="17" t="n">
        <f aca="false">IF(Rankings!D95&lt;=5,1,0)</f>
        <v>1</v>
      </c>
      <c r="E89" s="17" t="n">
        <f aca="false">IF(Rankings!E95&lt;=5,1,0)</f>
        <v>0</v>
      </c>
      <c r="F89" s="17" t="n">
        <f aca="false">IF(Rankings!F95&lt;=5,1,0)</f>
        <v>0</v>
      </c>
      <c r="G89" s="17" t="n">
        <f aca="false">IF(Rankings!G95&lt;=5,1,0)</f>
        <v>1</v>
      </c>
      <c r="H89" s="17" t="n">
        <f aca="false">IF(Rankings!H95&lt;=5,1,0)</f>
        <v>0</v>
      </c>
      <c r="I89" s="17" t="n">
        <f aca="false">IF(Rankings!I95&lt;=5,1,0)</f>
        <v>1</v>
      </c>
      <c r="J89" s="17" t="n">
        <f aca="false">IF(Rankings!J95&lt;=5,1,0)</f>
        <v>1</v>
      </c>
      <c r="K89" s="20" t="n">
        <f aca="false">SUM(C89:J89)</f>
        <v>5</v>
      </c>
      <c r="L89" s="16" t="n">
        <f aca="false">SUMPRODUCT(C89:J89,Returns!B93:I93)/K89</f>
        <v>0.0966265635663176</v>
      </c>
      <c r="M89" s="16" t="n">
        <f aca="false">-2*Assumptions!$B$13</f>
        <v>-0.007</v>
      </c>
      <c r="N89" s="16" t="n">
        <f aca="false">-Assumptions!$B$16*MAX(0,(1+O77)*(1+O78)*(1+O79)*(1+O80)*(1+O81)*(1+O82)*(1+O83)*(1+O84)*(1+O85)*(1+O86)*(1+O87)*(1+O88)-1)</f>
        <v>-0</v>
      </c>
      <c r="O89" s="16" t="n">
        <f aca="false">L89+M89+N89</f>
        <v>0.0896265635663176</v>
      </c>
      <c r="P89" s="21" t="n">
        <f aca="false">P88*(1+O89)</f>
        <v>2.13433981030444</v>
      </c>
      <c r="Q89" s="21" t="n">
        <f aca="false">MAX($P$5:P89)</f>
        <v>2.51037699104204</v>
      </c>
      <c r="R89" s="16" t="n">
        <f aca="false">P89/Q89-1</f>
        <v>-0.149793111584215</v>
      </c>
      <c r="S89" s="16" t="n">
        <f aca="false">O89-Benchmark_RF!D89</f>
        <v>0.0773780149031527</v>
      </c>
    </row>
    <row r="90" customFormat="false" ht="15" hidden="false" customHeight="true" outlineLevel="0" collapsed="false">
      <c r="A90" s="1" t="n">
        <v>93</v>
      </c>
      <c r="B90" s="13" t="n">
        <f aca="false">Returns!A94</f>
        <v>44805</v>
      </c>
      <c r="C90" s="17" t="n">
        <f aca="false">IF(Rankings!C95&lt;=5,1,0)</f>
        <v>1</v>
      </c>
      <c r="D90" s="17" t="n">
        <f aca="false">IF(Rankings!D95&lt;=5,1,0)</f>
        <v>1</v>
      </c>
      <c r="E90" s="17" t="n">
        <f aca="false">IF(Rankings!E95&lt;=5,1,0)</f>
        <v>0</v>
      </c>
      <c r="F90" s="17" t="n">
        <f aca="false">IF(Rankings!F95&lt;=5,1,0)</f>
        <v>0</v>
      </c>
      <c r="G90" s="17" t="n">
        <f aca="false">IF(Rankings!G95&lt;=5,1,0)</f>
        <v>1</v>
      </c>
      <c r="H90" s="17" t="n">
        <f aca="false">IF(Rankings!H95&lt;=5,1,0)</f>
        <v>0</v>
      </c>
      <c r="I90" s="17" t="n">
        <f aca="false">IF(Rankings!I95&lt;=5,1,0)</f>
        <v>1</v>
      </c>
      <c r="J90" s="17" t="n">
        <f aca="false">IF(Rankings!J95&lt;=5,1,0)</f>
        <v>1</v>
      </c>
      <c r="K90" s="20" t="n">
        <f aca="false">SUM(C90:J90)</f>
        <v>5</v>
      </c>
      <c r="L90" s="16" t="n">
        <f aca="false">SUMPRODUCT(C90:J90,Returns!B94:I94)/K90</f>
        <v>-0.0751125048508607</v>
      </c>
      <c r="M90" s="16" t="n">
        <v>0</v>
      </c>
      <c r="N90" s="16" t="n">
        <v>0</v>
      </c>
      <c r="O90" s="16" t="n">
        <f aca="false">L90+M90+N90</f>
        <v>-0.0751125048508607</v>
      </c>
      <c r="P90" s="21" t="n">
        <f aca="false">P89*(1+O90)</f>
        <v>1.97402420094956</v>
      </c>
      <c r="Q90" s="21" t="n">
        <f aca="false">MAX($P$5:P90)</f>
        <v>2.51037699104204</v>
      </c>
      <c r="R90" s="16" t="n">
        <f aca="false">P90/Q90-1</f>
        <v>-0.213654280614581</v>
      </c>
      <c r="S90" s="16" t="n">
        <f aca="false">O90-Benchmark_RF!D90</f>
        <v>-0.0875358202454143</v>
      </c>
    </row>
    <row r="91" customFormat="false" ht="15" hidden="false" customHeight="true" outlineLevel="0" collapsed="false">
      <c r="A91" s="1" t="n">
        <v>94</v>
      </c>
      <c r="B91" s="13" t="n">
        <f aca="false">Returns!A95</f>
        <v>44835</v>
      </c>
      <c r="C91" s="17" t="n">
        <f aca="false">IF(Rankings!C95&lt;=5,1,0)</f>
        <v>1</v>
      </c>
      <c r="D91" s="17" t="n">
        <f aca="false">IF(Rankings!D95&lt;=5,1,0)</f>
        <v>1</v>
      </c>
      <c r="E91" s="17" t="n">
        <f aca="false">IF(Rankings!E95&lt;=5,1,0)</f>
        <v>0</v>
      </c>
      <c r="F91" s="17" t="n">
        <f aca="false">IF(Rankings!F95&lt;=5,1,0)</f>
        <v>0</v>
      </c>
      <c r="G91" s="17" t="n">
        <f aca="false">IF(Rankings!G95&lt;=5,1,0)</f>
        <v>1</v>
      </c>
      <c r="H91" s="17" t="n">
        <f aca="false">IF(Rankings!H95&lt;=5,1,0)</f>
        <v>0</v>
      </c>
      <c r="I91" s="17" t="n">
        <f aca="false">IF(Rankings!I95&lt;=5,1,0)</f>
        <v>1</v>
      </c>
      <c r="J91" s="17" t="n">
        <f aca="false">IF(Rankings!J95&lt;=5,1,0)</f>
        <v>1</v>
      </c>
      <c r="K91" s="20" t="n">
        <f aca="false">SUM(C91:J91)</f>
        <v>5</v>
      </c>
      <c r="L91" s="16" t="n">
        <f aca="false">SUMPRODUCT(C91:J91,Returns!B95:I95)/K91</f>
        <v>-0.0389792119326343</v>
      </c>
      <c r="M91" s="16" t="n">
        <v>0</v>
      </c>
      <c r="N91" s="16" t="n">
        <v>0</v>
      </c>
      <c r="O91" s="16" t="n">
        <f aca="false">L91+M91+N91</f>
        <v>-0.0389792119326343</v>
      </c>
      <c r="P91" s="21" t="n">
        <f aca="false">P90*(1+O91)</f>
        <v>1.8970782932606</v>
      </c>
      <c r="Q91" s="21" t="n">
        <f aca="false">MAX($P$5:P91)</f>
        <v>2.51037699104204</v>
      </c>
      <c r="R91" s="16" t="n">
        <f aca="false">P91/Q91-1</f>
        <v>-0.244305417062825</v>
      </c>
      <c r="S91" s="16" t="n">
        <f aca="false">O91-Benchmark_RF!D91</f>
        <v>-0.0511840170046415</v>
      </c>
    </row>
    <row r="92" customFormat="false" ht="15" hidden="false" customHeight="true" outlineLevel="0" collapsed="false">
      <c r="A92" s="1" t="n">
        <v>95</v>
      </c>
      <c r="B92" s="13" t="n">
        <f aca="false">Returns!A96</f>
        <v>44866</v>
      </c>
      <c r="C92" s="17" t="n">
        <f aca="false">IF(Rankings!C95&lt;=5,1,0)</f>
        <v>1</v>
      </c>
      <c r="D92" s="17" t="n">
        <f aca="false">IF(Rankings!D95&lt;=5,1,0)</f>
        <v>1</v>
      </c>
      <c r="E92" s="17" t="n">
        <f aca="false">IF(Rankings!E95&lt;=5,1,0)</f>
        <v>0</v>
      </c>
      <c r="F92" s="17" t="n">
        <f aca="false">IF(Rankings!F95&lt;=5,1,0)</f>
        <v>0</v>
      </c>
      <c r="G92" s="17" t="n">
        <f aca="false">IF(Rankings!G95&lt;=5,1,0)</f>
        <v>1</v>
      </c>
      <c r="H92" s="17" t="n">
        <f aca="false">IF(Rankings!H95&lt;=5,1,0)</f>
        <v>0</v>
      </c>
      <c r="I92" s="17" t="n">
        <f aca="false">IF(Rankings!I95&lt;=5,1,0)</f>
        <v>1</v>
      </c>
      <c r="J92" s="17" t="n">
        <f aca="false">IF(Rankings!J95&lt;=5,1,0)</f>
        <v>1</v>
      </c>
      <c r="K92" s="20" t="n">
        <f aca="false">SUM(C92:J92)</f>
        <v>5</v>
      </c>
      <c r="L92" s="16" t="n">
        <f aca="false">SUMPRODUCT(C92:J92,Returns!B96:I96)/K92</f>
        <v>0.0342299451547016</v>
      </c>
      <c r="M92" s="16" t="n">
        <v>0</v>
      </c>
      <c r="N92" s="16" t="n">
        <v>0</v>
      </c>
      <c r="O92" s="16" t="n">
        <f aca="false">L92+M92+N92</f>
        <v>0.0342299451547016</v>
      </c>
      <c r="P92" s="21" t="n">
        <f aca="false">P91*(1+O92)</f>
        <v>1.96201517919308</v>
      </c>
      <c r="Q92" s="21" t="n">
        <f aca="false">MAX($P$5:P92)</f>
        <v>2.51037699104204</v>
      </c>
      <c r="R92" s="16" t="n">
        <f aca="false">P92/Q92-1</f>
        <v>-0.21843803293518</v>
      </c>
      <c r="S92" s="16" t="n">
        <f aca="false">O92-Benchmark_RF!D92</f>
        <v>0.0211469704505698</v>
      </c>
    </row>
    <row r="93" customFormat="false" ht="15" hidden="false" customHeight="true" outlineLevel="0" collapsed="false">
      <c r="A93" s="1" t="n">
        <v>96</v>
      </c>
      <c r="B93" s="13" t="n">
        <f aca="false">Returns!A97</f>
        <v>44896</v>
      </c>
      <c r="C93" s="17" t="n">
        <f aca="false">IF(Rankings!C95&lt;=5,1,0)</f>
        <v>1</v>
      </c>
      <c r="D93" s="17" t="n">
        <f aca="false">IF(Rankings!D95&lt;=5,1,0)</f>
        <v>1</v>
      </c>
      <c r="E93" s="17" t="n">
        <f aca="false">IF(Rankings!E95&lt;=5,1,0)</f>
        <v>0</v>
      </c>
      <c r="F93" s="17" t="n">
        <f aca="false">IF(Rankings!F95&lt;=5,1,0)</f>
        <v>0</v>
      </c>
      <c r="G93" s="17" t="n">
        <f aca="false">IF(Rankings!G95&lt;=5,1,0)</f>
        <v>1</v>
      </c>
      <c r="H93" s="17" t="n">
        <f aca="false">IF(Rankings!H95&lt;=5,1,0)</f>
        <v>0</v>
      </c>
      <c r="I93" s="17" t="n">
        <f aca="false">IF(Rankings!I95&lt;=5,1,0)</f>
        <v>1</v>
      </c>
      <c r="J93" s="17" t="n">
        <f aca="false">IF(Rankings!J95&lt;=5,1,0)</f>
        <v>1</v>
      </c>
      <c r="K93" s="20" t="n">
        <f aca="false">SUM(C93:J93)</f>
        <v>5</v>
      </c>
      <c r="L93" s="16" t="n">
        <f aca="false">SUMPRODUCT(C93:J93,Returns!B97:I97)/K93</f>
        <v>-0.0557645223278885</v>
      </c>
      <c r="M93" s="16" t="n">
        <v>0</v>
      </c>
      <c r="N93" s="16" t="n">
        <v>0</v>
      </c>
      <c r="O93" s="16" t="n">
        <f aca="false">L93+M93+N93</f>
        <v>-0.0557645223278885</v>
      </c>
      <c r="P93" s="21" t="n">
        <f aca="false">P92*(1+O93)</f>
        <v>1.85260433992531</v>
      </c>
      <c r="Q93" s="21" t="n">
        <f aca="false">MAX($P$5:P93)</f>
        <v>2.51037699104204</v>
      </c>
      <c r="R93" s="16" t="n">
        <f aca="false">P93/Q93-1</f>
        <v>-0.262021462698195</v>
      </c>
      <c r="S93" s="16" t="n">
        <f aca="false">O93-Benchmark_RF!D93</f>
        <v>-0.0689052637042345</v>
      </c>
    </row>
    <row r="94" customFormat="false" ht="15" hidden="false" customHeight="true" outlineLevel="0" collapsed="false">
      <c r="A94" s="1" t="n">
        <v>97</v>
      </c>
      <c r="B94" s="13" t="n">
        <f aca="false">Returns!A98</f>
        <v>44927</v>
      </c>
      <c r="C94" s="17" t="n">
        <f aca="false">IF(Rankings!C95&lt;=5,1,0)</f>
        <v>1</v>
      </c>
      <c r="D94" s="17" t="n">
        <f aca="false">IF(Rankings!D95&lt;=5,1,0)</f>
        <v>1</v>
      </c>
      <c r="E94" s="17" t="n">
        <f aca="false">IF(Rankings!E95&lt;=5,1,0)</f>
        <v>0</v>
      </c>
      <c r="F94" s="17" t="n">
        <f aca="false">IF(Rankings!F95&lt;=5,1,0)</f>
        <v>0</v>
      </c>
      <c r="G94" s="17" t="n">
        <f aca="false">IF(Rankings!G95&lt;=5,1,0)</f>
        <v>1</v>
      </c>
      <c r="H94" s="17" t="n">
        <f aca="false">IF(Rankings!H95&lt;=5,1,0)</f>
        <v>0</v>
      </c>
      <c r="I94" s="17" t="n">
        <f aca="false">IF(Rankings!I95&lt;=5,1,0)</f>
        <v>1</v>
      </c>
      <c r="J94" s="17" t="n">
        <f aca="false">IF(Rankings!J95&lt;=5,1,0)</f>
        <v>1</v>
      </c>
      <c r="K94" s="20" t="n">
        <f aca="false">SUM(C94:J94)</f>
        <v>5</v>
      </c>
      <c r="L94" s="16" t="n">
        <f aca="false">SUMPRODUCT(C94:J94,Returns!B98:I98)/K94</f>
        <v>-0.0184238821815207</v>
      </c>
      <c r="M94" s="16" t="n">
        <v>0</v>
      </c>
      <c r="N94" s="16" t="n">
        <v>0</v>
      </c>
      <c r="O94" s="16" t="n">
        <f aca="false">L94+M94+N94</f>
        <v>-0.0184238821815207</v>
      </c>
      <c r="P94" s="21" t="n">
        <f aca="false">P93*(1+O94)</f>
        <v>1.81847217583756</v>
      </c>
      <c r="Q94" s="21" t="n">
        <f aca="false">MAX($P$5:P94)</f>
        <v>2.51037699104204</v>
      </c>
      <c r="R94" s="16" t="n">
        <f aca="false">P94/Q94-1</f>
        <v>-0.275617892321934</v>
      </c>
      <c r="S94" s="16" t="n">
        <f aca="false">O94-Benchmark_RF!D94</f>
        <v>-0.0321833382098503</v>
      </c>
    </row>
    <row r="95" customFormat="false" ht="15" hidden="false" customHeight="true" outlineLevel="0" collapsed="false">
      <c r="A95" s="1" t="n">
        <v>98</v>
      </c>
      <c r="B95" s="13" t="n">
        <f aca="false">Returns!A99</f>
        <v>44958</v>
      </c>
      <c r="C95" s="17" t="n">
        <f aca="false">IF(Rankings!C95&lt;=5,1,0)</f>
        <v>1</v>
      </c>
      <c r="D95" s="17" t="n">
        <f aca="false">IF(Rankings!D95&lt;=5,1,0)</f>
        <v>1</v>
      </c>
      <c r="E95" s="17" t="n">
        <f aca="false">IF(Rankings!E95&lt;=5,1,0)</f>
        <v>0</v>
      </c>
      <c r="F95" s="17" t="n">
        <f aca="false">IF(Rankings!F95&lt;=5,1,0)</f>
        <v>0</v>
      </c>
      <c r="G95" s="17" t="n">
        <f aca="false">IF(Rankings!G95&lt;=5,1,0)</f>
        <v>1</v>
      </c>
      <c r="H95" s="17" t="n">
        <f aca="false">IF(Rankings!H95&lt;=5,1,0)</f>
        <v>0</v>
      </c>
      <c r="I95" s="17" t="n">
        <f aca="false">IF(Rankings!I95&lt;=5,1,0)</f>
        <v>1</v>
      </c>
      <c r="J95" s="17" t="n">
        <f aca="false">IF(Rankings!J95&lt;=5,1,0)</f>
        <v>1</v>
      </c>
      <c r="K95" s="20" t="n">
        <f aca="false">SUM(C95:J95)</f>
        <v>5</v>
      </c>
      <c r="L95" s="16" t="n">
        <f aca="false">SUMPRODUCT(C95:J95,Returns!B99:I99)/K95</f>
        <v>0.000727494577323684</v>
      </c>
      <c r="M95" s="16" t="n">
        <v>0</v>
      </c>
      <c r="N95" s="16" t="n">
        <v>0</v>
      </c>
      <c r="O95" s="16" t="n">
        <f aca="false">L95+M95+N95</f>
        <v>0.000727494577323684</v>
      </c>
      <c r="P95" s="21" t="n">
        <f aca="false">P94*(1+O95)</f>
        <v>1.81979510448449</v>
      </c>
      <c r="Q95" s="21" t="n">
        <f aca="false">MAX($P$5:P95)</f>
        <v>2.51037699104204</v>
      </c>
      <c r="R95" s="16" t="n">
        <f aca="false">P95/Q95-1</f>
        <v>-0.275090908266688</v>
      </c>
      <c r="S95" s="16" t="n">
        <f aca="false">O95-Benchmark_RF!D95</f>
        <v>-0.0140658297254648</v>
      </c>
    </row>
    <row r="96" customFormat="false" ht="15" hidden="false" customHeight="true" outlineLevel="0" collapsed="false">
      <c r="A96" s="1" t="n">
        <v>99</v>
      </c>
      <c r="B96" s="13" t="n">
        <f aca="false">Returns!A100</f>
        <v>44986</v>
      </c>
      <c r="C96" s="17" t="n">
        <f aca="false">IF(Rankings!C95&lt;=5,1,0)</f>
        <v>1</v>
      </c>
      <c r="D96" s="17" t="n">
        <f aca="false">IF(Rankings!D95&lt;=5,1,0)</f>
        <v>1</v>
      </c>
      <c r="E96" s="17" t="n">
        <f aca="false">IF(Rankings!E95&lt;=5,1,0)</f>
        <v>0</v>
      </c>
      <c r="F96" s="17" t="n">
        <f aca="false">IF(Rankings!F95&lt;=5,1,0)</f>
        <v>0</v>
      </c>
      <c r="G96" s="17" t="n">
        <f aca="false">IF(Rankings!G95&lt;=5,1,0)</f>
        <v>1</v>
      </c>
      <c r="H96" s="17" t="n">
        <f aca="false">IF(Rankings!H95&lt;=5,1,0)</f>
        <v>0</v>
      </c>
      <c r="I96" s="17" t="n">
        <f aca="false">IF(Rankings!I95&lt;=5,1,0)</f>
        <v>1</v>
      </c>
      <c r="J96" s="17" t="n">
        <f aca="false">IF(Rankings!J95&lt;=5,1,0)</f>
        <v>1</v>
      </c>
      <c r="K96" s="20" t="n">
        <f aca="false">SUM(C96:J96)</f>
        <v>5</v>
      </c>
      <c r="L96" s="16" t="n">
        <f aca="false">SUMPRODUCT(C96:J96,Returns!B100:I100)/K96</f>
        <v>-0.0167341082222221</v>
      </c>
      <c r="M96" s="16" t="n">
        <v>0</v>
      </c>
      <c r="N96" s="16" t="n">
        <v>0</v>
      </c>
      <c r="O96" s="16" t="n">
        <f aca="false">L96+M96+N96</f>
        <v>-0.0167341082222221</v>
      </c>
      <c r="P96" s="21" t="n">
        <f aca="false">P95*(1+O96)</f>
        <v>1.78934245626378</v>
      </c>
      <c r="Q96" s="21" t="n">
        <f aca="false">MAX($P$5:P96)</f>
        <v>2.51037699104204</v>
      </c>
      <c r="R96" s="16" t="n">
        <f aca="false">P96/Q96-1</f>
        <v>-0.287221615459026</v>
      </c>
      <c r="S96" s="16" t="n">
        <f aca="false">O96-Benchmark_RF!D96</f>
        <v>-0.0327879504182999</v>
      </c>
    </row>
    <row r="97" customFormat="false" ht="15" hidden="false" customHeight="true" outlineLevel="0" collapsed="false">
      <c r="A97" s="1" t="n">
        <v>100</v>
      </c>
      <c r="B97" s="13" t="n">
        <f aca="false">Returns!A101</f>
        <v>45017</v>
      </c>
      <c r="C97" s="17" t="n">
        <f aca="false">IF(Rankings!C95&lt;=5,1,0)</f>
        <v>1</v>
      </c>
      <c r="D97" s="17" t="n">
        <f aca="false">IF(Rankings!D95&lt;=5,1,0)</f>
        <v>1</v>
      </c>
      <c r="E97" s="17" t="n">
        <f aca="false">IF(Rankings!E95&lt;=5,1,0)</f>
        <v>0</v>
      </c>
      <c r="F97" s="17" t="n">
        <f aca="false">IF(Rankings!F95&lt;=5,1,0)</f>
        <v>0</v>
      </c>
      <c r="G97" s="17" t="n">
        <f aca="false">IF(Rankings!G95&lt;=5,1,0)</f>
        <v>1</v>
      </c>
      <c r="H97" s="17" t="n">
        <f aca="false">IF(Rankings!H95&lt;=5,1,0)</f>
        <v>0</v>
      </c>
      <c r="I97" s="17" t="n">
        <f aca="false">IF(Rankings!I95&lt;=5,1,0)</f>
        <v>1</v>
      </c>
      <c r="J97" s="17" t="n">
        <f aca="false">IF(Rankings!J95&lt;=5,1,0)</f>
        <v>1</v>
      </c>
      <c r="K97" s="20" t="n">
        <f aca="false">SUM(C97:J97)</f>
        <v>5</v>
      </c>
      <c r="L97" s="16" t="n">
        <f aca="false">SUMPRODUCT(C97:J97,Returns!B101:I101)/K97</f>
        <v>0.0600806359270796</v>
      </c>
      <c r="M97" s="16" t="n">
        <v>0</v>
      </c>
      <c r="N97" s="16" t="n">
        <v>0</v>
      </c>
      <c r="O97" s="16" t="n">
        <f aca="false">L97+M97+N97</f>
        <v>0.0600806359270796</v>
      </c>
      <c r="P97" s="21" t="n">
        <f aca="false">P96*(1+O97)</f>
        <v>1.89684728892743</v>
      </c>
      <c r="Q97" s="21" t="n">
        <f aca="false">MAX($P$5:P97)</f>
        <v>2.51037699104204</v>
      </c>
      <c r="R97" s="16" t="n">
        <f aca="false">P97/Q97-1</f>
        <v>-0.244397436840728</v>
      </c>
      <c r="S97" s="16" t="n">
        <f aca="false">O97-Benchmark_RF!D97</f>
        <v>0.0433855625643878</v>
      </c>
    </row>
    <row r="98" customFormat="false" ht="15" hidden="false" customHeight="true" outlineLevel="0" collapsed="false">
      <c r="A98" s="1" t="n">
        <v>101</v>
      </c>
      <c r="B98" s="13" t="n">
        <f aca="false">Returns!A102</f>
        <v>45047</v>
      </c>
      <c r="C98" s="17" t="n">
        <f aca="false">IF(Rankings!C95&lt;=5,1,0)</f>
        <v>1</v>
      </c>
      <c r="D98" s="17" t="n">
        <f aca="false">IF(Rankings!D95&lt;=5,1,0)</f>
        <v>1</v>
      </c>
      <c r="E98" s="17" t="n">
        <f aca="false">IF(Rankings!E95&lt;=5,1,0)</f>
        <v>0</v>
      </c>
      <c r="F98" s="17" t="n">
        <f aca="false">IF(Rankings!F95&lt;=5,1,0)</f>
        <v>0</v>
      </c>
      <c r="G98" s="17" t="n">
        <f aca="false">IF(Rankings!G95&lt;=5,1,0)</f>
        <v>1</v>
      </c>
      <c r="H98" s="17" t="n">
        <f aca="false">IF(Rankings!H95&lt;=5,1,0)</f>
        <v>0</v>
      </c>
      <c r="I98" s="17" t="n">
        <f aca="false">IF(Rankings!I95&lt;=5,1,0)</f>
        <v>1</v>
      </c>
      <c r="J98" s="17" t="n">
        <f aca="false">IF(Rankings!J95&lt;=5,1,0)</f>
        <v>1</v>
      </c>
      <c r="K98" s="20" t="n">
        <f aca="false">SUM(C98:J98)</f>
        <v>5</v>
      </c>
      <c r="L98" s="16" t="n">
        <f aca="false">SUMPRODUCT(C98:J98,Returns!B102:I102)/K98</f>
        <v>-0.0143746504399145</v>
      </c>
      <c r="M98" s="16" t="n">
        <v>0</v>
      </c>
      <c r="N98" s="16" t="n">
        <v>0</v>
      </c>
      <c r="O98" s="16" t="n">
        <f aca="false">L98+M98+N98</f>
        <v>-0.0143746504399145</v>
      </c>
      <c r="P98" s="21" t="n">
        <f aca="false">P97*(1+O98)</f>
        <v>1.8695807722112</v>
      </c>
      <c r="Q98" s="21" t="n">
        <f aca="false">MAX($P$5:P98)</f>
        <v>2.51037699104204</v>
      </c>
      <c r="R98" s="16" t="n">
        <f aca="false">P98/Q98-1</f>
        <v>-0.255258959557646</v>
      </c>
      <c r="S98" s="16" t="n">
        <f aca="false">O98-Benchmark_RF!D98</f>
        <v>-0.0310697238026064</v>
      </c>
    </row>
    <row r="99" customFormat="false" ht="15" hidden="false" customHeight="true" outlineLevel="0" collapsed="false">
      <c r="A99" s="1" t="n">
        <v>102</v>
      </c>
      <c r="B99" s="13" t="n">
        <f aca="false">Returns!A103</f>
        <v>45078</v>
      </c>
      <c r="C99" s="17" t="n">
        <f aca="false">IF(Rankings!C95&lt;=5,1,0)</f>
        <v>1</v>
      </c>
      <c r="D99" s="17" t="n">
        <f aca="false">IF(Rankings!D95&lt;=5,1,0)</f>
        <v>1</v>
      </c>
      <c r="E99" s="17" t="n">
        <f aca="false">IF(Rankings!E95&lt;=5,1,0)</f>
        <v>0</v>
      </c>
      <c r="F99" s="17" t="n">
        <f aca="false">IF(Rankings!F95&lt;=5,1,0)</f>
        <v>0</v>
      </c>
      <c r="G99" s="17" t="n">
        <f aca="false">IF(Rankings!G95&lt;=5,1,0)</f>
        <v>1</v>
      </c>
      <c r="H99" s="17" t="n">
        <f aca="false">IF(Rankings!H95&lt;=5,1,0)</f>
        <v>0</v>
      </c>
      <c r="I99" s="17" t="n">
        <f aca="false">IF(Rankings!I95&lt;=5,1,0)</f>
        <v>1</v>
      </c>
      <c r="J99" s="17" t="n">
        <f aca="false">IF(Rankings!J95&lt;=5,1,0)</f>
        <v>1</v>
      </c>
      <c r="K99" s="20" t="n">
        <f aca="false">SUM(C99:J99)</f>
        <v>5</v>
      </c>
      <c r="L99" s="16" t="n">
        <f aca="false">SUMPRODUCT(C99:J99,Returns!B103:I103)/K99</f>
        <v>0.00845092538172829</v>
      </c>
      <c r="M99" s="16" t="n">
        <v>0</v>
      </c>
      <c r="N99" s="16" t="n">
        <v>0</v>
      </c>
      <c r="O99" s="16" t="n">
        <f aca="false">L99+M99+N99</f>
        <v>0.00845092538172829</v>
      </c>
      <c r="P99" s="21" t="n">
        <f aca="false">P98*(1+O99)</f>
        <v>1.88538045981227</v>
      </c>
      <c r="Q99" s="21" t="n">
        <f aca="false">MAX($P$5:P99)</f>
        <v>2.51037699104204</v>
      </c>
      <c r="R99" s="16" t="n">
        <f aca="false">P99/Q99-1</f>
        <v>-0.248965208596157</v>
      </c>
      <c r="S99" s="16" t="n">
        <f aca="false">O99-Benchmark_RF!D99</f>
        <v>-0.00825109349712463</v>
      </c>
    </row>
    <row r="100" customFormat="false" ht="15" hidden="false" customHeight="true" outlineLevel="0" collapsed="false">
      <c r="A100" s="1" t="n">
        <v>103</v>
      </c>
      <c r="B100" s="13" t="n">
        <f aca="false">Returns!A104</f>
        <v>45108</v>
      </c>
      <c r="C100" s="17" t="n">
        <f aca="false">IF(Rankings!C95&lt;=5,1,0)</f>
        <v>1</v>
      </c>
      <c r="D100" s="17" t="n">
        <f aca="false">IF(Rankings!D95&lt;=5,1,0)</f>
        <v>1</v>
      </c>
      <c r="E100" s="17" t="n">
        <f aca="false">IF(Rankings!E95&lt;=5,1,0)</f>
        <v>0</v>
      </c>
      <c r="F100" s="17" t="n">
        <f aca="false">IF(Rankings!F95&lt;=5,1,0)</f>
        <v>0</v>
      </c>
      <c r="G100" s="17" t="n">
        <f aca="false">IF(Rankings!G95&lt;=5,1,0)</f>
        <v>1</v>
      </c>
      <c r="H100" s="17" t="n">
        <f aca="false">IF(Rankings!H95&lt;=5,1,0)</f>
        <v>0</v>
      </c>
      <c r="I100" s="17" t="n">
        <f aca="false">IF(Rankings!I95&lt;=5,1,0)</f>
        <v>1</v>
      </c>
      <c r="J100" s="17" t="n">
        <f aca="false">IF(Rankings!J95&lt;=5,1,0)</f>
        <v>1</v>
      </c>
      <c r="K100" s="20" t="n">
        <f aca="false">SUM(C100:J100)</f>
        <v>5</v>
      </c>
      <c r="L100" s="16" t="n">
        <f aca="false">SUMPRODUCT(C100:J100,Returns!B104:I104)/K100</f>
        <v>0.269365474201106</v>
      </c>
      <c r="M100" s="16" t="n">
        <v>0</v>
      </c>
      <c r="N100" s="16" t="n">
        <v>0</v>
      </c>
      <c r="O100" s="16" t="n">
        <f aca="false">L100+M100+N100</f>
        <v>0.269365474201106</v>
      </c>
      <c r="P100" s="21" t="n">
        <f aca="false">P99*(1+O100)</f>
        <v>2.3932368614191</v>
      </c>
      <c r="Q100" s="21" t="n">
        <f aca="false">MAX($P$5:P100)</f>
        <v>2.51037699104204</v>
      </c>
      <c r="R100" s="16" t="n">
        <f aca="false">P100/Q100-1</f>
        <v>-0.0466623658681319</v>
      </c>
      <c r="S100" s="16" t="n">
        <f aca="false">O100-Benchmark_RF!D100</f>
        <v>0.252035381247312</v>
      </c>
    </row>
    <row r="101" customFormat="false" ht="15" hidden="false" customHeight="true" outlineLevel="0" collapsed="false">
      <c r="A101" s="1" t="n">
        <v>104</v>
      </c>
      <c r="B101" s="13" t="n">
        <f aca="false">Returns!A105</f>
        <v>45139</v>
      </c>
      <c r="C101" s="17" t="n">
        <f aca="false">IF(Rankings!C107&lt;=5,1,0)</f>
        <v>1</v>
      </c>
      <c r="D101" s="17" t="n">
        <f aca="false">IF(Rankings!D107&lt;=5,1,0)</f>
        <v>0</v>
      </c>
      <c r="E101" s="17" t="n">
        <f aca="false">IF(Rankings!E107&lt;=5,1,0)</f>
        <v>1</v>
      </c>
      <c r="F101" s="17" t="n">
        <f aca="false">IF(Rankings!F107&lt;=5,1,0)</f>
        <v>1</v>
      </c>
      <c r="G101" s="17" t="n">
        <f aca="false">IF(Rankings!G107&lt;=5,1,0)</f>
        <v>0</v>
      </c>
      <c r="H101" s="17" t="n">
        <f aca="false">IF(Rankings!H107&lt;=5,1,0)</f>
        <v>1</v>
      </c>
      <c r="I101" s="17" t="n">
        <f aca="false">IF(Rankings!I107&lt;=5,1,0)</f>
        <v>0</v>
      </c>
      <c r="J101" s="17" t="n">
        <f aca="false">IF(Rankings!J107&lt;=5,1,0)</f>
        <v>1</v>
      </c>
      <c r="K101" s="20" t="n">
        <f aca="false">SUM(C101:J101)</f>
        <v>5</v>
      </c>
      <c r="L101" s="16" t="n">
        <f aca="false">SUMPRODUCT(C101:J101,Returns!B105:I105)/K101</f>
        <v>-0.0524824040561681</v>
      </c>
      <c r="M101" s="16" t="n">
        <f aca="false">-2*Assumptions!$B$13</f>
        <v>-0.007</v>
      </c>
      <c r="N101" s="16" t="n">
        <f aca="false">-Assumptions!$B$16*MAX(0,(1+O89)*(1+O90)*(1+O91)*(1+O92)*(1+O93)*(1+O94)*(1+O95)*(1+O96)*(1+O97)*(1+O98)*(1+O99)*(1+O100)-1)</f>
        <v>-0.0332698648442751</v>
      </c>
      <c r="O101" s="16" t="n">
        <f aca="false">L101+M101+N101</f>
        <v>-0.0927522689004432</v>
      </c>
      <c r="P101" s="21" t="n">
        <f aca="false">P100*(1+O101)</f>
        <v>2.1712587125063</v>
      </c>
      <c r="Q101" s="21" t="n">
        <f aca="false">MAX($P$5:P101)</f>
        <v>2.51037699104204</v>
      </c>
      <c r="R101" s="16" t="n">
        <f aca="false">P101/Q101-1</f>
        <v>-0.135086594462043</v>
      </c>
      <c r="S101" s="16" t="n">
        <f aca="false">O101-Benchmark_RF!D101</f>
        <v>-0.110063458760168</v>
      </c>
    </row>
    <row r="102" customFormat="false" ht="15" hidden="false" customHeight="true" outlineLevel="0" collapsed="false">
      <c r="A102" s="1" t="n">
        <v>105</v>
      </c>
      <c r="B102" s="13" t="n">
        <f aca="false">Returns!A106</f>
        <v>45170</v>
      </c>
      <c r="C102" s="17" t="n">
        <f aca="false">IF(Rankings!C107&lt;=5,1,0)</f>
        <v>1</v>
      </c>
      <c r="D102" s="17" t="n">
        <f aca="false">IF(Rankings!D107&lt;=5,1,0)</f>
        <v>0</v>
      </c>
      <c r="E102" s="17" t="n">
        <f aca="false">IF(Rankings!E107&lt;=5,1,0)</f>
        <v>1</v>
      </c>
      <c r="F102" s="17" t="n">
        <f aca="false">IF(Rankings!F107&lt;=5,1,0)</f>
        <v>1</v>
      </c>
      <c r="G102" s="17" t="n">
        <f aca="false">IF(Rankings!G107&lt;=5,1,0)</f>
        <v>0</v>
      </c>
      <c r="H102" s="17" t="n">
        <f aca="false">IF(Rankings!H107&lt;=5,1,0)</f>
        <v>1</v>
      </c>
      <c r="I102" s="17" t="n">
        <f aca="false">IF(Rankings!I107&lt;=5,1,0)</f>
        <v>0</v>
      </c>
      <c r="J102" s="17" t="n">
        <f aca="false">IF(Rankings!J107&lt;=5,1,0)</f>
        <v>1</v>
      </c>
      <c r="K102" s="20" t="n">
        <f aca="false">SUM(C102:J102)</f>
        <v>5</v>
      </c>
      <c r="L102" s="16" t="n">
        <f aca="false">SUMPRODUCT(C102:J102,Returns!B106:I106)/K102</f>
        <v>-0.00592488042940298</v>
      </c>
      <c r="M102" s="16" t="n">
        <v>0</v>
      </c>
      <c r="N102" s="16" t="n">
        <v>0</v>
      </c>
      <c r="O102" s="16" t="n">
        <f aca="false">L102+M102+N102</f>
        <v>-0.00592488042940298</v>
      </c>
      <c r="P102" s="21" t="n">
        <f aca="false">P101*(1+O102)</f>
        <v>2.1583942642534</v>
      </c>
      <c r="Q102" s="21" t="n">
        <f aca="false">MAX($P$5:P102)</f>
        <v>2.51037699104204</v>
      </c>
      <c r="R102" s="16" t="n">
        <f aca="false">P102/Q102-1</f>
        <v>-0.140211102971643</v>
      </c>
      <c r="S102" s="16" t="n">
        <f aca="false">O102-Benchmark_RF!D102</f>
        <v>-0.0231576570936667</v>
      </c>
    </row>
    <row r="103" customFormat="false" ht="15" hidden="false" customHeight="true" outlineLevel="0" collapsed="false">
      <c r="A103" s="1" t="n">
        <v>106</v>
      </c>
      <c r="B103" s="13" t="n">
        <f aca="false">Returns!A107</f>
        <v>45200</v>
      </c>
      <c r="C103" s="17" t="n">
        <f aca="false">IF(Rankings!C107&lt;=5,1,0)</f>
        <v>1</v>
      </c>
      <c r="D103" s="17" t="n">
        <f aca="false">IF(Rankings!D107&lt;=5,1,0)</f>
        <v>0</v>
      </c>
      <c r="E103" s="17" t="n">
        <f aca="false">IF(Rankings!E107&lt;=5,1,0)</f>
        <v>1</v>
      </c>
      <c r="F103" s="17" t="n">
        <f aca="false">IF(Rankings!F107&lt;=5,1,0)</f>
        <v>1</v>
      </c>
      <c r="G103" s="17" t="n">
        <f aca="false">IF(Rankings!G107&lt;=5,1,0)</f>
        <v>0</v>
      </c>
      <c r="H103" s="17" t="n">
        <f aca="false">IF(Rankings!H107&lt;=5,1,0)</f>
        <v>1</v>
      </c>
      <c r="I103" s="17" t="n">
        <f aca="false">IF(Rankings!I107&lt;=5,1,0)</f>
        <v>0</v>
      </c>
      <c r="J103" s="17" t="n">
        <f aca="false">IF(Rankings!J107&lt;=5,1,0)</f>
        <v>1</v>
      </c>
      <c r="K103" s="20" t="n">
        <f aca="false">SUM(C103:J103)</f>
        <v>5</v>
      </c>
      <c r="L103" s="16" t="n">
        <f aca="false">SUMPRODUCT(C103:J103,Returns!B107:I107)/K103</f>
        <v>0.0963912968416424</v>
      </c>
      <c r="M103" s="16" t="n">
        <v>0</v>
      </c>
      <c r="N103" s="16" t="n">
        <v>0</v>
      </c>
      <c r="O103" s="16" t="n">
        <f aca="false">L103+M103+N103</f>
        <v>0.0963912968416424</v>
      </c>
      <c r="P103" s="21" t="n">
        <f aca="false">P102*(1+O103)</f>
        <v>2.36644468648035</v>
      </c>
      <c r="Q103" s="21" t="n">
        <f aca="false">MAX($P$5:P103)</f>
        <v>2.51037699104204</v>
      </c>
      <c r="R103" s="16" t="n">
        <f aca="false">P103/Q103-1</f>
        <v>-0.0573349361770348</v>
      </c>
      <c r="S103" s="16" t="n">
        <f aca="false">O103-Benchmark_RF!D103</f>
        <v>0.0795851578007834</v>
      </c>
    </row>
    <row r="104" customFormat="false" ht="15" hidden="false" customHeight="true" outlineLevel="0" collapsed="false">
      <c r="A104" s="1" t="n">
        <v>107</v>
      </c>
      <c r="B104" s="13" t="n">
        <f aca="false">Returns!A108</f>
        <v>45231</v>
      </c>
      <c r="C104" s="17" t="n">
        <f aca="false">IF(Rankings!C107&lt;=5,1,0)</f>
        <v>1</v>
      </c>
      <c r="D104" s="17" t="n">
        <f aca="false">IF(Rankings!D107&lt;=5,1,0)</f>
        <v>0</v>
      </c>
      <c r="E104" s="17" t="n">
        <f aca="false">IF(Rankings!E107&lt;=5,1,0)</f>
        <v>1</v>
      </c>
      <c r="F104" s="17" t="n">
        <f aca="false">IF(Rankings!F107&lt;=5,1,0)</f>
        <v>1</v>
      </c>
      <c r="G104" s="17" t="n">
        <f aca="false">IF(Rankings!G107&lt;=5,1,0)</f>
        <v>0</v>
      </c>
      <c r="H104" s="17" t="n">
        <f aca="false">IF(Rankings!H107&lt;=5,1,0)</f>
        <v>1</v>
      </c>
      <c r="I104" s="17" t="n">
        <f aca="false">IF(Rankings!I107&lt;=5,1,0)</f>
        <v>0</v>
      </c>
      <c r="J104" s="17" t="n">
        <f aca="false">IF(Rankings!J107&lt;=5,1,0)</f>
        <v>1</v>
      </c>
      <c r="K104" s="20" t="n">
        <f aca="false">SUM(C104:J104)</f>
        <v>5</v>
      </c>
      <c r="L104" s="16" t="n">
        <f aca="false">SUMPRODUCT(C104:J104,Returns!B108:I108)/K104</f>
        <v>0.103098786345741</v>
      </c>
      <c r="M104" s="16" t="n">
        <v>0</v>
      </c>
      <c r="N104" s="16" t="n">
        <v>0</v>
      </c>
      <c r="O104" s="16" t="n">
        <f aca="false">L104+M104+N104</f>
        <v>0.103098786345741</v>
      </c>
      <c r="P104" s="21" t="n">
        <f aca="false">P103*(1+O104)</f>
        <v>2.6104222616108</v>
      </c>
      <c r="Q104" s="21" t="n">
        <f aca="false">MAX($P$5:P104)</f>
        <v>2.6104222616108</v>
      </c>
      <c r="R104" s="16" t="n">
        <f aca="false">P104/Q104-1</f>
        <v>0</v>
      </c>
      <c r="S104" s="16" t="n">
        <f aca="false">O104-Benchmark_RF!D104</f>
        <v>0.0868493153064835</v>
      </c>
    </row>
    <row r="105" customFormat="false" ht="15" hidden="false" customHeight="true" outlineLevel="0" collapsed="false">
      <c r="A105" s="1" t="n">
        <v>108</v>
      </c>
      <c r="B105" s="13" t="n">
        <f aca="false">Returns!A109</f>
        <v>45261</v>
      </c>
      <c r="C105" s="17" t="n">
        <f aca="false">IF(Rankings!C107&lt;=5,1,0)</f>
        <v>1</v>
      </c>
      <c r="D105" s="17" t="n">
        <f aca="false">IF(Rankings!D107&lt;=5,1,0)</f>
        <v>0</v>
      </c>
      <c r="E105" s="17" t="n">
        <f aca="false">IF(Rankings!E107&lt;=5,1,0)</f>
        <v>1</v>
      </c>
      <c r="F105" s="17" t="n">
        <f aca="false">IF(Rankings!F107&lt;=5,1,0)</f>
        <v>1</v>
      </c>
      <c r="G105" s="17" t="n">
        <f aca="false">IF(Rankings!G107&lt;=5,1,0)</f>
        <v>0</v>
      </c>
      <c r="H105" s="17" t="n">
        <f aca="false">IF(Rankings!H107&lt;=5,1,0)</f>
        <v>1</v>
      </c>
      <c r="I105" s="17" t="n">
        <f aca="false">IF(Rankings!I107&lt;=5,1,0)</f>
        <v>0</v>
      </c>
      <c r="J105" s="17" t="n">
        <f aca="false">IF(Rankings!J107&lt;=5,1,0)</f>
        <v>1</v>
      </c>
      <c r="K105" s="20" t="n">
        <f aca="false">SUM(C105:J105)</f>
        <v>5</v>
      </c>
      <c r="L105" s="16" t="n">
        <f aca="false">SUMPRODUCT(C105:J105,Returns!B109:I109)/K105</f>
        <v>0.0807441598034165</v>
      </c>
      <c r="M105" s="16" t="n">
        <v>0</v>
      </c>
      <c r="N105" s="16" t="n">
        <v>0</v>
      </c>
      <c r="O105" s="16" t="n">
        <f aca="false">L105+M105+N105</f>
        <v>0.0807441598034165</v>
      </c>
      <c r="P105" s="21" t="n">
        <f aca="false">P104*(1+O105)</f>
        <v>2.8211986138567</v>
      </c>
      <c r="Q105" s="21" t="n">
        <f aca="false">MAX($P$5:P105)</f>
        <v>2.8211986138567</v>
      </c>
      <c r="R105" s="16" t="n">
        <f aca="false">P105/Q105-1</f>
        <v>0</v>
      </c>
      <c r="S105" s="16" t="n">
        <f aca="false">O105-Benchmark_RF!D105</f>
        <v>0.0645086485225793</v>
      </c>
    </row>
    <row r="106" customFormat="false" ht="15" hidden="false" customHeight="true" outlineLevel="0" collapsed="false">
      <c r="A106" s="1" t="n">
        <v>109</v>
      </c>
      <c r="B106" s="13" t="n">
        <f aca="false">Returns!A110</f>
        <v>45292</v>
      </c>
      <c r="C106" s="17" t="n">
        <f aca="false">IF(Rankings!C107&lt;=5,1,0)</f>
        <v>1</v>
      </c>
      <c r="D106" s="17" t="n">
        <f aca="false">IF(Rankings!D107&lt;=5,1,0)</f>
        <v>0</v>
      </c>
      <c r="E106" s="17" t="n">
        <f aca="false">IF(Rankings!E107&lt;=5,1,0)</f>
        <v>1</v>
      </c>
      <c r="F106" s="17" t="n">
        <f aca="false">IF(Rankings!F107&lt;=5,1,0)</f>
        <v>1</v>
      </c>
      <c r="G106" s="17" t="n">
        <f aca="false">IF(Rankings!G107&lt;=5,1,0)</f>
        <v>0</v>
      </c>
      <c r="H106" s="17" t="n">
        <f aca="false">IF(Rankings!H107&lt;=5,1,0)</f>
        <v>1</v>
      </c>
      <c r="I106" s="17" t="n">
        <f aca="false">IF(Rankings!I107&lt;=5,1,0)</f>
        <v>0</v>
      </c>
      <c r="J106" s="17" t="n">
        <f aca="false">IF(Rankings!J107&lt;=5,1,0)</f>
        <v>1</v>
      </c>
      <c r="K106" s="20" t="n">
        <f aca="false">SUM(C106:J106)</f>
        <v>5</v>
      </c>
      <c r="L106" s="16" t="n">
        <f aca="false">SUMPRODUCT(C106:J106,Returns!B110:I110)/K106</f>
        <v>0.081805148517195</v>
      </c>
      <c r="M106" s="16" t="n">
        <v>0</v>
      </c>
      <c r="N106" s="16" t="n">
        <v>0</v>
      </c>
      <c r="O106" s="16" t="n">
        <f aca="false">L106+M106+N106</f>
        <v>0.081805148517195</v>
      </c>
      <c r="P106" s="21" t="n">
        <f aca="false">P105*(1+O106)</f>
        <v>3.05198718545975</v>
      </c>
      <c r="Q106" s="21" t="n">
        <f aca="false">MAX($P$5:P106)</f>
        <v>3.05198718545975</v>
      </c>
      <c r="R106" s="16" t="n">
        <f aca="false">P106/Q106-1</f>
        <v>0</v>
      </c>
      <c r="S106" s="16" t="n">
        <f aca="false">O106-Benchmark_RF!D106</f>
        <v>0.0658162348280931</v>
      </c>
    </row>
    <row r="107" customFormat="false" ht="15" hidden="false" customHeight="true" outlineLevel="0" collapsed="false">
      <c r="A107" s="1" t="n">
        <v>110</v>
      </c>
      <c r="B107" s="13" t="n">
        <f aca="false">Returns!A111</f>
        <v>45323</v>
      </c>
      <c r="C107" s="17" t="n">
        <f aca="false">IF(Rankings!C107&lt;=5,1,0)</f>
        <v>1</v>
      </c>
      <c r="D107" s="17" t="n">
        <f aca="false">IF(Rankings!D107&lt;=5,1,0)</f>
        <v>0</v>
      </c>
      <c r="E107" s="17" t="n">
        <f aca="false">IF(Rankings!E107&lt;=5,1,0)</f>
        <v>1</v>
      </c>
      <c r="F107" s="17" t="n">
        <f aca="false">IF(Rankings!F107&lt;=5,1,0)</f>
        <v>1</v>
      </c>
      <c r="G107" s="17" t="n">
        <f aca="false">IF(Rankings!G107&lt;=5,1,0)</f>
        <v>0</v>
      </c>
      <c r="H107" s="17" t="n">
        <f aca="false">IF(Rankings!H107&lt;=5,1,0)</f>
        <v>1</v>
      </c>
      <c r="I107" s="17" t="n">
        <f aca="false">IF(Rankings!I107&lt;=5,1,0)</f>
        <v>0</v>
      </c>
      <c r="J107" s="17" t="n">
        <f aca="false">IF(Rankings!J107&lt;=5,1,0)</f>
        <v>1</v>
      </c>
      <c r="K107" s="20" t="n">
        <f aca="false">SUM(C107:J107)</f>
        <v>5</v>
      </c>
      <c r="L107" s="16" t="n">
        <f aca="false">SUMPRODUCT(C107:J107,Returns!B111:I111)/K107</f>
        <v>0.0681792541678179</v>
      </c>
      <c r="M107" s="16" t="n">
        <v>0</v>
      </c>
      <c r="N107" s="16" t="n">
        <v>0</v>
      </c>
      <c r="O107" s="16" t="n">
        <f aca="false">L107+M107+N107</f>
        <v>0.0681792541678179</v>
      </c>
      <c r="P107" s="21" t="n">
        <f aca="false">P106*(1+O107)</f>
        <v>3.26006939549414</v>
      </c>
      <c r="Q107" s="21" t="n">
        <f aca="false">MAX($P$5:P107)</f>
        <v>3.26006939549414</v>
      </c>
      <c r="R107" s="16" t="n">
        <f aca="false">P107/Q107-1</f>
        <v>0</v>
      </c>
      <c r="S107" s="16" t="n">
        <f aca="false">O107-Benchmark_RF!D107</f>
        <v>0.0519507235572847</v>
      </c>
    </row>
    <row r="108" customFormat="false" ht="15" hidden="false" customHeight="true" outlineLevel="0" collapsed="false">
      <c r="A108" s="1" t="n">
        <v>111</v>
      </c>
      <c r="B108" s="13" t="n">
        <f aca="false">Returns!A112</f>
        <v>45352</v>
      </c>
      <c r="C108" s="17" t="n">
        <f aca="false">IF(Rankings!C107&lt;=5,1,0)</f>
        <v>1</v>
      </c>
      <c r="D108" s="17" t="n">
        <f aca="false">IF(Rankings!D107&lt;=5,1,0)</f>
        <v>0</v>
      </c>
      <c r="E108" s="17" t="n">
        <f aca="false">IF(Rankings!E107&lt;=5,1,0)</f>
        <v>1</v>
      </c>
      <c r="F108" s="17" t="n">
        <f aca="false">IF(Rankings!F107&lt;=5,1,0)</f>
        <v>1</v>
      </c>
      <c r="G108" s="17" t="n">
        <f aca="false">IF(Rankings!G107&lt;=5,1,0)</f>
        <v>0</v>
      </c>
      <c r="H108" s="17" t="n">
        <f aca="false">IF(Rankings!H107&lt;=5,1,0)</f>
        <v>1</v>
      </c>
      <c r="I108" s="17" t="n">
        <f aca="false">IF(Rankings!I107&lt;=5,1,0)</f>
        <v>0</v>
      </c>
      <c r="J108" s="17" t="n">
        <f aca="false">IF(Rankings!J107&lt;=5,1,0)</f>
        <v>1</v>
      </c>
      <c r="K108" s="20" t="n">
        <f aca="false">SUM(C108:J108)</f>
        <v>5</v>
      </c>
      <c r="L108" s="16" t="n">
        <f aca="false">SUMPRODUCT(C108:J108,Returns!B112:I112)/K108</f>
        <v>0.0262110060524403</v>
      </c>
      <c r="M108" s="16" t="n">
        <v>0</v>
      </c>
      <c r="N108" s="16" t="n">
        <v>0</v>
      </c>
      <c r="O108" s="16" t="n">
        <f aca="false">L108+M108+N108</f>
        <v>0.0262110060524403</v>
      </c>
      <c r="P108" s="21" t="n">
        <f aca="false">P107*(1+O108)</f>
        <v>3.34551909415081</v>
      </c>
      <c r="Q108" s="21" t="n">
        <f aca="false">MAX($P$5:P108)</f>
        <v>3.34551909415081</v>
      </c>
      <c r="R108" s="16" t="n">
        <f aca="false">P108/Q108-1</f>
        <v>0</v>
      </c>
      <c r="S108" s="16" t="n">
        <f aca="false">O108-Benchmark_RF!D108</f>
        <v>0.00989874218991322</v>
      </c>
    </row>
    <row r="109" customFormat="false" ht="15" hidden="false" customHeight="true" outlineLevel="0" collapsed="false">
      <c r="A109" s="1" t="n">
        <v>112</v>
      </c>
      <c r="B109" s="13" t="n">
        <f aca="false">Returns!A113</f>
        <v>45383</v>
      </c>
      <c r="C109" s="17" t="n">
        <f aca="false">IF(Rankings!C107&lt;=5,1,0)</f>
        <v>1</v>
      </c>
      <c r="D109" s="17" t="n">
        <f aca="false">IF(Rankings!D107&lt;=5,1,0)</f>
        <v>0</v>
      </c>
      <c r="E109" s="17" t="n">
        <f aca="false">IF(Rankings!E107&lt;=5,1,0)</f>
        <v>1</v>
      </c>
      <c r="F109" s="17" t="n">
        <f aca="false">IF(Rankings!F107&lt;=5,1,0)</f>
        <v>1</v>
      </c>
      <c r="G109" s="17" t="n">
        <f aca="false">IF(Rankings!G107&lt;=5,1,0)</f>
        <v>0</v>
      </c>
      <c r="H109" s="17" t="n">
        <f aca="false">IF(Rankings!H107&lt;=5,1,0)</f>
        <v>1</v>
      </c>
      <c r="I109" s="17" t="n">
        <f aca="false">IF(Rankings!I107&lt;=5,1,0)</f>
        <v>0</v>
      </c>
      <c r="J109" s="17" t="n">
        <f aca="false">IF(Rankings!J107&lt;=5,1,0)</f>
        <v>1</v>
      </c>
      <c r="K109" s="20" t="n">
        <f aca="false">SUM(C109:J109)</f>
        <v>5</v>
      </c>
      <c r="L109" s="16" t="n">
        <f aca="false">SUMPRODUCT(C109:J109,Returns!B113:I113)/K109</f>
        <v>0.08504297810689</v>
      </c>
      <c r="M109" s="16" t="n">
        <v>0</v>
      </c>
      <c r="N109" s="16" t="n">
        <v>0</v>
      </c>
      <c r="O109" s="16" t="n">
        <f aca="false">L109+M109+N109</f>
        <v>0.08504297810689</v>
      </c>
      <c r="P109" s="21" t="n">
        <f aca="false">P108*(1+O109)</f>
        <v>3.63003200123086</v>
      </c>
      <c r="Q109" s="21" t="n">
        <f aca="false">MAX($P$5:P109)</f>
        <v>3.63003200123086</v>
      </c>
      <c r="R109" s="16" t="n">
        <f aca="false">P109/Q109-1</f>
        <v>0</v>
      </c>
      <c r="S109" s="16" t="n">
        <f aca="false">O109-Benchmark_RF!D109</f>
        <v>0.0686191878215272</v>
      </c>
    </row>
    <row r="110" customFormat="false" ht="15" hidden="false" customHeight="true" outlineLevel="0" collapsed="false">
      <c r="A110" s="1" t="n">
        <v>113</v>
      </c>
      <c r="B110" s="13" t="n">
        <f aca="false">Returns!A114</f>
        <v>45413</v>
      </c>
      <c r="C110" s="17" t="n">
        <f aca="false">IF(Rankings!C107&lt;=5,1,0)</f>
        <v>1</v>
      </c>
      <c r="D110" s="17" t="n">
        <f aca="false">IF(Rankings!D107&lt;=5,1,0)</f>
        <v>0</v>
      </c>
      <c r="E110" s="17" t="n">
        <f aca="false">IF(Rankings!E107&lt;=5,1,0)</f>
        <v>1</v>
      </c>
      <c r="F110" s="17" t="n">
        <f aca="false">IF(Rankings!F107&lt;=5,1,0)</f>
        <v>1</v>
      </c>
      <c r="G110" s="17" t="n">
        <f aca="false">IF(Rankings!G107&lt;=5,1,0)</f>
        <v>0</v>
      </c>
      <c r="H110" s="17" t="n">
        <f aca="false">IF(Rankings!H107&lt;=5,1,0)</f>
        <v>1</v>
      </c>
      <c r="I110" s="17" t="n">
        <f aca="false">IF(Rankings!I107&lt;=5,1,0)</f>
        <v>0</v>
      </c>
      <c r="J110" s="17" t="n">
        <f aca="false">IF(Rankings!J107&lt;=5,1,0)</f>
        <v>1</v>
      </c>
      <c r="K110" s="20" t="n">
        <f aca="false">SUM(C110:J110)</f>
        <v>5</v>
      </c>
      <c r="L110" s="16" t="n">
        <f aca="false">SUMPRODUCT(C110:J110,Returns!B114:I114)/K110</f>
        <v>0.00108503045167552</v>
      </c>
      <c r="M110" s="16" t="n">
        <v>0</v>
      </c>
      <c r="N110" s="16" t="n">
        <v>0</v>
      </c>
      <c r="O110" s="16" t="n">
        <f aca="false">L110+M110+N110</f>
        <v>0.00108503045167552</v>
      </c>
      <c r="P110" s="21" t="n">
        <f aca="false">P109*(1+O110)</f>
        <v>3.63397069649275</v>
      </c>
      <c r="Q110" s="21" t="n">
        <f aca="false">MAX($P$5:P110)</f>
        <v>3.63397069649275</v>
      </c>
      <c r="R110" s="16" t="n">
        <f aca="false">P110/Q110-1</f>
        <v>0</v>
      </c>
      <c r="S110" s="16" t="n">
        <f aca="false">O110-Benchmark_RF!D110</f>
        <v>-0.0148848438154002</v>
      </c>
    </row>
    <row r="111" customFormat="false" ht="15" hidden="false" customHeight="true" outlineLevel="0" collapsed="false">
      <c r="A111" s="1" t="n">
        <v>114</v>
      </c>
      <c r="B111" s="13" t="n">
        <f aca="false">Returns!A115</f>
        <v>45444</v>
      </c>
      <c r="C111" s="17" t="n">
        <f aca="false">IF(Rankings!C107&lt;=5,1,0)</f>
        <v>1</v>
      </c>
      <c r="D111" s="17" t="n">
        <f aca="false">IF(Rankings!D107&lt;=5,1,0)</f>
        <v>0</v>
      </c>
      <c r="E111" s="17" t="n">
        <f aca="false">IF(Rankings!E107&lt;=5,1,0)</f>
        <v>1</v>
      </c>
      <c r="F111" s="17" t="n">
        <f aca="false">IF(Rankings!F107&lt;=5,1,0)</f>
        <v>1</v>
      </c>
      <c r="G111" s="17" t="n">
        <f aca="false">IF(Rankings!G107&lt;=5,1,0)</f>
        <v>0</v>
      </c>
      <c r="H111" s="17" t="n">
        <f aca="false">IF(Rankings!H107&lt;=5,1,0)</f>
        <v>1</v>
      </c>
      <c r="I111" s="17" t="n">
        <f aca="false">IF(Rankings!I107&lt;=5,1,0)</f>
        <v>0</v>
      </c>
      <c r="J111" s="17" t="n">
        <f aca="false">IF(Rankings!J107&lt;=5,1,0)</f>
        <v>1</v>
      </c>
      <c r="K111" s="20" t="n">
        <f aca="false">SUM(C111:J111)</f>
        <v>5</v>
      </c>
      <c r="L111" s="16" t="n">
        <f aca="false">SUMPRODUCT(C111:J111,Returns!B115:I115)/K111</f>
        <v>0.0525773082033768</v>
      </c>
      <c r="M111" s="16" t="n">
        <v>0</v>
      </c>
      <c r="N111" s="16" t="n">
        <v>0</v>
      </c>
      <c r="O111" s="16" t="n">
        <f aca="false">L111+M111+N111</f>
        <v>0.0525773082033768</v>
      </c>
      <c r="P111" s="21" t="n">
        <f aca="false">P110*(1+O111)</f>
        <v>3.82503509380429</v>
      </c>
      <c r="Q111" s="21" t="n">
        <f aca="false">MAX($P$5:P111)</f>
        <v>3.82503509380429</v>
      </c>
      <c r="R111" s="16" t="n">
        <f aca="false">P111/Q111-1</f>
        <v>0</v>
      </c>
      <c r="S111" s="16" t="n">
        <f aca="false">O111-Benchmark_RF!D111</f>
        <v>0.0372576146674978</v>
      </c>
    </row>
    <row r="112" customFormat="false" ht="15" hidden="false" customHeight="true" outlineLevel="0" collapsed="false">
      <c r="A112" s="1" t="n">
        <v>115</v>
      </c>
      <c r="B112" s="13" t="n">
        <f aca="false">Returns!A116</f>
        <v>45474</v>
      </c>
      <c r="C112" s="17" t="n">
        <f aca="false">IF(Rankings!C107&lt;=5,1,0)</f>
        <v>1</v>
      </c>
      <c r="D112" s="17" t="n">
        <f aca="false">IF(Rankings!D107&lt;=5,1,0)</f>
        <v>0</v>
      </c>
      <c r="E112" s="17" t="n">
        <f aca="false">IF(Rankings!E107&lt;=5,1,0)</f>
        <v>1</v>
      </c>
      <c r="F112" s="17" t="n">
        <f aca="false">IF(Rankings!F107&lt;=5,1,0)</f>
        <v>1</v>
      </c>
      <c r="G112" s="17" t="n">
        <f aca="false">IF(Rankings!G107&lt;=5,1,0)</f>
        <v>0</v>
      </c>
      <c r="H112" s="17" t="n">
        <f aca="false">IF(Rankings!H107&lt;=5,1,0)</f>
        <v>1</v>
      </c>
      <c r="I112" s="17" t="n">
        <f aca="false">IF(Rankings!I107&lt;=5,1,0)</f>
        <v>0</v>
      </c>
      <c r="J112" s="17" t="n">
        <f aca="false">IF(Rankings!J107&lt;=5,1,0)</f>
        <v>1</v>
      </c>
      <c r="K112" s="20" t="n">
        <f aca="false">SUM(C112:J112)</f>
        <v>5</v>
      </c>
      <c r="L112" s="16" t="n">
        <f aca="false">SUMPRODUCT(C112:J112,Returns!B116:I116)/K112</f>
        <v>0.0112686314374194</v>
      </c>
      <c r="M112" s="16" t="n">
        <v>0</v>
      </c>
      <c r="N112" s="16" t="n">
        <v>0</v>
      </c>
      <c r="O112" s="16" t="n">
        <f aca="false">L112+M112+N112</f>
        <v>0.0112686314374194</v>
      </c>
      <c r="P112" s="21" t="n">
        <f aca="false">P111*(1+O112)</f>
        <v>3.86813800451157</v>
      </c>
      <c r="Q112" s="21" t="n">
        <f aca="false">MAX($P$5:P112)</f>
        <v>3.86813800451157</v>
      </c>
      <c r="R112" s="16" t="n">
        <f aca="false">P112/Q112-1</f>
        <v>0</v>
      </c>
      <c r="S112" s="16" t="n">
        <f aca="false">O112-Benchmark_RF!D112</f>
        <v>-0.00368054793472294</v>
      </c>
    </row>
    <row r="113" customFormat="false" ht="15" hidden="false" customHeight="true" outlineLevel="0" collapsed="false">
      <c r="A113" s="1" t="n">
        <v>116</v>
      </c>
      <c r="B113" s="13" t="n">
        <f aca="false">Returns!A117</f>
        <v>45505</v>
      </c>
      <c r="C113" s="17" t="n">
        <f aca="false">IF(Rankings!C119&lt;=5,1,0)</f>
        <v>1</v>
      </c>
      <c r="D113" s="17" t="n">
        <f aca="false">IF(Rankings!D119&lt;=5,1,0)</f>
        <v>1</v>
      </c>
      <c r="E113" s="17" t="n">
        <f aca="false">IF(Rankings!E119&lt;=5,1,0)</f>
        <v>1</v>
      </c>
      <c r="F113" s="17" t="n">
        <f aca="false">IF(Rankings!F119&lt;=5,1,0)</f>
        <v>0</v>
      </c>
      <c r="G113" s="17" t="n">
        <f aca="false">IF(Rankings!G119&lt;=5,1,0)</f>
        <v>1</v>
      </c>
      <c r="H113" s="17" t="n">
        <f aca="false">IF(Rankings!H119&lt;=5,1,0)</f>
        <v>1</v>
      </c>
      <c r="I113" s="17" t="n">
        <f aca="false">IF(Rankings!I119&lt;=5,1,0)</f>
        <v>0</v>
      </c>
      <c r="J113" s="17" t="n">
        <f aca="false">IF(Rankings!J119&lt;=5,1,0)</f>
        <v>0</v>
      </c>
      <c r="K113" s="20" t="n">
        <f aca="false">SUM(C113:J113)</f>
        <v>5</v>
      </c>
      <c r="L113" s="16" t="n">
        <f aca="false">SUMPRODUCT(C113:J113,Returns!B117:I117)/K113</f>
        <v>-0.0144149209966417</v>
      </c>
      <c r="M113" s="16" t="n">
        <f aca="false">-2*Assumptions!$B$13</f>
        <v>-0.007</v>
      </c>
      <c r="N113" s="16" t="n">
        <f aca="false">-Assumptions!$B$16*MAX(0,(1+O101)*(1+O102)*(1+O103)*(1+O104)*(1+O105)*(1+O106)*(1+O107)*(1+O108)*(1+O109)*(1+O110)*(1+O111)*(1+O112)-1)</f>
        <v>-0.0924418201266906</v>
      </c>
      <c r="O113" s="16" t="n">
        <f aca="false">L113+M113+N113</f>
        <v>-0.113856741123332</v>
      </c>
      <c r="P113" s="21" t="n">
        <f aca="false">P112*(1+O113)</f>
        <v>3.42772441710257</v>
      </c>
      <c r="Q113" s="21" t="n">
        <f aca="false">MAX($P$5:P113)</f>
        <v>3.86813800451157</v>
      </c>
      <c r="R113" s="16" t="n">
        <f aca="false">P113/Q113-1</f>
        <v>-0.113856741123332</v>
      </c>
      <c r="S113" s="16" t="n">
        <f aca="false">O113-Benchmark_RF!D113</f>
        <v>-0.127364895855575</v>
      </c>
    </row>
    <row r="114" customFormat="false" ht="15" hidden="false" customHeight="true" outlineLevel="0" collapsed="false">
      <c r="A114" s="1" t="n">
        <v>117</v>
      </c>
      <c r="B114" s="13" t="n">
        <f aca="false">Returns!A118</f>
        <v>45536</v>
      </c>
      <c r="C114" s="17" t="n">
        <f aca="false">IF(Rankings!C119&lt;=5,1,0)</f>
        <v>1</v>
      </c>
      <c r="D114" s="17" t="n">
        <f aca="false">IF(Rankings!D119&lt;=5,1,0)</f>
        <v>1</v>
      </c>
      <c r="E114" s="17" t="n">
        <f aca="false">IF(Rankings!E119&lt;=5,1,0)</f>
        <v>1</v>
      </c>
      <c r="F114" s="17" t="n">
        <f aca="false">IF(Rankings!F119&lt;=5,1,0)</f>
        <v>0</v>
      </c>
      <c r="G114" s="17" t="n">
        <f aca="false">IF(Rankings!G119&lt;=5,1,0)</f>
        <v>1</v>
      </c>
      <c r="H114" s="17" t="n">
        <f aca="false">IF(Rankings!H119&lt;=5,1,0)</f>
        <v>1</v>
      </c>
      <c r="I114" s="17" t="n">
        <f aca="false">IF(Rankings!I119&lt;=5,1,0)</f>
        <v>0</v>
      </c>
      <c r="J114" s="17" t="n">
        <f aca="false">IF(Rankings!J119&lt;=5,1,0)</f>
        <v>0</v>
      </c>
      <c r="K114" s="20" t="n">
        <f aca="false">SUM(C114:J114)</f>
        <v>5</v>
      </c>
      <c r="L114" s="16" t="n">
        <f aca="false">SUMPRODUCT(C114:J114,Returns!B118:I118)/K114</f>
        <v>0.105269883834052</v>
      </c>
      <c r="M114" s="16" t="n">
        <v>0</v>
      </c>
      <c r="N114" s="16" t="n">
        <v>0</v>
      </c>
      <c r="O114" s="16" t="n">
        <f aca="false">L114+M114+N114</f>
        <v>0.105269883834052</v>
      </c>
      <c r="P114" s="21" t="n">
        <f aca="false">P113*(1+O114)</f>
        <v>3.7885605683061</v>
      </c>
      <c r="Q114" s="21" t="n">
        <f aca="false">MAX($P$5:P114)</f>
        <v>3.86813800451157</v>
      </c>
      <c r="R114" s="16" t="n">
        <f aca="false">P114/Q114-1</f>
        <v>-0.0205725432010568</v>
      </c>
      <c r="S114" s="16" t="n">
        <f aca="false">O114-Benchmark_RF!D114</f>
        <v>0.0918048782248541</v>
      </c>
    </row>
    <row r="115" customFormat="false" ht="15" hidden="false" customHeight="true" outlineLevel="0" collapsed="false">
      <c r="A115" s="1" t="n">
        <v>118</v>
      </c>
      <c r="B115" s="13" t="n">
        <f aca="false">Returns!A119</f>
        <v>45566</v>
      </c>
      <c r="C115" s="17" t="n">
        <f aca="false">IF(Rankings!C119&lt;=5,1,0)</f>
        <v>1</v>
      </c>
      <c r="D115" s="17" t="n">
        <f aca="false">IF(Rankings!D119&lt;=5,1,0)</f>
        <v>1</v>
      </c>
      <c r="E115" s="17" t="n">
        <f aca="false">IF(Rankings!E119&lt;=5,1,0)</f>
        <v>1</v>
      </c>
      <c r="F115" s="17" t="n">
        <f aca="false">IF(Rankings!F119&lt;=5,1,0)</f>
        <v>0</v>
      </c>
      <c r="G115" s="17" t="n">
        <f aca="false">IF(Rankings!G119&lt;=5,1,0)</f>
        <v>1</v>
      </c>
      <c r="H115" s="17" t="n">
        <f aca="false">IF(Rankings!H119&lt;=5,1,0)</f>
        <v>1</v>
      </c>
      <c r="I115" s="17" t="n">
        <f aca="false">IF(Rankings!I119&lt;=5,1,0)</f>
        <v>0</v>
      </c>
      <c r="J115" s="17" t="n">
        <f aca="false">IF(Rankings!J119&lt;=5,1,0)</f>
        <v>0</v>
      </c>
      <c r="K115" s="20" t="n">
        <f aca="false">SUM(C115:J115)</f>
        <v>5</v>
      </c>
      <c r="L115" s="16" t="n">
        <f aca="false">SUMPRODUCT(C115:J115,Returns!B119:I119)/K115</f>
        <v>0.0999247597838082</v>
      </c>
      <c r="M115" s="16" t="n">
        <v>0</v>
      </c>
      <c r="N115" s="16" t="n">
        <v>0</v>
      </c>
      <c r="O115" s="16" t="n">
        <f aca="false">L115+M115+N115</f>
        <v>0.0999247597838082</v>
      </c>
      <c r="P115" s="21" t="n">
        <f aca="false">P114*(1+O115)</f>
        <v>4.1671315730205</v>
      </c>
      <c r="Q115" s="21" t="n">
        <f aca="false">MAX($P$5:P115)</f>
        <v>4.1671315730205</v>
      </c>
      <c r="R115" s="16" t="n">
        <f aca="false">P115/Q115-1</f>
        <v>0</v>
      </c>
      <c r="S115" s="16" t="n">
        <f aca="false">O115-Benchmark_RF!D115</f>
        <v>0.0890420306353274</v>
      </c>
    </row>
    <row r="116" customFormat="false" ht="15" hidden="false" customHeight="true" outlineLevel="0" collapsed="false">
      <c r="A116" s="1" t="n">
        <v>119</v>
      </c>
      <c r="B116" s="13" t="n">
        <f aca="false">Returns!A120</f>
        <v>45597</v>
      </c>
      <c r="C116" s="17" t="n">
        <f aca="false">IF(Rankings!C119&lt;=5,1,0)</f>
        <v>1</v>
      </c>
      <c r="D116" s="17" t="n">
        <f aca="false">IF(Rankings!D119&lt;=5,1,0)</f>
        <v>1</v>
      </c>
      <c r="E116" s="17" t="n">
        <f aca="false">IF(Rankings!E119&lt;=5,1,0)</f>
        <v>1</v>
      </c>
      <c r="F116" s="17" t="n">
        <f aca="false">IF(Rankings!F119&lt;=5,1,0)</f>
        <v>0</v>
      </c>
      <c r="G116" s="17" t="n">
        <f aca="false">IF(Rankings!G119&lt;=5,1,0)</f>
        <v>1</v>
      </c>
      <c r="H116" s="17" t="n">
        <f aca="false">IF(Rankings!H119&lt;=5,1,0)</f>
        <v>1</v>
      </c>
      <c r="I116" s="17" t="n">
        <f aca="false">IF(Rankings!I119&lt;=5,1,0)</f>
        <v>0</v>
      </c>
      <c r="J116" s="17" t="n">
        <f aca="false">IF(Rankings!J119&lt;=5,1,0)</f>
        <v>0</v>
      </c>
      <c r="K116" s="20" t="n">
        <f aca="false">SUM(C116:J116)</f>
        <v>5</v>
      </c>
      <c r="L116" s="16" t="n">
        <f aca="false">SUMPRODUCT(C116:J116,Returns!B120:I120)/K116</f>
        <v>0.0912791498790753</v>
      </c>
      <c r="M116" s="16" t="n">
        <v>0</v>
      </c>
      <c r="N116" s="16" t="n">
        <v>0</v>
      </c>
      <c r="O116" s="16" t="n">
        <f aca="false">L116+M116+N116</f>
        <v>0.0912791498790753</v>
      </c>
      <c r="P116" s="21" t="n">
        <f aca="false">P115*(1+O116)</f>
        <v>4.54750380044006</v>
      </c>
      <c r="Q116" s="21" t="n">
        <f aca="false">MAX($P$5:P116)</f>
        <v>4.54750380044006</v>
      </c>
      <c r="R116" s="16" t="n">
        <f aca="false">P116/Q116-1</f>
        <v>0</v>
      </c>
      <c r="S116" s="16" t="n">
        <f aca="false">O116-Benchmark_RF!D116</f>
        <v>0.0803964207305945</v>
      </c>
    </row>
    <row r="117" customFormat="false" ht="15" hidden="false" customHeight="true" outlineLevel="0" collapsed="false">
      <c r="A117" s="1" t="n">
        <v>120</v>
      </c>
      <c r="B117" s="13" t="n">
        <f aca="false">Returns!A121</f>
        <v>45627</v>
      </c>
      <c r="C117" s="17" t="n">
        <f aca="false">IF(Rankings!C119&lt;=5,1,0)</f>
        <v>1</v>
      </c>
      <c r="D117" s="17" t="n">
        <f aca="false">IF(Rankings!D119&lt;=5,1,0)</f>
        <v>1</v>
      </c>
      <c r="E117" s="17" t="n">
        <f aca="false">IF(Rankings!E119&lt;=5,1,0)</f>
        <v>1</v>
      </c>
      <c r="F117" s="17" t="n">
        <f aca="false">IF(Rankings!F119&lt;=5,1,0)</f>
        <v>0</v>
      </c>
      <c r="G117" s="17" t="n">
        <f aca="false">IF(Rankings!G119&lt;=5,1,0)</f>
        <v>1</v>
      </c>
      <c r="H117" s="17" t="n">
        <f aca="false">IF(Rankings!H119&lt;=5,1,0)</f>
        <v>1</v>
      </c>
      <c r="I117" s="17" t="n">
        <f aca="false">IF(Rankings!I119&lt;=5,1,0)</f>
        <v>0</v>
      </c>
      <c r="J117" s="17" t="n">
        <f aca="false">IF(Rankings!J119&lt;=5,1,0)</f>
        <v>0</v>
      </c>
      <c r="K117" s="20" t="n">
        <f aca="false">SUM(C117:J117)</f>
        <v>5</v>
      </c>
      <c r="L117" s="16" t="n">
        <f aca="false">SUMPRODUCT(C117:J117,Returns!B121:I121)/K117</f>
        <v>0.0909793103342212</v>
      </c>
      <c r="M117" s="16" t="n">
        <v>0</v>
      </c>
      <c r="N117" s="16" t="n">
        <v>0</v>
      </c>
      <c r="O117" s="16" t="n">
        <f aca="false">L117+M117+N117</f>
        <v>0.0909793103342212</v>
      </c>
      <c r="P117" s="21" t="n">
        <f aca="false">P116*(1+O117)</f>
        <v>4.96123255994635</v>
      </c>
      <c r="Q117" s="21" t="n">
        <f aca="false">MAX($P$5:P117)</f>
        <v>4.96123255994635</v>
      </c>
      <c r="R117" s="16" t="n">
        <f aca="false">P117/Q117-1</f>
        <v>0</v>
      </c>
      <c r="S117" s="16" t="n">
        <f aca="false">O117-Benchmark_RF!D117</f>
        <v>0.0816032527777131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10" min="3" style="1" width="8"/>
    <col collapsed="false" customWidth="true" hidden="false" outlineLevel="0" max="16" min="11" style="1" width="11"/>
    <col collapsed="false" customWidth="true" hidden="false" outlineLevel="0" max="17" min="17" style="1" width="12"/>
    <col collapsed="false" customWidth="true" hidden="false" outlineLevel="0" max="18" min="18" style="1" width="11"/>
    <col collapsed="false" customWidth="true" hidden="false" outlineLevel="0" max="19" min="19" style="1" width="13"/>
  </cols>
  <sheetData>
    <row r="1" customFormat="false" ht="15.75" hidden="false" customHeight="true" outlineLevel="0" collapsed="false">
      <c r="A1" s="18" t="s">
        <v>86</v>
      </c>
    </row>
    <row r="2" customFormat="false" ht="15" hidden="false" customHeight="true" outlineLevel="0" collapsed="false">
      <c r="A2" s="5" t="s">
        <v>69</v>
      </c>
    </row>
    <row r="4" customFormat="false" ht="15" hidden="false" customHeight="true" outlineLevel="0" collapsed="false">
      <c r="A4" s="12" t="s">
        <v>70</v>
      </c>
      <c r="B4" s="12" t="s">
        <v>51</v>
      </c>
      <c r="C4" s="12" t="s">
        <v>52</v>
      </c>
      <c r="D4" s="12" t="s">
        <v>53</v>
      </c>
      <c r="E4" s="12" t="s">
        <v>54</v>
      </c>
      <c r="F4" s="12" t="s">
        <v>55</v>
      </c>
      <c r="G4" s="12" t="s">
        <v>56</v>
      </c>
      <c r="H4" s="12" t="s">
        <v>57</v>
      </c>
      <c r="I4" s="12" t="s">
        <v>58</v>
      </c>
      <c r="J4" s="12" t="s">
        <v>59</v>
      </c>
      <c r="K4" s="12" t="s">
        <v>71</v>
      </c>
      <c r="L4" s="12" t="s">
        <v>72</v>
      </c>
      <c r="M4" s="12" t="s">
        <v>73</v>
      </c>
      <c r="N4" s="12" t="s">
        <v>74</v>
      </c>
      <c r="O4" s="12" t="s">
        <v>75</v>
      </c>
      <c r="P4" s="12" t="s">
        <v>76</v>
      </c>
      <c r="Q4" s="19" t="s">
        <v>77</v>
      </c>
      <c r="R4" s="19" t="s">
        <v>78</v>
      </c>
      <c r="S4" s="19" t="s">
        <v>79</v>
      </c>
    </row>
    <row r="5" customFormat="false" ht="15" hidden="false" customHeight="true" outlineLevel="0" collapsed="false">
      <c r="A5" s="1" t="n">
        <v>8</v>
      </c>
      <c r="B5" s="13" t="n">
        <f aca="false">Returns!A9</f>
        <v>42217</v>
      </c>
      <c r="C5" s="17" t="n">
        <f aca="false">IF(Rankings!C11&lt;=5,1,0)</f>
        <v>0</v>
      </c>
      <c r="D5" s="17" t="n">
        <f aca="false">IF(Rankings!D11&lt;=5,1,0)</f>
        <v>1</v>
      </c>
      <c r="E5" s="17" t="n">
        <f aca="false">IF(Rankings!E11&lt;=5,1,0)</f>
        <v>0</v>
      </c>
      <c r="F5" s="17" t="n">
        <f aca="false">IF(Rankings!F11&lt;=5,1,0)</f>
        <v>1</v>
      </c>
      <c r="G5" s="17" t="n">
        <f aca="false">IF(Rankings!G11&lt;=5,1,0)</f>
        <v>1</v>
      </c>
      <c r="H5" s="17" t="n">
        <f aca="false">IF(Rankings!H11&lt;=5,1,0)</f>
        <v>1</v>
      </c>
      <c r="I5" s="17" t="n">
        <f aca="false">IF(Rankings!I11&lt;=5,1,0)</f>
        <v>0</v>
      </c>
      <c r="J5" s="17" t="n">
        <f aca="false">IF(Rankings!J11&lt;=5,1,0)</f>
        <v>1</v>
      </c>
      <c r="K5" s="20" t="n">
        <f aca="false">SUM(C5:J5)</f>
        <v>5</v>
      </c>
      <c r="L5" s="16" t="n">
        <f aca="false">SUMPRODUCT(C5:J5,Returns!B9:I9)/K5</f>
        <v>-0.0455796089027458</v>
      </c>
      <c r="M5" s="16" t="n">
        <f aca="false">-2*Assumptions!$B$13</f>
        <v>-0.007</v>
      </c>
      <c r="N5" s="16" t="n">
        <v>0</v>
      </c>
      <c r="O5" s="16" t="n">
        <f aca="false">L5+M5+N5</f>
        <v>-0.0525796089027457</v>
      </c>
      <c r="P5" s="21" t="n">
        <f aca="false">1*(1+O5)</f>
        <v>0.947420391097254</v>
      </c>
      <c r="Q5" s="21" t="n">
        <f aca="false">MAX($P$5:P5)</f>
        <v>0.947420391097254</v>
      </c>
      <c r="R5" s="16" t="n">
        <f aca="false">P5/Q5-1</f>
        <v>0</v>
      </c>
      <c r="S5" s="16" t="n">
        <f aca="false">O5-Benchmark_RF!D5</f>
        <v>-0.0581795394120719</v>
      </c>
    </row>
    <row r="6" customFormat="false" ht="15" hidden="false" customHeight="true" outlineLevel="0" collapsed="false">
      <c r="A6" s="1" t="n">
        <v>9</v>
      </c>
      <c r="B6" s="13" t="n">
        <f aca="false">Returns!A10</f>
        <v>42248</v>
      </c>
      <c r="C6" s="17" t="n">
        <f aca="false">IF(Rankings!C11&lt;=5,1,0)</f>
        <v>0</v>
      </c>
      <c r="D6" s="17" t="n">
        <f aca="false">IF(Rankings!D11&lt;=5,1,0)</f>
        <v>1</v>
      </c>
      <c r="E6" s="17" t="n">
        <f aca="false">IF(Rankings!E11&lt;=5,1,0)</f>
        <v>0</v>
      </c>
      <c r="F6" s="17" t="n">
        <f aca="false">IF(Rankings!F11&lt;=5,1,0)</f>
        <v>1</v>
      </c>
      <c r="G6" s="17" t="n">
        <f aca="false">IF(Rankings!G11&lt;=5,1,0)</f>
        <v>1</v>
      </c>
      <c r="H6" s="17" t="n">
        <f aca="false">IF(Rankings!H11&lt;=5,1,0)</f>
        <v>1</v>
      </c>
      <c r="I6" s="17" t="n">
        <f aca="false">IF(Rankings!I11&lt;=5,1,0)</f>
        <v>0</v>
      </c>
      <c r="J6" s="17" t="n">
        <f aca="false">IF(Rankings!J11&lt;=5,1,0)</f>
        <v>1</v>
      </c>
      <c r="K6" s="20" t="n">
        <f aca="false">SUM(C6:J6)</f>
        <v>5</v>
      </c>
      <c r="L6" s="16" t="n">
        <f aca="false">SUMPRODUCT(C6:J6,Returns!B10:I10)/K6</f>
        <v>-0.0589943258463786</v>
      </c>
      <c r="M6" s="16" t="n">
        <v>0</v>
      </c>
      <c r="N6" s="16" t="n">
        <v>0</v>
      </c>
      <c r="O6" s="16" t="n">
        <f aca="false">L6+M6+N6</f>
        <v>-0.0589943258463786</v>
      </c>
      <c r="P6" s="21" t="n">
        <f aca="false">P5*(1+O6)</f>
        <v>0.89152796383136</v>
      </c>
      <c r="Q6" s="21" t="n">
        <f aca="false">MAX($P$5:P6)</f>
        <v>0.947420391097254</v>
      </c>
      <c r="R6" s="16" t="n">
        <f aca="false">P6/Q6-1</f>
        <v>-0.0589943258463785</v>
      </c>
      <c r="S6" s="16" t="n">
        <f aca="false">O6-Benchmark_RF!D6</f>
        <v>-0.0642295082035376</v>
      </c>
    </row>
    <row r="7" customFormat="false" ht="15" hidden="false" customHeight="true" outlineLevel="0" collapsed="false">
      <c r="A7" s="1" t="n">
        <v>10</v>
      </c>
      <c r="B7" s="13" t="n">
        <f aca="false">Returns!A11</f>
        <v>42278</v>
      </c>
      <c r="C7" s="17" t="n">
        <f aca="false">IF(Rankings!C11&lt;=5,1,0)</f>
        <v>0</v>
      </c>
      <c r="D7" s="17" t="n">
        <f aca="false">IF(Rankings!D11&lt;=5,1,0)</f>
        <v>1</v>
      </c>
      <c r="E7" s="17" t="n">
        <f aca="false">IF(Rankings!E11&lt;=5,1,0)</f>
        <v>0</v>
      </c>
      <c r="F7" s="17" t="n">
        <f aca="false">IF(Rankings!F11&lt;=5,1,0)</f>
        <v>1</v>
      </c>
      <c r="G7" s="17" t="n">
        <f aca="false">IF(Rankings!G11&lt;=5,1,0)</f>
        <v>1</v>
      </c>
      <c r="H7" s="17" t="n">
        <f aca="false">IF(Rankings!H11&lt;=5,1,0)</f>
        <v>1</v>
      </c>
      <c r="I7" s="17" t="n">
        <f aca="false">IF(Rankings!I11&lt;=5,1,0)</f>
        <v>0</v>
      </c>
      <c r="J7" s="17" t="n">
        <f aca="false">IF(Rankings!J11&lt;=5,1,0)</f>
        <v>1</v>
      </c>
      <c r="K7" s="20" t="n">
        <f aca="false">SUM(C7:J7)</f>
        <v>5</v>
      </c>
      <c r="L7" s="16" t="n">
        <f aca="false">SUMPRODUCT(C7:J7,Returns!B11:I11)/K7</f>
        <v>0.0419683463490294</v>
      </c>
      <c r="M7" s="16" t="n">
        <v>0</v>
      </c>
      <c r="N7" s="16" t="n">
        <v>0</v>
      </c>
      <c r="O7" s="16" t="n">
        <f aca="false">L7+M7+N7</f>
        <v>0.0419683463490294</v>
      </c>
      <c r="P7" s="21" t="n">
        <f aca="false">P6*(1+O7)</f>
        <v>0.928943918197279</v>
      </c>
      <c r="Q7" s="21" t="n">
        <f aca="false">MAX($P$5:P7)</f>
        <v>0.947420391097254</v>
      </c>
      <c r="R7" s="16" t="n">
        <f aca="false">P7/Q7-1</f>
        <v>-0.0195018737970974</v>
      </c>
      <c r="S7" s="16" t="n">
        <f aca="false">O7-Benchmark_RF!D7</f>
        <v>0.0368611114438701</v>
      </c>
    </row>
    <row r="8" customFormat="false" ht="15" hidden="false" customHeight="true" outlineLevel="0" collapsed="false">
      <c r="A8" s="1" t="n">
        <v>11</v>
      </c>
      <c r="B8" s="13" t="n">
        <f aca="false">Returns!A12</f>
        <v>42309</v>
      </c>
      <c r="C8" s="17" t="n">
        <f aca="false">IF(Rankings!C11&lt;=5,1,0)</f>
        <v>0</v>
      </c>
      <c r="D8" s="17" t="n">
        <f aca="false">IF(Rankings!D11&lt;=5,1,0)</f>
        <v>1</v>
      </c>
      <c r="E8" s="17" t="n">
        <f aca="false">IF(Rankings!E11&lt;=5,1,0)</f>
        <v>0</v>
      </c>
      <c r="F8" s="17" t="n">
        <f aca="false">IF(Rankings!F11&lt;=5,1,0)</f>
        <v>1</v>
      </c>
      <c r="G8" s="17" t="n">
        <f aca="false">IF(Rankings!G11&lt;=5,1,0)</f>
        <v>1</v>
      </c>
      <c r="H8" s="17" t="n">
        <f aca="false">IF(Rankings!H11&lt;=5,1,0)</f>
        <v>1</v>
      </c>
      <c r="I8" s="17" t="n">
        <f aca="false">IF(Rankings!I11&lt;=5,1,0)</f>
        <v>0</v>
      </c>
      <c r="J8" s="17" t="n">
        <f aca="false">IF(Rankings!J11&lt;=5,1,0)</f>
        <v>1</v>
      </c>
      <c r="K8" s="20" t="n">
        <f aca="false">SUM(C8:J8)</f>
        <v>5</v>
      </c>
      <c r="L8" s="16" t="n">
        <f aca="false">SUMPRODUCT(C8:J8,Returns!B12:I12)/K8</f>
        <v>-0.0254700688336249</v>
      </c>
      <c r="M8" s="16" t="n">
        <v>0</v>
      </c>
      <c r="N8" s="16" t="n">
        <v>0</v>
      </c>
      <c r="O8" s="16" t="n">
        <f aca="false">L8+M8+N8</f>
        <v>-0.0254700688336249</v>
      </c>
      <c r="P8" s="21" t="n">
        <f aca="false">P7*(1+O8)</f>
        <v>0.905283652658217</v>
      </c>
      <c r="Q8" s="21" t="n">
        <f aca="false">MAX($P$5:P8)</f>
        <v>0.947420391097254</v>
      </c>
      <c r="R8" s="16" t="n">
        <f aca="false">P8/Q8-1</f>
        <v>-0.0444752285627256</v>
      </c>
      <c r="S8" s="16" t="n">
        <f aca="false">O8-Benchmark_RF!D8</f>
        <v>-0.03062874046305</v>
      </c>
    </row>
    <row r="9" customFormat="false" ht="15" hidden="false" customHeight="true" outlineLevel="0" collapsed="false">
      <c r="A9" s="1" t="n">
        <v>12</v>
      </c>
      <c r="B9" s="13" t="n">
        <f aca="false">Returns!A13</f>
        <v>42339</v>
      </c>
      <c r="C9" s="17" t="n">
        <f aca="false">IF(Rankings!C11&lt;=5,1,0)</f>
        <v>0</v>
      </c>
      <c r="D9" s="17" t="n">
        <f aca="false">IF(Rankings!D11&lt;=5,1,0)</f>
        <v>1</v>
      </c>
      <c r="E9" s="17" t="n">
        <f aca="false">IF(Rankings!E11&lt;=5,1,0)</f>
        <v>0</v>
      </c>
      <c r="F9" s="17" t="n">
        <f aca="false">IF(Rankings!F11&lt;=5,1,0)</f>
        <v>1</v>
      </c>
      <c r="G9" s="17" t="n">
        <f aca="false">IF(Rankings!G11&lt;=5,1,0)</f>
        <v>1</v>
      </c>
      <c r="H9" s="17" t="n">
        <f aca="false">IF(Rankings!H11&lt;=5,1,0)</f>
        <v>1</v>
      </c>
      <c r="I9" s="17" t="n">
        <f aca="false">IF(Rankings!I11&lt;=5,1,0)</f>
        <v>0</v>
      </c>
      <c r="J9" s="17" t="n">
        <f aca="false">IF(Rankings!J11&lt;=5,1,0)</f>
        <v>1</v>
      </c>
      <c r="K9" s="20" t="n">
        <f aca="false">SUM(C9:J9)</f>
        <v>5</v>
      </c>
      <c r="L9" s="16" t="n">
        <f aca="false">SUMPRODUCT(C9:J9,Returns!B13:I13)/K9</f>
        <v>0.0858523048034645</v>
      </c>
      <c r="M9" s="16" t="n">
        <v>0</v>
      </c>
      <c r="N9" s="16" t="n">
        <v>0</v>
      </c>
      <c r="O9" s="16" t="n">
        <f aca="false">L9+M9+N9</f>
        <v>0.0858523048034645</v>
      </c>
      <c r="P9" s="21" t="n">
        <f aca="false">P8*(1+O9)</f>
        <v>0.983004340739824</v>
      </c>
      <c r="Q9" s="21" t="n">
        <f aca="false">MAX($P$5:P9)</f>
        <v>0.983004340739824</v>
      </c>
      <c r="R9" s="16" t="n">
        <f aca="false">P9/Q9-1</f>
        <v>0</v>
      </c>
      <c r="S9" s="16" t="n">
        <f aca="false">O9-Benchmark_RF!D9</f>
        <v>0.0807185996061943</v>
      </c>
    </row>
    <row r="10" customFormat="false" ht="15" hidden="false" customHeight="true" outlineLevel="0" collapsed="false">
      <c r="A10" s="1" t="n">
        <v>13</v>
      </c>
      <c r="B10" s="13" t="n">
        <f aca="false">Returns!A14</f>
        <v>42370</v>
      </c>
      <c r="C10" s="17" t="n">
        <f aca="false">IF(Rankings!C11&lt;=5,1,0)</f>
        <v>0</v>
      </c>
      <c r="D10" s="17" t="n">
        <f aca="false">IF(Rankings!D11&lt;=5,1,0)</f>
        <v>1</v>
      </c>
      <c r="E10" s="17" t="n">
        <f aca="false">IF(Rankings!E11&lt;=5,1,0)</f>
        <v>0</v>
      </c>
      <c r="F10" s="17" t="n">
        <f aca="false">IF(Rankings!F11&lt;=5,1,0)</f>
        <v>1</v>
      </c>
      <c r="G10" s="17" t="n">
        <f aca="false">IF(Rankings!G11&lt;=5,1,0)</f>
        <v>1</v>
      </c>
      <c r="H10" s="17" t="n">
        <f aca="false">IF(Rankings!H11&lt;=5,1,0)</f>
        <v>1</v>
      </c>
      <c r="I10" s="17" t="n">
        <f aca="false">IF(Rankings!I11&lt;=5,1,0)</f>
        <v>0</v>
      </c>
      <c r="J10" s="17" t="n">
        <f aca="false">IF(Rankings!J11&lt;=5,1,0)</f>
        <v>1</v>
      </c>
      <c r="K10" s="20" t="n">
        <f aca="false">SUM(C10:J10)</f>
        <v>5</v>
      </c>
      <c r="L10" s="16" t="n">
        <f aca="false">SUMPRODUCT(C10:J10,Returns!B14:I14)/K10</f>
        <v>-0.0722842864641417</v>
      </c>
      <c r="M10" s="16" t="n">
        <v>0</v>
      </c>
      <c r="N10" s="16" t="n">
        <v>0</v>
      </c>
      <c r="O10" s="16" t="n">
        <f aca="false">L10+M10+N10</f>
        <v>-0.0722842864641417</v>
      </c>
      <c r="P10" s="21" t="n">
        <f aca="false">P9*(1+O10)</f>
        <v>0.911948573378292</v>
      </c>
      <c r="Q10" s="21" t="n">
        <f aca="false">MAX($P$5:P10)</f>
        <v>0.983004340739824</v>
      </c>
      <c r="R10" s="16" t="n">
        <f aca="false">P10/Q10-1</f>
        <v>-0.0722842864641416</v>
      </c>
      <c r="S10" s="16" t="n">
        <f aca="false">O10-Benchmark_RF!D10</f>
        <v>-0.0772794892202834</v>
      </c>
    </row>
    <row r="11" customFormat="false" ht="15" hidden="false" customHeight="true" outlineLevel="0" collapsed="false">
      <c r="A11" s="1" t="n">
        <v>14</v>
      </c>
      <c r="B11" s="13" t="n">
        <f aca="false">Returns!A15</f>
        <v>42401</v>
      </c>
      <c r="C11" s="17" t="n">
        <f aca="false">IF(Rankings!C17&lt;=5,1,0)</f>
        <v>1</v>
      </c>
      <c r="D11" s="17" t="n">
        <f aca="false">IF(Rankings!D17&lt;=5,1,0)</f>
        <v>1</v>
      </c>
      <c r="E11" s="17" t="n">
        <f aca="false">IF(Rankings!E17&lt;=5,1,0)</f>
        <v>0</v>
      </c>
      <c r="F11" s="17" t="n">
        <f aca="false">IF(Rankings!F17&lt;=5,1,0)</f>
        <v>1</v>
      </c>
      <c r="G11" s="17" t="n">
        <f aca="false">IF(Rankings!G17&lt;=5,1,0)</f>
        <v>0</v>
      </c>
      <c r="H11" s="17" t="n">
        <f aca="false">IF(Rankings!H17&lt;=5,1,0)</f>
        <v>0</v>
      </c>
      <c r="I11" s="17" t="n">
        <f aca="false">IF(Rankings!I17&lt;=5,1,0)</f>
        <v>1</v>
      </c>
      <c r="J11" s="17" t="n">
        <f aca="false">IF(Rankings!J17&lt;=5,1,0)</f>
        <v>1</v>
      </c>
      <c r="K11" s="20" t="n">
        <f aca="false">SUM(C11:J11)</f>
        <v>5</v>
      </c>
      <c r="L11" s="16" t="n">
        <f aca="false">SUMPRODUCT(C11:J11,Returns!B15:I15)/K11</f>
        <v>-0.0260488087107883</v>
      </c>
      <c r="M11" s="16" t="n">
        <f aca="false">-2*Assumptions!$B$13</f>
        <v>-0.007</v>
      </c>
      <c r="N11" s="16" t="n">
        <f aca="false">-Assumptions!$B$16*MAX(0,(1+O5)*(1+O6)*(1+O7)*(1+O8)*(1+O9)*(1+O10)-1)</f>
        <v>-0</v>
      </c>
      <c r="O11" s="16" t="n">
        <f aca="false">L11+M11+N11</f>
        <v>-0.0330488087107883</v>
      </c>
      <c r="P11" s="21" t="n">
        <f aca="false">P10*(1+O11)</f>
        <v>0.881809759422636</v>
      </c>
      <c r="Q11" s="21" t="n">
        <f aca="false">MAX($P$5:P11)</f>
        <v>0.983004340739824</v>
      </c>
      <c r="R11" s="16" t="n">
        <f aca="false">P11/Q11-1</f>
        <v>-0.102944185618781</v>
      </c>
      <c r="S11" s="16" t="n">
        <f aca="false">O11-Benchmark_RF!D11</f>
        <v>-0.0380853398044714</v>
      </c>
    </row>
    <row r="12" customFormat="false" ht="15" hidden="false" customHeight="true" outlineLevel="0" collapsed="false">
      <c r="A12" s="1" t="n">
        <v>15</v>
      </c>
      <c r="B12" s="13" t="n">
        <f aca="false">Returns!A16</f>
        <v>42430</v>
      </c>
      <c r="C12" s="17" t="n">
        <f aca="false">IF(Rankings!C17&lt;=5,1,0)</f>
        <v>1</v>
      </c>
      <c r="D12" s="17" t="n">
        <f aca="false">IF(Rankings!D17&lt;=5,1,0)</f>
        <v>1</v>
      </c>
      <c r="E12" s="17" t="n">
        <f aca="false">IF(Rankings!E17&lt;=5,1,0)</f>
        <v>0</v>
      </c>
      <c r="F12" s="17" t="n">
        <f aca="false">IF(Rankings!F17&lt;=5,1,0)</f>
        <v>1</v>
      </c>
      <c r="G12" s="17" t="n">
        <f aca="false">IF(Rankings!G17&lt;=5,1,0)</f>
        <v>0</v>
      </c>
      <c r="H12" s="17" t="n">
        <f aca="false">IF(Rankings!H17&lt;=5,1,0)</f>
        <v>0</v>
      </c>
      <c r="I12" s="17" t="n">
        <f aca="false">IF(Rankings!I17&lt;=5,1,0)</f>
        <v>1</v>
      </c>
      <c r="J12" s="17" t="n">
        <f aca="false">IF(Rankings!J17&lt;=5,1,0)</f>
        <v>1</v>
      </c>
      <c r="K12" s="20" t="n">
        <f aca="false">SUM(C12:J12)</f>
        <v>5</v>
      </c>
      <c r="L12" s="16" t="n">
        <f aca="false">SUMPRODUCT(C12:J12,Returns!B16:I16)/K12</f>
        <v>0.0832509354472736</v>
      </c>
      <c r="M12" s="16" t="n">
        <v>0</v>
      </c>
      <c r="N12" s="16" t="n">
        <v>0</v>
      </c>
      <c r="O12" s="16" t="n">
        <f aca="false">L12+M12+N12</f>
        <v>0.0832509354472736</v>
      </c>
      <c r="P12" s="21" t="n">
        <f aca="false">P11*(1+O12)</f>
        <v>0.955221246781106</v>
      </c>
      <c r="Q12" s="21" t="n">
        <f aca="false">MAX($P$5:P12)</f>
        <v>0.983004340739824</v>
      </c>
      <c r="R12" s="16" t="n">
        <f aca="false">P12/Q12-1</f>
        <v>-0.0282634499231283</v>
      </c>
      <c r="S12" s="16" t="n">
        <f aca="false">O12-Benchmark_RF!D12</f>
        <v>0.0782494218119517</v>
      </c>
    </row>
    <row r="13" customFormat="false" ht="15" hidden="false" customHeight="true" outlineLevel="0" collapsed="false">
      <c r="A13" s="1" t="n">
        <v>16</v>
      </c>
      <c r="B13" s="13" t="n">
        <f aca="false">Returns!A17</f>
        <v>42461</v>
      </c>
      <c r="C13" s="17" t="n">
        <f aca="false">IF(Rankings!C17&lt;=5,1,0)</f>
        <v>1</v>
      </c>
      <c r="D13" s="17" t="n">
        <f aca="false">IF(Rankings!D17&lt;=5,1,0)</f>
        <v>1</v>
      </c>
      <c r="E13" s="17" t="n">
        <f aca="false">IF(Rankings!E17&lt;=5,1,0)</f>
        <v>0</v>
      </c>
      <c r="F13" s="17" t="n">
        <f aca="false">IF(Rankings!F17&lt;=5,1,0)</f>
        <v>1</v>
      </c>
      <c r="G13" s="17" t="n">
        <f aca="false">IF(Rankings!G17&lt;=5,1,0)</f>
        <v>0</v>
      </c>
      <c r="H13" s="17" t="n">
        <f aca="false">IF(Rankings!H17&lt;=5,1,0)</f>
        <v>0</v>
      </c>
      <c r="I13" s="17" t="n">
        <f aca="false">IF(Rankings!I17&lt;=5,1,0)</f>
        <v>1</v>
      </c>
      <c r="J13" s="17" t="n">
        <f aca="false">IF(Rankings!J17&lt;=5,1,0)</f>
        <v>1</v>
      </c>
      <c r="K13" s="20" t="n">
        <f aca="false">SUM(C13:J13)</f>
        <v>5</v>
      </c>
      <c r="L13" s="16" t="n">
        <f aca="false">SUMPRODUCT(C13:J13,Returns!B17:I17)/K13</f>
        <v>0.0717484558428333</v>
      </c>
      <c r="M13" s="16" t="n">
        <v>0</v>
      </c>
      <c r="N13" s="16" t="n">
        <v>0</v>
      </c>
      <c r="O13" s="16" t="n">
        <f aca="false">L13+M13+N13</f>
        <v>0.0717484558428333</v>
      </c>
      <c r="P13" s="21" t="n">
        <f aca="false">P12*(1+O13)</f>
        <v>1.02375689622592</v>
      </c>
      <c r="Q13" s="21" t="n">
        <f aca="false">MAX($P$5:P13)</f>
        <v>1.02375689622592</v>
      </c>
      <c r="R13" s="16" t="n">
        <f aca="false">P13/Q13-1</f>
        <v>0</v>
      </c>
      <c r="S13" s="16" t="n">
        <f aca="false">O13-Benchmark_RF!D13</f>
        <v>0.0667469422075114</v>
      </c>
    </row>
    <row r="14" customFormat="false" ht="15" hidden="false" customHeight="true" outlineLevel="0" collapsed="false">
      <c r="A14" s="1" t="n">
        <v>17</v>
      </c>
      <c r="B14" s="13" t="n">
        <f aca="false">Returns!A18</f>
        <v>42491</v>
      </c>
      <c r="C14" s="17" t="n">
        <f aca="false">IF(Rankings!C17&lt;=5,1,0)</f>
        <v>1</v>
      </c>
      <c r="D14" s="17" t="n">
        <f aca="false">IF(Rankings!D17&lt;=5,1,0)</f>
        <v>1</v>
      </c>
      <c r="E14" s="17" t="n">
        <f aca="false">IF(Rankings!E17&lt;=5,1,0)</f>
        <v>0</v>
      </c>
      <c r="F14" s="17" t="n">
        <f aca="false">IF(Rankings!F17&lt;=5,1,0)</f>
        <v>1</v>
      </c>
      <c r="G14" s="17" t="n">
        <f aca="false">IF(Rankings!G17&lt;=5,1,0)</f>
        <v>0</v>
      </c>
      <c r="H14" s="17" t="n">
        <f aca="false">IF(Rankings!H17&lt;=5,1,0)</f>
        <v>0</v>
      </c>
      <c r="I14" s="17" t="n">
        <f aca="false">IF(Rankings!I17&lt;=5,1,0)</f>
        <v>1</v>
      </c>
      <c r="J14" s="17" t="n">
        <f aca="false">IF(Rankings!J17&lt;=5,1,0)</f>
        <v>1</v>
      </c>
      <c r="K14" s="20" t="n">
        <f aca="false">SUM(C14:J14)</f>
        <v>5</v>
      </c>
      <c r="L14" s="16" t="n">
        <f aca="false">SUMPRODUCT(C14:J14,Returns!B18:I18)/K14</f>
        <v>0.0222905621147053</v>
      </c>
      <c r="M14" s="16" t="n">
        <v>0</v>
      </c>
      <c r="N14" s="16" t="n">
        <v>0</v>
      </c>
      <c r="O14" s="16" t="n">
        <f aca="false">L14+M14+N14</f>
        <v>0.0222905621147053</v>
      </c>
      <c r="P14" s="21" t="n">
        <f aca="false">P13*(1+O14)</f>
        <v>1.0465770129116</v>
      </c>
      <c r="Q14" s="21" t="n">
        <f aca="false">MAX($P$5:P14)</f>
        <v>1.0465770129116</v>
      </c>
      <c r="R14" s="16" t="n">
        <f aca="false">P14/Q14-1</f>
        <v>0</v>
      </c>
      <c r="S14" s="16" t="n">
        <f aca="false">O14-Benchmark_RF!D14</f>
        <v>0.017432886960786</v>
      </c>
    </row>
    <row r="15" customFormat="false" ht="15" hidden="false" customHeight="true" outlineLevel="0" collapsed="false">
      <c r="A15" s="1" t="n">
        <v>18</v>
      </c>
      <c r="B15" s="13" t="n">
        <f aca="false">Returns!A19</f>
        <v>42522</v>
      </c>
      <c r="C15" s="17" t="n">
        <f aca="false">IF(Rankings!C17&lt;=5,1,0)</f>
        <v>1</v>
      </c>
      <c r="D15" s="17" t="n">
        <f aca="false">IF(Rankings!D17&lt;=5,1,0)</f>
        <v>1</v>
      </c>
      <c r="E15" s="17" t="n">
        <f aca="false">IF(Rankings!E17&lt;=5,1,0)</f>
        <v>0</v>
      </c>
      <c r="F15" s="17" t="n">
        <f aca="false">IF(Rankings!F17&lt;=5,1,0)</f>
        <v>1</v>
      </c>
      <c r="G15" s="17" t="n">
        <f aca="false">IF(Rankings!G17&lt;=5,1,0)</f>
        <v>0</v>
      </c>
      <c r="H15" s="17" t="n">
        <f aca="false">IF(Rankings!H17&lt;=5,1,0)</f>
        <v>0</v>
      </c>
      <c r="I15" s="17" t="n">
        <f aca="false">IF(Rankings!I17&lt;=5,1,0)</f>
        <v>1</v>
      </c>
      <c r="J15" s="17" t="n">
        <f aca="false">IF(Rankings!J17&lt;=5,1,0)</f>
        <v>1</v>
      </c>
      <c r="K15" s="20" t="n">
        <f aca="false">SUM(C15:J15)</f>
        <v>5</v>
      </c>
      <c r="L15" s="16" t="n">
        <f aca="false">SUMPRODUCT(C15:J15,Returns!B19:I19)/K15</f>
        <v>0.0193690060338101</v>
      </c>
      <c r="M15" s="16" t="n">
        <v>0</v>
      </c>
      <c r="N15" s="16" t="n">
        <v>0</v>
      </c>
      <c r="O15" s="16" t="n">
        <f aca="false">L15+M15+N15</f>
        <v>0.0193690060338101</v>
      </c>
      <c r="P15" s="21" t="n">
        <f aca="false">P14*(1+O15)</f>
        <v>1.06684816938953</v>
      </c>
      <c r="Q15" s="21" t="n">
        <f aca="false">MAX($P$5:P15)</f>
        <v>1.06684816938953</v>
      </c>
      <c r="R15" s="16" t="n">
        <f aca="false">P15/Q15-1</f>
        <v>0</v>
      </c>
      <c r="S15" s="16" t="n">
        <f aca="false">O15-Benchmark_RF!D15</f>
        <v>0.0145806468036587</v>
      </c>
    </row>
    <row r="16" customFormat="false" ht="15" hidden="false" customHeight="true" outlineLevel="0" collapsed="false">
      <c r="A16" s="1" t="n">
        <v>19</v>
      </c>
      <c r="B16" s="13" t="n">
        <f aca="false">Returns!A20</f>
        <v>42552</v>
      </c>
      <c r="C16" s="17" t="n">
        <f aca="false">IF(Rankings!C17&lt;=5,1,0)</f>
        <v>1</v>
      </c>
      <c r="D16" s="17" t="n">
        <f aca="false">IF(Rankings!D17&lt;=5,1,0)</f>
        <v>1</v>
      </c>
      <c r="E16" s="17" t="n">
        <f aca="false">IF(Rankings!E17&lt;=5,1,0)</f>
        <v>0</v>
      </c>
      <c r="F16" s="17" t="n">
        <f aca="false">IF(Rankings!F17&lt;=5,1,0)</f>
        <v>1</v>
      </c>
      <c r="G16" s="17" t="n">
        <f aca="false">IF(Rankings!G17&lt;=5,1,0)</f>
        <v>0</v>
      </c>
      <c r="H16" s="17" t="n">
        <f aca="false">IF(Rankings!H17&lt;=5,1,0)</f>
        <v>0</v>
      </c>
      <c r="I16" s="17" t="n">
        <f aca="false">IF(Rankings!I17&lt;=5,1,0)</f>
        <v>1</v>
      </c>
      <c r="J16" s="17" t="n">
        <f aca="false">IF(Rankings!J17&lt;=5,1,0)</f>
        <v>1</v>
      </c>
      <c r="K16" s="20" t="n">
        <f aca="false">SUM(C16:J16)</f>
        <v>5</v>
      </c>
      <c r="L16" s="16" t="n">
        <f aca="false">SUMPRODUCT(C16:J16,Returns!B20:I20)/K16</f>
        <v>0.0462499959269757</v>
      </c>
      <c r="M16" s="16" t="n">
        <v>0</v>
      </c>
      <c r="N16" s="16" t="n">
        <v>0</v>
      </c>
      <c r="O16" s="16" t="n">
        <f aca="false">L16+M16+N16</f>
        <v>0.0462499959269757</v>
      </c>
      <c r="P16" s="21" t="n">
        <f aca="false">P15*(1+O16)</f>
        <v>1.1161898928785</v>
      </c>
      <c r="Q16" s="21" t="n">
        <f aca="false">MAX($P$5:P16)</f>
        <v>1.1161898928785</v>
      </c>
      <c r="R16" s="16" t="n">
        <f aca="false">P16/Q16-1</f>
        <v>0</v>
      </c>
      <c r="S16" s="16" t="n">
        <f aca="false">O16-Benchmark_RF!D16</f>
        <v>0.0415506310152078</v>
      </c>
    </row>
    <row r="17" customFormat="false" ht="15" hidden="false" customHeight="true" outlineLevel="0" collapsed="false">
      <c r="A17" s="1" t="n">
        <v>20</v>
      </c>
      <c r="B17" s="13" t="n">
        <f aca="false">Returns!A21</f>
        <v>42583</v>
      </c>
      <c r="C17" s="17" t="n">
        <f aca="false">IF(Rankings!C23&lt;=5,1,0)</f>
        <v>0</v>
      </c>
      <c r="D17" s="17" t="n">
        <f aca="false">IF(Rankings!D23&lt;=5,1,0)</f>
        <v>0</v>
      </c>
      <c r="E17" s="17" t="n">
        <f aca="false">IF(Rankings!E23&lt;=5,1,0)</f>
        <v>1</v>
      </c>
      <c r="F17" s="17" t="n">
        <f aca="false">IF(Rankings!F23&lt;=5,1,0)</f>
        <v>1</v>
      </c>
      <c r="G17" s="17" t="n">
        <f aca="false">IF(Rankings!G23&lt;=5,1,0)</f>
        <v>0</v>
      </c>
      <c r="H17" s="17" t="n">
        <f aca="false">IF(Rankings!H23&lt;=5,1,0)</f>
        <v>1</v>
      </c>
      <c r="I17" s="17" t="n">
        <f aca="false">IF(Rankings!I23&lt;=5,1,0)</f>
        <v>1</v>
      </c>
      <c r="J17" s="17" t="n">
        <f aca="false">IF(Rankings!J23&lt;=5,1,0)</f>
        <v>1</v>
      </c>
      <c r="K17" s="20" t="n">
        <f aca="false">SUM(C17:J17)</f>
        <v>5</v>
      </c>
      <c r="L17" s="16" t="n">
        <f aca="false">SUMPRODUCT(C17:J17,Returns!B21:I21)/K17</f>
        <v>0.00729340619926251</v>
      </c>
      <c r="M17" s="16" t="n">
        <f aca="false">-2*Assumptions!$B$13</f>
        <v>-0.007</v>
      </c>
      <c r="N17" s="16" t="n">
        <f aca="false">-Assumptions!$B$16*MAX(0,(1+O11)*(1+O12)*(1+O13)*(1+O14)*(1+O15)*(1+O16)-1)</f>
        <v>-0.0335942166251105</v>
      </c>
      <c r="O17" s="16" t="n">
        <f aca="false">L17+M17+N17</f>
        <v>-0.033300810425848</v>
      </c>
      <c r="P17" s="21" t="n">
        <f aca="false">P16*(1+O17)</f>
        <v>1.0790198648565</v>
      </c>
      <c r="Q17" s="21" t="n">
        <f aca="false">MAX($P$5:P17)</f>
        <v>1.1161898928785</v>
      </c>
      <c r="R17" s="16" t="n">
        <f aca="false">P17/Q17-1</f>
        <v>-0.033300810425848</v>
      </c>
      <c r="S17" s="16" t="n">
        <f aca="false">O17-Benchmark_RF!D17</f>
        <v>-0.0380576953544351</v>
      </c>
    </row>
    <row r="18" customFormat="false" ht="15" hidden="false" customHeight="true" outlineLevel="0" collapsed="false">
      <c r="A18" s="1" t="n">
        <v>21</v>
      </c>
      <c r="B18" s="13" t="n">
        <f aca="false">Returns!A22</f>
        <v>42614</v>
      </c>
      <c r="C18" s="17" t="n">
        <f aca="false">IF(Rankings!C23&lt;=5,1,0)</f>
        <v>0</v>
      </c>
      <c r="D18" s="17" t="n">
        <f aca="false">IF(Rankings!D23&lt;=5,1,0)</f>
        <v>0</v>
      </c>
      <c r="E18" s="17" t="n">
        <f aca="false">IF(Rankings!E23&lt;=5,1,0)</f>
        <v>1</v>
      </c>
      <c r="F18" s="17" t="n">
        <f aca="false">IF(Rankings!F23&lt;=5,1,0)</f>
        <v>1</v>
      </c>
      <c r="G18" s="17" t="n">
        <f aca="false">IF(Rankings!G23&lt;=5,1,0)</f>
        <v>0</v>
      </c>
      <c r="H18" s="17" t="n">
        <f aca="false">IF(Rankings!H23&lt;=5,1,0)</f>
        <v>1</v>
      </c>
      <c r="I18" s="17" t="n">
        <f aca="false">IF(Rankings!I23&lt;=5,1,0)</f>
        <v>1</v>
      </c>
      <c r="J18" s="17" t="n">
        <f aca="false">IF(Rankings!J23&lt;=5,1,0)</f>
        <v>1</v>
      </c>
      <c r="K18" s="20" t="n">
        <f aca="false">SUM(C18:J18)</f>
        <v>5</v>
      </c>
      <c r="L18" s="16" t="n">
        <f aca="false">SUMPRODUCT(C18:J18,Returns!B22:I22)/K18</f>
        <v>0.087712388664118</v>
      </c>
      <c r="M18" s="16" t="n">
        <v>0</v>
      </c>
      <c r="N18" s="16" t="n">
        <v>0</v>
      </c>
      <c r="O18" s="16" t="n">
        <f aca="false">L18+M18+N18</f>
        <v>0.087712388664118</v>
      </c>
      <c r="P18" s="21" t="n">
        <f aca="false">P17*(1+O18)</f>
        <v>1.1736632746191</v>
      </c>
      <c r="Q18" s="21" t="n">
        <f aca="false">MAX($P$5:P18)</f>
        <v>1.1736632746191</v>
      </c>
      <c r="R18" s="16" t="n">
        <f aca="false">P18/Q18-1</f>
        <v>0</v>
      </c>
      <c r="S18" s="16" t="n">
        <f aca="false">O18-Benchmark_RF!D18</f>
        <v>0.0829555037355309</v>
      </c>
    </row>
    <row r="19" customFormat="false" ht="15" hidden="false" customHeight="true" outlineLevel="0" collapsed="false">
      <c r="A19" s="1" t="n">
        <v>22</v>
      </c>
      <c r="B19" s="13" t="n">
        <f aca="false">Returns!A23</f>
        <v>42644</v>
      </c>
      <c r="C19" s="17" t="n">
        <f aca="false">IF(Rankings!C23&lt;=5,1,0)</f>
        <v>0</v>
      </c>
      <c r="D19" s="17" t="n">
        <f aca="false">IF(Rankings!D23&lt;=5,1,0)</f>
        <v>0</v>
      </c>
      <c r="E19" s="17" t="n">
        <f aca="false">IF(Rankings!E23&lt;=5,1,0)</f>
        <v>1</v>
      </c>
      <c r="F19" s="17" t="n">
        <f aca="false">IF(Rankings!F23&lt;=5,1,0)</f>
        <v>1</v>
      </c>
      <c r="G19" s="17" t="n">
        <f aca="false">IF(Rankings!G23&lt;=5,1,0)</f>
        <v>0</v>
      </c>
      <c r="H19" s="17" t="n">
        <f aca="false">IF(Rankings!H23&lt;=5,1,0)</f>
        <v>1</v>
      </c>
      <c r="I19" s="17" t="n">
        <f aca="false">IF(Rankings!I23&lt;=5,1,0)</f>
        <v>1</v>
      </c>
      <c r="J19" s="17" t="n">
        <f aca="false">IF(Rankings!J23&lt;=5,1,0)</f>
        <v>1</v>
      </c>
      <c r="K19" s="20" t="n">
        <f aca="false">SUM(C19:J19)</f>
        <v>5</v>
      </c>
      <c r="L19" s="16" t="n">
        <f aca="false">SUMPRODUCT(C19:J19,Returns!B23:I23)/K19</f>
        <v>0.055321812020397</v>
      </c>
      <c r="M19" s="16" t="n">
        <v>0</v>
      </c>
      <c r="N19" s="16" t="n">
        <v>0</v>
      </c>
      <c r="O19" s="16" t="n">
        <f aca="false">L19+M19+N19</f>
        <v>0.055321812020397</v>
      </c>
      <c r="P19" s="21" t="n">
        <f aca="false">P18*(1+O19)</f>
        <v>1.23859245367282</v>
      </c>
      <c r="Q19" s="21" t="n">
        <f aca="false">MAX($P$5:P19)</f>
        <v>1.23859245367282</v>
      </c>
      <c r="R19" s="16" t="n">
        <f aca="false">P19/Q19-1</f>
        <v>0</v>
      </c>
      <c r="S19" s="16" t="n">
        <f aca="false">O19-Benchmark_RF!D19</f>
        <v>0.0505491095042544</v>
      </c>
    </row>
    <row r="20" customFormat="false" ht="15" hidden="false" customHeight="true" outlineLevel="0" collapsed="false">
      <c r="A20" s="1" t="n">
        <v>23</v>
      </c>
      <c r="B20" s="13" t="n">
        <f aca="false">Returns!A24</f>
        <v>42675</v>
      </c>
      <c r="C20" s="17" t="n">
        <f aca="false">IF(Rankings!C23&lt;=5,1,0)</f>
        <v>0</v>
      </c>
      <c r="D20" s="17" t="n">
        <f aca="false">IF(Rankings!D23&lt;=5,1,0)</f>
        <v>0</v>
      </c>
      <c r="E20" s="17" t="n">
        <f aca="false">IF(Rankings!E23&lt;=5,1,0)</f>
        <v>1</v>
      </c>
      <c r="F20" s="17" t="n">
        <f aca="false">IF(Rankings!F23&lt;=5,1,0)</f>
        <v>1</v>
      </c>
      <c r="G20" s="17" t="n">
        <f aca="false">IF(Rankings!G23&lt;=5,1,0)</f>
        <v>0</v>
      </c>
      <c r="H20" s="17" t="n">
        <f aca="false">IF(Rankings!H23&lt;=5,1,0)</f>
        <v>1</v>
      </c>
      <c r="I20" s="17" t="n">
        <f aca="false">IF(Rankings!I23&lt;=5,1,0)</f>
        <v>1</v>
      </c>
      <c r="J20" s="17" t="n">
        <f aca="false">IF(Rankings!J23&lt;=5,1,0)</f>
        <v>1</v>
      </c>
      <c r="K20" s="20" t="n">
        <f aca="false">SUM(C20:J20)</f>
        <v>5</v>
      </c>
      <c r="L20" s="16" t="n">
        <f aca="false">SUMPRODUCT(C20:J20,Returns!B24:I24)/K20</f>
        <v>0.106189487708167</v>
      </c>
      <c r="M20" s="16" t="n">
        <v>0</v>
      </c>
      <c r="N20" s="16" t="n">
        <v>0</v>
      </c>
      <c r="O20" s="16" t="n">
        <f aca="false">L20+M20+N20</f>
        <v>0.106189487708167</v>
      </c>
      <c r="P20" s="21" t="n">
        <f aca="false">P19*(1+O20)</f>
        <v>1.37011795180754</v>
      </c>
      <c r="Q20" s="21" t="n">
        <f aca="false">MAX($P$5:P20)</f>
        <v>1.37011795180754</v>
      </c>
      <c r="R20" s="16" t="n">
        <f aca="false">P20/Q20-1</f>
        <v>0</v>
      </c>
      <c r="S20" s="16" t="n">
        <f aca="false">O20-Benchmark_RF!D20</f>
        <v>0.10136144519563</v>
      </c>
    </row>
    <row r="21" customFormat="false" ht="15" hidden="false" customHeight="true" outlineLevel="0" collapsed="false">
      <c r="A21" s="1" t="n">
        <v>24</v>
      </c>
      <c r="B21" s="13" t="n">
        <f aca="false">Returns!A25</f>
        <v>42705</v>
      </c>
      <c r="C21" s="17" t="n">
        <f aca="false">IF(Rankings!C23&lt;=5,1,0)</f>
        <v>0</v>
      </c>
      <c r="D21" s="17" t="n">
        <f aca="false">IF(Rankings!D23&lt;=5,1,0)</f>
        <v>0</v>
      </c>
      <c r="E21" s="17" t="n">
        <f aca="false">IF(Rankings!E23&lt;=5,1,0)</f>
        <v>1</v>
      </c>
      <c r="F21" s="17" t="n">
        <f aca="false">IF(Rankings!F23&lt;=5,1,0)</f>
        <v>1</v>
      </c>
      <c r="G21" s="17" t="n">
        <f aca="false">IF(Rankings!G23&lt;=5,1,0)</f>
        <v>0</v>
      </c>
      <c r="H21" s="17" t="n">
        <f aca="false">IF(Rankings!H23&lt;=5,1,0)</f>
        <v>1</v>
      </c>
      <c r="I21" s="17" t="n">
        <f aca="false">IF(Rankings!I23&lt;=5,1,0)</f>
        <v>1</v>
      </c>
      <c r="J21" s="17" t="n">
        <f aca="false">IF(Rankings!J23&lt;=5,1,0)</f>
        <v>1</v>
      </c>
      <c r="K21" s="20" t="n">
        <f aca="false">SUM(C21:J21)</f>
        <v>5</v>
      </c>
      <c r="L21" s="16" t="n">
        <f aca="false">SUMPRODUCT(C21:J21,Returns!B25:I25)/K21</f>
        <v>0.0787252272397067</v>
      </c>
      <c r="M21" s="16" t="n">
        <v>0</v>
      </c>
      <c r="N21" s="16" t="n">
        <v>0</v>
      </c>
      <c r="O21" s="16" t="n">
        <f aca="false">L21+M21+N21</f>
        <v>0.0787252272397067</v>
      </c>
      <c r="P21" s="21" t="n">
        <f aca="false">P20*(1+O21)</f>
        <v>1.47798079890879</v>
      </c>
      <c r="Q21" s="21" t="n">
        <f aca="false">MAX($P$5:P21)</f>
        <v>1.47798079890879</v>
      </c>
      <c r="R21" s="16" t="n">
        <f aca="false">P21/Q21-1</f>
        <v>0</v>
      </c>
      <c r="S21" s="16" t="n">
        <f aca="false">O21-Benchmark_RF!D21</f>
        <v>0.0738854095400671</v>
      </c>
    </row>
    <row r="22" customFormat="false" ht="15" hidden="false" customHeight="true" outlineLevel="0" collapsed="false">
      <c r="A22" s="1" t="n">
        <v>25</v>
      </c>
      <c r="B22" s="13" t="n">
        <f aca="false">Returns!A26</f>
        <v>42736</v>
      </c>
      <c r="C22" s="17" t="n">
        <f aca="false">IF(Rankings!C23&lt;=5,1,0)</f>
        <v>0</v>
      </c>
      <c r="D22" s="17" t="n">
        <f aca="false">IF(Rankings!D23&lt;=5,1,0)</f>
        <v>0</v>
      </c>
      <c r="E22" s="17" t="n">
        <f aca="false">IF(Rankings!E23&lt;=5,1,0)</f>
        <v>1</v>
      </c>
      <c r="F22" s="17" t="n">
        <f aca="false">IF(Rankings!F23&lt;=5,1,0)</f>
        <v>1</v>
      </c>
      <c r="G22" s="17" t="n">
        <f aca="false">IF(Rankings!G23&lt;=5,1,0)</f>
        <v>0</v>
      </c>
      <c r="H22" s="17" t="n">
        <f aca="false">IF(Rankings!H23&lt;=5,1,0)</f>
        <v>1</v>
      </c>
      <c r="I22" s="17" t="n">
        <f aca="false">IF(Rankings!I23&lt;=5,1,0)</f>
        <v>1</v>
      </c>
      <c r="J22" s="17" t="n">
        <f aca="false">IF(Rankings!J23&lt;=5,1,0)</f>
        <v>1</v>
      </c>
      <c r="K22" s="20" t="n">
        <f aca="false">SUM(C22:J22)</f>
        <v>5</v>
      </c>
      <c r="L22" s="16" t="n">
        <f aca="false">SUMPRODUCT(C22:J22,Returns!B26:I26)/K22</f>
        <v>0.0160962371340665</v>
      </c>
      <c r="M22" s="16" t="n">
        <v>0</v>
      </c>
      <c r="N22" s="16" t="n">
        <v>0</v>
      </c>
      <c r="O22" s="16" t="n">
        <f aca="false">L22+M22+N22</f>
        <v>0.0160962371340665</v>
      </c>
      <c r="P22" s="21" t="n">
        <f aca="false">P21*(1+O22)</f>
        <v>1.50177072832762</v>
      </c>
      <c r="Q22" s="21" t="n">
        <f aca="false">MAX($P$5:P22)</f>
        <v>1.50177072832762</v>
      </c>
      <c r="R22" s="16" t="n">
        <f aca="false">P22/Q22-1</f>
        <v>0</v>
      </c>
      <c r="S22" s="16" t="n">
        <f aca="false">O22-Benchmark_RF!D22</f>
        <v>0.0113218739301215</v>
      </c>
    </row>
    <row r="23" customFormat="false" ht="15" hidden="false" customHeight="true" outlineLevel="0" collapsed="false">
      <c r="A23" s="1" t="n">
        <v>26</v>
      </c>
      <c r="B23" s="13" t="n">
        <f aca="false">Returns!A27</f>
        <v>42767</v>
      </c>
      <c r="C23" s="17" t="n">
        <f aca="false">IF(Rankings!C29&lt;=5,1,0)</f>
        <v>1</v>
      </c>
      <c r="D23" s="17" t="n">
        <f aca="false">IF(Rankings!D29&lt;=5,1,0)</f>
        <v>0</v>
      </c>
      <c r="E23" s="17" t="n">
        <f aca="false">IF(Rankings!E29&lt;=5,1,0)</f>
        <v>0</v>
      </c>
      <c r="F23" s="17" t="n">
        <f aca="false">IF(Rankings!F29&lt;=5,1,0)</f>
        <v>1</v>
      </c>
      <c r="G23" s="17" t="n">
        <f aca="false">IF(Rankings!G29&lt;=5,1,0)</f>
        <v>0</v>
      </c>
      <c r="H23" s="17" t="n">
        <f aca="false">IF(Rankings!H29&lt;=5,1,0)</f>
        <v>1</v>
      </c>
      <c r="I23" s="17" t="n">
        <f aca="false">IF(Rankings!I29&lt;=5,1,0)</f>
        <v>1</v>
      </c>
      <c r="J23" s="17" t="n">
        <f aca="false">IF(Rankings!J29&lt;=5,1,0)</f>
        <v>1</v>
      </c>
      <c r="K23" s="20" t="n">
        <f aca="false">SUM(C23:J23)</f>
        <v>5</v>
      </c>
      <c r="L23" s="16" t="n">
        <f aca="false">SUMPRODUCT(C23:J23,Returns!B27:I27)/K23</f>
        <v>-0.0288965327970376</v>
      </c>
      <c r="M23" s="16" t="n">
        <f aca="false">-2*Assumptions!$B$13</f>
        <v>-0.007</v>
      </c>
      <c r="N23" s="16" t="n">
        <f aca="false">-Assumptions!$B$16*MAX(0,(1+O17)*(1+O18)*(1+O19)*(1+O20)*(1+O21)*(1+O22)-1)</f>
        <v>-0.0518165642659737</v>
      </c>
      <c r="O23" s="16" t="n">
        <f aca="false">L23+M23+N23</f>
        <v>-0.0877130970630114</v>
      </c>
      <c r="P23" s="21" t="n">
        <f aca="false">P22*(1+O23)</f>
        <v>1.37004576666743</v>
      </c>
      <c r="Q23" s="21" t="n">
        <f aca="false">MAX($P$5:P23)</f>
        <v>1.50177072832762</v>
      </c>
      <c r="R23" s="16" t="n">
        <f aca="false">P23/Q23-1</f>
        <v>-0.0877130970630113</v>
      </c>
      <c r="S23" s="16" t="n">
        <f aca="false">O23-Benchmark_RF!D23</f>
        <v>-0.0925345795848141</v>
      </c>
    </row>
    <row r="24" customFormat="false" ht="15" hidden="false" customHeight="true" outlineLevel="0" collapsed="false">
      <c r="A24" s="1" t="n">
        <v>27</v>
      </c>
      <c r="B24" s="13" t="n">
        <f aca="false">Returns!A28</f>
        <v>42795</v>
      </c>
      <c r="C24" s="17" t="n">
        <f aca="false">IF(Rankings!C29&lt;=5,1,0)</f>
        <v>1</v>
      </c>
      <c r="D24" s="17" t="n">
        <f aca="false">IF(Rankings!D29&lt;=5,1,0)</f>
        <v>0</v>
      </c>
      <c r="E24" s="17" t="n">
        <f aca="false">IF(Rankings!E29&lt;=5,1,0)</f>
        <v>0</v>
      </c>
      <c r="F24" s="17" t="n">
        <f aca="false">IF(Rankings!F29&lt;=5,1,0)</f>
        <v>1</v>
      </c>
      <c r="G24" s="17" t="n">
        <f aca="false">IF(Rankings!G29&lt;=5,1,0)</f>
        <v>0</v>
      </c>
      <c r="H24" s="17" t="n">
        <f aca="false">IF(Rankings!H29&lt;=5,1,0)</f>
        <v>1</v>
      </c>
      <c r="I24" s="17" t="n">
        <f aca="false">IF(Rankings!I29&lt;=5,1,0)</f>
        <v>1</v>
      </c>
      <c r="J24" s="17" t="n">
        <f aca="false">IF(Rankings!J29&lt;=5,1,0)</f>
        <v>1</v>
      </c>
      <c r="K24" s="20" t="n">
        <f aca="false">SUM(C24:J24)</f>
        <v>5</v>
      </c>
      <c r="L24" s="16" t="n">
        <f aca="false">SUMPRODUCT(C24:J24,Returns!B28:I28)/K24</f>
        <v>0.0150820694477144</v>
      </c>
      <c r="M24" s="16" t="n">
        <v>0</v>
      </c>
      <c r="N24" s="16" t="n">
        <v>0</v>
      </c>
      <c r="O24" s="16" t="n">
        <f aca="false">L24+M24+N24</f>
        <v>0.0150820694477144</v>
      </c>
      <c r="P24" s="21" t="n">
        <f aca="false">P23*(1+O24)</f>
        <v>1.39070889206686</v>
      </c>
      <c r="Q24" s="21" t="n">
        <f aca="false">MAX($P$5:P24)</f>
        <v>1.50177072832762</v>
      </c>
      <c r="R24" s="16" t="n">
        <f aca="false">P24/Q24-1</f>
        <v>-0.0739539226366752</v>
      </c>
      <c r="S24" s="16" t="n">
        <f aca="false">O24-Benchmark_RF!D24</f>
        <v>0.0102367993232428</v>
      </c>
    </row>
    <row r="25" customFormat="false" ht="15" hidden="false" customHeight="true" outlineLevel="0" collapsed="false">
      <c r="A25" s="1" t="n">
        <v>28</v>
      </c>
      <c r="B25" s="13" t="n">
        <f aca="false">Returns!A29</f>
        <v>42826</v>
      </c>
      <c r="C25" s="17" t="n">
        <f aca="false">IF(Rankings!C29&lt;=5,1,0)</f>
        <v>1</v>
      </c>
      <c r="D25" s="17" t="n">
        <f aca="false">IF(Rankings!D29&lt;=5,1,0)</f>
        <v>0</v>
      </c>
      <c r="E25" s="17" t="n">
        <f aca="false">IF(Rankings!E29&lt;=5,1,0)</f>
        <v>0</v>
      </c>
      <c r="F25" s="17" t="n">
        <f aca="false">IF(Rankings!F29&lt;=5,1,0)</f>
        <v>1</v>
      </c>
      <c r="G25" s="17" t="n">
        <f aca="false">IF(Rankings!G29&lt;=5,1,0)</f>
        <v>0</v>
      </c>
      <c r="H25" s="17" t="n">
        <f aca="false">IF(Rankings!H29&lt;=5,1,0)</f>
        <v>1</v>
      </c>
      <c r="I25" s="17" t="n">
        <f aca="false">IF(Rankings!I29&lt;=5,1,0)</f>
        <v>1</v>
      </c>
      <c r="J25" s="17" t="n">
        <f aca="false">IF(Rankings!J29&lt;=5,1,0)</f>
        <v>1</v>
      </c>
      <c r="K25" s="20" t="n">
        <f aca="false">SUM(C25:J25)</f>
        <v>5</v>
      </c>
      <c r="L25" s="16" t="n">
        <f aca="false">SUMPRODUCT(C25:J25,Returns!B29:I29)/K25</f>
        <v>0.0472654040859863</v>
      </c>
      <c r="M25" s="16" t="n">
        <v>0</v>
      </c>
      <c r="N25" s="16" t="n">
        <v>0</v>
      </c>
      <c r="O25" s="16" t="n">
        <f aca="false">L25+M25+N25</f>
        <v>0.0472654040859863</v>
      </c>
      <c r="P25" s="21" t="n">
        <f aca="false">P24*(1+O25)</f>
        <v>1.45644130981637</v>
      </c>
      <c r="Q25" s="21" t="n">
        <f aca="false">MAX($P$5:P25)</f>
        <v>1.50177072832762</v>
      </c>
      <c r="R25" s="16" t="n">
        <f aca="false">P25/Q25-1</f>
        <v>-0.0301839805878551</v>
      </c>
      <c r="S25" s="16" t="n">
        <f aca="false">O25-Benchmark_RF!D25</f>
        <v>0.042409625133231</v>
      </c>
    </row>
    <row r="26" customFormat="false" ht="15" hidden="false" customHeight="true" outlineLevel="0" collapsed="false">
      <c r="A26" s="1" t="n">
        <v>29</v>
      </c>
      <c r="B26" s="13" t="n">
        <f aca="false">Returns!A30</f>
        <v>42856</v>
      </c>
      <c r="C26" s="17" t="n">
        <f aca="false">IF(Rankings!C29&lt;=5,1,0)</f>
        <v>1</v>
      </c>
      <c r="D26" s="17" t="n">
        <f aca="false">IF(Rankings!D29&lt;=5,1,0)</f>
        <v>0</v>
      </c>
      <c r="E26" s="17" t="n">
        <f aca="false">IF(Rankings!E29&lt;=5,1,0)</f>
        <v>0</v>
      </c>
      <c r="F26" s="17" t="n">
        <f aca="false">IF(Rankings!F29&lt;=5,1,0)</f>
        <v>1</v>
      </c>
      <c r="G26" s="17" t="n">
        <f aca="false">IF(Rankings!G29&lt;=5,1,0)</f>
        <v>0</v>
      </c>
      <c r="H26" s="17" t="n">
        <f aca="false">IF(Rankings!H29&lt;=5,1,0)</f>
        <v>1</v>
      </c>
      <c r="I26" s="17" t="n">
        <f aca="false">IF(Rankings!I29&lt;=5,1,0)</f>
        <v>1</v>
      </c>
      <c r="J26" s="17" t="n">
        <f aca="false">IF(Rankings!J29&lt;=5,1,0)</f>
        <v>1</v>
      </c>
      <c r="K26" s="20" t="n">
        <f aca="false">SUM(C26:J26)</f>
        <v>5</v>
      </c>
      <c r="L26" s="16" t="n">
        <f aca="false">SUMPRODUCT(C26:J26,Returns!B30:I30)/K26</f>
        <v>0.19113531122947</v>
      </c>
      <c r="M26" s="16" t="n">
        <v>0</v>
      </c>
      <c r="N26" s="16" t="n">
        <v>0</v>
      </c>
      <c r="O26" s="16" t="n">
        <f aca="false">L26+M26+N26</f>
        <v>0.19113531122947</v>
      </c>
      <c r="P26" s="21" t="n">
        <f aca="false">P25*(1+O26)</f>
        <v>1.73481867285558</v>
      </c>
      <c r="Q26" s="21" t="n">
        <f aca="false">MAX($P$5:P26)</f>
        <v>1.73481867285558</v>
      </c>
      <c r="R26" s="16" t="n">
        <f aca="false">P26/Q26-1</f>
        <v>0</v>
      </c>
      <c r="S26" s="16" t="n">
        <f aca="false">O26-Benchmark_RF!D26</f>
        <v>0.186279532276714</v>
      </c>
    </row>
    <row r="27" customFormat="false" ht="15" hidden="false" customHeight="true" outlineLevel="0" collapsed="false">
      <c r="A27" s="1" t="n">
        <v>30</v>
      </c>
      <c r="B27" s="13" t="n">
        <f aca="false">Returns!A31</f>
        <v>42887</v>
      </c>
      <c r="C27" s="17" t="n">
        <f aca="false">IF(Rankings!C29&lt;=5,1,0)</f>
        <v>1</v>
      </c>
      <c r="D27" s="17" t="n">
        <f aca="false">IF(Rankings!D29&lt;=5,1,0)</f>
        <v>0</v>
      </c>
      <c r="E27" s="17" t="n">
        <f aca="false">IF(Rankings!E29&lt;=5,1,0)</f>
        <v>0</v>
      </c>
      <c r="F27" s="17" t="n">
        <f aca="false">IF(Rankings!F29&lt;=5,1,0)</f>
        <v>1</v>
      </c>
      <c r="G27" s="17" t="n">
        <f aca="false">IF(Rankings!G29&lt;=5,1,0)</f>
        <v>0</v>
      </c>
      <c r="H27" s="17" t="n">
        <f aca="false">IF(Rankings!H29&lt;=5,1,0)</f>
        <v>1</v>
      </c>
      <c r="I27" s="17" t="n">
        <f aca="false">IF(Rankings!I29&lt;=5,1,0)</f>
        <v>1</v>
      </c>
      <c r="J27" s="17" t="n">
        <f aca="false">IF(Rankings!J29&lt;=5,1,0)</f>
        <v>1</v>
      </c>
      <c r="K27" s="20" t="n">
        <f aca="false">SUM(C27:J27)</f>
        <v>5</v>
      </c>
      <c r="L27" s="16" t="n">
        <f aca="false">SUMPRODUCT(C27:J27,Returns!B31:I31)/K27</f>
        <v>-0.0237795513188566</v>
      </c>
      <c r="M27" s="16" t="n">
        <v>0</v>
      </c>
      <c r="N27" s="16" t="n">
        <v>0</v>
      </c>
      <c r="O27" s="16" t="n">
        <f aca="false">L27+M27+N27</f>
        <v>-0.0237795513188566</v>
      </c>
      <c r="P27" s="21" t="n">
        <f aca="false">P26*(1+O27)</f>
        <v>1.6935654631955</v>
      </c>
      <c r="Q27" s="21" t="n">
        <f aca="false">MAX($P$5:P27)</f>
        <v>1.73481867285558</v>
      </c>
      <c r="R27" s="16" t="n">
        <f aca="false">P27/Q27-1</f>
        <v>-0.0237795513188566</v>
      </c>
      <c r="S27" s="16" t="n">
        <f aca="false">O27-Benchmark_RF!D27</f>
        <v>-0.0286399916955873</v>
      </c>
    </row>
    <row r="28" customFormat="false" ht="15" hidden="false" customHeight="true" outlineLevel="0" collapsed="false">
      <c r="A28" s="1" t="n">
        <v>31</v>
      </c>
      <c r="B28" s="13" t="n">
        <f aca="false">Returns!A32</f>
        <v>42917</v>
      </c>
      <c r="C28" s="17" t="n">
        <f aca="false">IF(Rankings!C29&lt;=5,1,0)</f>
        <v>1</v>
      </c>
      <c r="D28" s="17" t="n">
        <f aca="false">IF(Rankings!D29&lt;=5,1,0)</f>
        <v>0</v>
      </c>
      <c r="E28" s="17" t="n">
        <f aca="false">IF(Rankings!E29&lt;=5,1,0)</f>
        <v>0</v>
      </c>
      <c r="F28" s="17" t="n">
        <f aca="false">IF(Rankings!F29&lt;=5,1,0)</f>
        <v>1</v>
      </c>
      <c r="G28" s="17" t="n">
        <f aca="false">IF(Rankings!G29&lt;=5,1,0)</f>
        <v>0</v>
      </c>
      <c r="H28" s="17" t="n">
        <f aca="false">IF(Rankings!H29&lt;=5,1,0)</f>
        <v>1</v>
      </c>
      <c r="I28" s="17" t="n">
        <f aca="false">IF(Rankings!I29&lt;=5,1,0)</f>
        <v>1</v>
      </c>
      <c r="J28" s="17" t="n">
        <f aca="false">IF(Rankings!J29&lt;=5,1,0)</f>
        <v>1</v>
      </c>
      <c r="K28" s="20" t="n">
        <f aca="false">SUM(C28:J28)</f>
        <v>5</v>
      </c>
      <c r="L28" s="16" t="n">
        <f aca="false">SUMPRODUCT(C28:J28,Returns!B32:I32)/K28</f>
        <v>-0.000120211699748829</v>
      </c>
      <c r="M28" s="16" t="n">
        <v>0</v>
      </c>
      <c r="N28" s="16" t="n">
        <v>0</v>
      </c>
      <c r="O28" s="16" t="n">
        <f aca="false">L28+M28+N28</f>
        <v>-0.000120211699748829</v>
      </c>
      <c r="P28" s="21" t="n">
        <f aca="false">P27*(1+O28)</f>
        <v>1.69336187681254</v>
      </c>
      <c r="Q28" s="21" t="n">
        <f aca="false">MAX($P$5:P28)</f>
        <v>1.73481867285558</v>
      </c>
      <c r="R28" s="16" t="n">
        <f aca="false">P28/Q28-1</f>
        <v>-0.023896904438322</v>
      </c>
      <c r="S28" s="16" t="n">
        <f aca="false">O28-Benchmark_RF!D28</f>
        <v>-0.00498057307127517</v>
      </c>
    </row>
    <row r="29" customFormat="false" ht="15" hidden="false" customHeight="true" outlineLevel="0" collapsed="false">
      <c r="A29" s="1" t="n">
        <v>32</v>
      </c>
      <c r="B29" s="13" t="n">
        <f aca="false">Returns!A33</f>
        <v>42948</v>
      </c>
      <c r="C29" s="17" t="n">
        <f aca="false">IF(Rankings!C35&lt;=5,1,0)</f>
        <v>1</v>
      </c>
      <c r="D29" s="17" t="n">
        <f aca="false">IF(Rankings!D35&lt;=5,1,0)</f>
        <v>0</v>
      </c>
      <c r="E29" s="17" t="n">
        <f aca="false">IF(Rankings!E35&lt;=5,1,0)</f>
        <v>1</v>
      </c>
      <c r="F29" s="17" t="n">
        <f aca="false">IF(Rankings!F35&lt;=5,1,0)</f>
        <v>0</v>
      </c>
      <c r="G29" s="17" t="n">
        <f aca="false">IF(Rankings!G35&lt;=5,1,0)</f>
        <v>0</v>
      </c>
      <c r="H29" s="17" t="n">
        <f aca="false">IF(Rankings!H35&lt;=5,1,0)</f>
        <v>1</v>
      </c>
      <c r="I29" s="17" t="n">
        <f aca="false">IF(Rankings!I35&lt;=5,1,0)</f>
        <v>1</v>
      </c>
      <c r="J29" s="17" t="n">
        <f aca="false">IF(Rankings!J35&lt;=5,1,0)</f>
        <v>1</v>
      </c>
      <c r="K29" s="20" t="n">
        <f aca="false">SUM(C29:J29)</f>
        <v>5</v>
      </c>
      <c r="L29" s="16" t="n">
        <f aca="false">SUMPRODUCT(C29:J29,Returns!B33:I33)/K29</f>
        <v>-0.135731144520714</v>
      </c>
      <c r="M29" s="16" t="n">
        <f aca="false">-2*Assumptions!$B$13</f>
        <v>-0.007</v>
      </c>
      <c r="N29" s="16" t="n">
        <f aca="false">-Assumptions!$B$16*MAX(0,(1+O23)*(1+O24)*(1+O25)*(1+O26)*(1+O27)*(1+O28)-1)</f>
        <v>-0.019136524457858</v>
      </c>
      <c r="O29" s="16" t="n">
        <f aca="false">L29+M29+N29</f>
        <v>-0.161867668978572</v>
      </c>
      <c r="P29" s="21" t="n">
        <f aca="false">P28*(1+O29)</f>
        <v>1.41926133707571</v>
      </c>
      <c r="Q29" s="21" t="n">
        <f aca="false">MAX($P$5:P29)</f>
        <v>1.73481867285558</v>
      </c>
      <c r="R29" s="16" t="n">
        <f aca="false">P29/Q29-1</f>
        <v>-0.181896437199659</v>
      </c>
      <c r="S29" s="16" t="n">
        <f aca="false">O29-Benchmark_RF!D29</f>
        <v>-0.166727477311754</v>
      </c>
    </row>
    <row r="30" customFormat="false" ht="15" hidden="false" customHeight="true" outlineLevel="0" collapsed="false">
      <c r="A30" s="1" t="n">
        <v>33</v>
      </c>
      <c r="B30" s="13" t="n">
        <f aca="false">Returns!A34</f>
        <v>42979</v>
      </c>
      <c r="C30" s="17" t="n">
        <f aca="false">IF(Rankings!C35&lt;=5,1,0)</f>
        <v>1</v>
      </c>
      <c r="D30" s="17" t="n">
        <f aca="false">IF(Rankings!D35&lt;=5,1,0)</f>
        <v>0</v>
      </c>
      <c r="E30" s="17" t="n">
        <f aca="false">IF(Rankings!E35&lt;=5,1,0)</f>
        <v>1</v>
      </c>
      <c r="F30" s="17" t="n">
        <f aca="false">IF(Rankings!F35&lt;=5,1,0)</f>
        <v>0</v>
      </c>
      <c r="G30" s="17" t="n">
        <f aca="false">IF(Rankings!G35&lt;=5,1,0)</f>
        <v>0</v>
      </c>
      <c r="H30" s="17" t="n">
        <f aca="false">IF(Rankings!H35&lt;=5,1,0)</f>
        <v>1</v>
      </c>
      <c r="I30" s="17" t="n">
        <f aca="false">IF(Rankings!I35&lt;=5,1,0)</f>
        <v>1</v>
      </c>
      <c r="J30" s="17" t="n">
        <f aca="false">IF(Rankings!J35&lt;=5,1,0)</f>
        <v>1</v>
      </c>
      <c r="K30" s="20" t="n">
        <f aca="false">SUM(C30:J30)</f>
        <v>5</v>
      </c>
      <c r="L30" s="16" t="n">
        <f aca="false">SUMPRODUCT(C30:J30,Returns!B34:I34)/K30</f>
        <v>0.0704266414818385</v>
      </c>
      <c r="M30" s="16" t="n">
        <v>0</v>
      </c>
      <c r="N30" s="16" t="n">
        <v>0</v>
      </c>
      <c r="O30" s="16" t="n">
        <f aca="false">L30+M30+N30</f>
        <v>0.0704266414818385</v>
      </c>
      <c r="P30" s="21" t="n">
        <f aca="false">P29*(1+O30)</f>
        <v>1.51921514643098</v>
      </c>
      <c r="Q30" s="21" t="n">
        <f aca="false">MAX($P$5:P30)</f>
        <v>1.73481867285558</v>
      </c>
      <c r="R30" s="16" t="n">
        <f aca="false">P30/Q30-1</f>
        <v>-0.124280150887304</v>
      </c>
      <c r="S30" s="16" t="n">
        <f aca="false">O30-Benchmark_RF!D30</f>
        <v>0.0655662011051078</v>
      </c>
    </row>
    <row r="31" customFormat="false" ht="15" hidden="false" customHeight="true" outlineLevel="0" collapsed="false">
      <c r="A31" s="1" t="n">
        <v>34</v>
      </c>
      <c r="B31" s="13" t="n">
        <f aca="false">Returns!A35</f>
        <v>43009</v>
      </c>
      <c r="C31" s="17" t="n">
        <f aca="false">IF(Rankings!C35&lt;=5,1,0)</f>
        <v>1</v>
      </c>
      <c r="D31" s="17" t="n">
        <f aca="false">IF(Rankings!D35&lt;=5,1,0)</f>
        <v>0</v>
      </c>
      <c r="E31" s="17" t="n">
        <f aca="false">IF(Rankings!E35&lt;=5,1,0)</f>
        <v>1</v>
      </c>
      <c r="F31" s="17" t="n">
        <f aca="false">IF(Rankings!F35&lt;=5,1,0)</f>
        <v>0</v>
      </c>
      <c r="G31" s="17" t="n">
        <f aca="false">IF(Rankings!G35&lt;=5,1,0)</f>
        <v>0</v>
      </c>
      <c r="H31" s="17" t="n">
        <f aca="false">IF(Rankings!H35&lt;=5,1,0)</f>
        <v>1</v>
      </c>
      <c r="I31" s="17" t="n">
        <f aca="false">IF(Rankings!I35&lt;=5,1,0)</f>
        <v>1</v>
      </c>
      <c r="J31" s="17" t="n">
        <f aca="false">IF(Rankings!J35&lt;=5,1,0)</f>
        <v>1</v>
      </c>
      <c r="K31" s="20" t="n">
        <f aca="false">SUM(C31:J31)</f>
        <v>5</v>
      </c>
      <c r="L31" s="16" t="n">
        <f aca="false">SUMPRODUCT(C31:J31,Returns!B35:I35)/K31</f>
        <v>-0.0248941209038813</v>
      </c>
      <c r="M31" s="16" t="n">
        <v>0</v>
      </c>
      <c r="N31" s="16" t="n">
        <v>0</v>
      </c>
      <c r="O31" s="16" t="n">
        <f aca="false">L31+M31+N31</f>
        <v>-0.0248941209038813</v>
      </c>
      <c r="P31" s="21" t="n">
        <f aca="false">P30*(1+O31)</f>
        <v>1.48139562089672</v>
      </c>
      <c r="Q31" s="21" t="n">
        <f aca="false">MAX($P$5:P31)</f>
        <v>1.73481867285558</v>
      </c>
      <c r="R31" s="16" t="n">
        <f aca="false">P31/Q31-1</f>
        <v>-0.146080426689045</v>
      </c>
      <c r="S31" s="16" t="n">
        <f aca="false">O31-Benchmark_RF!D31</f>
        <v>-0.029754561280612</v>
      </c>
    </row>
    <row r="32" customFormat="false" ht="15" hidden="false" customHeight="true" outlineLevel="0" collapsed="false">
      <c r="A32" s="1" t="n">
        <v>35</v>
      </c>
      <c r="B32" s="13" t="n">
        <f aca="false">Returns!A36</f>
        <v>43040</v>
      </c>
      <c r="C32" s="17" t="n">
        <f aca="false">IF(Rankings!C35&lt;=5,1,0)</f>
        <v>1</v>
      </c>
      <c r="D32" s="17" t="n">
        <f aca="false">IF(Rankings!D35&lt;=5,1,0)</f>
        <v>0</v>
      </c>
      <c r="E32" s="17" t="n">
        <f aca="false">IF(Rankings!E35&lt;=5,1,0)</f>
        <v>1</v>
      </c>
      <c r="F32" s="17" t="n">
        <f aca="false">IF(Rankings!F35&lt;=5,1,0)</f>
        <v>0</v>
      </c>
      <c r="G32" s="17" t="n">
        <f aca="false">IF(Rankings!G35&lt;=5,1,0)</f>
        <v>0</v>
      </c>
      <c r="H32" s="17" t="n">
        <f aca="false">IF(Rankings!H35&lt;=5,1,0)</f>
        <v>1</v>
      </c>
      <c r="I32" s="17" t="n">
        <f aca="false">IF(Rankings!I35&lt;=5,1,0)</f>
        <v>1</v>
      </c>
      <c r="J32" s="17" t="n">
        <f aca="false">IF(Rankings!J35&lt;=5,1,0)</f>
        <v>1</v>
      </c>
      <c r="K32" s="20" t="n">
        <f aca="false">SUM(C32:J32)</f>
        <v>5</v>
      </c>
      <c r="L32" s="16" t="n">
        <f aca="false">SUMPRODUCT(C32:J32,Returns!B36:I36)/K32</f>
        <v>0.126987875186009</v>
      </c>
      <c r="M32" s="16" t="n">
        <v>0</v>
      </c>
      <c r="N32" s="16" t="n">
        <v>0</v>
      </c>
      <c r="O32" s="16" t="n">
        <f aca="false">L32+M32+N32</f>
        <v>0.126987875186009</v>
      </c>
      <c r="P32" s="21" t="n">
        <f aca="false">P31*(1+O32)</f>
        <v>1.66951490310425</v>
      </c>
      <c r="Q32" s="21" t="n">
        <f aca="false">MAX($P$5:P32)</f>
        <v>1.73481867285558</v>
      </c>
      <c r="R32" s="16" t="n">
        <f aca="false">P32/Q32-1</f>
        <v>-0.0376429944945427</v>
      </c>
      <c r="S32" s="16" t="n">
        <f aca="false">O32-Benchmark_RF!D32</f>
        <v>0.122127513814483</v>
      </c>
    </row>
    <row r="33" customFormat="false" ht="15" hidden="false" customHeight="true" outlineLevel="0" collapsed="false">
      <c r="A33" s="1" t="n">
        <v>36</v>
      </c>
      <c r="B33" s="13" t="n">
        <f aca="false">Returns!A37</f>
        <v>43070</v>
      </c>
      <c r="C33" s="17" t="n">
        <f aca="false">IF(Rankings!C35&lt;=5,1,0)</f>
        <v>1</v>
      </c>
      <c r="D33" s="17" t="n">
        <f aca="false">IF(Rankings!D35&lt;=5,1,0)</f>
        <v>0</v>
      </c>
      <c r="E33" s="17" t="n">
        <f aca="false">IF(Rankings!E35&lt;=5,1,0)</f>
        <v>1</v>
      </c>
      <c r="F33" s="17" t="n">
        <f aca="false">IF(Rankings!F35&lt;=5,1,0)</f>
        <v>0</v>
      </c>
      <c r="G33" s="17" t="n">
        <f aca="false">IF(Rankings!G35&lt;=5,1,0)</f>
        <v>0</v>
      </c>
      <c r="H33" s="17" t="n">
        <f aca="false">IF(Rankings!H35&lt;=5,1,0)</f>
        <v>1</v>
      </c>
      <c r="I33" s="17" t="n">
        <f aca="false">IF(Rankings!I35&lt;=5,1,0)</f>
        <v>1</v>
      </c>
      <c r="J33" s="17" t="n">
        <f aca="false">IF(Rankings!J35&lt;=5,1,0)</f>
        <v>1</v>
      </c>
      <c r="K33" s="20" t="n">
        <f aca="false">SUM(C33:J33)</f>
        <v>5</v>
      </c>
      <c r="L33" s="16" t="n">
        <f aca="false">SUMPRODUCT(C33:J33,Returns!B37:I37)/K33</f>
        <v>-0.000857499423807195</v>
      </c>
      <c r="M33" s="16" t="n">
        <v>0</v>
      </c>
      <c r="N33" s="16" t="n">
        <v>0</v>
      </c>
      <c r="O33" s="16" t="n">
        <f aca="false">L33+M33+N33</f>
        <v>-0.000857499423807195</v>
      </c>
      <c r="P33" s="21" t="n">
        <f aca="false">P32*(1+O33)</f>
        <v>1.6680832950368</v>
      </c>
      <c r="Q33" s="21" t="n">
        <f aca="false">MAX($P$5:P33)</f>
        <v>1.73481867285558</v>
      </c>
      <c r="R33" s="16" t="n">
        <f aca="false">P33/Q33-1</f>
        <v>-0.0384682150722605</v>
      </c>
      <c r="S33" s="16" t="n">
        <f aca="false">O33-Benchmark_RF!D33</f>
        <v>-0.00571793980053792</v>
      </c>
    </row>
    <row r="34" customFormat="false" ht="15" hidden="false" customHeight="true" outlineLevel="0" collapsed="false">
      <c r="A34" s="1" t="n">
        <v>37</v>
      </c>
      <c r="B34" s="13" t="n">
        <f aca="false">Returns!A38</f>
        <v>43101</v>
      </c>
      <c r="C34" s="17" t="n">
        <f aca="false">IF(Rankings!C35&lt;=5,1,0)</f>
        <v>1</v>
      </c>
      <c r="D34" s="17" t="n">
        <f aca="false">IF(Rankings!D35&lt;=5,1,0)</f>
        <v>0</v>
      </c>
      <c r="E34" s="17" t="n">
        <f aca="false">IF(Rankings!E35&lt;=5,1,0)</f>
        <v>1</v>
      </c>
      <c r="F34" s="17" t="n">
        <f aca="false">IF(Rankings!F35&lt;=5,1,0)</f>
        <v>0</v>
      </c>
      <c r="G34" s="17" t="n">
        <f aca="false">IF(Rankings!G35&lt;=5,1,0)</f>
        <v>0</v>
      </c>
      <c r="H34" s="17" t="n">
        <f aca="false">IF(Rankings!H35&lt;=5,1,0)</f>
        <v>1</v>
      </c>
      <c r="I34" s="17" t="n">
        <f aca="false">IF(Rankings!I35&lt;=5,1,0)</f>
        <v>1</v>
      </c>
      <c r="J34" s="17" t="n">
        <f aca="false">IF(Rankings!J35&lt;=5,1,0)</f>
        <v>1</v>
      </c>
      <c r="K34" s="20" t="n">
        <f aca="false">SUM(C34:J34)</f>
        <v>5</v>
      </c>
      <c r="L34" s="16" t="n">
        <f aca="false">SUMPRODUCT(C34:J34,Returns!B38:I38)/K34</f>
        <v>0.046220993316941</v>
      </c>
      <c r="M34" s="16" t="n">
        <v>0</v>
      </c>
      <c r="N34" s="16" t="n">
        <v>0</v>
      </c>
      <c r="O34" s="16" t="n">
        <f aca="false">L34+M34+N34</f>
        <v>0.046220993316941</v>
      </c>
      <c r="P34" s="21" t="n">
        <f aca="false">P33*(1+O34)</f>
        <v>1.7451837618688</v>
      </c>
      <c r="Q34" s="21" t="n">
        <f aca="false">MAX($P$5:P34)</f>
        <v>1.7451837618688</v>
      </c>
      <c r="R34" s="16" t="n">
        <f aca="false">P34/Q34-1</f>
        <v>0</v>
      </c>
      <c r="S34" s="16" t="n">
        <f aca="false">O34-Benchmark_RF!D34</f>
        <v>0.0411955811781048</v>
      </c>
    </row>
    <row r="35" customFormat="false" ht="15" hidden="false" customHeight="true" outlineLevel="0" collapsed="false">
      <c r="A35" s="1" t="n">
        <v>38</v>
      </c>
      <c r="B35" s="13" t="n">
        <f aca="false">Returns!A39</f>
        <v>43132</v>
      </c>
      <c r="C35" s="17" t="n">
        <f aca="false">IF(Rankings!C41&lt;=5,1,0)</f>
        <v>1</v>
      </c>
      <c r="D35" s="17" t="n">
        <f aca="false">IF(Rankings!D41&lt;=5,1,0)</f>
        <v>1</v>
      </c>
      <c r="E35" s="17" t="n">
        <f aca="false">IF(Rankings!E41&lt;=5,1,0)</f>
        <v>1</v>
      </c>
      <c r="F35" s="17" t="n">
        <f aca="false">IF(Rankings!F41&lt;=5,1,0)</f>
        <v>0</v>
      </c>
      <c r="G35" s="17" t="n">
        <f aca="false">IF(Rankings!G41&lt;=5,1,0)</f>
        <v>1</v>
      </c>
      <c r="H35" s="17" t="n">
        <f aca="false">IF(Rankings!H41&lt;=5,1,0)</f>
        <v>0</v>
      </c>
      <c r="I35" s="17" t="n">
        <f aca="false">IF(Rankings!I41&lt;=5,1,0)</f>
        <v>0</v>
      </c>
      <c r="J35" s="17" t="n">
        <f aca="false">IF(Rankings!J41&lt;=5,1,0)</f>
        <v>1</v>
      </c>
      <c r="K35" s="20" t="n">
        <f aca="false">SUM(C35:J35)</f>
        <v>5</v>
      </c>
      <c r="L35" s="16" t="n">
        <f aca="false">SUMPRODUCT(C35:J35,Returns!B39:I39)/K35</f>
        <v>-0.0248767343355184</v>
      </c>
      <c r="M35" s="16" t="n">
        <f aca="false">-2*Assumptions!$B$13</f>
        <v>-0.007</v>
      </c>
      <c r="N35" s="16" t="n">
        <f aca="false">-Assumptions!$B$16*MAX(0,(1+O29)*(1+O30)*(1+O31)*(1+O32)*(1+O33)*(1+O34)-1)</f>
        <v>-0.00459044393574699</v>
      </c>
      <c r="O35" s="16" t="n">
        <f aca="false">L35+M35+N35</f>
        <v>-0.0364671782712654</v>
      </c>
      <c r="P35" s="21" t="n">
        <f aca="false">P34*(1+O35)</f>
        <v>1.68154183450861</v>
      </c>
      <c r="Q35" s="21" t="n">
        <f aca="false">MAX($P$5:P35)</f>
        <v>1.7451837618688</v>
      </c>
      <c r="R35" s="16" t="n">
        <f aca="false">P35/Q35-1</f>
        <v>-0.0364671782712654</v>
      </c>
      <c r="S35" s="16" t="n">
        <f aca="false">O35-Benchmark_RF!D35</f>
        <v>-0.0415179806501403</v>
      </c>
    </row>
    <row r="36" customFormat="false" ht="15" hidden="false" customHeight="true" outlineLevel="0" collapsed="false">
      <c r="A36" s="1" t="n">
        <v>39</v>
      </c>
      <c r="B36" s="13" t="n">
        <f aca="false">Returns!A40</f>
        <v>43160</v>
      </c>
      <c r="C36" s="17" t="n">
        <f aca="false">IF(Rankings!C41&lt;=5,1,0)</f>
        <v>1</v>
      </c>
      <c r="D36" s="17" t="n">
        <f aca="false">IF(Rankings!D41&lt;=5,1,0)</f>
        <v>1</v>
      </c>
      <c r="E36" s="17" t="n">
        <f aca="false">IF(Rankings!E41&lt;=5,1,0)</f>
        <v>1</v>
      </c>
      <c r="F36" s="17" t="n">
        <f aca="false">IF(Rankings!F41&lt;=5,1,0)</f>
        <v>0</v>
      </c>
      <c r="G36" s="17" t="n">
        <f aca="false">IF(Rankings!G41&lt;=5,1,0)</f>
        <v>1</v>
      </c>
      <c r="H36" s="17" t="n">
        <f aca="false">IF(Rankings!H41&lt;=5,1,0)</f>
        <v>0</v>
      </c>
      <c r="I36" s="17" t="n">
        <f aca="false">IF(Rankings!I41&lt;=5,1,0)</f>
        <v>0</v>
      </c>
      <c r="J36" s="17" t="n">
        <f aca="false">IF(Rankings!J41&lt;=5,1,0)</f>
        <v>1</v>
      </c>
      <c r="K36" s="20" t="n">
        <f aca="false">SUM(C36:J36)</f>
        <v>5</v>
      </c>
      <c r="L36" s="16" t="n">
        <f aca="false">SUMPRODUCT(C36:J36,Returns!B40:I40)/K36</f>
        <v>0.0569513993038914</v>
      </c>
      <c r="M36" s="16" t="n">
        <v>0</v>
      </c>
      <c r="N36" s="16" t="n">
        <v>0</v>
      </c>
      <c r="O36" s="16" t="n">
        <f aca="false">L36+M36+N36</f>
        <v>0.0569513993038914</v>
      </c>
      <c r="P36" s="21" t="n">
        <f aca="false">P35*(1+O36)</f>
        <v>1.77730799497191</v>
      </c>
      <c r="Q36" s="21" t="n">
        <f aca="false">MAX($P$5:P36)</f>
        <v>1.77730799497191</v>
      </c>
      <c r="R36" s="16" t="n">
        <f aca="false">P36/Q36-1</f>
        <v>0</v>
      </c>
      <c r="S36" s="16" t="n">
        <f aca="false">O36-Benchmark_RF!D36</f>
        <v>0.0518793912317763</v>
      </c>
    </row>
    <row r="37" customFormat="false" ht="15" hidden="false" customHeight="true" outlineLevel="0" collapsed="false">
      <c r="A37" s="1" t="n">
        <v>40</v>
      </c>
      <c r="B37" s="13" t="n">
        <f aca="false">Returns!A41</f>
        <v>43191</v>
      </c>
      <c r="C37" s="17" t="n">
        <f aca="false">IF(Rankings!C41&lt;=5,1,0)</f>
        <v>1</v>
      </c>
      <c r="D37" s="17" t="n">
        <f aca="false">IF(Rankings!D41&lt;=5,1,0)</f>
        <v>1</v>
      </c>
      <c r="E37" s="17" t="n">
        <f aca="false">IF(Rankings!E41&lt;=5,1,0)</f>
        <v>1</v>
      </c>
      <c r="F37" s="17" t="n">
        <f aca="false">IF(Rankings!F41&lt;=5,1,0)</f>
        <v>0</v>
      </c>
      <c r="G37" s="17" t="n">
        <f aca="false">IF(Rankings!G41&lt;=5,1,0)</f>
        <v>1</v>
      </c>
      <c r="H37" s="17" t="n">
        <f aca="false">IF(Rankings!H41&lt;=5,1,0)</f>
        <v>0</v>
      </c>
      <c r="I37" s="17" t="n">
        <f aca="false">IF(Rankings!I41&lt;=5,1,0)</f>
        <v>0</v>
      </c>
      <c r="J37" s="17" t="n">
        <f aca="false">IF(Rankings!J41&lt;=5,1,0)</f>
        <v>1</v>
      </c>
      <c r="K37" s="20" t="n">
        <f aca="false">SUM(C37:J37)</f>
        <v>5</v>
      </c>
      <c r="L37" s="16" t="n">
        <f aca="false">SUMPRODUCT(C37:J37,Returns!B41:I41)/K37</f>
        <v>-0.00392690101788178</v>
      </c>
      <c r="M37" s="16" t="n">
        <v>0</v>
      </c>
      <c r="N37" s="16" t="n">
        <v>0</v>
      </c>
      <c r="O37" s="16" t="n">
        <f aca="false">L37+M37+N37</f>
        <v>-0.00392690101788178</v>
      </c>
      <c r="P37" s="21" t="n">
        <f aca="false">P36*(1+O37)</f>
        <v>1.77032868239736</v>
      </c>
      <c r="Q37" s="21" t="n">
        <f aca="false">MAX($P$5:P37)</f>
        <v>1.77730799497191</v>
      </c>
      <c r="R37" s="16" t="n">
        <f aca="false">P37/Q37-1</f>
        <v>-0.00392690101788173</v>
      </c>
      <c r="S37" s="16" t="n">
        <f aca="false">O37-Benchmark_RF!D37</f>
        <v>-0.00898140883555514</v>
      </c>
    </row>
    <row r="38" customFormat="false" ht="15" hidden="false" customHeight="true" outlineLevel="0" collapsed="false">
      <c r="A38" s="1" t="n">
        <v>41</v>
      </c>
      <c r="B38" s="13" t="n">
        <f aca="false">Returns!A42</f>
        <v>43221</v>
      </c>
      <c r="C38" s="17" t="n">
        <f aca="false">IF(Rankings!C41&lt;=5,1,0)</f>
        <v>1</v>
      </c>
      <c r="D38" s="17" t="n">
        <f aca="false">IF(Rankings!D41&lt;=5,1,0)</f>
        <v>1</v>
      </c>
      <c r="E38" s="17" t="n">
        <f aca="false">IF(Rankings!E41&lt;=5,1,0)</f>
        <v>1</v>
      </c>
      <c r="F38" s="17" t="n">
        <f aca="false">IF(Rankings!F41&lt;=5,1,0)</f>
        <v>0</v>
      </c>
      <c r="G38" s="17" t="n">
        <f aca="false">IF(Rankings!G41&lt;=5,1,0)</f>
        <v>1</v>
      </c>
      <c r="H38" s="17" t="n">
        <f aca="false">IF(Rankings!H41&lt;=5,1,0)</f>
        <v>0</v>
      </c>
      <c r="I38" s="17" t="n">
        <f aca="false">IF(Rankings!I41&lt;=5,1,0)</f>
        <v>0</v>
      </c>
      <c r="J38" s="17" t="n">
        <f aca="false">IF(Rankings!J41&lt;=5,1,0)</f>
        <v>1</v>
      </c>
      <c r="K38" s="20" t="n">
        <f aca="false">SUM(C38:J38)</f>
        <v>5</v>
      </c>
      <c r="L38" s="16" t="n">
        <f aca="false">SUMPRODUCT(C38:J38,Returns!B42:I42)/K38</f>
        <v>-0.0449299856193994</v>
      </c>
      <c r="M38" s="16" t="n">
        <v>0</v>
      </c>
      <c r="N38" s="16" t="n">
        <v>0</v>
      </c>
      <c r="O38" s="16" t="n">
        <f aca="false">L38+M38+N38</f>
        <v>-0.0449299856193994</v>
      </c>
      <c r="P38" s="21" t="n">
        <f aca="false">P37*(1+O38)</f>
        <v>1.69078784015564</v>
      </c>
      <c r="Q38" s="21" t="n">
        <f aca="false">MAX($P$5:P38)</f>
        <v>1.77730799497191</v>
      </c>
      <c r="R38" s="16" t="n">
        <f aca="false">P38/Q38-1</f>
        <v>-0.0486804510310189</v>
      </c>
      <c r="S38" s="16" t="n">
        <f aca="false">O38-Benchmark_RF!D38</f>
        <v>-0.0500015207557334</v>
      </c>
    </row>
    <row r="39" customFormat="false" ht="15" hidden="false" customHeight="true" outlineLevel="0" collapsed="false">
      <c r="A39" s="1" t="n">
        <v>42</v>
      </c>
      <c r="B39" s="13" t="n">
        <f aca="false">Returns!A43</f>
        <v>43252</v>
      </c>
      <c r="C39" s="17" t="n">
        <f aca="false">IF(Rankings!C41&lt;=5,1,0)</f>
        <v>1</v>
      </c>
      <c r="D39" s="17" t="n">
        <f aca="false">IF(Rankings!D41&lt;=5,1,0)</f>
        <v>1</v>
      </c>
      <c r="E39" s="17" t="n">
        <f aca="false">IF(Rankings!E41&lt;=5,1,0)</f>
        <v>1</v>
      </c>
      <c r="F39" s="17" t="n">
        <f aca="false">IF(Rankings!F41&lt;=5,1,0)</f>
        <v>0</v>
      </c>
      <c r="G39" s="17" t="n">
        <f aca="false">IF(Rankings!G41&lt;=5,1,0)</f>
        <v>1</v>
      </c>
      <c r="H39" s="17" t="n">
        <f aca="false">IF(Rankings!H41&lt;=5,1,0)</f>
        <v>0</v>
      </c>
      <c r="I39" s="17" t="n">
        <f aca="false">IF(Rankings!I41&lt;=5,1,0)</f>
        <v>0</v>
      </c>
      <c r="J39" s="17" t="n">
        <f aca="false">IF(Rankings!J41&lt;=5,1,0)</f>
        <v>1</v>
      </c>
      <c r="K39" s="20" t="n">
        <f aca="false">SUM(C39:J39)</f>
        <v>5</v>
      </c>
      <c r="L39" s="16" t="n">
        <f aca="false">SUMPRODUCT(C39:J39,Returns!B43:I43)/K39</f>
        <v>-0.00458761257956111</v>
      </c>
      <c r="M39" s="16" t="n">
        <v>0</v>
      </c>
      <c r="N39" s="16" t="n">
        <v>0</v>
      </c>
      <c r="O39" s="16" t="n">
        <f aca="false">L39+M39+N39</f>
        <v>-0.00458761257956111</v>
      </c>
      <c r="P39" s="21" t="n">
        <f aca="false">P38*(1+O39)</f>
        <v>1.68303116059077</v>
      </c>
      <c r="Q39" s="21" t="n">
        <f aca="false">MAX($P$5:P39)</f>
        <v>1.77730799497191</v>
      </c>
      <c r="R39" s="16" t="n">
        <f aca="false">P39/Q39-1</f>
        <v>-0.0530447365610514</v>
      </c>
      <c r="S39" s="16" t="n">
        <f aca="false">O39-Benchmark_RF!D39</f>
        <v>-0.0100531992915089</v>
      </c>
    </row>
    <row r="40" customFormat="false" ht="15" hidden="false" customHeight="true" outlineLevel="0" collapsed="false">
      <c r="A40" s="1" t="n">
        <v>43</v>
      </c>
      <c r="B40" s="13" t="n">
        <f aca="false">Returns!A44</f>
        <v>43282</v>
      </c>
      <c r="C40" s="17" t="n">
        <f aca="false">IF(Rankings!C41&lt;=5,1,0)</f>
        <v>1</v>
      </c>
      <c r="D40" s="17" t="n">
        <f aca="false">IF(Rankings!D41&lt;=5,1,0)</f>
        <v>1</v>
      </c>
      <c r="E40" s="17" t="n">
        <f aca="false">IF(Rankings!E41&lt;=5,1,0)</f>
        <v>1</v>
      </c>
      <c r="F40" s="17" t="n">
        <f aca="false">IF(Rankings!F41&lt;=5,1,0)</f>
        <v>0</v>
      </c>
      <c r="G40" s="17" t="n">
        <f aca="false">IF(Rankings!G41&lt;=5,1,0)</f>
        <v>1</v>
      </c>
      <c r="H40" s="17" t="n">
        <f aca="false">IF(Rankings!H41&lt;=5,1,0)</f>
        <v>0</v>
      </c>
      <c r="I40" s="17" t="n">
        <f aca="false">IF(Rankings!I41&lt;=5,1,0)</f>
        <v>0</v>
      </c>
      <c r="J40" s="17" t="n">
        <f aca="false">IF(Rankings!J41&lt;=5,1,0)</f>
        <v>1</v>
      </c>
      <c r="K40" s="20" t="n">
        <f aca="false">SUM(C40:J40)</f>
        <v>5</v>
      </c>
      <c r="L40" s="16" t="n">
        <f aca="false">SUMPRODUCT(C40:J40,Returns!B44:I44)/K40</f>
        <v>0.0346063315301818</v>
      </c>
      <c r="M40" s="16" t="n">
        <v>0</v>
      </c>
      <c r="N40" s="16" t="n">
        <v>0</v>
      </c>
      <c r="O40" s="16" t="n">
        <f aca="false">L40+M40+N40</f>
        <v>0.0346063315301818</v>
      </c>
      <c r="P40" s="21" t="n">
        <f aca="false">P39*(1+O40)</f>
        <v>1.7412746949098</v>
      </c>
      <c r="Q40" s="21" t="n">
        <f aca="false">MAX($P$5:P40)</f>
        <v>1.77730799497191</v>
      </c>
      <c r="R40" s="16" t="n">
        <f aca="false">P40/Q40-1</f>
        <v>-0.0202740887702325</v>
      </c>
      <c r="S40" s="16" t="n">
        <f aca="false">O40-Benchmark_RF!D40</f>
        <v>0.0283889877371316</v>
      </c>
    </row>
    <row r="41" customFormat="false" ht="15" hidden="false" customHeight="true" outlineLevel="0" collapsed="false">
      <c r="A41" s="1" t="n">
        <v>44</v>
      </c>
      <c r="B41" s="13" t="n">
        <f aca="false">Returns!A45</f>
        <v>43313</v>
      </c>
      <c r="C41" s="17" t="n">
        <f aca="false">IF(Rankings!C47&lt;=5,1,0)</f>
        <v>1</v>
      </c>
      <c r="D41" s="17" t="n">
        <f aca="false">IF(Rankings!D47&lt;=5,1,0)</f>
        <v>1</v>
      </c>
      <c r="E41" s="17" t="n">
        <f aca="false">IF(Rankings!E47&lt;=5,1,0)</f>
        <v>0</v>
      </c>
      <c r="F41" s="17" t="n">
        <f aca="false">IF(Rankings!F47&lt;=5,1,0)</f>
        <v>0</v>
      </c>
      <c r="G41" s="17" t="n">
        <f aca="false">IF(Rankings!G47&lt;=5,1,0)</f>
        <v>1</v>
      </c>
      <c r="H41" s="17" t="n">
        <f aca="false">IF(Rankings!H47&lt;=5,1,0)</f>
        <v>1</v>
      </c>
      <c r="I41" s="17" t="n">
        <f aca="false">IF(Rankings!I47&lt;=5,1,0)</f>
        <v>0</v>
      </c>
      <c r="J41" s="17" t="n">
        <f aca="false">IF(Rankings!J47&lt;=5,1,0)</f>
        <v>1</v>
      </c>
      <c r="K41" s="20" t="n">
        <f aca="false">SUM(C41:J41)</f>
        <v>5</v>
      </c>
      <c r="L41" s="16" t="n">
        <f aca="false">SUMPRODUCT(C41:J41,Returns!B45:I45)/K41</f>
        <v>0.0140143369988927</v>
      </c>
      <c r="M41" s="16" t="n">
        <f aca="false">-2*Assumptions!$B$13</f>
        <v>-0.007</v>
      </c>
      <c r="N41" s="16" t="n">
        <f aca="false">-Assumptions!$B$16*MAX(0,(1+O35)*(1+O36)*(1+O37)*(1+O38)*(1+O39)*(1+O40)-1)</f>
        <v>-0</v>
      </c>
      <c r="O41" s="16" t="n">
        <f aca="false">L41+M41+N41</f>
        <v>0.00701433699889267</v>
      </c>
      <c r="P41" s="21" t="n">
        <f aca="false">P40*(1+O41)</f>
        <v>1.75348858242755</v>
      </c>
      <c r="Q41" s="21" t="n">
        <f aca="false">MAX($P$5:P41)</f>
        <v>1.77730799497191</v>
      </c>
      <c r="R41" s="16" t="n">
        <f aca="false">P41/Q41-1</f>
        <v>-0.0134019610623197</v>
      </c>
      <c r="S41" s="16" t="n">
        <f aca="false">O41-Benchmark_RF!D41</f>
        <v>0.000774655537606945</v>
      </c>
    </row>
    <row r="42" customFormat="false" ht="15" hidden="false" customHeight="true" outlineLevel="0" collapsed="false">
      <c r="A42" s="1" t="n">
        <v>45</v>
      </c>
      <c r="B42" s="13" t="n">
        <f aca="false">Returns!A46</f>
        <v>43344</v>
      </c>
      <c r="C42" s="17" t="n">
        <f aca="false">IF(Rankings!C47&lt;=5,1,0)</f>
        <v>1</v>
      </c>
      <c r="D42" s="17" t="n">
        <f aca="false">IF(Rankings!D47&lt;=5,1,0)</f>
        <v>1</v>
      </c>
      <c r="E42" s="17" t="n">
        <f aca="false">IF(Rankings!E47&lt;=5,1,0)</f>
        <v>0</v>
      </c>
      <c r="F42" s="17" t="n">
        <f aca="false">IF(Rankings!F47&lt;=5,1,0)</f>
        <v>0</v>
      </c>
      <c r="G42" s="17" t="n">
        <f aca="false">IF(Rankings!G47&lt;=5,1,0)</f>
        <v>1</v>
      </c>
      <c r="H42" s="17" t="n">
        <f aca="false">IF(Rankings!H47&lt;=5,1,0)</f>
        <v>1</v>
      </c>
      <c r="I42" s="17" t="n">
        <f aca="false">IF(Rankings!I47&lt;=5,1,0)</f>
        <v>0</v>
      </c>
      <c r="J42" s="17" t="n">
        <f aca="false">IF(Rankings!J47&lt;=5,1,0)</f>
        <v>1</v>
      </c>
      <c r="K42" s="20" t="n">
        <f aca="false">SUM(C42:J42)</f>
        <v>5</v>
      </c>
      <c r="L42" s="16" t="n">
        <f aca="false">SUMPRODUCT(C42:J42,Returns!B46:I46)/K42</f>
        <v>0.00356213337310491</v>
      </c>
      <c r="M42" s="16" t="n">
        <v>0</v>
      </c>
      <c r="N42" s="16" t="n">
        <v>0</v>
      </c>
      <c r="O42" s="16" t="n">
        <f aca="false">L42+M42+N42</f>
        <v>0.00356213337310491</v>
      </c>
      <c r="P42" s="21" t="n">
        <f aca="false">P41*(1+O42)</f>
        <v>1.75973474262637</v>
      </c>
      <c r="Q42" s="21" t="n">
        <f aca="false">MAX($P$5:P42)</f>
        <v>1.77730799497191</v>
      </c>
      <c r="R42" s="16" t="n">
        <f aca="false">P42/Q42-1</f>
        <v>-0.00988756726198004</v>
      </c>
      <c r="S42" s="16" t="n">
        <f aca="false">O42-Benchmark_RF!D42</f>
        <v>-0.00267754808818081</v>
      </c>
    </row>
    <row r="43" customFormat="false" ht="15" hidden="false" customHeight="true" outlineLevel="0" collapsed="false">
      <c r="A43" s="1" t="n">
        <v>46</v>
      </c>
      <c r="B43" s="13" t="n">
        <f aca="false">Returns!A47</f>
        <v>43374</v>
      </c>
      <c r="C43" s="17" t="n">
        <f aca="false">IF(Rankings!C47&lt;=5,1,0)</f>
        <v>1</v>
      </c>
      <c r="D43" s="17" t="n">
        <f aca="false">IF(Rankings!D47&lt;=5,1,0)</f>
        <v>1</v>
      </c>
      <c r="E43" s="17" t="n">
        <f aca="false">IF(Rankings!E47&lt;=5,1,0)</f>
        <v>0</v>
      </c>
      <c r="F43" s="17" t="n">
        <f aca="false">IF(Rankings!F47&lt;=5,1,0)</f>
        <v>0</v>
      </c>
      <c r="G43" s="17" t="n">
        <f aca="false">IF(Rankings!G47&lt;=5,1,0)</f>
        <v>1</v>
      </c>
      <c r="H43" s="17" t="n">
        <f aca="false">IF(Rankings!H47&lt;=5,1,0)</f>
        <v>1</v>
      </c>
      <c r="I43" s="17" t="n">
        <f aca="false">IF(Rankings!I47&lt;=5,1,0)</f>
        <v>0</v>
      </c>
      <c r="J43" s="17" t="n">
        <f aca="false">IF(Rankings!J47&lt;=5,1,0)</f>
        <v>1</v>
      </c>
      <c r="K43" s="20" t="n">
        <f aca="false">SUM(C43:J43)</f>
        <v>5</v>
      </c>
      <c r="L43" s="16" t="n">
        <f aca="false">SUMPRODUCT(C43:J43,Returns!B47:I47)/K43</f>
        <v>0.0331929040481222</v>
      </c>
      <c r="M43" s="16" t="n">
        <v>0</v>
      </c>
      <c r="N43" s="16" t="n">
        <v>0</v>
      </c>
      <c r="O43" s="16" t="n">
        <f aca="false">L43+M43+N43</f>
        <v>0.0331929040481222</v>
      </c>
      <c r="P43" s="21" t="n">
        <f aca="false">P42*(1+O43)</f>
        <v>1.81814544908851</v>
      </c>
      <c r="Q43" s="21" t="n">
        <f aca="false">MAX($P$5:P43)</f>
        <v>1.81814544908851</v>
      </c>
      <c r="R43" s="16" t="n">
        <f aca="false">P43/Q43-1</f>
        <v>0</v>
      </c>
      <c r="S43" s="16" t="n">
        <f aca="false">O43-Benchmark_RF!D43</f>
        <v>0.0261459656523843</v>
      </c>
    </row>
    <row r="44" customFormat="false" ht="15" hidden="false" customHeight="true" outlineLevel="0" collapsed="false">
      <c r="A44" s="1" t="n">
        <v>47</v>
      </c>
      <c r="B44" s="13" t="n">
        <f aca="false">Returns!A48</f>
        <v>43405</v>
      </c>
      <c r="C44" s="17" t="n">
        <f aca="false">IF(Rankings!C47&lt;=5,1,0)</f>
        <v>1</v>
      </c>
      <c r="D44" s="17" t="n">
        <f aca="false">IF(Rankings!D47&lt;=5,1,0)</f>
        <v>1</v>
      </c>
      <c r="E44" s="17" t="n">
        <f aca="false">IF(Rankings!E47&lt;=5,1,0)</f>
        <v>0</v>
      </c>
      <c r="F44" s="17" t="n">
        <f aca="false">IF(Rankings!F47&lt;=5,1,0)</f>
        <v>0</v>
      </c>
      <c r="G44" s="17" t="n">
        <f aca="false">IF(Rankings!G47&lt;=5,1,0)</f>
        <v>1</v>
      </c>
      <c r="H44" s="17" t="n">
        <f aca="false">IF(Rankings!H47&lt;=5,1,0)</f>
        <v>1</v>
      </c>
      <c r="I44" s="17" t="n">
        <f aca="false">IF(Rankings!I47&lt;=5,1,0)</f>
        <v>0</v>
      </c>
      <c r="J44" s="17" t="n">
        <f aca="false">IF(Rankings!J47&lt;=5,1,0)</f>
        <v>1</v>
      </c>
      <c r="K44" s="20" t="n">
        <f aca="false">SUM(C44:J44)</f>
        <v>5</v>
      </c>
      <c r="L44" s="16" t="n">
        <f aca="false">SUMPRODUCT(C44:J44,Returns!B48:I48)/K44</f>
        <v>-0.0275308238771301</v>
      </c>
      <c r="M44" s="16" t="n">
        <v>0</v>
      </c>
      <c r="N44" s="16" t="n">
        <v>0</v>
      </c>
      <c r="O44" s="16" t="n">
        <f aca="false">L44+M44+N44</f>
        <v>-0.0275308238771301</v>
      </c>
      <c r="P44" s="21" t="n">
        <f aca="false">P43*(1+O44)</f>
        <v>1.76809040694665</v>
      </c>
      <c r="Q44" s="21" t="n">
        <f aca="false">MAX($P$5:P44)</f>
        <v>1.81814544908851</v>
      </c>
      <c r="R44" s="16" t="n">
        <f aca="false">P44/Q44-1</f>
        <v>-0.0275308238771301</v>
      </c>
      <c r="S44" s="16" t="n">
        <f aca="false">O44-Benchmark_RF!D44</f>
        <v>-0.0345825447428387</v>
      </c>
    </row>
    <row r="45" customFormat="false" ht="15" hidden="false" customHeight="true" outlineLevel="0" collapsed="false">
      <c r="A45" s="1" t="n">
        <v>48</v>
      </c>
      <c r="B45" s="13" t="n">
        <f aca="false">Returns!A49</f>
        <v>43435</v>
      </c>
      <c r="C45" s="17" t="n">
        <f aca="false">IF(Rankings!C47&lt;=5,1,0)</f>
        <v>1</v>
      </c>
      <c r="D45" s="17" t="n">
        <f aca="false">IF(Rankings!D47&lt;=5,1,0)</f>
        <v>1</v>
      </c>
      <c r="E45" s="17" t="n">
        <f aca="false">IF(Rankings!E47&lt;=5,1,0)</f>
        <v>0</v>
      </c>
      <c r="F45" s="17" t="n">
        <f aca="false">IF(Rankings!F47&lt;=5,1,0)</f>
        <v>0</v>
      </c>
      <c r="G45" s="17" t="n">
        <f aca="false">IF(Rankings!G47&lt;=5,1,0)</f>
        <v>1</v>
      </c>
      <c r="H45" s="17" t="n">
        <f aca="false">IF(Rankings!H47&lt;=5,1,0)</f>
        <v>1</v>
      </c>
      <c r="I45" s="17" t="n">
        <f aca="false">IF(Rankings!I47&lt;=5,1,0)</f>
        <v>0</v>
      </c>
      <c r="J45" s="17" t="n">
        <f aca="false">IF(Rankings!J47&lt;=5,1,0)</f>
        <v>1</v>
      </c>
      <c r="K45" s="20" t="n">
        <f aca="false">SUM(C45:J45)</f>
        <v>5</v>
      </c>
      <c r="L45" s="16" t="n">
        <f aca="false">SUMPRODUCT(C45:J45,Returns!B49:I49)/K45</f>
        <v>-0.105349548648847</v>
      </c>
      <c r="M45" s="16" t="n">
        <v>0</v>
      </c>
      <c r="N45" s="16" t="n">
        <v>0</v>
      </c>
      <c r="O45" s="16" t="n">
        <f aca="false">L45+M45+N45</f>
        <v>-0.105349548648847</v>
      </c>
      <c r="P45" s="21" t="n">
        <f aca="false">P44*(1+O45)</f>
        <v>1.58182288060447</v>
      </c>
      <c r="Q45" s="21" t="n">
        <f aca="false">MAX($P$5:P45)</f>
        <v>1.81814544908851</v>
      </c>
      <c r="R45" s="16" t="n">
        <f aca="false">P45/Q45-1</f>
        <v>-0.12998001265659</v>
      </c>
      <c r="S45" s="16" t="n">
        <f aca="false">O45-Benchmark_RF!D45</f>
        <v>-0.113549898391545</v>
      </c>
    </row>
    <row r="46" customFormat="false" ht="15" hidden="false" customHeight="true" outlineLevel="0" collapsed="false">
      <c r="A46" s="1" t="n">
        <v>49</v>
      </c>
      <c r="B46" s="13" t="n">
        <f aca="false">Returns!A50</f>
        <v>43466</v>
      </c>
      <c r="C46" s="17" t="n">
        <f aca="false">IF(Rankings!C47&lt;=5,1,0)</f>
        <v>1</v>
      </c>
      <c r="D46" s="17" t="n">
        <f aca="false">IF(Rankings!D47&lt;=5,1,0)</f>
        <v>1</v>
      </c>
      <c r="E46" s="17" t="n">
        <f aca="false">IF(Rankings!E47&lt;=5,1,0)</f>
        <v>0</v>
      </c>
      <c r="F46" s="17" t="n">
        <f aca="false">IF(Rankings!F47&lt;=5,1,0)</f>
        <v>0</v>
      </c>
      <c r="G46" s="17" t="n">
        <f aca="false">IF(Rankings!G47&lt;=5,1,0)</f>
        <v>1</v>
      </c>
      <c r="H46" s="17" t="n">
        <f aca="false">IF(Rankings!H47&lt;=5,1,0)</f>
        <v>1</v>
      </c>
      <c r="I46" s="17" t="n">
        <f aca="false">IF(Rankings!I47&lt;=5,1,0)</f>
        <v>0</v>
      </c>
      <c r="J46" s="17" t="n">
        <f aca="false">IF(Rankings!J47&lt;=5,1,0)</f>
        <v>1</v>
      </c>
      <c r="K46" s="20" t="n">
        <f aca="false">SUM(C46:J46)</f>
        <v>5</v>
      </c>
      <c r="L46" s="16" t="n">
        <f aca="false">SUMPRODUCT(C46:J46,Returns!B50:I50)/K46</f>
        <v>0.0954867688391635</v>
      </c>
      <c r="M46" s="16" t="n">
        <v>0</v>
      </c>
      <c r="N46" s="16" t="n">
        <v>0</v>
      </c>
      <c r="O46" s="16" t="n">
        <f aca="false">L46+M46+N46</f>
        <v>0.0954867688391635</v>
      </c>
      <c r="P46" s="21" t="n">
        <f aca="false">P45*(1+O46)</f>
        <v>1.73286603634924</v>
      </c>
      <c r="Q46" s="21" t="n">
        <f aca="false">MAX($P$5:P46)</f>
        <v>1.81814544908851</v>
      </c>
      <c r="R46" s="16" t="n">
        <f aca="false">P46/Q46-1</f>
        <v>-0.0469046152396785</v>
      </c>
      <c r="S46" s="16" t="n">
        <f aca="false">O46-Benchmark_RF!D46</f>
        <v>0.0872830675271278</v>
      </c>
    </row>
    <row r="47" customFormat="false" ht="15" hidden="false" customHeight="true" outlineLevel="0" collapsed="false">
      <c r="A47" s="1" t="n">
        <v>50</v>
      </c>
      <c r="B47" s="13" t="n">
        <f aca="false">Returns!A51</f>
        <v>43497</v>
      </c>
      <c r="C47" s="17" t="n">
        <f aca="false">IF(Rankings!C53&lt;=5,1,0)</f>
        <v>1</v>
      </c>
      <c r="D47" s="17" t="n">
        <f aca="false">IF(Rankings!D53&lt;=5,1,0)</f>
        <v>1</v>
      </c>
      <c r="E47" s="17" t="n">
        <f aca="false">IF(Rankings!E53&lt;=5,1,0)</f>
        <v>1</v>
      </c>
      <c r="F47" s="17" t="n">
        <f aca="false">IF(Rankings!F53&lt;=5,1,0)</f>
        <v>0</v>
      </c>
      <c r="G47" s="17" t="n">
        <f aca="false">IF(Rankings!G53&lt;=5,1,0)</f>
        <v>1</v>
      </c>
      <c r="H47" s="17" t="n">
        <f aca="false">IF(Rankings!H53&lt;=5,1,0)</f>
        <v>0</v>
      </c>
      <c r="I47" s="17" t="n">
        <f aca="false">IF(Rankings!I53&lt;=5,1,0)</f>
        <v>1</v>
      </c>
      <c r="J47" s="17" t="n">
        <f aca="false">IF(Rankings!J53&lt;=5,1,0)</f>
        <v>0</v>
      </c>
      <c r="K47" s="20" t="n">
        <f aca="false">SUM(C47:J47)</f>
        <v>5</v>
      </c>
      <c r="L47" s="16" t="n">
        <f aca="false">SUMPRODUCT(C47:J47,Returns!B51:I51)/K47</f>
        <v>0.00569670598478271</v>
      </c>
      <c r="M47" s="16" t="n">
        <f aca="false">-2*Assumptions!$B$13</f>
        <v>-0.007</v>
      </c>
      <c r="N47" s="16" t="n">
        <f aca="false">-Assumptions!$B$16*MAX(0,(1+O41)*(1+O42)*(1+O43)*(1+O44)*(1+O45)*(1+O46)-1)</f>
        <v>-0</v>
      </c>
      <c r="O47" s="16" t="n">
        <f aca="false">L47+M47+N47</f>
        <v>-0.00130329401521729</v>
      </c>
      <c r="P47" s="21" t="n">
        <f aca="false">P46*(1+O47)</f>
        <v>1.7306076024149</v>
      </c>
      <c r="Q47" s="21" t="n">
        <f aca="false">MAX($P$5:P47)</f>
        <v>1.81814544908851</v>
      </c>
      <c r="R47" s="16" t="n">
        <f aca="false">P47/Q47-1</f>
        <v>-0.0481467787505678</v>
      </c>
      <c r="S47" s="16" t="n">
        <f aca="false">O47-Benchmark_RF!D47</f>
        <v>-0.00969631223056373</v>
      </c>
    </row>
    <row r="48" customFormat="false" ht="15" hidden="false" customHeight="true" outlineLevel="0" collapsed="false">
      <c r="A48" s="1" t="n">
        <v>51</v>
      </c>
      <c r="B48" s="13" t="n">
        <f aca="false">Returns!A52</f>
        <v>43525</v>
      </c>
      <c r="C48" s="17" t="n">
        <f aca="false">IF(Rankings!C53&lt;=5,1,0)</f>
        <v>1</v>
      </c>
      <c r="D48" s="17" t="n">
        <f aca="false">IF(Rankings!D53&lt;=5,1,0)</f>
        <v>1</v>
      </c>
      <c r="E48" s="17" t="n">
        <f aca="false">IF(Rankings!E53&lt;=5,1,0)</f>
        <v>1</v>
      </c>
      <c r="F48" s="17" t="n">
        <f aca="false">IF(Rankings!F53&lt;=5,1,0)</f>
        <v>0</v>
      </c>
      <c r="G48" s="17" t="n">
        <f aca="false">IF(Rankings!G53&lt;=5,1,0)</f>
        <v>1</v>
      </c>
      <c r="H48" s="17" t="n">
        <f aca="false">IF(Rankings!H53&lt;=5,1,0)</f>
        <v>0</v>
      </c>
      <c r="I48" s="17" t="n">
        <f aca="false">IF(Rankings!I53&lt;=5,1,0)</f>
        <v>1</v>
      </c>
      <c r="J48" s="17" t="n">
        <f aca="false">IF(Rankings!J53&lt;=5,1,0)</f>
        <v>0</v>
      </c>
      <c r="K48" s="20" t="n">
        <f aca="false">SUM(C48:J48)</f>
        <v>5</v>
      </c>
      <c r="L48" s="16" t="n">
        <f aca="false">SUMPRODUCT(C48:J48,Returns!B52:I52)/K48</f>
        <v>-0.0154895685084553</v>
      </c>
      <c r="M48" s="16" t="n">
        <v>0</v>
      </c>
      <c r="N48" s="16" t="n">
        <v>0</v>
      </c>
      <c r="O48" s="16" t="n">
        <f aca="false">L48+M48+N48</f>
        <v>-0.0154895685084553</v>
      </c>
      <c r="P48" s="21" t="n">
        <f aca="false">P47*(1+O48)</f>
        <v>1.70380123739604</v>
      </c>
      <c r="Q48" s="21" t="n">
        <f aca="false">MAX($P$5:P48)</f>
        <v>1.81814544908851</v>
      </c>
      <c r="R48" s="16" t="n">
        <f aca="false">P48/Q48-1</f>
        <v>-0.0628905744311048</v>
      </c>
      <c r="S48" s="16" t="n">
        <f aca="false">O48-Benchmark_RF!D48</f>
        <v>-0.0238772656256842</v>
      </c>
    </row>
    <row r="49" customFormat="false" ht="15" hidden="false" customHeight="true" outlineLevel="0" collapsed="false">
      <c r="A49" s="1" t="n">
        <v>52</v>
      </c>
      <c r="B49" s="13" t="n">
        <f aca="false">Returns!A53</f>
        <v>43556</v>
      </c>
      <c r="C49" s="17" t="n">
        <f aca="false">IF(Rankings!C53&lt;=5,1,0)</f>
        <v>1</v>
      </c>
      <c r="D49" s="17" t="n">
        <f aca="false">IF(Rankings!D53&lt;=5,1,0)</f>
        <v>1</v>
      </c>
      <c r="E49" s="17" t="n">
        <f aca="false">IF(Rankings!E53&lt;=5,1,0)</f>
        <v>1</v>
      </c>
      <c r="F49" s="17" t="n">
        <f aca="false">IF(Rankings!F53&lt;=5,1,0)</f>
        <v>0</v>
      </c>
      <c r="G49" s="17" t="n">
        <f aca="false">IF(Rankings!G53&lt;=5,1,0)</f>
        <v>1</v>
      </c>
      <c r="H49" s="17" t="n">
        <f aca="false">IF(Rankings!H53&lt;=5,1,0)</f>
        <v>0</v>
      </c>
      <c r="I49" s="17" t="n">
        <f aca="false">IF(Rankings!I53&lt;=5,1,0)</f>
        <v>1</v>
      </c>
      <c r="J49" s="17" t="n">
        <f aca="false">IF(Rankings!J53&lt;=5,1,0)</f>
        <v>0</v>
      </c>
      <c r="K49" s="20" t="n">
        <f aca="false">SUM(C49:J49)</f>
        <v>5</v>
      </c>
      <c r="L49" s="16" t="n">
        <f aca="false">SUMPRODUCT(C49:J49,Returns!B53:I53)/K49</f>
        <v>-0.041342191474523</v>
      </c>
      <c r="M49" s="16" t="n">
        <v>0</v>
      </c>
      <c r="N49" s="16" t="n">
        <v>0</v>
      </c>
      <c r="O49" s="16" t="n">
        <f aca="false">L49+M49+N49</f>
        <v>-0.041342191474523</v>
      </c>
      <c r="P49" s="21" t="n">
        <f aca="false">P48*(1+O49)</f>
        <v>1.63336236040508</v>
      </c>
      <c r="Q49" s="21" t="n">
        <f aca="false">MAX($P$5:P49)</f>
        <v>1.81814544908851</v>
      </c>
      <c r="R49" s="16" t="n">
        <f aca="false">P49/Q49-1</f>
        <v>-0.101632731735554</v>
      </c>
      <c r="S49" s="16" t="n">
        <f aca="false">O49-Benchmark_RF!D49</f>
        <v>-0.0500391393516301</v>
      </c>
    </row>
    <row r="50" customFormat="false" ht="15" hidden="false" customHeight="true" outlineLevel="0" collapsed="false">
      <c r="A50" s="1" t="n">
        <v>53</v>
      </c>
      <c r="B50" s="13" t="n">
        <f aca="false">Returns!A54</f>
        <v>43586</v>
      </c>
      <c r="C50" s="17" t="n">
        <f aca="false">IF(Rankings!C53&lt;=5,1,0)</f>
        <v>1</v>
      </c>
      <c r="D50" s="17" t="n">
        <f aca="false">IF(Rankings!D53&lt;=5,1,0)</f>
        <v>1</v>
      </c>
      <c r="E50" s="17" t="n">
        <f aca="false">IF(Rankings!E53&lt;=5,1,0)</f>
        <v>1</v>
      </c>
      <c r="F50" s="17" t="n">
        <f aca="false">IF(Rankings!F53&lt;=5,1,0)</f>
        <v>0</v>
      </c>
      <c r="G50" s="17" t="n">
        <f aca="false">IF(Rankings!G53&lt;=5,1,0)</f>
        <v>1</v>
      </c>
      <c r="H50" s="17" t="n">
        <f aca="false">IF(Rankings!H53&lt;=5,1,0)</f>
        <v>0</v>
      </c>
      <c r="I50" s="17" t="n">
        <f aca="false">IF(Rankings!I53&lt;=5,1,0)</f>
        <v>1</v>
      </c>
      <c r="J50" s="17" t="n">
        <f aca="false">IF(Rankings!J53&lt;=5,1,0)</f>
        <v>0</v>
      </c>
      <c r="K50" s="20" t="n">
        <f aca="false">SUM(C50:J50)</f>
        <v>5</v>
      </c>
      <c r="L50" s="16" t="n">
        <f aca="false">SUMPRODUCT(C50:J50,Returns!B54:I54)/K50</f>
        <v>0.0282480041032114</v>
      </c>
      <c r="M50" s="16" t="n">
        <v>0</v>
      </c>
      <c r="N50" s="16" t="n">
        <v>0</v>
      </c>
      <c r="O50" s="16" t="n">
        <f aca="false">L50+M50+N50</f>
        <v>0.0282480041032114</v>
      </c>
      <c r="P50" s="21" t="n">
        <f aca="false">P49*(1+O50)</f>
        <v>1.67950158706384</v>
      </c>
      <c r="Q50" s="21" t="n">
        <f aca="false">MAX($P$5:P50)</f>
        <v>1.81814544908851</v>
      </c>
      <c r="R50" s="16" t="n">
        <f aca="false">P50/Q50-1</f>
        <v>-0.0762556494554295</v>
      </c>
      <c r="S50" s="16" t="n">
        <f aca="false">O50-Benchmark_RF!D50</f>
        <v>0.0183285614305433</v>
      </c>
    </row>
    <row r="51" customFormat="false" ht="15" hidden="false" customHeight="true" outlineLevel="0" collapsed="false">
      <c r="A51" s="1" t="n">
        <v>54</v>
      </c>
      <c r="B51" s="13" t="n">
        <f aca="false">Returns!A55</f>
        <v>43617</v>
      </c>
      <c r="C51" s="17" t="n">
        <f aca="false">IF(Rankings!C53&lt;=5,1,0)</f>
        <v>1</v>
      </c>
      <c r="D51" s="17" t="n">
        <f aca="false">IF(Rankings!D53&lt;=5,1,0)</f>
        <v>1</v>
      </c>
      <c r="E51" s="17" t="n">
        <f aca="false">IF(Rankings!E53&lt;=5,1,0)</f>
        <v>1</v>
      </c>
      <c r="F51" s="17" t="n">
        <f aca="false">IF(Rankings!F53&lt;=5,1,0)</f>
        <v>0</v>
      </c>
      <c r="G51" s="17" t="n">
        <f aca="false">IF(Rankings!G53&lt;=5,1,0)</f>
        <v>1</v>
      </c>
      <c r="H51" s="17" t="n">
        <f aca="false">IF(Rankings!H53&lt;=5,1,0)</f>
        <v>0</v>
      </c>
      <c r="I51" s="17" t="n">
        <f aca="false">IF(Rankings!I53&lt;=5,1,0)</f>
        <v>1</v>
      </c>
      <c r="J51" s="17" t="n">
        <f aca="false">IF(Rankings!J53&lt;=5,1,0)</f>
        <v>0</v>
      </c>
      <c r="K51" s="20" t="n">
        <f aca="false">SUM(C51:J51)</f>
        <v>5</v>
      </c>
      <c r="L51" s="16" t="n">
        <f aca="false">SUMPRODUCT(C51:J51,Returns!B55:I55)/K51</f>
        <v>-0.0744785569503127</v>
      </c>
      <c r="M51" s="16" t="n">
        <v>0</v>
      </c>
      <c r="N51" s="16" t="n">
        <v>0</v>
      </c>
      <c r="O51" s="16" t="n">
        <f aca="false">L51+M51+N51</f>
        <v>-0.0744785569503127</v>
      </c>
      <c r="P51" s="21" t="n">
        <f aca="false">P50*(1+O51)</f>
        <v>1.55441473246356</v>
      </c>
      <c r="Q51" s="21" t="n">
        <f aca="false">MAX($P$5:P51)</f>
        <v>1.81814544908851</v>
      </c>
      <c r="R51" s="16" t="n">
        <f aca="false">P51/Q51-1</f>
        <v>-0.145054795674993</v>
      </c>
      <c r="S51" s="16" t="n">
        <f aca="false">O51-Benchmark_RF!D51</f>
        <v>-0.0845200749771993</v>
      </c>
    </row>
    <row r="52" customFormat="false" ht="15" hidden="false" customHeight="true" outlineLevel="0" collapsed="false">
      <c r="A52" s="1" t="n">
        <v>55</v>
      </c>
      <c r="B52" s="13" t="n">
        <f aca="false">Returns!A56</f>
        <v>43647</v>
      </c>
      <c r="C52" s="17" t="n">
        <f aca="false">IF(Rankings!C53&lt;=5,1,0)</f>
        <v>1</v>
      </c>
      <c r="D52" s="17" t="n">
        <f aca="false">IF(Rankings!D53&lt;=5,1,0)</f>
        <v>1</v>
      </c>
      <c r="E52" s="17" t="n">
        <f aca="false">IF(Rankings!E53&lt;=5,1,0)</f>
        <v>1</v>
      </c>
      <c r="F52" s="17" t="n">
        <f aca="false">IF(Rankings!F53&lt;=5,1,0)</f>
        <v>0</v>
      </c>
      <c r="G52" s="17" t="n">
        <f aca="false">IF(Rankings!G53&lt;=5,1,0)</f>
        <v>1</v>
      </c>
      <c r="H52" s="17" t="n">
        <f aca="false">IF(Rankings!H53&lt;=5,1,0)</f>
        <v>0</v>
      </c>
      <c r="I52" s="17" t="n">
        <f aca="false">IF(Rankings!I53&lt;=5,1,0)</f>
        <v>1</v>
      </c>
      <c r="J52" s="17" t="n">
        <f aca="false">IF(Rankings!J53&lt;=5,1,0)</f>
        <v>0</v>
      </c>
      <c r="K52" s="20" t="n">
        <f aca="false">SUM(C52:J52)</f>
        <v>5</v>
      </c>
      <c r="L52" s="16" t="n">
        <f aca="false">SUMPRODUCT(C52:J52,Returns!B56:I56)/K52</f>
        <v>-0.0394953240828214</v>
      </c>
      <c r="M52" s="16" t="n">
        <v>0</v>
      </c>
      <c r="N52" s="16" t="n">
        <v>0</v>
      </c>
      <c r="O52" s="16" t="n">
        <f aca="false">L52+M52+N52</f>
        <v>-0.0394953240828214</v>
      </c>
      <c r="P52" s="21" t="n">
        <f aca="false">P51*(1+O52)</f>
        <v>1.4930226188458</v>
      </c>
      <c r="Q52" s="21" t="n">
        <f aca="false">MAX($P$5:P52)</f>
        <v>1.81814544908851</v>
      </c>
      <c r="R52" s="16" t="n">
        <f aca="false">P52/Q52-1</f>
        <v>-0.178821133592863</v>
      </c>
      <c r="S52" s="16" t="n">
        <f aca="false">O52-Benchmark_RF!D52</f>
        <v>-0.0502860509238359</v>
      </c>
    </row>
    <row r="53" customFormat="false" ht="15" hidden="false" customHeight="true" outlineLevel="0" collapsed="false">
      <c r="A53" s="1" t="n">
        <v>56</v>
      </c>
      <c r="B53" s="13" t="n">
        <f aca="false">Returns!A57</f>
        <v>43678</v>
      </c>
      <c r="C53" s="17" t="n">
        <f aca="false">IF(Rankings!C59&lt;=5,1,0)</f>
        <v>1</v>
      </c>
      <c r="D53" s="17" t="n">
        <f aca="false">IF(Rankings!D59&lt;=5,1,0)</f>
        <v>1</v>
      </c>
      <c r="E53" s="17" t="n">
        <f aca="false">IF(Rankings!E59&lt;=5,1,0)</f>
        <v>1</v>
      </c>
      <c r="F53" s="17" t="n">
        <f aca="false">IF(Rankings!F59&lt;=5,1,0)</f>
        <v>0</v>
      </c>
      <c r="G53" s="17" t="n">
        <f aca="false">IF(Rankings!G59&lt;=5,1,0)</f>
        <v>1</v>
      </c>
      <c r="H53" s="17" t="n">
        <f aca="false">IF(Rankings!H59&lt;=5,1,0)</f>
        <v>1</v>
      </c>
      <c r="I53" s="17" t="n">
        <f aca="false">IF(Rankings!I59&lt;=5,1,0)</f>
        <v>0</v>
      </c>
      <c r="J53" s="17" t="n">
        <f aca="false">IF(Rankings!J59&lt;=5,1,0)</f>
        <v>0</v>
      </c>
      <c r="K53" s="20" t="n">
        <f aca="false">SUM(C53:J53)</f>
        <v>5</v>
      </c>
      <c r="L53" s="16" t="n">
        <f aca="false">SUMPRODUCT(C53:J53,Returns!B57:I57)/K53</f>
        <v>-0.0689563488629755</v>
      </c>
      <c r="M53" s="16" t="n">
        <f aca="false">-2*Assumptions!$B$13</f>
        <v>-0.007</v>
      </c>
      <c r="N53" s="16" t="n">
        <f aca="false">-Assumptions!$B$16*MAX(0,(1+O47)*(1+O48)*(1+O49)*(1+O50)*(1+O51)*(1+O52)-1)</f>
        <v>-0</v>
      </c>
      <c r="O53" s="16" t="n">
        <f aca="false">L53+M53+N53</f>
        <v>-0.0759563488629755</v>
      </c>
      <c r="P53" s="21" t="n">
        <f aca="false">P52*(1+O53)</f>
        <v>1.37961807194844</v>
      </c>
      <c r="Q53" s="21" t="n">
        <f aca="false">MAX($P$5:P53)</f>
        <v>1.81814544908851</v>
      </c>
      <c r="R53" s="16" t="n">
        <f aca="false">P53/Q53-1</f>
        <v>-0.241194882048586</v>
      </c>
      <c r="S53" s="16" t="n">
        <f aca="false">O53-Benchmark_RF!D53</f>
        <v>-0.0867495194337642</v>
      </c>
    </row>
    <row r="54" customFormat="false" ht="15" hidden="false" customHeight="true" outlineLevel="0" collapsed="false">
      <c r="A54" s="1" t="n">
        <v>57</v>
      </c>
      <c r="B54" s="13" t="n">
        <f aca="false">Returns!A58</f>
        <v>43709</v>
      </c>
      <c r="C54" s="17" t="n">
        <f aca="false">IF(Rankings!C59&lt;=5,1,0)</f>
        <v>1</v>
      </c>
      <c r="D54" s="17" t="n">
        <f aca="false">IF(Rankings!D59&lt;=5,1,0)</f>
        <v>1</v>
      </c>
      <c r="E54" s="17" t="n">
        <f aca="false">IF(Rankings!E59&lt;=5,1,0)</f>
        <v>1</v>
      </c>
      <c r="F54" s="17" t="n">
        <f aca="false">IF(Rankings!F59&lt;=5,1,0)</f>
        <v>0</v>
      </c>
      <c r="G54" s="17" t="n">
        <f aca="false">IF(Rankings!G59&lt;=5,1,0)</f>
        <v>1</v>
      </c>
      <c r="H54" s="17" t="n">
        <f aca="false">IF(Rankings!H59&lt;=5,1,0)</f>
        <v>1</v>
      </c>
      <c r="I54" s="17" t="n">
        <f aca="false">IF(Rankings!I59&lt;=5,1,0)</f>
        <v>0</v>
      </c>
      <c r="J54" s="17" t="n">
        <f aca="false">IF(Rankings!J59&lt;=5,1,0)</f>
        <v>0</v>
      </c>
      <c r="K54" s="20" t="n">
        <f aca="false">SUM(C54:J54)</f>
        <v>5</v>
      </c>
      <c r="L54" s="16" t="n">
        <f aca="false">SUMPRODUCT(C54:J54,Returns!B58:I58)/K54</f>
        <v>0.0356935871530545</v>
      </c>
      <c r="M54" s="16" t="n">
        <v>0</v>
      </c>
      <c r="N54" s="16" t="n">
        <v>0</v>
      </c>
      <c r="O54" s="16" t="n">
        <f aca="false">L54+M54+N54</f>
        <v>0.0356935871530545</v>
      </c>
      <c r="P54" s="21" t="n">
        <f aca="false">P53*(1+O54)</f>
        <v>1.42886158983746</v>
      </c>
      <c r="Q54" s="21" t="n">
        <f aca="false">MAX($P$5:P54)</f>
        <v>1.81814544908851</v>
      </c>
      <c r="R54" s="16" t="n">
        <f aca="false">P54/Q54-1</f>
        <v>-0.214110405438804</v>
      </c>
      <c r="S54" s="16" t="n">
        <f aca="false">O54-Benchmark_RF!D54</f>
        <v>0.024923449464294</v>
      </c>
    </row>
    <row r="55" customFormat="false" ht="15" hidden="false" customHeight="true" outlineLevel="0" collapsed="false">
      <c r="A55" s="1" t="n">
        <v>58</v>
      </c>
      <c r="B55" s="13" t="n">
        <f aca="false">Returns!A59</f>
        <v>43739</v>
      </c>
      <c r="C55" s="17" t="n">
        <f aca="false">IF(Rankings!C59&lt;=5,1,0)</f>
        <v>1</v>
      </c>
      <c r="D55" s="17" t="n">
        <f aca="false">IF(Rankings!D59&lt;=5,1,0)</f>
        <v>1</v>
      </c>
      <c r="E55" s="17" t="n">
        <f aca="false">IF(Rankings!E59&lt;=5,1,0)</f>
        <v>1</v>
      </c>
      <c r="F55" s="17" t="n">
        <f aca="false">IF(Rankings!F59&lt;=5,1,0)</f>
        <v>0</v>
      </c>
      <c r="G55" s="17" t="n">
        <f aca="false">IF(Rankings!G59&lt;=5,1,0)</f>
        <v>1</v>
      </c>
      <c r="H55" s="17" t="n">
        <f aca="false">IF(Rankings!H59&lt;=5,1,0)</f>
        <v>1</v>
      </c>
      <c r="I55" s="17" t="n">
        <f aca="false">IF(Rankings!I59&lt;=5,1,0)</f>
        <v>0</v>
      </c>
      <c r="J55" s="17" t="n">
        <f aca="false">IF(Rankings!J59&lt;=5,1,0)</f>
        <v>0</v>
      </c>
      <c r="K55" s="20" t="n">
        <f aca="false">SUM(C55:J55)</f>
        <v>5</v>
      </c>
      <c r="L55" s="16" t="n">
        <f aca="false">SUMPRODUCT(C55:J55,Returns!B59:I59)/K55</f>
        <v>0.0388816476156709</v>
      </c>
      <c r="M55" s="16" t="n">
        <v>0</v>
      </c>
      <c r="N55" s="16" t="n">
        <v>0</v>
      </c>
      <c r="O55" s="16" t="n">
        <f aca="false">L55+M55+N55</f>
        <v>0.0388816476156709</v>
      </c>
      <c r="P55" s="21" t="n">
        <f aca="false">P54*(1+O55)</f>
        <v>1.48441808266508</v>
      </c>
      <c r="Q55" s="21" t="n">
        <f aca="false">MAX($P$5:P55)</f>
        <v>1.81814544908851</v>
      </c>
      <c r="R55" s="16" t="n">
        <f aca="false">P55/Q55-1</f>
        <v>-0.183553723158252</v>
      </c>
      <c r="S55" s="16" t="n">
        <f aca="false">O55-Benchmark_RF!D55</f>
        <v>0.0284584413468908</v>
      </c>
    </row>
    <row r="56" customFormat="false" ht="15" hidden="false" customHeight="true" outlineLevel="0" collapsed="false">
      <c r="A56" s="1" t="n">
        <v>59</v>
      </c>
      <c r="B56" s="13" t="n">
        <f aca="false">Returns!A60</f>
        <v>43770</v>
      </c>
      <c r="C56" s="17" t="n">
        <f aca="false">IF(Rankings!C59&lt;=5,1,0)</f>
        <v>1</v>
      </c>
      <c r="D56" s="17" t="n">
        <f aca="false">IF(Rankings!D59&lt;=5,1,0)</f>
        <v>1</v>
      </c>
      <c r="E56" s="17" t="n">
        <f aca="false">IF(Rankings!E59&lt;=5,1,0)</f>
        <v>1</v>
      </c>
      <c r="F56" s="17" t="n">
        <f aca="false">IF(Rankings!F59&lt;=5,1,0)</f>
        <v>0</v>
      </c>
      <c r="G56" s="17" t="n">
        <f aca="false">IF(Rankings!G59&lt;=5,1,0)</f>
        <v>1</v>
      </c>
      <c r="H56" s="17" t="n">
        <f aca="false">IF(Rankings!H59&lt;=5,1,0)</f>
        <v>1</v>
      </c>
      <c r="I56" s="17" t="n">
        <f aca="false">IF(Rankings!I59&lt;=5,1,0)</f>
        <v>0</v>
      </c>
      <c r="J56" s="17" t="n">
        <f aca="false">IF(Rankings!J59&lt;=5,1,0)</f>
        <v>0</v>
      </c>
      <c r="K56" s="20" t="n">
        <f aca="false">SUM(C56:J56)</f>
        <v>5</v>
      </c>
      <c r="L56" s="16" t="n">
        <f aca="false">SUMPRODUCT(C56:J56,Returns!B60:I60)/K56</f>
        <v>0.0871993969908136</v>
      </c>
      <c r="M56" s="16" t="n">
        <v>0</v>
      </c>
      <c r="N56" s="16" t="n">
        <v>0</v>
      </c>
      <c r="O56" s="16" t="n">
        <f aca="false">L56+M56+N56</f>
        <v>0.0871993969908136</v>
      </c>
      <c r="P56" s="21" t="n">
        <f aca="false">P55*(1+O56)</f>
        <v>1.61385844435574</v>
      </c>
      <c r="Q56" s="21" t="n">
        <f aca="false">MAX($P$5:P56)</f>
        <v>1.81814544908851</v>
      </c>
      <c r="R56" s="16" t="n">
        <f aca="false">P56/Q56-1</f>
        <v>-0.112360100142257</v>
      </c>
      <c r="S56" s="16" t="n">
        <f aca="false">O56-Benchmark_RF!D56</f>
        <v>0.0766198908818572</v>
      </c>
    </row>
    <row r="57" customFormat="false" ht="15" hidden="false" customHeight="true" outlineLevel="0" collapsed="false">
      <c r="A57" s="1" t="n">
        <v>60</v>
      </c>
      <c r="B57" s="13" t="n">
        <f aca="false">Returns!A61</f>
        <v>43800</v>
      </c>
      <c r="C57" s="17" t="n">
        <f aca="false">IF(Rankings!C59&lt;=5,1,0)</f>
        <v>1</v>
      </c>
      <c r="D57" s="17" t="n">
        <f aca="false">IF(Rankings!D59&lt;=5,1,0)</f>
        <v>1</v>
      </c>
      <c r="E57" s="17" t="n">
        <f aca="false">IF(Rankings!E59&lt;=5,1,0)</f>
        <v>1</v>
      </c>
      <c r="F57" s="17" t="n">
        <f aca="false">IF(Rankings!F59&lt;=5,1,0)</f>
        <v>0</v>
      </c>
      <c r="G57" s="17" t="n">
        <f aca="false">IF(Rankings!G59&lt;=5,1,0)</f>
        <v>1</v>
      </c>
      <c r="H57" s="17" t="n">
        <f aca="false">IF(Rankings!H59&lt;=5,1,0)</f>
        <v>1</v>
      </c>
      <c r="I57" s="17" t="n">
        <f aca="false">IF(Rankings!I59&lt;=5,1,0)</f>
        <v>0</v>
      </c>
      <c r="J57" s="17" t="n">
        <f aca="false">IF(Rankings!J59&lt;=5,1,0)</f>
        <v>0</v>
      </c>
      <c r="K57" s="20" t="n">
        <f aca="false">SUM(C57:J57)</f>
        <v>5</v>
      </c>
      <c r="L57" s="16" t="n">
        <f aca="false">SUMPRODUCT(C57:J57,Returns!B61:I61)/K57</f>
        <v>0.0402829108315553</v>
      </c>
      <c r="M57" s="16" t="n">
        <v>0</v>
      </c>
      <c r="N57" s="16" t="n">
        <v>0</v>
      </c>
      <c r="O57" s="16" t="n">
        <f aca="false">L57+M57+N57</f>
        <v>0.0402829108315553</v>
      </c>
      <c r="P57" s="21" t="n">
        <f aca="false">P56*(1+O57)</f>
        <v>1.67886936016447</v>
      </c>
      <c r="Q57" s="21" t="n">
        <f aca="false">MAX($P$5:P57)</f>
        <v>1.81814544908851</v>
      </c>
      <c r="R57" s="16" t="n">
        <f aca="false">P57/Q57-1</f>
        <v>-0.0766033812057573</v>
      </c>
      <c r="S57" s="16" t="n">
        <f aca="false">O57-Benchmark_RF!D57</f>
        <v>0.0297142420419241</v>
      </c>
    </row>
    <row r="58" customFormat="false" ht="15" hidden="false" customHeight="true" outlineLevel="0" collapsed="false">
      <c r="A58" s="1" t="n">
        <v>61</v>
      </c>
      <c r="B58" s="13" t="n">
        <f aca="false">Returns!A62</f>
        <v>43831</v>
      </c>
      <c r="C58" s="17" t="n">
        <f aca="false">IF(Rankings!C59&lt;=5,1,0)</f>
        <v>1</v>
      </c>
      <c r="D58" s="17" t="n">
        <f aca="false">IF(Rankings!D59&lt;=5,1,0)</f>
        <v>1</v>
      </c>
      <c r="E58" s="17" t="n">
        <f aca="false">IF(Rankings!E59&lt;=5,1,0)</f>
        <v>1</v>
      </c>
      <c r="F58" s="17" t="n">
        <f aca="false">IF(Rankings!F59&lt;=5,1,0)</f>
        <v>0</v>
      </c>
      <c r="G58" s="17" t="n">
        <f aca="false">IF(Rankings!G59&lt;=5,1,0)</f>
        <v>1</v>
      </c>
      <c r="H58" s="17" t="n">
        <f aca="false">IF(Rankings!H59&lt;=5,1,0)</f>
        <v>1</v>
      </c>
      <c r="I58" s="17" t="n">
        <f aca="false">IF(Rankings!I59&lt;=5,1,0)</f>
        <v>0</v>
      </c>
      <c r="J58" s="17" t="n">
        <f aca="false">IF(Rankings!J59&lt;=5,1,0)</f>
        <v>0</v>
      </c>
      <c r="K58" s="20" t="n">
        <f aca="false">SUM(C58:J58)</f>
        <v>5</v>
      </c>
      <c r="L58" s="16" t="n">
        <f aca="false">SUMPRODUCT(C58:J58,Returns!B62:I62)/K58</f>
        <v>0.0267037508808197</v>
      </c>
      <c r="M58" s="16" t="n">
        <v>0</v>
      </c>
      <c r="N58" s="16" t="n">
        <v>0</v>
      </c>
      <c r="O58" s="16" t="n">
        <f aca="false">L58+M58+N58</f>
        <v>0.0267037508808197</v>
      </c>
      <c r="P58" s="21" t="n">
        <f aca="false">P57*(1+O58)</f>
        <v>1.72370146931975</v>
      </c>
      <c r="Q58" s="21" t="n">
        <f aca="false">MAX($P$5:P58)</f>
        <v>1.81814544908851</v>
      </c>
      <c r="R58" s="16" t="n">
        <f aca="false">P58/Q58-1</f>
        <v>-0.0519452279332845</v>
      </c>
      <c r="S58" s="16" t="n">
        <f aca="false">O58-Benchmark_RF!D58</f>
        <v>0.0161779242852625</v>
      </c>
    </row>
    <row r="59" customFormat="false" ht="15" hidden="false" customHeight="true" outlineLevel="0" collapsed="false">
      <c r="A59" s="1" t="n">
        <v>62</v>
      </c>
      <c r="B59" s="13" t="n">
        <f aca="false">Returns!A63</f>
        <v>43862</v>
      </c>
      <c r="C59" s="17" t="n">
        <f aca="false">IF(Rankings!C65&lt;=5,1,0)</f>
        <v>1</v>
      </c>
      <c r="D59" s="17" t="n">
        <f aca="false">IF(Rankings!D65&lt;=5,1,0)</f>
        <v>0</v>
      </c>
      <c r="E59" s="17" t="n">
        <f aca="false">IF(Rankings!E65&lt;=5,1,0)</f>
        <v>0</v>
      </c>
      <c r="F59" s="17" t="n">
        <f aca="false">IF(Rankings!F65&lt;=5,1,0)</f>
        <v>1</v>
      </c>
      <c r="G59" s="17" t="n">
        <f aca="false">IF(Rankings!G65&lt;=5,1,0)</f>
        <v>0</v>
      </c>
      <c r="H59" s="17" t="n">
        <f aca="false">IF(Rankings!H65&lt;=5,1,0)</f>
        <v>1</v>
      </c>
      <c r="I59" s="17" t="n">
        <f aca="false">IF(Rankings!I65&lt;=5,1,0)</f>
        <v>1</v>
      </c>
      <c r="J59" s="17" t="n">
        <f aca="false">IF(Rankings!J65&lt;=5,1,0)</f>
        <v>1</v>
      </c>
      <c r="K59" s="20" t="n">
        <f aca="false">SUM(C59:J59)</f>
        <v>5</v>
      </c>
      <c r="L59" s="16" t="n">
        <f aca="false">SUMPRODUCT(C59:J59,Returns!B63:I63)/K59</f>
        <v>-0.0484433217568299</v>
      </c>
      <c r="M59" s="16" t="n">
        <f aca="false">-2*Assumptions!$B$13</f>
        <v>-0.007</v>
      </c>
      <c r="N59" s="16" t="n">
        <f aca="false">-Assumptions!$B$16*MAX(0,(1+O53)*(1+O54)*(1+O55)*(1+O56)*(1+O57)*(1+O58)-1)</f>
        <v>-0.0231756887901948</v>
      </c>
      <c r="O59" s="16" t="n">
        <f aca="false">L59+M59+N59</f>
        <v>-0.0786190105470247</v>
      </c>
      <c r="P59" s="21" t="n">
        <f aca="false">P58*(1+O59)</f>
        <v>1.58818576532338</v>
      </c>
      <c r="Q59" s="21" t="n">
        <f aca="false">MAX($P$5:P59)</f>
        <v>1.81814544908851</v>
      </c>
      <c r="R59" s="16" t="n">
        <f aca="false">P59/Q59-1</f>
        <v>-0.126480356057555</v>
      </c>
      <c r="S59" s="16" t="n">
        <f aca="false">O59-Benchmark_RF!D59</f>
        <v>-0.0891393412039842</v>
      </c>
    </row>
    <row r="60" customFormat="false" ht="15" hidden="false" customHeight="true" outlineLevel="0" collapsed="false">
      <c r="A60" s="1" t="n">
        <v>63</v>
      </c>
      <c r="B60" s="13" t="n">
        <f aca="false">Returns!A64</f>
        <v>43891</v>
      </c>
      <c r="C60" s="17" t="n">
        <f aca="false">IF(Rankings!C65&lt;=5,1,0)</f>
        <v>1</v>
      </c>
      <c r="D60" s="17" t="n">
        <f aca="false">IF(Rankings!D65&lt;=5,1,0)</f>
        <v>0</v>
      </c>
      <c r="E60" s="17" t="n">
        <f aca="false">IF(Rankings!E65&lt;=5,1,0)</f>
        <v>0</v>
      </c>
      <c r="F60" s="17" t="n">
        <f aca="false">IF(Rankings!F65&lt;=5,1,0)</f>
        <v>1</v>
      </c>
      <c r="G60" s="17" t="n">
        <f aca="false">IF(Rankings!G65&lt;=5,1,0)</f>
        <v>0</v>
      </c>
      <c r="H60" s="17" t="n">
        <f aca="false">IF(Rankings!H65&lt;=5,1,0)</f>
        <v>1</v>
      </c>
      <c r="I60" s="17" t="n">
        <f aca="false">IF(Rankings!I65&lt;=5,1,0)</f>
        <v>1</v>
      </c>
      <c r="J60" s="17" t="n">
        <f aca="false">IF(Rankings!J65&lt;=5,1,0)</f>
        <v>1</v>
      </c>
      <c r="K60" s="20" t="n">
        <f aca="false">SUM(C60:J60)</f>
        <v>5</v>
      </c>
      <c r="L60" s="16" t="n">
        <f aca="false">SUMPRODUCT(C60:J60,Returns!B64:I64)/K60</f>
        <v>-0.278112959303834</v>
      </c>
      <c r="M60" s="16" t="n">
        <v>0</v>
      </c>
      <c r="N60" s="16" t="n">
        <v>0</v>
      </c>
      <c r="O60" s="16" t="n">
        <f aca="false">L60+M60+N60</f>
        <v>-0.278112959303834</v>
      </c>
      <c r="P60" s="21" t="n">
        <f aca="false">P59*(1+O60)</f>
        <v>1.14649072220507</v>
      </c>
      <c r="Q60" s="21" t="n">
        <f aca="false">MAX($P$5:P60)</f>
        <v>1.81814544908851</v>
      </c>
      <c r="R60" s="16" t="n">
        <f aca="false">P60/Q60-1</f>
        <v>-0.36941748924442</v>
      </c>
      <c r="S60" s="16" t="n">
        <f aca="false">O60-Benchmark_RF!D60</f>
        <v>-0.287012044334627</v>
      </c>
    </row>
    <row r="61" customFormat="false" ht="15" hidden="false" customHeight="true" outlineLevel="0" collapsed="false">
      <c r="A61" s="1" t="n">
        <v>64</v>
      </c>
      <c r="B61" s="13" t="n">
        <f aca="false">Returns!A65</f>
        <v>43922</v>
      </c>
      <c r="C61" s="17" t="n">
        <f aca="false">IF(Rankings!C65&lt;=5,1,0)</f>
        <v>1</v>
      </c>
      <c r="D61" s="17" t="n">
        <f aca="false">IF(Rankings!D65&lt;=5,1,0)</f>
        <v>0</v>
      </c>
      <c r="E61" s="17" t="n">
        <f aca="false">IF(Rankings!E65&lt;=5,1,0)</f>
        <v>0</v>
      </c>
      <c r="F61" s="17" t="n">
        <f aca="false">IF(Rankings!F65&lt;=5,1,0)</f>
        <v>1</v>
      </c>
      <c r="G61" s="17" t="n">
        <f aca="false">IF(Rankings!G65&lt;=5,1,0)</f>
        <v>0</v>
      </c>
      <c r="H61" s="17" t="n">
        <f aca="false">IF(Rankings!H65&lt;=5,1,0)</f>
        <v>1</v>
      </c>
      <c r="I61" s="17" t="n">
        <f aca="false">IF(Rankings!I65&lt;=5,1,0)</f>
        <v>1</v>
      </c>
      <c r="J61" s="17" t="n">
        <f aca="false">IF(Rankings!J65&lt;=5,1,0)</f>
        <v>1</v>
      </c>
      <c r="K61" s="20" t="n">
        <f aca="false">SUM(C61:J61)</f>
        <v>5</v>
      </c>
      <c r="L61" s="16" t="n">
        <f aca="false">SUMPRODUCT(C61:J61,Returns!B65:I65)/K61</f>
        <v>0.161479474382132</v>
      </c>
      <c r="M61" s="16" t="n">
        <v>0</v>
      </c>
      <c r="N61" s="16" t="n">
        <v>0</v>
      </c>
      <c r="O61" s="16" t="n">
        <f aca="false">L61+M61+N61</f>
        <v>0.161479474382132</v>
      </c>
      <c r="P61" s="21" t="n">
        <f aca="false">P60*(1+O61)</f>
        <v>1.33162544141073</v>
      </c>
      <c r="Q61" s="21" t="n">
        <f aca="false">MAX($P$5:P61)</f>
        <v>1.81814544908851</v>
      </c>
      <c r="R61" s="16" t="n">
        <f aca="false">P61/Q61-1</f>
        <v>-0.267591356853043</v>
      </c>
      <c r="S61" s="16" t="n">
        <f aca="false">O61-Benchmark_RF!D61</f>
        <v>0.154879409141772</v>
      </c>
    </row>
    <row r="62" customFormat="false" ht="15" hidden="false" customHeight="true" outlineLevel="0" collapsed="false">
      <c r="A62" s="1" t="n">
        <v>65</v>
      </c>
      <c r="B62" s="13" t="n">
        <f aca="false">Returns!A66</f>
        <v>43952</v>
      </c>
      <c r="C62" s="17" t="n">
        <f aca="false">IF(Rankings!C65&lt;=5,1,0)</f>
        <v>1</v>
      </c>
      <c r="D62" s="17" t="n">
        <f aca="false">IF(Rankings!D65&lt;=5,1,0)</f>
        <v>0</v>
      </c>
      <c r="E62" s="17" t="n">
        <f aca="false">IF(Rankings!E65&lt;=5,1,0)</f>
        <v>0</v>
      </c>
      <c r="F62" s="17" t="n">
        <f aca="false">IF(Rankings!F65&lt;=5,1,0)</f>
        <v>1</v>
      </c>
      <c r="G62" s="17" t="n">
        <f aca="false">IF(Rankings!G65&lt;=5,1,0)</f>
        <v>0</v>
      </c>
      <c r="H62" s="17" t="n">
        <f aca="false">IF(Rankings!H65&lt;=5,1,0)</f>
        <v>1</v>
      </c>
      <c r="I62" s="17" t="n">
        <f aca="false">IF(Rankings!I65&lt;=5,1,0)</f>
        <v>1</v>
      </c>
      <c r="J62" s="17" t="n">
        <f aca="false">IF(Rankings!J65&lt;=5,1,0)</f>
        <v>1</v>
      </c>
      <c r="K62" s="20" t="n">
        <f aca="false">SUM(C62:J62)</f>
        <v>5</v>
      </c>
      <c r="L62" s="16" t="n">
        <f aca="false">SUMPRODUCT(C62:J62,Returns!B66:I66)/K62</f>
        <v>0.0807224798238998</v>
      </c>
      <c r="M62" s="16" t="n">
        <v>0</v>
      </c>
      <c r="N62" s="16" t="n">
        <v>0</v>
      </c>
      <c r="O62" s="16" t="n">
        <f aca="false">L62+M62+N62</f>
        <v>0.0807224798238998</v>
      </c>
      <c r="P62" s="21" t="n">
        <f aca="false">P61*(1+O62)</f>
        <v>1.439117549238</v>
      </c>
      <c r="Q62" s="21" t="n">
        <f aca="false">MAX($P$5:P62)</f>
        <v>1.81814544908851</v>
      </c>
      <c r="R62" s="16" t="n">
        <f aca="false">P62/Q62-1</f>
        <v>-0.208469514933763</v>
      </c>
      <c r="S62" s="16" t="n">
        <f aca="false">O62-Benchmark_RF!D62</f>
        <v>0.0741947657571972</v>
      </c>
    </row>
    <row r="63" customFormat="false" ht="15" hidden="false" customHeight="true" outlineLevel="0" collapsed="false">
      <c r="A63" s="1" t="n">
        <v>66</v>
      </c>
      <c r="B63" s="13" t="n">
        <f aca="false">Returns!A67</f>
        <v>43983</v>
      </c>
      <c r="C63" s="17" t="n">
        <f aca="false">IF(Rankings!C65&lt;=5,1,0)</f>
        <v>1</v>
      </c>
      <c r="D63" s="17" t="n">
        <f aca="false">IF(Rankings!D65&lt;=5,1,0)</f>
        <v>0</v>
      </c>
      <c r="E63" s="17" t="n">
        <f aca="false">IF(Rankings!E65&lt;=5,1,0)</f>
        <v>0</v>
      </c>
      <c r="F63" s="17" t="n">
        <f aca="false">IF(Rankings!F65&lt;=5,1,0)</f>
        <v>1</v>
      </c>
      <c r="G63" s="17" t="n">
        <f aca="false">IF(Rankings!G65&lt;=5,1,0)</f>
        <v>0</v>
      </c>
      <c r="H63" s="17" t="n">
        <f aca="false">IF(Rankings!H65&lt;=5,1,0)</f>
        <v>1</v>
      </c>
      <c r="I63" s="17" t="n">
        <f aca="false">IF(Rankings!I65&lt;=5,1,0)</f>
        <v>1</v>
      </c>
      <c r="J63" s="17" t="n">
        <f aca="false">IF(Rankings!J65&lt;=5,1,0)</f>
        <v>1</v>
      </c>
      <c r="K63" s="20" t="n">
        <f aca="false">SUM(C63:J63)</f>
        <v>5</v>
      </c>
      <c r="L63" s="16" t="n">
        <f aca="false">SUMPRODUCT(C63:J63,Returns!B67:I67)/K63</f>
        <v>0.0355540007757723</v>
      </c>
      <c r="M63" s="16" t="n">
        <v>0</v>
      </c>
      <c r="N63" s="16" t="n">
        <v>0</v>
      </c>
      <c r="O63" s="16" t="n">
        <f aca="false">L63+M63+N63</f>
        <v>0.0355540007757723</v>
      </c>
      <c r="P63" s="21" t="n">
        <f aca="false">P62*(1+O63)</f>
        <v>1.49028393570004</v>
      </c>
      <c r="Q63" s="21" t="n">
        <f aca="false">MAX($P$5:P63)</f>
        <v>1.81814544908851</v>
      </c>
      <c r="R63" s="16" t="n">
        <f aca="false">P63/Q63-1</f>
        <v>-0.180327439453671</v>
      </c>
      <c r="S63" s="16" t="n">
        <f aca="false">O63-Benchmark_RF!D63</f>
        <v>0.0300183549804259</v>
      </c>
    </row>
    <row r="64" customFormat="false" ht="15" hidden="false" customHeight="true" outlineLevel="0" collapsed="false">
      <c r="A64" s="1" t="n">
        <v>67</v>
      </c>
      <c r="B64" s="13" t="n">
        <f aca="false">Returns!A68</f>
        <v>44013</v>
      </c>
      <c r="C64" s="17" t="n">
        <f aca="false">IF(Rankings!C65&lt;=5,1,0)</f>
        <v>1</v>
      </c>
      <c r="D64" s="17" t="n">
        <f aca="false">IF(Rankings!D65&lt;=5,1,0)</f>
        <v>0</v>
      </c>
      <c r="E64" s="17" t="n">
        <f aca="false">IF(Rankings!E65&lt;=5,1,0)</f>
        <v>0</v>
      </c>
      <c r="F64" s="17" t="n">
        <f aca="false">IF(Rankings!F65&lt;=5,1,0)</f>
        <v>1</v>
      </c>
      <c r="G64" s="17" t="n">
        <f aca="false">IF(Rankings!G65&lt;=5,1,0)</f>
        <v>0</v>
      </c>
      <c r="H64" s="17" t="n">
        <f aca="false">IF(Rankings!H65&lt;=5,1,0)</f>
        <v>1</v>
      </c>
      <c r="I64" s="17" t="n">
        <f aca="false">IF(Rankings!I65&lt;=5,1,0)</f>
        <v>1</v>
      </c>
      <c r="J64" s="17" t="n">
        <f aca="false">IF(Rankings!J65&lt;=5,1,0)</f>
        <v>1</v>
      </c>
      <c r="K64" s="20" t="n">
        <f aca="false">SUM(C64:J64)</f>
        <v>5</v>
      </c>
      <c r="L64" s="16" t="n">
        <f aca="false">SUMPRODUCT(C64:J64,Returns!B68:I68)/K64</f>
        <v>0.081591561839575</v>
      </c>
      <c r="M64" s="16" t="n">
        <v>0</v>
      </c>
      <c r="N64" s="16" t="n">
        <v>0</v>
      </c>
      <c r="O64" s="16" t="n">
        <f aca="false">L64+M64+N64</f>
        <v>0.081591561839575</v>
      </c>
      <c r="P64" s="21" t="n">
        <f aca="false">P63*(1+O64)</f>
        <v>1.61187852959823</v>
      </c>
      <c r="Q64" s="21" t="n">
        <f aca="false">MAX($P$5:P64)</f>
        <v>1.81814544908851</v>
      </c>
      <c r="R64" s="16" t="n">
        <f aca="false">P64/Q64-1</f>
        <v>-0.113449075041652</v>
      </c>
      <c r="S64" s="16" t="n">
        <f aca="false">O64-Benchmark_RF!D64</f>
        <v>0.0760366258829321</v>
      </c>
    </row>
    <row r="65" customFormat="false" ht="15" hidden="false" customHeight="true" outlineLevel="0" collapsed="false">
      <c r="A65" s="1" t="n">
        <v>68</v>
      </c>
      <c r="B65" s="13" t="n">
        <f aca="false">Returns!A69</f>
        <v>44044</v>
      </c>
      <c r="C65" s="17" t="n">
        <f aca="false">IF(Rankings!C71&lt;=5,1,0)</f>
        <v>0</v>
      </c>
      <c r="D65" s="17" t="n">
        <f aca="false">IF(Rankings!D71&lt;=5,1,0)</f>
        <v>1</v>
      </c>
      <c r="E65" s="17" t="n">
        <f aca="false">IF(Rankings!E71&lt;=5,1,0)</f>
        <v>0</v>
      </c>
      <c r="F65" s="17" t="n">
        <f aca="false">IF(Rankings!F71&lt;=5,1,0)</f>
        <v>1</v>
      </c>
      <c r="G65" s="17" t="n">
        <f aca="false">IF(Rankings!G71&lt;=5,1,0)</f>
        <v>1</v>
      </c>
      <c r="H65" s="17" t="n">
        <f aca="false">IF(Rankings!H71&lt;=5,1,0)</f>
        <v>0</v>
      </c>
      <c r="I65" s="17" t="n">
        <f aca="false">IF(Rankings!I71&lt;=5,1,0)</f>
        <v>1</v>
      </c>
      <c r="J65" s="17" t="n">
        <f aca="false">IF(Rankings!J71&lt;=5,1,0)</f>
        <v>1</v>
      </c>
      <c r="K65" s="20" t="n">
        <f aca="false">SUM(C65:J65)</f>
        <v>5</v>
      </c>
      <c r="L65" s="16" t="n">
        <f aca="false">SUMPRODUCT(C65:J65,Returns!B69:I69)/K65</f>
        <v>0.0689622200906987</v>
      </c>
      <c r="M65" s="16" t="n">
        <f aca="false">-2*Assumptions!$B$13</f>
        <v>-0.007</v>
      </c>
      <c r="N65" s="16" t="n">
        <f aca="false">-Assumptions!$B$16*MAX(0,(1+O59)*(1+O60)*(1+O61)*(1+O62)*(1+O63)*(1+O64)-1)</f>
        <v>-0</v>
      </c>
      <c r="O65" s="16" t="n">
        <f aca="false">L65+M65+N65</f>
        <v>0.0619622200906987</v>
      </c>
      <c r="P65" s="21" t="n">
        <f aca="false">P64*(1+O65)</f>
        <v>1.71175410180867</v>
      </c>
      <c r="Q65" s="21" t="n">
        <f aca="false">MAX($P$5:P65)</f>
        <v>1.81814544908851</v>
      </c>
      <c r="R65" s="16" t="n">
        <f aca="false">P65/Q65-1</f>
        <v>-0.0585164115077704</v>
      </c>
      <c r="S65" s="16" t="n">
        <f aca="false">O65-Benchmark_RF!D65</f>
        <v>0.0562363599093787</v>
      </c>
    </row>
    <row r="66" customFormat="false" ht="15" hidden="false" customHeight="true" outlineLevel="0" collapsed="false">
      <c r="A66" s="1" t="n">
        <v>69</v>
      </c>
      <c r="B66" s="13" t="n">
        <f aca="false">Returns!A70</f>
        <v>44075</v>
      </c>
      <c r="C66" s="17" t="n">
        <f aca="false">IF(Rankings!C71&lt;=5,1,0)</f>
        <v>0</v>
      </c>
      <c r="D66" s="17" t="n">
        <f aca="false">IF(Rankings!D71&lt;=5,1,0)</f>
        <v>1</v>
      </c>
      <c r="E66" s="17" t="n">
        <f aca="false">IF(Rankings!E71&lt;=5,1,0)</f>
        <v>0</v>
      </c>
      <c r="F66" s="17" t="n">
        <f aca="false">IF(Rankings!F71&lt;=5,1,0)</f>
        <v>1</v>
      </c>
      <c r="G66" s="17" t="n">
        <f aca="false">IF(Rankings!G71&lt;=5,1,0)</f>
        <v>1</v>
      </c>
      <c r="H66" s="17" t="n">
        <f aca="false">IF(Rankings!H71&lt;=5,1,0)</f>
        <v>0</v>
      </c>
      <c r="I66" s="17" t="n">
        <f aca="false">IF(Rankings!I71&lt;=5,1,0)</f>
        <v>1</v>
      </c>
      <c r="J66" s="17" t="n">
        <f aca="false">IF(Rankings!J71&lt;=5,1,0)</f>
        <v>1</v>
      </c>
      <c r="K66" s="20" t="n">
        <f aca="false">SUM(C66:J66)</f>
        <v>5</v>
      </c>
      <c r="L66" s="16" t="n">
        <f aca="false">SUMPRODUCT(C66:J66,Returns!B70:I70)/K66</f>
        <v>-0.0027460286400208</v>
      </c>
      <c r="M66" s="16" t="n">
        <v>0</v>
      </c>
      <c r="N66" s="16" t="n">
        <v>0</v>
      </c>
      <c r="O66" s="16" t="n">
        <f aca="false">L66+M66+N66</f>
        <v>-0.0027460286400208</v>
      </c>
      <c r="P66" s="21" t="n">
        <f aca="false">P65*(1+O66)</f>
        <v>1.70705357602043</v>
      </c>
      <c r="Q66" s="21" t="n">
        <f aca="false">MAX($P$5:P66)</f>
        <v>1.81814544908851</v>
      </c>
      <c r="R66" s="16" t="n">
        <f aca="false">P66/Q66-1</f>
        <v>-0.0611017524058797</v>
      </c>
      <c r="S66" s="16" t="n">
        <f aca="false">O66-Benchmark_RF!D66</f>
        <v>-0.00847713212866639</v>
      </c>
    </row>
    <row r="67" customFormat="false" ht="15" hidden="false" customHeight="true" outlineLevel="0" collapsed="false">
      <c r="A67" s="1" t="n">
        <v>70</v>
      </c>
      <c r="B67" s="13" t="n">
        <f aca="false">Returns!A71</f>
        <v>44105</v>
      </c>
      <c r="C67" s="17" t="n">
        <f aca="false">IF(Rankings!C71&lt;=5,1,0)</f>
        <v>0</v>
      </c>
      <c r="D67" s="17" t="n">
        <f aca="false">IF(Rankings!D71&lt;=5,1,0)</f>
        <v>1</v>
      </c>
      <c r="E67" s="17" t="n">
        <f aca="false">IF(Rankings!E71&lt;=5,1,0)</f>
        <v>0</v>
      </c>
      <c r="F67" s="17" t="n">
        <f aca="false">IF(Rankings!F71&lt;=5,1,0)</f>
        <v>1</v>
      </c>
      <c r="G67" s="17" t="n">
        <f aca="false">IF(Rankings!G71&lt;=5,1,0)</f>
        <v>1</v>
      </c>
      <c r="H67" s="17" t="n">
        <f aca="false">IF(Rankings!H71&lt;=5,1,0)</f>
        <v>0</v>
      </c>
      <c r="I67" s="17" t="n">
        <f aca="false">IF(Rankings!I71&lt;=5,1,0)</f>
        <v>1</v>
      </c>
      <c r="J67" s="17" t="n">
        <f aca="false">IF(Rankings!J71&lt;=5,1,0)</f>
        <v>1</v>
      </c>
      <c r="K67" s="20" t="n">
        <f aca="false">SUM(C67:J67)</f>
        <v>5</v>
      </c>
      <c r="L67" s="16" t="n">
        <f aca="false">SUMPRODUCT(C67:J67,Returns!B71:I71)/K67</f>
        <v>0.0310055233851952</v>
      </c>
      <c r="M67" s="16" t="n">
        <v>0</v>
      </c>
      <c r="N67" s="16" t="n">
        <v>0</v>
      </c>
      <c r="O67" s="16" t="n">
        <f aca="false">L67+M67+N67</f>
        <v>0.0310055233851952</v>
      </c>
      <c r="P67" s="21" t="n">
        <f aca="false">P66*(1+O67)</f>
        <v>1.75998166559151</v>
      </c>
      <c r="Q67" s="21" t="n">
        <f aca="false">MAX($P$5:P67)</f>
        <v>1.81814544908851</v>
      </c>
      <c r="R67" s="16" t="n">
        <f aca="false">P67/Q67-1</f>
        <v>-0.0319907208337814</v>
      </c>
      <c r="S67" s="16" t="n">
        <f aca="false">O67-Benchmark_RF!D67</f>
        <v>0.0252277129520913</v>
      </c>
    </row>
    <row r="68" customFormat="false" ht="15" hidden="false" customHeight="true" outlineLevel="0" collapsed="false">
      <c r="A68" s="1" t="n">
        <v>71</v>
      </c>
      <c r="B68" s="13" t="n">
        <f aca="false">Returns!A72</f>
        <v>44136</v>
      </c>
      <c r="C68" s="17" t="n">
        <f aca="false">IF(Rankings!C71&lt;=5,1,0)</f>
        <v>0</v>
      </c>
      <c r="D68" s="17" t="n">
        <f aca="false">IF(Rankings!D71&lt;=5,1,0)</f>
        <v>1</v>
      </c>
      <c r="E68" s="17" t="n">
        <f aca="false">IF(Rankings!E71&lt;=5,1,0)</f>
        <v>0</v>
      </c>
      <c r="F68" s="17" t="n">
        <f aca="false">IF(Rankings!F71&lt;=5,1,0)</f>
        <v>1</v>
      </c>
      <c r="G68" s="17" t="n">
        <f aca="false">IF(Rankings!G71&lt;=5,1,0)</f>
        <v>1</v>
      </c>
      <c r="H68" s="17" t="n">
        <f aca="false">IF(Rankings!H71&lt;=5,1,0)</f>
        <v>0</v>
      </c>
      <c r="I68" s="17" t="n">
        <f aca="false">IF(Rankings!I71&lt;=5,1,0)</f>
        <v>1</v>
      </c>
      <c r="J68" s="17" t="n">
        <f aca="false">IF(Rankings!J71&lt;=5,1,0)</f>
        <v>1</v>
      </c>
      <c r="K68" s="20" t="n">
        <f aca="false">SUM(C68:J68)</f>
        <v>5</v>
      </c>
      <c r="L68" s="16" t="n">
        <f aca="false">SUMPRODUCT(C68:J68,Returns!B72:I72)/K68</f>
        <v>0.0384307721658424</v>
      </c>
      <c r="M68" s="16" t="n">
        <v>0</v>
      </c>
      <c r="N68" s="16" t="n">
        <v>0</v>
      </c>
      <c r="O68" s="16" t="n">
        <f aca="false">L68+M68+N68</f>
        <v>0.0384307721658424</v>
      </c>
      <c r="P68" s="21" t="n">
        <f aca="false">P67*(1+O68)</f>
        <v>1.82761911999792</v>
      </c>
      <c r="Q68" s="21" t="n">
        <f aca="false">MAX($P$5:P68)</f>
        <v>1.82761911999792</v>
      </c>
      <c r="R68" s="16" t="n">
        <f aca="false">P68/Q68-1</f>
        <v>0</v>
      </c>
      <c r="S68" s="16" t="n">
        <f aca="false">O68-Benchmark_RF!D68</f>
        <v>0.0326668852601309</v>
      </c>
    </row>
    <row r="69" customFormat="false" ht="15" hidden="false" customHeight="true" outlineLevel="0" collapsed="false">
      <c r="A69" s="1" t="n">
        <v>72</v>
      </c>
      <c r="B69" s="13" t="n">
        <f aca="false">Returns!A73</f>
        <v>44166</v>
      </c>
      <c r="C69" s="17" t="n">
        <f aca="false">IF(Rankings!C71&lt;=5,1,0)</f>
        <v>0</v>
      </c>
      <c r="D69" s="17" t="n">
        <f aca="false">IF(Rankings!D71&lt;=5,1,0)</f>
        <v>1</v>
      </c>
      <c r="E69" s="17" t="n">
        <f aca="false">IF(Rankings!E71&lt;=5,1,0)</f>
        <v>0</v>
      </c>
      <c r="F69" s="17" t="n">
        <f aca="false">IF(Rankings!F71&lt;=5,1,0)</f>
        <v>1</v>
      </c>
      <c r="G69" s="17" t="n">
        <f aca="false">IF(Rankings!G71&lt;=5,1,0)</f>
        <v>1</v>
      </c>
      <c r="H69" s="17" t="n">
        <f aca="false">IF(Rankings!H71&lt;=5,1,0)</f>
        <v>0</v>
      </c>
      <c r="I69" s="17" t="n">
        <f aca="false">IF(Rankings!I71&lt;=5,1,0)</f>
        <v>1</v>
      </c>
      <c r="J69" s="17" t="n">
        <f aca="false">IF(Rankings!J71&lt;=5,1,0)</f>
        <v>1</v>
      </c>
      <c r="K69" s="20" t="n">
        <f aca="false">SUM(C69:J69)</f>
        <v>5</v>
      </c>
      <c r="L69" s="16" t="n">
        <f aca="false">SUMPRODUCT(C69:J69,Returns!B73:I73)/K69</f>
        <v>0.0804466459845079</v>
      </c>
      <c r="M69" s="16" t="n">
        <v>0</v>
      </c>
      <c r="N69" s="16" t="n">
        <v>0</v>
      </c>
      <c r="O69" s="16" t="n">
        <f aca="false">L69+M69+N69</f>
        <v>0.0804466459845079</v>
      </c>
      <c r="P69" s="21" t="n">
        <f aca="false">P68*(1+O69)</f>
        <v>1.97464494833891</v>
      </c>
      <c r="Q69" s="21" t="n">
        <f aca="false">MAX($P$5:P69)</f>
        <v>1.97464494833891</v>
      </c>
      <c r="R69" s="16" t="n">
        <f aca="false">P69/Q69-1</f>
        <v>0</v>
      </c>
      <c r="S69" s="16" t="n">
        <f aca="false">O69-Benchmark_RF!D69</f>
        <v>0.0747071694793094</v>
      </c>
    </row>
    <row r="70" customFormat="false" ht="15" hidden="false" customHeight="true" outlineLevel="0" collapsed="false">
      <c r="A70" s="1" t="n">
        <v>73</v>
      </c>
      <c r="B70" s="13" t="n">
        <f aca="false">Returns!A74</f>
        <v>44197</v>
      </c>
      <c r="C70" s="17" t="n">
        <f aca="false">IF(Rankings!C71&lt;=5,1,0)</f>
        <v>0</v>
      </c>
      <c r="D70" s="17" t="n">
        <f aca="false">IF(Rankings!D71&lt;=5,1,0)</f>
        <v>1</v>
      </c>
      <c r="E70" s="17" t="n">
        <f aca="false">IF(Rankings!E71&lt;=5,1,0)</f>
        <v>0</v>
      </c>
      <c r="F70" s="17" t="n">
        <f aca="false">IF(Rankings!F71&lt;=5,1,0)</f>
        <v>1</v>
      </c>
      <c r="G70" s="17" t="n">
        <f aca="false">IF(Rankings!G71&lt;=5,1,0)</f>
        <v>1</v>
      </c>
      <c r="H70" s="17" t="n">
        <f aca="false">IF(Rankings!H71&lt;=5,1,0)</f>
        <v>0</v>
      </c>
      <c r="I70" s="17" t="n">
        <f aca="false">IF(Rankings!I71&lt;=5,1,0)</f>
        <v>1</v>
      </c>
      <c r="J70" s="17" t="n">
        <f aca="false">IF(Rankings!J71&lt;=5,1,0)</f>
        <v>1</v>
      </c>
      <c r="K70" s="20" t="n">
        <f aca="false">SUM(C70:J70)</f>
        <v>5</v>
      </c>
      <c r="L70" s="16" t="n">
        <f aca="false">SUMPRODUCT(C70:J70,Returns!B74:I74)/K70</f>
        <v>0.0437497851929253</v>
      </c>
      <c r="M70" s="16" t="n">
        <v>0</v>
      </c>
      <c r="N70" s="16" t="n">
        <v>0</v>
      </c>
      <c r="O70" s="16" t="n">
        <f aca="false">L70+M70+N70</f>
        <v>0.0437497851929253</v>
      </c>
      <c r="P70" s="21" t="n">
        <f aca="false">P69*(1+O70)</f>
        <v>2.06103524066103</v>
      </c>
      <c r="Q70" s="21" t="n">
        <f aca="false">MAX($P$5:P70)</f>
        <v>2.06103524066103</v>
      </c>
      <c r="R70" s="16" t="n">
        <f aca="false">P70/Q70-1</f>
        <v>0</v>
      </c>
      <c r="S70" s="16" t="n">
        <f aca="false">O70-Benchmark_RF!D70</f>
        <v>0.0379769025074416</v>
      </c>
    </row>
    <row r="71" customFormat="false" ht="15" hidden="false" customHeight="true" outlineLevel="0" collapsed="false">
      <c r="A71" s="1" t="n">
        <v>74</v>
      </c>
      <c r="B71" s="13" t="n">
        <f aca="false">Returns!A75</f>
        <v>44228</v>
      </c>
      <c r="C71" s="17" t="n">
        <f aca="false">IF(Rankings!C77&lt;=5,1,0)</f>
        <v>1</v>
      </c>
      <c r="D71" s="17" t="n">
        <f aca="false">IF(Rankings!D77&lt;=5,1,0)</f>
        <v>0</v>
      </c>
      <c r="E71" s="17" t="n">
        <f aca="false">IF(Rankings!E77&lt;=5,1,0)</f>
        <v>1</v>
      </c>
      <c r="F71" s="17" t="n">
        <f aca="false">IF(Rankings!F77&lt;=5,1,0)</f>
        <v>1</v>
      </c>
      <c r="G71" s="17" t="n">
        <f aca="false">IF(Rankings!G77&lt;=5,1,0)</f>
        <v>0</v>
      </c>
      <c r="H71" s="17" t="n">
        <f aca="false">IF(Rankings!H77&lt;=5,1,0)</f>
        <v>1</v>
      </c>
      <c r="I71" s="17" t="n">
        <f aca="false">IF(Rankings!I77&lt;=5,1,0)</f>
        <v>0</v>
      </c>
      <c r="J71" s="17" t="n">
        <f aca="false">IF(Rankings!J77&lt;=5,1,0)</f>
        <v>1</v>
      </c>
      <c r="K71" s="20" t="n">
        <f aca="false">SUM(C71:J71)</f>
        <v>5</v>
      </c>
      <c r="L71" s="16" t="n">
        <f aca="false">SUMPRODUCT(C71:J71,Returns!B75:I75)/K71</f>
        <v>0.0149953308753521</v>
      </c>
      <c r="M71" s="16" t="n">
        <f aca="false">-2*Assumptions!$B$13</f>
        <v>-0.007</v>
      </c>
      <c r="N71" s="16" t="n">
        <f aca="false">-Assumptions!$B$16*MAX(0,(1+O65)*(1+O66)*(1+O67)*(1+O68)*(1+O69)*(1+O70)-1)</f>
        <v>-0.0417981289670836</v>
      </c>
      <c r="O71" s="16" t="n">
        <f aca="false">L71+M71+N71</f>
        <v>-0.0338027980917315</v>
      </c>
      <c r="P71" s="21" t="n">
        <f aca="false">P70*(1+O71)</f>
        <v>1.99136648256102</v>
      </c>
      <c r="Q71" s="21" t="n">
        <f aca="false">MAX($P$5:P71)</f>
        <v>2.06103524066103</v>
      </c>
      <c r="R71" s="16" t="n">
        <f aca="false">P71/Q71-1</f>
        <v>-0.0338027980917315</v>
      </c>
      <c r="S71" s="16" t="n">
        <f aca="false">O71-Benchmark_RF!D71</f>
        <v>-0.0396061034214961</v>
      </c>
    </row>
    <row r="72" customFormat="false" ht="15" hidden="false" customHeight="true" outlineLevel="0" collapsed="false">
      <c r="A72" s="1" t="n">
        <v>75</v>
      </c>
      <c r="B72" s="13" t="n">
        <f aca="false">Returns!A76</f>
        <v>44256</v>
      </c>
      <c r="C72" s="17" t="n">
        <f aca="false">IF(Rankings!C77&lt;=5,1,0)</f>
        <v>1</v>
      </c>
      <c r="D72" s="17" t="n">
        <f aca="false">IF(Rankings!D77&lt;=5,1,0)</f>
        <v>0</v>
      </c>
      <c r="E72" s="17" t="n">
        <f aca="false">IF(Rankings!E77&lt;=5,1,0)</f>
        <v>1</v>
      </c>
      <c r="F72" s="17" t="n">
        <f aca="false">IF(Rankings!F77&lt;=5,1,0)</f>
        <v>1</v>
      </c>
      <c r="G72" s="17" t="n">
        <f aca="false">IF(Rankings!G77&lt;=5,1,0)</f>
        <v>0</v>
      </c>
      <c r="H72" s="17" t="n">
        <f aca="false">IF(Rankings!H77&lt;=5,1,0)</f>
        <v>1</v>
      </c>
      <c r="I72" s="17" t="n">
        <f aca="false">IF(Rankings!I77&lt;=5,1,0)</f>
        <v>0</v>
      </c>
      <c r="J72" s="17" t="n">
        <f aca="false">IF(Rankings!J77&lt;=5,1,0)</f>
        <v>1</v>
      </c>
      <c r="K72" s="20" t="n">
        <f aca="false">SUM(C72:J72)</f>
        <v>5</v>
      </c>
      <c r="L72" s="16" t="n">
        <f aca="false">SUMPRODUCT(C72:J72,Returns!B76:I76)/K72</f>
        <v>-0.0462855136912826</v>
      </c>
      <c r="M72" s="16" t="n">
        <v>0</v>
      </c>
      <c r="N72" s="16" t="n">
        <v>0</v>
      </c>
      <c r="O72" s="16" t="n">
        <f aca="false">L72+M72+N72</f>
        <v>-0.0462855136912826</v>
      </c>
      <c r="P72" s="21" t="n">
        <f aca="false">P71*(1+O72)</f>
        <v>1.89919506196809</v>
      </c>
      <c r="Q72" s="21" t="n">
        <f aca="false">MAX($P$5:P72)</f>
        <v>2.06103524066103</v>
      </c>
      <c r="R72" s="16" t="n">
        <f aca="false">P72/Q72-1</f>
        <v>-0.0785237319091356</v>
      </c>
      <c r="S72" s="16" t="n">
        <f aca="false">O72-Benchmark_RF!D72</f>
        <v>-0.0522756687619526</v>
      </c>
    </row>
    <row r="73" customFormat="false" ht="15" hidden="false" customHeight="true" outlineLevel="0" collapsed="false">
      <c r="A73" s="1" t="n">
        <v>76</v>
      </c>
      <c r="B73" s="13" t="n">
        <f aca="false">Returns!A77</f>
        <v>44287</v>
      </c>
      <c r="C73" s="17" t="n">
        <f aca="false">IF(Rankings!C77&lt;=5,1,0)</f>
        <v>1</v>
      </c>
      <c r="D73" s="17" t="n">
        <f aca="false">IF(Rankings!D77&lt;=5,1,0)</f>
        <v>0</v>
      </c>
      <c r="E73" s="17" t="n">
        <f aca="false">IF(Rankings!E77&lt;=5,1,0)</f>
        <v>1</v>
      </c>
      <c r="F73" s="17" t="n">
        <f aca="false">IF(Rankings!F77&lt;=5,1,0)</f>
        <v>1</v>
      </c>
      <c r="G73" s="17" t="n">
        <f aca="false">IF(Rankings!G77&lt;=5,1,0)</f>
        <v>0</v>
      </c>
      <c r="H73" s="17" t="n">
        <f aca="false">IF(Rankings!H77&lt;=5,1,0)</f>
        <v>1</v>
      </c>
      <c r="I73" s="17" t="n">
        <f aca="false">IF(Rankings!I77&lt;=5,1,0)</f>
        <v>0</v>
      </c>
      <c r="J73" s="17" t="n">
        <f aca="false">IF(Rankings!J77&lt;=5,1,0)</f>
        <v>1</v>
      </c>
      <c r="K73" s="20" t="n">
        <f aca="false">SUM(C73:J73)</f>
        <v>5</v>
      </c>
      <c r="L73" s="16" t="n">
        <f aca="false">SUMPRODUCT(C73:J73,Returns!B77:I77)/K73</f>
        <v>-0.0179094089517131</v>
      </c>
      <c r="M73" s="16" t="n">
        <v>0</v>
      </c>
      <c r="N73" s="16" t="n">
        <v>0</v>
      </c>
      <c r="O73" s="16" t="n">
        <f aca="false">L73+M73+N73</f>
        <v>-0.0179094089517131</v>
      </c>
      <c r="P73" s="21" t="n">
        <f aca="false">P72*(1+O73)</f>
        <v>1.86518160092422</v>
      </c>
      <c r="Q73" s="21" t="n">
        <f aca="false">MAX($P$5:P73)</f>
        <v>2.06103524066103</v>
      </c>
      <c r="R73" s="16" t="n">
        <f aca="false">P73/Q73-1</f>
        <v>-0.0950268272336733</v>
      </c>
      <c r="S73" s="16" t="n">
        <f aca="false">O73-Benchmark_RF!D73</f>
        <v>-0.0238578059303392</v>
      </c>
    </row>
    <row r="74" customFormat="false" ht="15" hidden="false" customHeight="true" outlineLevel="0" collapsed="false">
      <c r="A74" s="1" t="n">
        <v>77</v>
      </c>
      <c r="B74" s="13" t="n">
        <f aca="false">Returns!A78</f>
        <v>44317</v>
      </c>
      <c r="C74" s="17" t="n">
        <f aca="false">IF(Rankings!C77&lt;=5,1,0)</f>
        <v>1</v>
      </c>
      <c r="D74" s="17" t="n">
        <f aca="false">IF(Rankings!D77&lt;=5,1,0)</f>
        <v>0</v>
      </c>
      <c r="E74" s="17" t="n">
        <f aca="false">IF(Rankings!E77&lt;=5,1,0)</f>
        <v>1</v>
      </c>
      <c r="F74" s="17" t="n">
        <f aca="false">IF(Rankings!F77&lt;=5,1,0)</f>
        <v>1</v>
      </c>
      <c r="G74" s="17" t="n">
        <f aca="false">IF(Rankings!G77&lt;=5,1,0)</f>
        <v>0</v>
      </c>
      <c r="H74" s="17" t="n">
        <f aca="false">IF(Rankings!H77&lt;=5,1,0)</f>
        <v>1</v>
      </c>
      <c r="I74" s="17" t="n">
        <f aca="false">IF(Rankings!I77&lt;=5,1,0)</f>
        <v>0</v>
      </c>
      <c r="J74" s="17" t="n">
        <f aca="false">IF(Rankings!J77&lt;=5,1,0)</f>
        <v>1</v>
      </c>
      <c r="K74" s="20" t="n">
        <f aca="false">SUM(C74:J74)</f>
        <v>5</v>
      </c>
      <c r="L74" s="16" t="n">
        <f aca="false">SUMPRODUCT(C74:J74,Returns!B78:I78)/K74</f>
        <v>0.0409265754748474</v>
      </c>
      <c r="M74" s="16" t="n">
        <v>0</v>
      </c>
      <c r="N74" s="16" t="n">
        <v>0</v>
      </c>
      <c r="O74" s="16" t="n">
        <f aca="false">L74+M74+N74</f>
        <v>0.0409265754748474</v>
      </c>
      <c r="P74" s="21" t="n">
        <f aca="false">P73*(1+O74)</f>
        <v>1.94151709648875</v>
      </c>
      <c r="Q74" s="21" t="n">
        <f aca="false">MAX($P$5:P74)</f>
        <v>2.06103524066103</v>
      </c>
      <c r="R74" s="16" t="n">
        <f aca="false">P74/Q74-1</f>
        <v>-0.0579893743757401</v>
      </c>
      <c r="S74" s="16" t="n">
        <f aca="false">O74-Benchmark_RF!D74</f>
        <v>0.0350049605411889</v>
      </c>
    </row>
    <row r="75" customFormat="false" ht="15" hidden="false" customHeight="true" outlineLevel="0" collapsed="false">
      <c r="A75" s="1" t="n">
        <v>78</v>
      </c>
      <c r="B75" s="13" t="n">
        <f aca="false">Returns!A79</f>
        <v>44348</v>
      </c>
      <c r="C75" s="17" t="n">
        <f aca="false">IF(Rankings!C77&lt;=5,1,0)</f>
        <v>1</v>
      </c>
      <c r="D75" s="17" t="n">
        <f aca="false">IF(Rankings!D77&lt;=5,1,0)</f>
        <v>0</v>
      </c>
      <c r="E75" s="17" t="n">
        <f aca="false">IF(Rankings!E77&lt;=5,1,0)</f>
        <v>1</v>
      </c>
      <c r="F75" s="17" t="n">
        <f aca="false">IF(Rankings!F77&lt;=5,1,0)</f>
        <v>1</v>
      </c>
      <c r="G75" s="17" t="n">
        <f aca="false">IF(Rankings!G77&lt;=5,1,0)</f>
        <v>0</v>
      </c>
      <c r="H75" s="17" t="n">
        <f aca="false">IF(Rankings!H77&lt;=5,1,0)</f>
        <v>1</v>
      </c>
      <c r="I75" s="17" t="n">
        <f aca="false">IF(Rankings!I77&lt;=5,1,0)</f>
        <v>0</v>
      </c>
      <c r="J75" s="17" t="n">
        <f aca="false">IF(Rankings!J77&lt;=5,1,0)</f>
        <v>1</v>
      </c>
      <c r="K75" s="20" t="n">
        <f aca="false">SUM(C75:J75)</f>
        <v>5</v>
      </c>
      <c r="L75" s="16" t="n">
        <f aca="false">SUMPRODUCT(C75:J75,Returns!B79:I79)/K75</f>
        <v>-0.0205479722200431</v>
      </c>
      <c r="M75" s="16" t="n">
        <v>0</v>
      </c>
      <c r="N75" s="16" t="n">
        <v>0</v>
      </c>
      <c r="O75" s="16" t="n">
        <f aca="false">L75+M75+N75</f>
        <v>-0.0205479722200431</v>
      </c>
      <c r="P75" s="21" t="n">
        <f aca="false">P74*(1+O75)</f>
        <v>1.90162285712536</v>
      </c>
      <c r="Q75" s="21" t="n">
        <f aca="false">MAX($P$5:P75)</f>
        <v>2.06103524066103</v>
      </c>
      <c r="R75" s="16" t="n">
        <f aca="false">P75/Q75-1</f>
        <v>-0.0773457825420529</v>
      </c>
      <c r="S75" s="16" t="n">
        <f aca="false">O75-Benchmark_RF!D75</f>
        <v>-0.0264331103558507</v>
      </c>
    </row>
    <row r="76" customFormat="false" ht="15" hidden="false" customHeight="true" outlineLevel="0" collapsed="false">
      <c r="A76" s="1" t="n">
        <v>79</v>
      </c>
      <c r="B76" s="13" t="n">
        <f aca="false">Returns!A80</f>
        <v>44378</v>
      </c>
      <c r="C76" s="17" t="n">
        <f aca="false">IF(Rankings!C77&lt;=5,1,0)</f>
        <v>1</v>
      </c>
      <c r="D76" s="17" t="n">
        <f aca="false">IF(Rankings!D77&lt;=5,1,0)</f>
        <v>0</v>
      </c>
      <c r="E76" s="17" t="n">
        <f aca="false">IF(Rankings!E77&lt;=5,1,0)</f>
        <v>1</v>
      </c>
      <c r="F76" s="17" t="n">
        <f aca="false">IF(Rankings!F77&lt;=5,1,0)</f>
        <v>1</v>
      </c>
      <c r="G76" s="17" t="n">
        <f aca="false">IF(Rankings!G77&lt;=5,1,0)</f>
        <v>0</v>
      </c>
      <c r="H76" s="17" t="n">
        <f aca="false">IF(Rankings!H77&lt;=5,1,0)</f>
        <v>1</v>
      </c>
      <c r="I76" s="17" t="n">
        <f aca="false">IF(Rankings!I77&lt;=5,1,0)</f>
        <v>0</v>
      </c>
      <c r="J76" s="17" t="n">
        <f aca="false">IF(Rankings!J77&lt;=5,1,0)</f>
        <v>1</v>
      </c>
      <c r="K76" s="20" t="n">
        <f aca="false">SUM(C76:J76)</f>
        <v>5</v>
      </c>
      <c r="L76" s="16" t="n">
        <f aca="false">SUMPRODUCT(C76:J76,Returns!B80:I80)/K76</f>
        <v>0.0130219551697581</v>
      </c>
      <c r="M76" s="16" t="n">
        <v>0</v>
      </c>
      <c r="N76" s="16" t="n">
        <v>0</v>
      </c>
      <c r="O76" s="16" t="n">
        <f aca="false">L76+M76+N76</f>
        <v>0.0130219551697581</v>
      </c>
      <c r="P76" s="21" t="n">
        <f aca="false">P75*(1+O76)</f>
        <v>1.92638570472063</v>
      </c>
      <c r="Q76" s="21" t="n">
        <f aca="false">MAX($P$5:P76)</f>
        <v>2.06103524066103</v>
      </c>
      <c r="R76" s="16" t="n">
        <f aca="false">P76/Q76-1</f>
        <v>-0.0653310206851273</v>
      </c>
      <c r="S76" s="16" t="n">
        <f aca="false">O76-Benchmark_RF!D76</f>
        <v>0.00718589229560534</v>
      </c>
    </row>
    <row r="77" customFormat="false" ht="15" hidden="false" customHeight="true" outlineLevel="0" collapsed="false">
      <c r="A77" s="1" t="n">
        <v>80</v>
      </c>
      <c r="B77" s="13" t="n">
        <f aca="false">Returns!A81</f>
        <v>44409</v>
      </c>
      <c r="C77" s="17" t="n">
        <f aca="false">IF(Rankings!C83&lt;=5,1,0)</f>
        <v>1</v>
      </c>
      <c r="D77" s="17" t="n">
        <f aca="false">IF(Rankings!D83&lt;=5,1,0)</f>
        <v>1</v>
      </c>
      <c r="E77" s="17" t="n">
        <f aca="false">IF(Rankings!E83&lt;=5,1,0)</f>
        <v>0</v>
      </c>
      <c r="F77" s="17" t="n">
        <f aca="false">IF(Rankings!F83&lt;=5,1,0)</f>
        <v>1</v>
      </c>
      <c r="G77" s="17" t="n">
        <f aca="false">IF(Rankings!G83&lt;=5,1,0)</f>
        <v>0</v>
      </c>
      <c r="H77" s="17" t="n">
        <f aca="false">IF(Rankings!H83&lt;=5,1,0)</f>
        <v>0</v>
      </c>
      <c r="I77" s="17" t="n">
        <f aca="false">IF(Rankings!I83&lt;=5,1,0)</f>
        <v>1</v>
      </c>
      <c r="J77" s="17" t="n">
        <f aca="false">IF(Rankings!J83&lt;=5,1,0)</f>
        <v>1</v>
      </c>
      <c r="K77" s="20" t="n">
        <f aca="false">SUM(C77:J77)</f>
        <v>5</v>
      </c>
      <c r="L77" s="16" t="n">
        <f aca="false">SUMPRODUCT(C77:J77,Returns!B81:I81)/K77</f>
        <v>0.0589502242984571</v>
      </c>
      <c r="M77" s="16" t="n">
        <f aca="false">-2*Assumptions!$B$13</f>
        <v>-0.007</v>
      </c>
      <c r="N77" s="16" t="n">
        <f aca="false">-Assumptions!$B$16*MAX(0,(1+O71)*(1+O72)*(1+O73)*(1+O74)*(1+O75)*(1+O76)-1)</f>
        <v>-0</v>
      </c>
      <c r="O77" s="16" t="n">
        <f aca="false">L77+M77+N77</f>
        <v>0.0519502242984571</v>
      </c>
      <c r="P77" s="21" t="n">
        <f aca="false">P76*(1+O77)</f>
        <v>2.02646187416621</v>
      </c>
      <c r="Q77" s="21" t="n">
        <f aca="false">MAX($P$5:P77)</f>
        <v>2.06103524066103</v>
      </c>
      <c r="R77" s="16" t="n">
        <f aca="false">P77/Q77-1</f>
        <v>-0.0167747575649098</v>
      </c>
      <c r="S77" s="16" t="n">
        <f aca="false">O77-Benchmark_RF!D77</f>
        <v>0.0461166627799455</v>
      </c>
    </row>
    <row r="78" customFormat="false" ht="15" hidden="false" customHeight="true" outlineLevel="0" collapsed="false">
      <c r="A78" s="1" t="n">
        <v>81</v>
      </c>
      <c r="B78" s="13" t="n">
        <f aca="false">Returns!A82</f>
        <v>44440</v>
      </c>
      <c r="C78" s="17" t="n">
        <f aca="false">IF(Rankings!C83&lt;=5,1,0)</f>
        <v>1</v>
      </c>
      <c r="D78" s="17" t="n">
        <f aca="false">IF(Rankings!D83&lt;=5,1,0)</f>
        <v>1</v>
      </c>
      <c r="E78" s="17" t="n">
        <f aca="false">IF(Rankings!E83&lt;=5,1,0)</f>
        <v>0</v>
      </c>
      <c r="F78" s="17" t="n">
        <f aca="false">IF(Rankings!F83&lt;=5,1,0)</f>
        <v>1</v>
      </c>
      <c r="G78" s="17" t="n">
        <f aca="false">IF(Rankings!G83&lt;=5,1,0)</f>
        <v>0</v>
      </c>
      <c r="H78" s="17" t="n">
        <f aca="false">IF(Rankings!H83&lt;=5,1,0)</f>
        <v>0</v>
      </c>
      <c r="I78" s="17" t="n">
        <f aca="false">IF(Rankings!I83&lt;=5,1,0)</f>
        <v>1</v>
      </c>
      <c r="J78" s="17" t="n">
        <f aca="false">IF(Rankings!J83&lt;=5,1,0)</f>
        <v>1</v>
      </c>
      <c r="K78" s="20" t="n">
        <f aca="false">SUM(C78:J78)</f>
        <v>5</v>
      </c>
      <c r="L78" s="16" t="n">
        <f aca="false">SUMPRODUCT(C78:J78,Returns!B82:I82)/K78</f>
        <v>-0.063052416433259</v>
      </c>
      <c r="M78" s="16" t="n">
        <v>0</v>
      </c>
      <c r="N78" s="16" t="n">
        <v>0</v>
      </c>
      <c r="O78" s="16" t="n">
        <f aca="false">L78+M78+N78</f>
        <v>-0.063052416433259</v>
      </c>
      <c r="P78" s="21" t="n">
        <f aca="false">P77*(1+O78)</f>
        <v>1.89868855619016</v>
      </c>
      <c r="Q78" s="21" t="n">
        <f aca="false">MAX($P$5:P78)</f>
        <v>2.06103524066103</v>
      </c>
      <c r="R78" s="16" t="n">
        <f aca="false">P78/Q78-1</f>
        <v>-0.0787694849986191</v>
      </c>
      <c r="S78" s="16" t="n">
        <f aca="false">O78-Benchmark_RF!D78</f>
        <v>-0.0691527681082424</v>
      </c>
    </row>
    <row r="79" customFormat="false" ht="15" hidden="false" customHeight="true" outlineLevel="0" collapsed="false">
      <c r="A79" s="1" t="n">
        <v>82</v>
      </c>
      <c r="B79" s="13" t="n">
        <f aca="false">Returns!A83</f>
        <v>44470</v>
      </c>
      <c r="C79" s="17" t="n">
        <f aca="false">IF(Rankings!C83&lt;=5,1,0)</f>
        <v>1</v>
      </c>
      <c r="D79" s="17" t="n">
        <f aca="false">IF(Rankings!D83&lt;=5,1,0)</f>
        <v>1</v>
      </c>
      <c r="E79" s="17" t="n">
        <f aca="false">IF(Rankings!E83&lt;=5,1,0)</f>
        <v>0</v>
      </c>
      <c r="F79" s="17" t="n">
        <f aca="false">IF(Rankings!F83&lt;=5,1,0)</f>
        <v>1</v>
      </c>
      <c r="G79" s="17" t="n">
        <f aca="false">IF(Rankings!G83&lt;=5,1,0)</f>
        <v>0</v>
      </c>
      <c r="H79" s="17" t="n">
        <f aca="false">IF(Rankings!H83&lt;=5,1,0)</f>
        <v>0</v>
      </c>
      <c r="I79" s="17" t="n">
        <f aca="false">IF(Rankings!I83&lt;=5,1,0)</f>
        <v>1</v>
      </c>
      <c r="J79" s="17" t="n">
        <f aca="false">IF(Rankings!J83&lt;=5,1,0)</f>
        <v>1</v>
      </c>
      <c r="K79" s="20" t="n">
        <f aca="false">SUM(C79:J79)</f>
        <v>5</v>
      </c>
      <c r="L79" s="16" t="n">
        <f aca="false">SUMPRODUCT(C79:J79,Returns!B83:I83)/K79</f>
        <v>0.0616728525756457</v>
      </c>
      <c r="M79" s="16" t="n">
        <v>0</v>
      </c>
      <c r="N79" s="16" t="n">
        <v>0</v>
      </c>
      <c r="O79" s="16" t="n">
        <f aca="false">L79+M79+N79</f>
        <v>0.0616728525756457</v>
      </c>
      <c r="P79" s="21" t="n">
        <f aca="false">P78*(1+O79)</f>
        <v>2.01578609560314</v>
      </c>
      <c r="Q79" s="21" t="n">
        <f aca="false">MAX($P$5:P79)</f>
        <v>2.06103524066103</v>
      </c>
      <c r="R79" s="16" t="n">
        <f aca="false">P79/Q79-1</f>
        <v>-0.0219545712587526</v>
      </c>
      <c r="S79" s="16" t="n">
        <f aca="false">O79-Benchmark_RF!D79</f>
        <v>0.0551031787166904</v>
      </c>
    </row>
    <row r="80" customFormat="false" ht="15" hidden="false" customHeight="true" outlineLevel="0" collapsed="false">
      <c r="A80" s="1" t="n">
        <v>83</v>
      </c>
      <c r="B80" s="13" t="n">
        <f aca="false">Returns!A84</f>
        <v>44501</v>
      </c>
      <c r="C80" s="17" t="n">
        <f aca="false">IF(Rankings!C83&lt;=5,1,0)</f>
        <v>1</v>
      </c>
      <c r="D80" s="17" t="n">
        <f aca="false">IF(Rankings!D83&lt;=5,1,0)</f>
        <v>1</v>
      </c>
      <c r="E80" s="17" t="n">
        <f aca="false">IF(Rankings!E83&lt;=5,1,0)</f>
        <v>0</v>
      </c>
      <c r="F80" s="17" t="n">
        <f aca="false">IF(Rankings!F83&lt;=5,1,0)</f>
        <v>1</v>
      </c>
      <c r="G80" s="17" t="n">
        <f aca="false">IF(Rankings!G83&lt;=5,1,0)</f>
        <v>0</v>
      </c>
      <c r="H80" s="17" t="n">
        <f aca="false">IF(Rankings!H83&lt;=5,1,0)</f>
        <v>0</v>
      </c>
      <c r="I80" s="17" t="n">
        <f aca="false">IF(Rankings!I83&lt;=5,1,0)</f>
        <v>1</v>
      </c>
      <c r="J80" s="17" t="n">
        <f aca="false">IF(Rankings!J83&lt;=5,1,0)</f>
        <v>1</v>
      </c>
      <c r="K80" s="20" t="n">
        <f aca="false">SUM(C80:J80)</f>
        <v>5</v>
      </c>
      <c r="L80" s="16" t="n">
        <f aca="false">SUMPRODUCT(C80:J80,Returns!B84:I84)/K80</f>
        <v>-0.0125610228067286</v>
      </c>
      <c r="M80" s="16" t="n">
        <v>0</v>
      </c>
      <c r="N80" s="16" t="n">
        <v>0</v>
      </c>
      <c r="O80" s="16" t="n">
        <f aca="false">L80+M80+N80</f>
        <v>-0.0125610228067286</v>
      </c>
      <c r="P80" s="21" t="n">
        <f aca="false">P79*(1+O80)</f>
        <v>1.99046576048278</v>
      </c>
      <c r="Q80" s="21" t="n">
        <f aca="false">MAX($P$5:P80)</f>
        <v>2.06103524066103</v>
      </c>
      <c r="R80" s="16" t="n">
        <f aca="false">P80/Q80-1</f>
        <v>-0.034239822195188</v>
      </c>
      <c r="S80" s="16" t="n">
        <f aca="false">O80-Benchmark_RF!D80</f>
        <v>-0.019382748158916</v>
      </c>
    </row>
    <row r="81" customFormat="false" ht="15" hidden="false" customHeight="true" outlineLevel="0" collapsed="false">
      <c r="A81" s="1" t="n">
        <v>84</v>
      </c>
      <c r="B81" s="13" t="n">
        <f aca="false">Returns!A85</f>
        <v>44531</v>
      </c>
      <c r="C81" s="17" t="n">
        <f aca="false">IF(Rankings!C83&lt;=5,1,0)</f>
        <v>1</v>
      </c>
      <c r="D81" s="17" t="n">
        <f aca="false">IF(Rankings!D83&lt;=5,1,0)</f>
        <v>1</v>
      </c>
      <c r="E81" s="17" t="n">
        <f aca="false">IF(Rankings!E83&lt;=5,1,0)</f>
        <v>0</v>
      </c>
      <c r="F81" s="17" t="n">
        <f aca="false">IF(Rankings!F83&lt;=5,1,0)</f>
        <v>1</v>
      </c>
      <c r="G81" s="17" t="n">
        <f aca="false">IF(Rankings!G83&lt;=5,1,0)</f>
        <v>0</v>
      </c>
      <c r="H81" s="17" t="n">
        <f aca="false">IF(Rankings!H83&lt;=5,1,0)</f>
        <v>0</v>
      </c>
      <c r="I81" s="17" t="n">
        <f aca="false">IF(Rankings!I83&lt;=5,1,0)</f>
        <v>1</v>
      </c>
      <c r="J81" s="17" t="n">
        <f aca="false">IF(Rankings!J83&lt;=5,1,0)</f>
        <v>1</v>
      </c>
      <c r="K81" s="20" t="n">
        <f aca="false">SUM(C81:J81)</f>
        <v>5</v>
      </c>
      <c r="L81" s="16" t="n">
        <f aca="false">SUMPRODUCT(C81:J81,Returns!B85:I85)/K81</f>
        <v>-0.038104002770979</v>
      </c>
      <c r="M81" s="16" t="n">
        <v>0</v>
      </c>
      <c r="N81" s="16" t="n">
        <v>0</v>
      </c>
      <c r="O81" s="16" t="n">
        <f aca="false">L81+M81+N81</f>
        <v>-0.038104002770979</v>
      </c>
      <c r="P81" s="21" t="n">
        <f aca="false">P80*(1+O81)</f>
        <v>1.91462104762981</v>
      </c>
      <c r="Q81" s="21" t="n">
        <f aca="false">MAX($P$5:P81)</f>
        <v>2.06103524066103</v>
      </c>
      <c r="R81" s="16" t="n">
        <f aca="false">P81/Q81-1</f>
        <v>-0.0710391506863637</v>
      </c>
      <c r="S81" s="16" t="n">
        <f aca="false">O81-Benchmark_RF!D81</f>
        <v>-0.0463734157823418</v>
      </c>
    </row>
    <row r="82" customFormat="false" ht="15" hidden="false" customHeight="true" outlineLevel="0" collapsed="false">
      <c r="A82" s="1" t="n">
        <v>85</v>
      </c>
      <c r="B82" s="13" t="n">
        <f aca="false">Returns!A86</f>
        <v>44562</v>
      </c>
      <c r="C82" s="17" t="n">
        <f aca="false">IF(Rankings!C83&lt;=5,1,0)</f>
        <v>1</v>
      </c>
      <c r="D82" s="17" t="n">
        <f aca="false">IF(Rankings!D83&lt;=5,1,0)</f>
        <v>1</v>
      </c>
      <c r="E82" s="17" t="n">
        <f aca="false">IF(Rankings!E83&lt;=5,1,0)</f>
        <v>0</v>
      </c>
      <c r="F82" s="17" t="n">
        <f aca="false">IF(Rankings!F83&lt;=5,1,0)</f>
        <v>1</v>
      </c>
      <c r="G82" s="17" t="n">
        <f aca="false">IF(Rankings!G83&lt;=5,1,0)</f>
        <v>0</v>
      </c>
      <c r="H82" s="17" t="n">
        <f aca="false">IF(Rankings!H83&lt;=5,1,0)</f>
        <v>0</v>
      </c>
      <c r="I82" s="17" t="n">
        <f aca="false">IF(Rankings!I83&lt;=5,1,0)</f>
        <v>1</v>
      </c>
      <c r="J82" s="17" t="n">
        <f aca="false">IF(Rankings!J83&lt;=5,1,0)</f>
        <v>1</v>
      </c>
      <c r="K82" s="20" t="n">
        <f aca="false">SUM(C82:J82)</f>
        <v>5</v>
      </c>
      <c r="L82" s="16" t="n">
        <f aca="false">SUMPRODUCT(C82:J82,Returns!B86:I86)/K82</f>
        <v>0.0122328948715876</v>
      </c>
      <c r="M82" s="16" t="n">
        <v>0</v>
      </c>
      <c r="N82" s="16" t="n">
        <v>0</v>
      </c>
      <c r="O82" s="16" t="n">
        <f aca="false">L82+M82+N82</f>
        <v>0.0122328948715876</v>
      </c>
      <c r="P82" s="21" t="n">
        <f aca="false">P81*(1+O82)</f>
        <v>1.93804240562439</v>
      </c>
      <c r="Q82" s="21" t="n">
        <f aca="false">MAX($P$5:P82)</f>
        <v>2.06103524066103</v>
      </c>
      <c r="R82" s="16" t="n">
        <f aca="false">P82/Q82-1</f>
        <v>-0.0596752702768895</v>
      </c>
      <c r="S82" s="16" t="n">
        <f aca="false">O82-Benchmark_RF!D82</f>
        <v>0.00410387119955229</v>
      </c>
    </row>
    <row r="83" customFormat="false" ht="15" hidden="false" customHeight="true" outlineLevel="0" collapsed="false">
      <c r="A83" s="1" t="n">
        <v>86</v>
      </c>
      <c r="B83" s="13" t="n">
        <f aca="false">Returns!A87</f>
        <v>44593</v>
      </c>
      <c r="C83" s="17" t="n">
        <f aca="false">IF(Rankings!C89&lt;=5,1,0)</f>
        <v>1</v>
      </c>
      <c r="D83" s="17" t="n">
        <f aca="false">IF(Rankings!D89&lt;=5,1,0)</f>
        <v>1</v>
      </c>
      <c r="E83" s="17" t="n">
        <f aca="false">IF(Rankings!E89&lt;=5,1,0)</f>
        <v>1</v>
      </c>
      <c r="F83" s="17" t="n">
        <f aca="false">IF(Rankings!F89&lt;=5,1,0)</f>
        <v>0</v>
      </c>
      <c r="G83" s="17" t="n">
        <f aca="false">IF(Rankings!G89&lt;=5,1,0)</f>
        <v>1</v>
      </c>
      <c r="H83" s="17" t="n">
        <f aca="false">IF(Rankings!H89&lt;=5,1,0)</f>
        <v>0</v>
      </c>
      <c r="I83" s="17" t="n">
        <f aca="false">IF(Rankings!I89&lt;=5,1,0)</f>
        <v>1</v>
      </c>
      <c r="J83" s="17" t="n">
        <f aca="false">IF(Rankings!J89&lt;=5,1,0)</f>
        <v>0</v>
      </c>
      <c r="K83" s="20" t="n">
        <f aca="false">SUM(C83:J83)</f>
        <v>5</v>
      </c>
      <c r="L83" s="16" t="n">
        <f aca="false">SUMPRODUCT(C83:J83,Returns!B87:I87)/K83</f>
        <v>-0.00188636187548361</v>
      </c>
      <c r="M83" s="16" t="n">
        <f aca="false">-2*Assumptions!$B$13</f>
        <v>-0.007</v>
      </c>
      <c r="N83" s="16" t="n">
        <f aca="false">-Assumptions!$B$16*MAX(0,(1+O77)*(1+O78)*(1+O79)*(1+O80)*(1+O81)*(1+O82)-1)</f>
        <v>-0.000907660979459846</v>
      </c>
      <c r="O83" s="16" t="n">
        <f aca="false">L83+M83+N83</f>
        <v>-0.00979402285494346</v>
      </c>
      <c r="P83" s="21" t="n">
        <f aca="false">P82*(1+O83)</f>
        <v>1.91906117400986</v>
      </c>
      <c r="Q83" s="21" t="n">
        <f aca="false">MAX($P$5:P83)</f>
        <v>2.06103524066103</v>
      </c>
      <c r="R83" s="16" t="n">
        <f aca="false">P83/Q83-1</f>
        <v>-0.0688848321708661</v>
      </c>
      <c r="S83" s="16" t="n">
        <f aca="false">O83-Benchmark_RF!D83</f>
        <v>-0.018060619529236</v>
      </c>
    </row>
    <row r="84" customFormat="false" ht="15" hidden="false" customHeight="true" outlineLevel="0" collapsed="false">
      <c r="A84" s="1" t="n">
        <v>87</v>
      </c>
      <c r="B84" s="13" t="n">
        <f aca="false">Returns!A88</f>
        <v>44621</v>
      </c>
      <c r="C84" s="17" t="n">
        <f aca="false">IF(Rankings!C89&lt;=5,1,0)</f>
        <v>1</v>
      </c>
      <c r="D84" s="17" t="n">
        <f aca="false">IF(Rankings!D89&lt;=5,1,0)</f>
        <v>1</v>
      </c>
      <c r="E84" s="17" t="n">
        <f aca="false">IF(Rankings!E89&lt;=5,1,0)</f>
        <v>1</v>
      </c>
      <c r="F84" s="17" t="n">
        <f aca="false">IF(Rankings!F89&lt;=5,1,0)</f>
        <v>0</v>
      </c>
      <c r="G84" s="17" t="n">
        <f aca="false">IF(Rankings!G89&lt;=5,1,0)</f>
        <v>1</v>
      </c>
      <c r="H84" s="17" t="n">
        <f aca="false">IF(Rankings!H89&lt;=5,1,0)</f>
        <v>0</v>
      </c>
      <c r="I84" s="17" t="n">
        <f aca="false">IF(Rankings!I89&lt;=5,1,0)</f>
        <v>1</v>
      </c>
      <c r="J84" s="17" t="n">
        <f aca="false">IF(Rankings!J89&lt;=5,1,0)</f>
        <v>0</v>
      </c>
      <c r="K84" s="20" t="n">
        <f aca="false">SUM(C84:J84)</f>
        <v>5</v>
      </c>
      <c r="L84" s="16" t="n">
        <f aca="false">SUMPRODUCT(C84:J84,Returns!B88:I88)/K84</f>
        <v>-0.0432268223618041</v>
      </c>
      <c r="M84" s="16" t="n">
        <v>0</v>
      </c>
      <c r="N84" s="16" t="n">
        <v>0</v>
      </c>
      <c r="O84" s="16" t="n">
        <f aca="false">L84+M84+N84</f>
        <v>-0.0432268223618041</v>
      </c>
      <c r="P84" s="21" t="n">
        <f aca="false">P83*(1+O84)</f>
        <v>1.8361062575395</v>
      </c>
      <c r="Q84" s="21" t="n">
        <f aca="false">MAX($P$5:P84)</f>
        <v>2.06103524066103</v>
      </c>
      <c r="R84" s="16" t="n">
        <f aca="false">P84/Q84-1</f>
        <v>-0.109133982128997</v>
      </c>
      <c r="S84" s="16" t="n">
        <f aca="false">O84-Benchmark_RF!D84</f>
        <v>-0.0525280975682937</v>
      </c>
    </row>
    <row r="85" customFormat="false" ht="15" hidden="false" customHeight="true" outlineLevel="0" collapsed="false">
      <c r="A85" s="1" t="n">
        <v>88</v>
      </c>
      <c r="B85" s="13" t="n">
        <f aca="false">Returns!A89</f>
        <v>44652</v>
      </c>
      <c r="C85" s="17" t="n">
        <f aca="false">IF(Rankings!C89&lt;=5,1,0)</f>
        <v>1</v>
      </c>
      <c r="D85" s="17" t="n">
        <f aca="false">IF(Rankings!D89&lt;=5,1,0)</f>
        <v>1</v>
      </c>
      <c r="E85" s="17" t="n">
        <f aca="false">IF(Rankings!E89&lt;=5,1,0)</f>
        <v>1</v>
      </c>
      <c r="F85" s="17" t="n">
        <f aca="false">IF(Rankings!F89&lt;=5,1,0)</f>
        <v>0</v>
      </c>
      <c r="G85" s="17" t="n">
        <f aca="false">IF(Rankings!G89&lt;=5,1,0)</f>
        <v>1</v>
      </c>
      <c r="H85" s="17" t="n">
        <f aca="false">IF(Rankings!H89&lt;=5,1,0)</f>
        <v>0</v>
      </c>
      <c r="I85" s="17" t="n">
        <f aca="false">IF(Rankings!I89&lt;=5,1,0)</f>
        <v>1</v>
      </c>
      <c r="J85" s="17" t="n">
        <f aca="false">IF(Rankings!J89&lt;=5,1,0)</f>
        <v>0</v>
      </c>
      <c r="K85" s="20" t="n">
        <f aca="false">SUM(C85:J85)</f>
        <v>5</v>
      </c>
      <c r="L85" s="16" t="n">
        <f aca="false">SUMPRODUCT(C85:J85,Returns!B89:I89)/K85</f>
        <v>0.00295977590604937</v>
      </c>
      <c r="M85" s="16" t="n">
        <v>0</v>
      </c>
      <c r="N85" s="16" t="n">
        <v>0</v>
      </c>
      <c r="O85" s="16" t="n">
        <f aca="false">L85+M85+N85</f>
        <v>0.00295977590604937</v>
      </c>
      <c r="P85" s="21" t="n">
        <f aca="false">P84*(1+O85)</f>
        <v>1.84154072060151</v>
      </c>
      <c r="Q85" s="21" t="n">
        <f aca="false">MAX($P$5:P85)</f>
        <v>2.06103524066103</v>
      </c>
      <c r="R85" s="16" t="n">
        <f aca="false">P85/Q85-1</f>
        <v>-0.106497218353785</v>
      </c>
      <c r="S85" s="16" t="n">
        <f aca="false">O85-Benchmark_RF!D85</f>
        <v>-0.00816203900130128</v>
      </c>
    </row>
    <row r="86" customFormat="false" ht="15" hidden="false" customHeight="true" outlineLevel="0" collapsed="false">
      <c r="A86" s="1" t="n">
        <v>89</v>
      </c>
      <c r="B86" s="13" t="n">
        <f aca="false">Returns!A90</f>
        <v>44682</v>
      </c>
      <c r="C86" s="17" t="n">
        <f aca="false">IF(Rankings!C89&lt;=5,1,0)</f>
        <v>1</v>
      </c>
      <c r="D86" s="17" t="n">
        <f aca="false">IF(Rankings!D89&lt;=5,1,0)</f>
        <v>1</v>
      </c>
      <c r="E86" s="17" t="n">
        <f aca="false">IF(Rankings!E89&lt;=5,1,0)</f>
        <v>1</v>
      </c>
      <c r="F86" s="17" t="n">
        <f aca="false">IF(Rankings!F89&lt;=5,1,0)</f>
        <v>0</v>
      </c>
      <c r="G86" s="17" t="n">
        <f aca="false">IF(Rankings!G89&lt;=5,1,0)</f>
        <v>1</v>
      </c>
      <c r="H86" s="17" t="n">
        <f aca="false">IF(Rankings!H89&lt;=5,1,0)</f>
        <v>0</v>
      </c>
      <c r="I86" s="17" t="n">
        <f aca="false">IF(Rankings!I89&lt;=5,1,0)</f>
        <v>1</v>
      </c>
      <c r="J86" s="17" t="n">
        <f aca="false">IF(Rankings!J89&lt;=5,1,0)</f>
        <v>0</v>
      </c>
      <c r="K86" s="20" t="n">
        <f aca="false">SUM(C86:J86)</f>
        <v>5</v>
      </c>
      <c r="L86" s="16" t="n">
        <f aca="false">SUMPRODUCT(C86:J86,Returns!B90:I90)/K86</f>
        <v>-0.0954267623464306</v>
      </c>
      <c r="M86" s="16" t="n">
        <v>0</v>
      </c>
      <c r="N86" s="16" t="n">
        <v>0</v>
      </c>
      <c r="O86" s="16" t="n">
        <f aca="false">L86+M86+N86</f>
        <v>-0.0954267623464306</v>
      </c>
      <c r="P86" s="21" t="n">
        <f aca="false">P85*(1+O86)</f>
        <v>1.66580845190539</v>
      </c>
      <c r="Q86" s="21" t="n">
        <f aca="false">MAX($P$5:P86)</f>
        <v>2.06103524066103</v>
      </c>
      <c r="R86" s="16" t="n">
        <f aca="false">P86/Q86-1</f>
        <v>-0.191761295953813</v>
      </c>
      <c r="S86" s="16" t="n">
        <f aca="false">O86-Benchmark_RF!D86</f>
        <v>-0.106717320963549</v>
      </c>
    </row>
    <row r="87" customFormat="false" ht="15" hidden="false" customHeight="true" outlineLevel="0" collapsed="false">
      <c r="A87" s="1" t="n">
        <v>90</v>
      </c>
      <c r="B87" s="13" t="n">
        <f aca="false">Returns!A91</f>
        <v>44713</v>
      </c>
      <c r="C87" s="17" t="n">
        <f aca="false">IF(Rankings!C89&lt;=5,1,0)</f>
        <v>1</v>
      </c>
      <c r="D87" s="17" t="n">
        <f aca="false">IF(Rankings!D89&lt;=5,1,0)</f>
        <v>1</v>
      </c>
      <c r="E87" s="17" t="n">
        <f aca="false">IF(Rankings!E89&lt;=5,1,0)</f>
        <v>1</v>
      </c>
      <c r="F87" s="17" t="n">
        <f aca="false">IF(Rankings!F89&lt;=5,1,0)</f>
        <v>0</v>
      </c>
      <c r="G87" s="17" t="n">
        <f aca="false">IF(Rankings!G89&lt;=5,1,0)</f>
        <v>1</v>
      </c>
      <c r="H87" s="17" t="n">
        <f aca="false">IF(Rankings!H89&lt;=5,1,0)</f>
        <v>0</v>
      </c>
      <c r="I87" s="17" t="n">
        <f aca="false">IF(Rankings!I89&lt;=5,1,0)</f>
        <v>1</v>
      </c>
      <c r="J87" s="17" t="n">
        <f aca="false">IF(Rankings!J89&lt;=5,1,0)</f>
        <v>0</v>
      </c>
      <c r="K87" s="20" t="n">
        <f aca="false">SUM(C87:J87)</f>
        <v>5</v>
      </c>
      <c r="L87" s="16" t="n">
        <f aca="false">SUMPRODUCT(C87:J87,Returns!B91:I91)/K87</f>
        <v>-0.0511188349879443</v>
      </c>
      <c r="M87" s="16" t="n">
        <v>0</v>
      </c>
      <c r="N87" s="16" t="n">
        <v>0</v>
      </c>
      <c r="O87" s="16" t="n">
        <f aca="false">L87+M87+N87</f>
        <v>-0.0511188349879443</v>
      </c>
      <c r="P87" s="21" t="n">
        <f aca="false">P86*(1+O87)</f>
        <v>1.58065426453092</v>
      </c>
      <c r="Q87" s="21" t="n">
        <f aca="false">MAX($P$5:P87)</f>
        <v>2.06103524066103</v>
      </c>
      <c r="R87" s="16" t="n">
        <f aca="false">P87/Q87-1</f>
        <v>-0.23307751689682</v>
      </c>
      <c r="S87" s="16" t="n">
        <f aca="false">O87-Benchmark_RF!D87</f>
        <v>-0.0628923833561711</v>
      </c>
    </row>
    <row r="88" customFormat="false" ht="15" hidden="false" customHeight="true" outlineLevel="0" collapsed="false">
      <c r="A88" s="1" t="n">
        <v>91</v>
      </c>
      <c r="B88" s="13" t="n">
        <f aca="false">Returns!A92</f>
        <v>44743</v>
      </c>
      <c r="C88" s="17" t="n">
        <f aca="false">IF(Rankings!C89&lt;=5,1,0)</f>
        <v>1</v>
      </c>
      <c r="D88" s="17" t="n">
        <f aca="false">IF(Rankings!D89&lt;=5,1,0)</f>
        <v>1</v>
      </c>
      <c r="E88" s="17" t="n">
        <f aca="false">IF(Rankings!E89&lt;=5,1,0)</f>
        <v>1</v>
      </c>
      <c r="F88" s="17" t="n">
        <f aca="false">IF(Rankings!F89&lt;=5,1,0)</f>
        <v>0</v>
      </c>
      <c r="G88" s="17" t="n">
        <f aca="false">IF(Rankings!G89&lt;=5,1,0)</f>
        <v>1</v>
      </c>
      <c r="H88" s="17" t="n">
        <f aca="false">IF(Rankings!H89&lt;=5,1,0)</f>
        <v>0</v>
      </c>
      <c r="I88" s="17" t="n">
        <f aca="false">IF(Rankings!I89&lt;=5,1,0)</f>
        <v>1</v>
      </c>
      <c r="J88" s="17" t="n">
        <f aca="false">IF(Rankings!J89&lt;=5,1,0)</f>
        <v>0</v>
      </c>
      <c r="K88" s="20" t="n">
        <f aca="false">SUM(C88:J88)</f>
        <v>5</v>
      </c>
      <c r="L88" s="16" t="n">
        <f aca="false">SUMPRODUCT(C88:J88,Returns!B92:I92)/K88</f>
        <v>-0.0319070412451887</v>
      </c>
      <c r="M88" s="16" t="n">
        <v>0</v>
      </c>
      <c r="N88" s="16" t="n">
        <v>0</v>
      </c>
      <c r="O88" s="16" t="n">
        <f aca="false">L88+M88+N88</f>
        <v>-0.0319070412451887</v>
      </c>
      <c r="P88" s="21" t="n">
        <f aca="false">P87*(1+O88)</f>
        <v>1.53022026371815</v>
      </c>
      <c r="Q88" s="21" t="n">
        <f aca="false">MAX($P$5:P88)</f>
        <v>2.06103524066103</v>
      </c>
      <c r="R88" s="16" t="n">
        <f aca="false">P88/Q88-1</f>
        <v>-0.257547744197055</v>
      </c>
      <c r="S88" s="16" t="n">
        <f aca="false">O88-Benchmark_RF!D88</f>
        <v>-0.0440826723662484</v>
      </c>
    </row>
    <row r="89" customFormat="false" ht="15" hidden="false" customHeight="true" outlineLevel="0" collapsed="false">
      <c r="A89" s="1" t="n">
        <v>92</v>
      </c>
      <c r="B89" s="13" t="n">
        <f aca="false">Returns!A93</f>
        <v>44774</v>
      </c>
      <c r="C89" s="17" t="n">
        <f aca="false">IF(Rankings!C95&lt;=5,1,0)</f>
        <v>1</v>
      </c>
      <c r="D89" s="17" t="n">
        <f aca="false">IF(Rankings!D95&lt;=5,1,0)</f>
        <v>1</v>
      </c>
      <c r="E89" s="17" t="n">
        <f aca="false">IF(Rankings!E95&lt;=5,1,0)</f>
        <v>0</v>
      </c>
      <c r="F89" s="17" t="n">
        <f aca="false">IF(Rankings!F95&lt;=5,1,0)</f>
        <v>0</v>
      </c>
      <c r="G89" s="17" t="n">
        <f aca="false">IF(Rankings!G95&lt;=5,1,0)</f>
        <v>1</v>
      </c>
      <c r="H89" s="17" t="n">
        <f aca="false">IF(Rankings!H95&lt;=5,1,0)</f>
        <v>0</v>
      </c>
      <c r="I89" s="17" t="n">
        <f aca="false">IF(Rankings!I95&lt;=5,1,0)</f>
        <v>1</v>
      </c>
      <c r="J89" s="17" t="n">
        <f aca="false">IF(Rankings!J95&lt;=5,1,0)</f>
        <v>1</v>
      </c>
      <c r="K89" s="20" t="n">
        <f aca="false">SUM(C89:J89)</f>
        <v>5</v>
      </c>
      <c r="L89" s="16" t="n">
        <f aca="false">SUMPRODUCT(C89:J89,Returns!B93:I93)/K89</f>
        <v>0.0966265635663176</v>
      </c>
      <c r="M89" s="16" t="n">
        <f aca="false">-2*Assumptions!$B$13</f>
        <v>-0.007</v>
      </c>
      <c r="N89" s="16" t="n">
        <f aca="false">-Assumptions!$B$16*MAX(0,(1+O83)*(1+O84)*(1+O85)*(1+O86)*(1+O87)*(1+O88)-1)</f>
        <v>-0</v>
      </c>
      <c r="O89" s="16" t="n">
        <f aca="false">L89+M89+N89</f>
        <v>0.0896265635663176</v>
      </c>
      <c r="P89" s="21" t="n">
        <f aca="false">P88*(1+O89)</f>
        <v>1.66736864745475</v>
      </c>
      <c r="Q89" s="21" t="n">
        <f aca="false">MAX($P$5:P89)</f>
        <v>2.06103524066103</v>
      </c>
      <c r="R89" s="16" t="n">
        <f aca="false">P89/Q89-1</f>
        <v>-0.191004299897377</v>
      </c>
      <c r="S89" s="16" t="n">
        <f aca="false">O89-Benchmark_RF!D89</f>
        <v>0.0773780149031527</v>
      </c>
    </row>
    <row r="90" customFormat="false" ht="15" hidden="false" customHeight="true" outlineLevel="0" collapsed="false">
      <c r="A90" s="1" t="n">
        <v>93</v>
      </c>
      <c r="B90" s="13" t="n">
        <f aca="false">Returns!A94</f>
        <v>44805</v>
      </c>
      <c r="C90" s="17" t="n">
        <f aca="false">IF(Rankings!C95&lt;=5,1,0)</f>
        <v>1</v>
      </c>
      <c r="D90" s="17" t="n">
        <f aca="false">IF(Rankings!D95&lt;=5,1,0)</f>
        <v>1</v>
      </c>
      <c r="E90" s="17" t="n">
        <f aca="false">IF(Rankings!E95&lt;=5,1,0)</f>
        <v>0</v>
      </c>
      <c r="F90" s="17" t="n">
        <f aca="false">IF(Rankings!F95&lt;=5,1,0)</f>
        <v>0</v>
      </c>
      <c r="G90" s="17" t="n">
        <f aca="false">IF(Rankings!G95&lt;=5,1,0)</f>
        <v>1</v>
      </c>
      <c r="H90" s="17" t="n">
        <f aca="false">IF(Rankings!H95&lt;=5,1,0)</f>
        <v>0</v>
      </c>
      <c r="I90" s="17" t="n">
        <f aca="false">IF(Rankings!I95&lt;=5,1,0)</f>
        <v>1</v>
      </c>
      <c r="J90" s="17" t="n">
        <f aca="false">IF(Rankings!J95&lt;=5,1,0)</f>
        <v>1</v>
      </c>
      <c r="K90" s="20" t="n">
        <f aca="false">SUM(C90:J90)</f>
        <v>5</v>
      </c>
      <c r="L90" s="16" t="n">
        <f aca="false">SUMPRODUCT(C90:J90,Returns!B94:I94)/K90</f>
        <v>-0.0751125048508607</v>
      </c>
      <c r="M90" s="16" t="n">
        <v>0</v>
      </c>
      <c r="N90" s="16" t="n">
        <v>0</v>
      </c>
      <c r="O90" s="16" t="n">
        <f aca="false">L90+M90+N90</f>
        <v>-0.0751125048508607</v>
      </c>
      <c r="P90" s="21" t="n">
        <f aca="false">P89*(1+O90)</f>
        <v>1.54212841183463</v>
      </c>
      <c r="Q90" s="21" t="n">
        <f aca="false">MAX($P$5:P90)</f>
        <v>2.06103524066103</v>
      </c>
      <c r="R90" s="16" t="n">
        <f aca="false">P90/Q90-1</f>
        <v>-0.251769993345661</v>
      </c>
      <c r="S90" s="16" t="n">
        <f aca="false">O90-Benchmark_RF!D90</f>
        <v>-0.0875358202454143</v>
      </c>
    </row>
    <row r="91" customFormat="false" ht="15" hidden="false" customHeight="true" outlineLevel="0" collapsed="false">
      <c r="A91" s="1" t="n">
        <v>94</v>
      </c>
      <c r="B91" s="13" t="n">
        <f aca="false">Returns!A95</f>
        <v>44835</v>
      </c>
      <c r="C91" s="17" t="n">
        <f aca="false">IF(Rankings!C95&lt;=5,1,0)</f>
        <v>1</v>
      </c>
      <c r="D91" s="17" t="n">
        <f aca="false">IF(Rankings!D95&lt;=5,1,0)</f>
        <v>1</v>
      </c>
      <c r="E91" s="17" t="n">
        <f aca="false">IF(Rankings!E95&lt;=5,1,0)</f>
        <v>0</v>
      </c>
      <c r="F91" s="17" t="n">
        <f aca="false">IF(Rankings!F95&lt;=5,1,0)</f>
        <v>0</v>
      </c>
      <c r="G91" s="17" t="n">
        <f aca="false">IF(Rankings!G95&lt;=5,1,0)</f>
        <v>1</v>
      </c>
      <c r="H91" s="17" t="n">
        <f aca="false">IF(Rankings!H95&lt;=5,1,0)</f>
        <v>0</v>
      </c>
      <c r="I91" s="17" t="n">
        <f aca="false">IF(Rankings!I95&lt;=5,1,0)</f>
        <v>1</v>
      </c>
      <c r="J91" s="17" t="n">
        <f aca="false">IF(Rankings!J95&lt;=5,1,0)</f>
        <v>1</v>
      </c>
      <c r="K91" s="20" t="n">
        <f aca="false">SUM(C91:J91)</f>
        <v>5</v>
      </c>
      <c r="L91" s="16" t="n">
        <f aca="false">SUMPRODUCT(C91:J91,Returns!B95:I95)/K91</f>
        <v>-0.0389792119326343</v>
      </c>
      <c r="M91" s="16" t="n">
        <v>0</v>
      </c>
      <c r="N91" s="16" t="n">
        <v>0</v>
      </c>
      <c r="O91" s="16" t="n">
        <f aca="false">L91+M91+N91</f>
        <v>-0.0389792119326343</v>
      </c>
      <c r="P91" s="21" t="n">
        <f aca="false">P90*(1+O91)</f>
        <v>1.48201746164239</v>
      </c>
      <c r="Q91" s="21" t="n">
        <f aca="false">MAX($P$5:P91)</f>
        <v>2.06103524066103</v>
      </c>
      <c r="R91" s="16" t="n">
        <f aca="false">P91/Q91-1</f>
        <v>-0.280935409349397</v>
      </c>
      <c r="S91" s="16" t="n">
        <f aca="false">O91-Benchmark_RF!D91</f>
        <v>-0.0511840170046415</v>
      </c>
    </row>
    <row r="92" customFormat="false" ht="15" hidden="false" customHeight="true" outlineLevel="0" collapsed="false">
      <c r="A92" s="1" t="n">
        <v>95</v>
      </c>
      <c r="B92" s="13" t="n">
        <f aca="false">Returns!A96</f>
        <v>44866</v>
      </c>
      <c r="C92" s="17" t="n">
        <f aca="false">IF(Rankings!C95&lt;=5,1,0)</f>
        <v>1</v>
      </c>
      <c r="D92" s="17" t="n">
        <f aca="false">IF(Rankings!D95&lt;=5,1,0)</f>
        <v>1</v>
      </c>
      <c r="E92" s="17" t="n">
        <f aca="false">IF(Rankings!E95&lt;=5,1,0)</f>
        <v>0</v>
      </c>
      <c r="F92" s="17" t="n">
        <f aca="false">IF(Rankings!F95&lt;=5,1,0)</f>
        <v>0</v>
      </c>
      <c r="G92" s="17" t="n">
        <f aca="false">IF(Rankings!G95&lt;=5,1,0)</f>
        <v>1</v>
      </c>
      <c r="H92" s="17" t="n">
        <f aca="false">IF(Rankings!H95&lt;=5,1,0)</f>
        <v>0</v>
      </c>
      <c r="I92" s="17" t="n">
        <f aca="false">IF(Rankings!I95&lt;=5,1,0)</f>
        <v>1</v>
      </c>
      <c r="J92" s="17" t="n">
        <f aca="false">IF(Rankings!J95&lt;=5,1,0)</f>
        <v>1</v>
      </c>
      <c r="K92" s="20" t="n">
        <f aca="false">SUM(C92:J92)</f>
        <v>5</v>
      </c>
      <c r="L92" s="16" t="n">
        <f aca="false">SUMPRODUCT(C92:J92,Returns!B96:I96)/K92</f>
        <v>0.0342299451547016</v>
      </c>
      <c r="M92" s="16" t="n">
        <v>0</v>
      </c>
      <c r="N92" s="16" t="n">
        <v>0</v>
      </c>
      <c r="O92" s="16" t="n">
        <f aca="false">L92+M92+N92</f>
        <v>0.0342299451547016</v>
      </c>
      <c r="P92" s="21" t="n">
        <f aca="false">P91*(1+O92)</f>
        <v>1.53274683807272</v>
      </c>
      <c r="Q92" s="21" t="n">
        <f aca="false">MAX($P$5:P92)</f>
        <v>2.06103524066103</v>
      </c>
      <c r="R92" s="16" t="n">
        <f aca="false">P92/Q92-1</f>
        <v>-0.256321867848738</v>
      </c>
      <c r="S92" s="16" t="n">
        <f aca="false">O92-Benchmark_RF!D92</f>
        <v>0.0211469704505698</v>
      </c>
    </row>
    <row r="93" customFormat="false" ht="15" hidden="false" customHeight="true" outlineLevel="0" collapsed="false">
      <c r="A93" s="1" t="n">
        <v>96</v>
      </c>
      <c r="B93" s="13" t="n">
        <f aca="false">Returns!A97</f>
        <v>44896</v>
      </c>
      <c r="C93" s="17" t="n">
        <f aca="false">IF(Rankings!C95&lt;=5,1,0)</f>
        <v>1</v>
      </c>
      <c r="D93" s="17" t="n">
        <f aca="false">IF(Rankings!D95&lt;=5,1,0)</f>
        <v>1</v>
      </c>
      <c r="E93" s="17" t="n">
        <f aca="false">IF(Rankings!E95&lt;=5,1,0)</f>
        <v>0</v>
      </c>
      <c r="F93" s="17" t="n">
        <f aca="false">IF(Rankings!F95&lt;=5,1,0)</f>
        <v>0</v>
      </c>
      <c r="G93" s="17" t="n">
        <f aca="false">IF(Rankings!G95&lt;=5,1,0)</f>
        <v>1</v>
      </c>
      <c r="H93" s="17" t="n">
        <f aca="false">IF(Rankings!H95&lt;=5,1,0)</f>
        <v>0</v>
      </c>
      <c r="I93" s="17" t="n">
        <f aca="false">IF(Rankings!I95&lt;=5,1,0)</f>
        <v>1</v>
      </c>
      <c r="J93" s="17" t="n">
        <f aca="false">IF(Rankings!J95&lt;=5,1,0)</f>
        <v>1</v>
      </c>
      <c r="K93" s="20" t="n">
        <f aca="false">SUM(C93:J93)</f>
        <v>5</v>
      </c>
      <c r="L93" s="16" t="n">
        <f aca="false">SUMPRODUCT(C93:J93,Returns!B97:I97)/K93</f>
        <v>-0.0557645223278885</v>
      </c>
      <c r="M93" s="16" t="n">
        <v>0</v>
      </c>
      <c r="N93" s="16" t="n">
        <v>0</v>
      </c>
      <c r="O93" s="16" t="n">
        <f aca="false">L93+M93+N93</f>
        <v>-0.0557645223278885</v>
      </c>
      <c r="P93" s="21" t="n">
        <f aca="false">P92*(1+O93)</f>
        <v>1.44727394279802</v>
      </c>
      <c r="Q93" s="21" t="n">
        <f aca="false">MAX($P$5:P93)</f>
        <v>2.06103524066103</v>
      </c>
      <c r="R93" s="16" t="n">
        <f aca="false">P93/Q93-1</f>
        <v>-0.29779272365385</v>
      </c>
      <c r="S93" s="16" t="n">
        <f aca="false">O93-Benchmark_RF!D93</f>
        <v>-0.0689052637042345</v>
      </c>
    </row>
    <row r="94" customFormat="false" ht="15" hidden="false" customHeight="true" outlineLevel="0" collapsed="false">
      <c r="A94" s="1" t="n">
        <v>97</v>
      </c>
      <c r="B94" s="13" t="n">
        <f aca="false">Returns!A98</f>
        <v>44927</v>
      </c>
      <c r="C94" s="17" t="n">
        <f aca="false">IF(Rankings!C95&lt;=5,1,0)</f>
        <v>1</v>
      </c>
      <c r="D94" s="17" t="n">
        <f aca="false">IF(Rankings!D95&lt;=5,1,0)</f>
        <v>1</v>
      </c>
      <c r="E94" s="17" t="n">
        <f aca="false">IF(Rankings!E95&lt;=5,1,0)</f>
        <v>0</v>
      </c>
      <c r="F94" s="17" t="n">
        <f aca="false">IF(Rankings!F95&lt;=5,1,0)</f>
        <v>0</v>
      </c>
      <c r="G94" s="17" t="n">
        <f aca="false">IF(Rankings!G95&lt;=5,1,0)</f>
        <v>1</v>
      </c>
      <c r="H94" s="17" t="n">
        <f aca="false">IF(Rankings!H95&lt;=5,1,0)</f>
        <v>0</v>
      </c>
      <c r="I94" s="17" t="n">
        <f aca="false">IF(Rankings!I95&lt;=5,1,0)</f>
        <v>1</v>
      </c>
      <c r="J94" s="17" t="n">
        <f aca="false">IF(Rankings!J95&lt;=5,1,0)</f>
        <v>1</v>
      </c>
      <c r="K94" s="20" t="n">
        <f aca="false">SUM(C94:J94)</f>
        <v>5</v>
      </c>
      <c r="L94" s="16" t="n">
        <f aca="false">SUMPRODUCT(C94:J94,Returns!B98:I98)/K94</f>
        <v>-0.0184238821815207</v>
      </c>
      <c r="M94" s="16" t="n">
        <v>0</v>
      </c>
      <c r="N94" s="16" t="n">
        <v>0</v>
      </c>
      <c r="O94" s="16" t="n">
        <f aca="false">L94+M94+N94</f>
        <v>-0.0184238821815207</v>
      </c>
      <c r="P94" s="21" t="n">
        <f aca="false">P93*(1+O94)</f>
        <v>1.42060953819152</v>
      </c>
      <c r="Q94" s="21" t="n">
        <f aca="false">MAX($P$5:P94)</f>
        <v>2.06103524066103</v>
      </c>
      <c r="R94" s="16" t="n">
        <f aca="false">P94/Q94-1</f>
        <v>-0.310730107780258</v>
      </c>
      <c r="S94" s="16" t="n">
        <f aca="false">O94-Benchmark_RF!D94</f>
        <v>-0.0321833382098503</v>
      </c>
    </row>
    <row r="95" customFormat="false" ht="15" hidden="false" customHeight="true" outlineLevel="0" collapsed="false">
      <c r="A95" s="1" t="n">
        <v>98</v>
      </c>
      <c r="B95" s="13" t="n">
        <f aca="false">Returns!A99</f>
        <v>44958</v>
      </c>
      <c r="C95" s="17" t="n">
        <f aca="false">IF(Rankings!C101&lt;=5,1,0)</f>
        <v>0</v>
      </c>
      <c r="D95" s="17" t="n">
        <f aca="false">IF(Rankings!D101&lt;=5,1,0)</f>
        <v>1</v>
      </c>
      <c r="E95" s="17" t="n">
        <f aca="false">IF(Rankings!E101&lt;=5,1,0)</f>
        <v>1</v>
      </c>
      <c r="F95" s="17" t="n">
        <f aca="false">IF(Rankings!F101&lt;=5,1,0)</f>
        <v>1</v>
      </c>
      <c r="G95" s="17" t="n">
        <f aca="false">IF(Rankings!G101&lt;=5,1,0)</f>
        <v>1</v>
      </c>
      <c r="H95" s="17" t="n">
        <f aca="false">IF(Rankings!H101&lt;=5,1,0)</f>
        <v>0</v>
      </c>
      <c r="I95" s="17" t="n">
        <f aca="false">IF(Rankings!I101&lt;=5,1,0)</f>
        <v>0</v>
      </c>
      <c r="J95" s="17" t="n">
        <f aca="false">IF(Rankings!J101&lt;=5,1,0)</f>
        <v>1</v>
      </c>
      <c r="K95" s="20" t="n">
        <f aca="false">SUM(C95:J95)</f>
        <v>5</v>
      </c>
      <c r="L95" s="16" t="n">
        <f aca="false">SUMPRODUCT(C95:J95,Returns!B99:I99)/K95</f>
        <v>0.0102869843171734</v>
      </c>
      <c r="M95" s="16" t="n">
        <f aca="false">-2*Assumptions!$B$13</f>
        <v>-0.007</v>
      </c>
      <c r="N95" s="16" t="n">
        <f aca="false">-Assumptions!$B$16*MAX(0,(1+O89)*(1+O90)*(1+O91)*(1+O92)*(1+O93)*(1+O94)-1)</f>
        <v>-0</v>
      </c>
      <c r="O95" s="16" t="n">
        <f aca="false">L95+M95+N95</f>
        <v>0.00328698431717341</v>
      </c>
      <c r="P95" s="21" t="n">
        <f aca="false">P94*(1+O95)</f>
        <v>1.42527905946438</v>
      </c>
      <c r="Q95" s="21" t="n">
        <f aca="false">MAX($P$5:P95)</f>
        <v>2.06103524066103</v>
      </c>
      <c r="R95" s="16" t="n">
        <f aca="false">P95/Q95-1</f>
        <v>-0.308464488454232</v>
      </c>
      <c r="S95" s="16" t="n">
        <f aca="false">O95-Benchmark_RF!D95</f>
        <v>-0.011506339985615</v>
      </c>
    </row>
    <row r="96" customFormat="false" ht="15" hidden="false" customHeight="true" outlineLevel="0" collapsed="false">
      <c r="A96" s="1" t="n">
        <v>99</v>
      </c>
      <c r="B96" s="13" t="n">
        <f aca="false">Returns!A100</f>
        <v>44986</v>
      </c>
      <c r="C96" s="17" t="n">
        <f aca="false">IF(Rankings!C101&lt;=5,1,0)</f>
        <v>0</v>
      </c>
      <c r="D96" s="17" t="n">
        <f aca="false">IF(Rankings!D101&lt;=5,1,0)</f>
        <v>1</v>
      </c>
      <c r="E96" s="17" t="n">
        <f aca="false">IF(Rankings!E101&lt;=5,1,0)</f>
        <v>1</v>
      </c>
      <c r="F96" s="17" t="n">
        <f aca="false">IF(Rankings!F101&lt;=5,1,0)</f>
        <v>1</v>
      </c>
      <c r="G96" s="17" t="n">
        <f aca="false">IF(Rankings!G101&lt;=5,1,0)</f>
        <v>1</v>
      </c>
      <c r="H96" s="17" t="n">
        <f aca="false">IF(Rankings!H101&lt;=5,1,0)</f>
        <v>0</v>
      </c>
      <c r="I96" s="17" t="n">
        <f aca="false">IF(Rankings!I101&lt;=5,1,0)</f>
        <v>0</v>
      </c>
      <c r="J96" s="17" t="n">
        <f aca="false">IF(Rankings!J101&lt;=5,1,0)</f>
        <v>1</v>
      </c>
      <c r="K96" s="20" t="n">
        <f aca="false">SUM(C96:J96)</f>
        <v>5</v>
      </c>
      <c r="L96" s="16" t="n">
        <f aca="false">SUMPRODUCT(C96:J96,Returns!B100:I100)/K96</f>
        <v>0.00483680233828734</v>
      </c>
      <c r="M96" s="16" t="n">
        <v>0</v>
      </c>
      <c r="N96" s="16" t="n">
        <v>0</v>
      </c>
      <c r="O96" s="16" t="n">
        <f aca="false">L96+M96+N96</f>
        <v>0.00483680233828734</v>
      </c>
      <c r="P96" s="21" t="n">
        <f aca="false">P95*(1+O96)</f>
        <v>1.43217285255191</v>
      </c>
      <c r="Q96" s="21" t="n">
        <f aca="false">MAX($P$5:P96)</f>
        <v>2.06103524066103</v>
      </c>
      <c r="R96" s="16" t="n">
        <f aca="false">P96/Q96-1</f>
        <v>-0.305119667874978</v>
      </c>
      <c r="S96" s="16" t="n">
        <f aca="false">O96-Benchmark_RF!D96</f>
        <v>-0.0112170398577905</v>
      </c>
    </row>
    <row r="97" customFormat="false" ht="15" hidden="false" customHeight="true" outlineLevel="0" collapsed="false">
      <c r="A97" s="1" t="n">
        <v>100</v>
      </c>
      <c r="B97" s="13" t="n">
        <f aca="false">Returns!A101</f>
        <v>45017</v>
      </c>
      <c r="C97" s="17" t="n">
        <f aca="false">IF(Rankings!C101&lt;=5,1,0)</f>
        <v>0</v>
      </c>
      <c r="D97" s="17" t="n">
        <f aca="false">IF(Rankings!D101&lt;=5,1,0)</f>
        <v>1</v>
      </c>
      <c r="E97" s="17" t="n">
        <f aca="false">IF(Rankings!E101&lt;=5,1,0)</f>
        <v>1</v>
      </c>
      <c r="F97" s="17" t="n">
        <f aca="false">IF(Rankings!F101&lt;=5,1,0)</f>
        <v>1</v>
      </c>
      <c r="G97" s="17" t="n">
        <f aca="false">IF(Rankings!G101&lt;=5,1,0)</f>
        <v>1</v>
      </c>
      <c r="H97" s="17" t="n">
        <f aca="false">IF(Rankings!H101&lt;=5,1,0)</f>
        <v>0</v>
      </c>
      <c r="I97" s="17" t="n">
        <f aca="false">IF(Rankings!I101&lt;=5,1,0)</f>
        <v>0</v>
      </c>
      <c r="J97" s="17" t="n">
        <f aca="false">IF(Rankings!J101&lt;=5,1,0)</f>
        <v>1</v>
      </c>
      <c r="K97" s="20" t="n">
        <f aca="false">SUM(C97:J97)</f>
        <v>5</v>
      </c>
      <c r="L97" s="16" t="n">
        <f aca="false">SUMPRODUCT(C97:J97,Returns!B101:I101)/K97</f>
        <v>0.0240792990464158</v>
      </c>
      <c r="M97" s="16" t="n">
        <v>0</v>
      </c>
      <c r="N97" s="16" t="n">
        <v>0</v>
      </c>
      <c r="O97" s="16" t="n">
        <f aca="false">L97+M97+N97</f>
        <v>0.0240792990464158</v>
      </c>
      <c r="P97" s="21" t="n">
        <f aca="false">P96*(1+O97)</f>
        <v>1.46665857095467</v>
      </c>
      <c r="Q97" s="21" t="n">
        <f aca="false">MAX($P$5:P97)</f>
        <v>2.06103524066103</v>
      </c>
      <c r="R97" s="16" t="n">
        <f aca="false">P97/Q97-1</f>
        <v>-0.288387436556267</v>
      </c>
      <c r="S97" s="16" t="n">
        <f aca="false">O97-Benchmark_RF!D97</f>
        <v>0.00738422568372394</v>
      </c>
    </row>
    <row r="98" customFormat="false" ht="15" hidden="false" customHeight="true" outlineLevel="0" collapsed="false">
      <c r="A98" s="1" t="n">
        <v>101</v>
      </c>
      <c r="B98" s="13" t="n">
        <f aca="false">Returns!A102</f>
        <v>45047</v>
      </c>
      <c r="C98" s="17" t="n">
        <f aca="false">IF(Rankings!C101&lt;=5,1,0)</f>
        <v>0</v>
      </c>
      <c r="D98" s="17" t="n">
        <f aca="false">IF(Rankings!D101&lt;=5,1,0)</f>
        <v>1</v>
      </c>
      <c r="E98" s="17" t="n">
        <f aca="false">IF(Rankings!E101&lt;=5,1,0)</f>
        <v>1</v>
      </c>
      <c r="F98" s="17" t="n">
        <f aca="false">IF(Rankings!F101&lt;=5,1,0)</f>
        <v>1</v>
      </c>
      <c r="G98" s="17" t="n">
        <f aca="false">IF(Rankings!G101&lt;=5,1,0)</f>
        <v>1</v>
      </c>
      <c r="H98" s="17" t="n">
        <f aca="false">IF(Rankings!H101&lt;=5,1,0)</f>
        <v>0</v>
      </c>
      <c r="I98" s="17" t="n">
        <f aca="false">IF(Rankings!I101&lt;=5,1,0)</f>
        <v>0</v>
      </c>
      <c r="J98" s="17" t="n">
        <f aca="false">IF(Rankings!J101&lt;=5,1,0)</f>
        <v>1</v>
      </c>
      <c r="K98" s="20" t="n">
        <f aca="false">SUM(C98:J98)</f>
        <v>5</v>
      </c>
      <c r="L98" s="16" t="n">
        <f aca="false">SUMPRODUCT(C98:J98,Returns!B102:I102)/K98</f>
        <v>0.0266431857552152</v>
      </c>
      <c r="M98" s="16" t="n">
        <v>0</v>
      </c>
      <c r="N98" s="16" t="n">
        <v>0</v>
      </c>
      <c r="O98" s="16" t="n">
        <f aca="false">L98+M98+N98</f>
        <v>0.0266431857552152</v>
      </c>
      <c r="P98" s="21" t="n">
        <f aca="false">P97*(1+O98)</f>
        <v>1.50573502770009</v>
      </c>
      <c r="Q98" s="21" t="n">
        <f aca="false">MAX($P$5:P98)</f>
        <v>2.06103524066103</v>
      </c>
      <c r="R98" s="16" t="n">
        <f aca="false">P98/Q98-1</f>
        <v>-0.269427810842691</v>
      </c>
      <c r="S98" s="16" t="n">
        <f aca="false">O98-Benchmark_RF!D98</f>
        <v>0.00994811239252334</v>
      </c>
    </row>
    <row r="99" customFormat="false" ht="15" hidden="false" customHeight="true" outlineLevel="0" collapsed="false">
      <c r="A99" s="1" t="n">
        <v>102</v>
      </c>
      <c r="B99" s="13" t="n">
        <f aca="false">Returns!A103</f>
        <v>45078</v>
      </c>
      <c r="C99" s="17" t="n">
        <f aca="false">IF(Rankings!C101&lt;=5,1,0)</f>
        <v>0</v>
      </c>
      <c r="D99" s="17" t="n">
        <f aca="false">IF(Rankings!D101&lt;=5,1,0)</f>
        <v>1</v>
      </c>
      <c r="E99" s="17" t="n">
        <f aca="false">IF(Rankings!E101&lt;=5,1,0)</f>
        <v>1</v>
      </c>
      <c r="F99" s="17" t="n">
        <f aca="false">IF(Rankings!F101&lt;=5,1,0)</f>
        <v>1</v>
      </c>
      <c r="G99" s="17" t="n">
        <f aca="false">IF(Rankings!G101&lt;=5,1,0)</f>
        <v>1</v>
      </c>
      <c r="H99" s="17" t="n">
        <f aca="false">IF(Rankings!H101&lt;=5,1,0)</f>
        <v>0</v>
      </c>
      <c r="I99" s="17" t="n">
        <f aca="false">IF(Rankings!I101&lt;=5,1,0)</f>
        <v>0</v>
      </c>
      <c r="J99" s="17" t="n">
        <f aca="false">IF(Rankings!J101&lt;=5,1,0)</f>
        <v>1</v>
      </c>
      <c r="K99" s="20" t="n">
        <f aca="false">SUM(C99:J99)</f>
        <v>5</v>
      </c>
      <c r="L99" s="16" t="n">
        <f aca="false">SUMPRODUCT(C99:J99,Returns!B103:I103)/K99</f>
        <v>-0.0208590331804609</v>
      </c>
      <c r="M99" s="16" t="n">
        <v>0</v>
      </c>
      <c r="N99" s="16" t="n">
        <v>0</v>
      </c>
      <c r="O99" s="16" t="n">
        <f aca="false">L99+M99+N99</f>
        <v>-0.0208590331804609</v>
      </c>
      <c r="P99" s="21" t="n">
        <f aca="false">P98*(1+O99)</f>
        <v>1.47432685079631</v>
      </c>
      <c r="Q99" s="21" t="n">
        <f aca="false">MAX($P$5:P99)</f>
        <v>2.06103524066103</v>
      </c>
      <c r="R99" s="16" t="n">
        <f aca="false">P99/Q99-1</f>
        <v>-0.284666840377045</v>
      </c>
      <c r="S99" s="16" t="n">
        <f aca="false">O99-Benchmark_RF!D99</f>
        <v>-0.0375610520593138</v>
      </c>
    </row>
    <row r="100" customFormat="false" ht="15" hidden="false" customHeight="true" outlineLevel="0" collapsed="false">
      <c r="A100" s="1" t="n">
        <v>103</v>
      </c>
      <c r="B100" s="13" t="n">
        <f aca="false">Returns!A104</f>
        <v>45108</v>
      </c>
      <c r="C100" s="17" t="n">
        <f aca="false">IF(Rankings!C101&lt;=5,1,0)</f>
        <v>0</v>
      </c>
      <c r="D100" s="17" t="n">
        <f aca="false">IF(Rankings!D101&lt;=5,1,0)</f>
        <v>1</v>
      </c>
      <c r="E100" s="17" t="n">
        <f aca="false">IF(Rankings!E101&lt;=5,1,0)</f>
        <v>1</v>
      </c>
      <c r="F100" s="17" t="n">
        <f aca="false">IF(Rankings!F101&lt;=5,1,0)</f>
        <v>1</v>
      </c>
      <c r="G100" s="17" t="n">
        <f aca="false">IF(Rankings!G101&lt;=5,1,0)</f>
        <v>1</v>
      </c>
      <c r="H100" s="17" t="n">
        <f aca="false">IF(Rankings!H101&lt;=5,1,0)</f>
        <v>0</v>
      </c>
      <c r="I100" s="17" t="n">
        <f aca="false">IF(Rankings!I101&lt;=5,1,0)</f>
        <v>0</v>
      </c>
      <c r="J100" s="17" t="n">
        <f aca="false">IF(Rankings!J101&lt;=5,1,0)</f>
        <v>1</v>
      </c>
      <c r="K100" s="20" t="n">
        <f aca="false">SUM(C100:J100)</f>
        <v>5</v>
      </c>
      <c r="L100" s="16" t="n">
        <f aca="false">SUMPRODUCT(C100:J100,Returns!B104:I104)/K100</f>
        <v>0.205500320610227</v>
      </c>
      <c r="M100" s="16" t="n">
        <v>0</v>
      </c>
      <c r="N100" s="16" t="n">
        <v>0</v>
      </c>
      <c r="O100" s="16" t="n">
        <f aca="false">L100+M100+N100</f>
        <v>0.205500320610227</v>
      </c>
      <c r="P100" s="21" t="n">
        <f aca="false">P99*(1+O100)</f>
        <v>1.77730149131922</v>
      </c>
      <c r="Q100" s="21" t="n">
        <f aca="false">MAX($P$5:P100)</f>
        <v>2.06103524066103</v>
      </c>
      <c r="R100" s="16" t="n">
        <f aca="false">P100/Q100-1</f>
        <v>-0.137665646731401</v>
      </c>
      <c r="S100" s="16" t="n">
        <f aca="false">O100-Benchmark_RF!D100</f>
        <v>0.188170227656433</v>
      </c>
    </row>
    <row r="101" customFormat="false" ht="15" hidden="false" customHeight="true" outlineLevel="0" collapsed="false">
      <c r="A101" s="1" t="n">
        <v>104</v>
      </c>
      <c r="B101" s="13" t="n">
        <f aca="false">Returns!A105</f>
        <v>45139</v>
      </c>
      <c r="C101" s="17" t="n">
        <f aca="false">IF(Rankings!C107&lt;=5,1,0)</f>
        <v>1</v>
      </c>
      <c r="D101" s="17" t="n">
        <f aca="false">IF(Rankings!D107&lt;=5,1,0)</f>
        <v>0</v>
      </c>
      <c r="E101" s="17" t="n">
        <f aca="false">IF(Rankings!E107&lt;=5,1,0)</f>
        <v>1</v>
      </c>
      <c r="F101" s="17" t="n">
        <f aca="false">IF(Rankings!F107&lt;=5,1,0)</f>
        <v>1</v>
      </c>
      <c r="G101" s="17" t="n">
        <f aca="false">IF(Rankings!G107&lt;=5,1,0)</f>
        <v>0</v>
      </c>
      <c r="H101" s="17" t="n">
        <f aca="false">IF(Rankings!H107&lt;=5,1,0)</f>
        <v>1</v>
      </c>
      <c r="I101" s="17" t="n">
        <f aca="false">IF(Rankings!I107&lt;=5,1,0)</f>
        <v>0</v>
      </c>
      <c r="J101" s="17" t="n">
        <f aca="false">IF(Rankings!J107&lt;=5,1,0)</f>
        <v>1</v>
      </c>
      <c r="K101" s="20" t="n">
        <f aca="false">SUM(C101:J101)</f>
        <v>5</v>
      </c>
      <c r="L101" s="16" t="n">
        <f aca="false">SUMPRODUCT(C101:J101,Returns!B105:I105)/K101</f>
        <v>-0.0524824040561681</v>
      </c>
      <c r="M101" s="16" t="n">
        <f aca="false">-2*Assumptions!$B$13</f>
        <v>-0.007</v>
      </c>
      <c r="N101" s="16" t="n">
        <f aca="false">-Assumptions!$B$16*MAX(0,(1+O95)*(1+O96)*(1+O97)*(1+O98)*(1+O99)*(1+O100)-1)</f>
        <v>-0.0376625607042363</v>
      </c>
      <c r="O101" s="16" t="n">
        <f aca="false">L101+M101+N101</f>
        <v>-0.0971449647604044</v>
      </c>
      <c r="P101" s="21" t="n">
        <f aca="false">P100*(1+O101)</f>
        <v>1.6046456005764</v>
      </c>
      <c r="Q101" s="21" t="n">
        <f aca="false">MAX($P$5:P101)</f>
        <v>2.06103524066103</v>
      </c>
      <c r="R101" s="16" t="n">
        <f aca="false">P101/Q101-1</f>
        <v>-0.221437087091366</v>
      </c>
      <c r="S101" s="16" t="n">
        <f aca="false">O101-Benchmark_RF!D101</f>
        <v>-0.114456154620129</v>
      </c>
    </row>
    <row r="102" customFormat="false" ht="15" hidden="false" customHeight="true" outlineLevel="0" collapsed="false">
      <c r="A102" s="1" t="n">
        <v>105</v>
      </c>
      <c r="B102" s="13" t="n">
        <f aca="false">Returns!A106</f>
        <v>45170</v>
      </c>
      <c r="C102" s="17" t="n">
        <f aca="false">IF(Rankings!C107&lt;=5,1,0)</f>
        <v>1</v>
      </c>
      <c r="D102" s="17" t="n">
        <f aca="false">IF(Rankings!D107&lt;=5,1,0)</f>
        <v>0</v>
      </c>
      <c r="E102" s="17" t="n">
        <f aca="false">IF(Rankings!E107&lt;=5,1,0)</f>
        <v>1</v>
      </c>
      <c r="F102" s="17" t="n">
        <f aca="false">IF(Rankings!F107&lt;=5,1,0)</f>
        <v>1</v>
      </c>
      <c r="G102" s="17" t="n">
        <f aca="false">IF(Rankings!G107&lt;=5,1,0)</f>
        <v>0</v>
      </c>
      <c r="H102" s="17" t="n">
        <f aca="false">IF(Rankings!H107&lt;=5,1,0)</f>
        <v>1</v>
      </c>
      <c r="I102" s="17" t="n">
        <f aca="false">IF(Rankings!I107&lt;=5,1,0)</f>
        <v>0</v>
      </c>
      <c r="J102" s="17" t="n">
        <f aca="false">IF(Rankings!J107&lt;=5,1,0)</f>
        <v>1</v>
      </c>
      <c r="K102" s="20" t="n">
        <f aca="false">SUM(C102:J102)</f>
        <v>5</v>
      </c>
      <c r="L102" s="16" t="n">
        <f aca="false">SUMPRODUCT(C102:J102,Returns!B106:I106)/K102</f>
        <v>-0.00592488042940298</v>
      </c>
      <c r="M102" s="16" t="n">
        <v>0</v>
      </c>
      <c r="N102" s="16" t="n">
        <v>0</v>
      </c>
      <c r="O102" s="16" t="n">
        <f aca="false">L102+M102+N102</f>
        <v>-0.00592488042940298</v>
      </c>
      <c r="P102" s="21" t="n">
        <f aca="false">P101*(1+O102)</f>
        <v>1.59513826726142</v>
      </c>
      <c r="Q102" s="21" t="n">
        <f aca="false">MAX($P$5:P102)</f>
        <v>2.06103524066103</v>
      </c>
      <c r="R102" s="16" t="n">
        <f aca="false">P102/Q102-1</f>
        <v>-0.226049979257117</v>
      </c>
      <c r="S102" s="16" t="n">
        <f aca="false">O102-Benchmark_RF!D102</f>
        <v>-0.0231576570936667</v>
      </c>
    </row>
    <row r="103" customFormat="false" ht="15" hidden="false" customHeight="true" outlineLevel="0" collapsed="false">
      <c r="A103" s="1" t="n">
        <v>106</v>
      </c>
      <c r="B103" s="13" t="n">
        <f aca="false">Returns!A107</f>
        <v>45200</v>
      </c>
      <c r="C103" s="17" t="n">
        <f aca="false">IF(Rankings!C107&lt;=5,1,0)</f>
        <v>1</v>
      </c>
      <c r="D103" s="17" t="n">
        <f aca="false">IF(Rankings!D107&lt;=5,1,0)</f>
        <v>0</v>
      </c>
      <c r="E103" s="17" t="n">
        <f aca="false">IF(Rankings!E107&lt;=5,1,0)</f>
        <v>1</v>
      </c>
      <c r="F103" s="17" t="n">
        <f aca="false">IF(Rankings!F107&lt;=5,1,0)</f>
        <v>1</v>
      </c>
      <c r="G103" s="17" t="n">
        <f aca="false">IF(Rankings!G107&lt;=5,1,0)</f>
        <v>0</v>
      </c>
      <c r="H103" s="17" t="n">
        <f aca="false">IF(Rankings!H107&lt;=5,1,0)</f>
        <v>1</v>
      </c>
      <c r="I103" s="17" t="n">
        <f aca="false">IF(Rankings!I107&lt;=5,1,0)</f>
        <v>0</v>
      </c>
      <c r="J103" s="17" t="n">
        <f aca="false">IF(Rankings!J107&lt;=5,1,0)</f>
        <v>1</v>
      </c>
      <c r="K103" s="20" t="n">
        <f aca="false">SUM(C103:J103)</f>
        <v>5</v>
      </c>
      <c r="L103" s="16" t="n">
        <f aca="false">SUMPRODUCT(C103:J103,Returns!B107:I107)/K103</f>
        <v>0.0963912968416424</v>
      </c>
      <c r="M103" s="16" t="n">
        <v>0</v>
      </c>
      <c r="N103" s="16" t="n">
        <v>0</v>
      </c>
      <c r="O103" s="16" t="n">
        <f aca="false">L103+M103+N103</f>
        <v>0.0963912968416424</v>
      </c>
      <c r="P103" s="21" t="n">
        <f aca="false">P102*(1+O103)</f>
        <v>1.74889571348448</v>
      </c>
      <c r="Q103" s="21" t="n">
        <f aca="false">MAX($P$5:P103)</f>
        <v>2.06103524066103</v>
      </c>
      <c r="R103" s="16" t="n">
        <f aca="false">P103/Q103-1</f>
        <v>-0.151447933067094</v>
      </c>
      <c r="S103" s="16" t="n">
        <f aca="false">O103-Benchmark_RF!D103</f>
        <v>0.0795851578007834</v>
      </c>
    </row>
    <row r="104" customFormat="false" ht="15" hidden="false" customHeight="true" outlineLevel="0" collapsed="false">
      <c r="A104" s="1" t="n">
        <v>107</v>
      </c>
      <c r="B104" s="13" t="n">
        <f aca="false">Returns!A108</f>
        <v>45231</v>
      </c>
      <c r="C104" s="17" t="n">
        <f aca="false">IF(Rankings!C107&lt;=5,1,0)</f>
        <v>1</v>
      </c>
      <c r="D104" s="17" t="n">
        <f aca="false">IF(Rankings!D107&lt;=5,1,0)</f>
        <v>0</v>
      </c>
      <c r="E104" s="17" t="n">
        <f aca="false">IF(Rankings!E107&lt;=5,1,0)</f>
        <v>1</v>
      </c>
      <c r="F104" s="17" t="n">
        <f aca="false">IF(Rankings!F107&lt;=5,1,0)</f>
        <v>1</v>
      </c>
      <c r="G104" s="17" t="n">
        <f aca="false">IF(Rankings!G107&lt;=5,1,0)</f>
        <v>0</v>
      </c>
      <c r="H104" s="17" t="n">
        <f aca="false">IF(Rankings!H107&lt;=5,1,0)</f>
        <v>1</v>
      </c>
      <c r="I104" s="17" t="n">
        <f aca="false">IF(Rankings!I107&lt;=5,1,0)</f>
        <v>0</v>
      </c>
      <c r="J104" s="17" t="n">
        <f aca="false">IF(Rankings!J107&lt;=5,1,0)</f>
        <v>1</v>
      </c>
      <c r="K104" s="20" t="n">
        <f aca="false">SUM(C104:J104)</f>
        <v>5</v>
      </c>
      <c r="L104" s="16" t="n">
        <f aca="false">SUMPRODUCT(C104:J104,Returns!B108:I108)/K104</f>
        <v>0.103098786345741</v>
      </c>
      <c r="M104" s="16" t="n">
        <v>0</v>
      </c>
      <c r="N104" s="16" t="n">
        <v>0</v>
      </c>
      <c r="O104" s="16" t="n">
        <f aca="false">L104+M104+N104</f>
        <v>0.103098786345741</v>
      </c>
      <c r="P104" s="21" t="n">
        <f aca="false">P103*(1+O104)</f>
        <v>1.92920473899</v>
      </c>
      <c r="Q104" s="21" t="n">
        <f aca="false">MAX($P$5:P104)</f>
        <v>2.06103524066103</v>
      </c>
      <c r="R104" s="16" t="n">
        <f aca="false">P104/Q104-1</f>
        <v>-0.0639632448151423</v>
      </c>
      <c r="S104" s="16" t="n">
        <f aca="false">O104-Benchmark_RF!D104</f>
        <v>0.0868493153064835</v>
      </c>
    </row>
    <row r="105" customFormat="false" ht="15" hidden="false" customHeight="true" outlineLevel="0" collapsed="false">
      <c r="A105" s="1" t="n">
        <v>108</v>
      </c>
      <c r="B105" s="13" t="n">
        <f aca="false">Returns!A109</f>
        <v>45261</v>
      </c>
      <c r="C105" s="17" t="n">
        <f aca="false">IF(Rankings!C107&lt;=5,1,0)</f>
        <v>1</v>
      </c>
      <c r="D105" s="17" t="n">
        <f aca="false">IF(Rankings!D107&lt;=5,1,0)</f>
        <v>0</v>
      </c>
      <c r="E105" s="17" t="n">
        <f aca="false">IF(Rankings!E107&lt;=5,1,0)</f>
        <v>1</v>
      </c>
      <c r="F105" s="17" t="n">
        <f aca="false">IF(Rankings!F107&lt;=5,1,0)</f>
        <v>1</v>
      </c>
      <c r="G105" s="17" t="n">
        <f aca="false">IF(Rankings!G107&lt;=5,1,0)</f>
        <v>0</v>
      </c>
      <c r="H105" s="17" t="n">
        <f aca="false">IF(Rankings!H107&lt;=5,1,0)</f>
        <v>1</v>
      </c>
      <c r="I105" s="17" t="n">
        <f aca="false">IF(Rankings!I107&lt;=5,1,0)</f>
        <v>0</v>
      </c>
      <c r="J105" s="17" t="n">
        <f aca="false">IF(Rankings!J107&lt;=5,1,0)</f>
        <v>1</v>
      </c>
      <c r="K105" s="20" t="n">
        <f aca="false">SUM(C105:J105)</f>
        <v>5</v>
      </c>
      <c r="L105" s="16" t="n">
        <f aca="false">SUMPRODUCT(C105:J105,Returns!B109:I109)/K105</f>
        <v>0.0807441598034165</v>
      </c>
      <c r="M105" s="16" t="n">
        <v>0</v>
      </c>
      <c r="N105" s="16" t="n">
        <v>0</v>
      </c>
      <c r="O105" s="16" t="n">
        <f aca="false">L105+M105+N105</f>
        <v>0.0807441598034165</v>
      </c>
      <c r="P105" s="21" t="n">
        <f aca="false">P104*(1+O105)</f>
        <v>2.08497675472851</v>
      </c>
      <c r="Q105" s="21" t="n">
        <f aca="false">MAX($P$5:P105)</f>
        <v>2.08497675472851</v>
      </c>
      <c r="R105" s="16" t="n">
        <f aca="false">P105/Q105-1</f>
        <v>0</v>
      </c>
      <c r="S105" s="16" t="n">
        <f aca="false">O105-Benchmark_RF!D105</f>
        <v>0.0645086485225793</v>
      </c>
    </row>
    <row r="106" customFormat="false" ht="15" hidden="false" customHeight="true" outlineLevel="0" collapsed="false">
      <c r="A106" s="1" t="n">
        <v>109</v>
      </c>
      <c r="B106" s="13" t="n">
        <f aca="false">Returns!A110</f>
        <v>45292</v>
      </c>
      <c r="C106" s="17" t="n">
        <f aca="false">IF(Rankings!C107&lt;=5,1,0)</f>
        <v>1</v>
      </c>
      <c r="D106" s="17" t="n">
        <f aca="false">IF(Rankings!D107&lt;=5,1,0)</f>
        <v>0</v>
      </c>
      <c r="E106" s="17" t="n">
        <f aca="false">IF(Rankings!E107&lt;=5,1,0)</f>
        <v>1</v>
      </c>
      <c r="F106" s="17" t="n">
        <f aca="false">IF(Rankings!F107&lt;=5,1,0)</f>
        <v>1</v>
      </c>
      <c r="G106" s="17" t="n">
        <f aca="false">IF(Rankings!G107&lt;=5,1,0)</f>
        <v>0</v>
      </c>
      <c r="H106" s="17" t="n">
        <f aca="false">IF(Rankings!H107&lt;=5,1,0)</f>
        <v>1</v>
      </c>
      <c r="I106" s="17" t="n">
        <f aca="false">IF(Rankings!I107&lt;=5,1,0)</f>
        <v>0</v>
      </c>
      <c r="J106" s="17" t="n">
        <f aca="false">IF(Rankings!J107&lt;=5,1,0)</f>
        <v>1</v>
      </c>
      <c r="K106" s="20" t="n">
        <f aca="false">SUM(C106:J106)</f>
        <v>5</v>
      </c>
      <c r="L106" s="16" t="n">
        <f aca="false">SUMPRODUCT(C106:J106,Returns!B110:I110)/K106</f>
        <v>0.081805148517195</v>
      </c>
      <c r="M106" s="16" t="n">
        <v>0</v>
      </c>
      <c r="N106" s="16" t="n">
        <v>0</v>
      </c>
      <c r="O106" s="16" t="n">
        <f aca="false">L106+M106+N106</f>
        <v>0.081805148517195</v>
      </c>
      <c r="P106" s="21" t="n">
        <f aca="false">P105*(1+O106)</f>
        <v>2.25553858780398</v>
      </c>
      <c r="Q106" s="21" t="n">
        <f aca="false">MAX($P$5:P106)</f>
        <v>2.25553858780398</v>
      </c>
      <c r="R106" s="16" t="n">
        <f aca="false">P106/Q106-1</f>
        <v>0</v>
      </c>
      <c r="S106" s="16" t="n">
        <f aca="false">O106-Benchmark_RF!D106</f>
        <v>0.0658162348280931</v>
      </c>
    </row>
    <row r="107" customFormat="false" ht="15" hidden="false" customHeight="true" outlineLevel="0" collapsed="false">
      <c r="A107" s="1" t="n">
        <v>110</v>
      </c>
      <c r="B107" s="13" t="n">
        <f aca="false">Returns!A111</f>
        <v>45323</v>
      </c>
      <c r="C107" s="17" t="n">
        <f aca="false">IF(Rankings!C113&lt;=5,1,0)</f>
        <v>0</v>
      </c>
      <c r="D107" s="17" t="n">
        <f aca="false">IF(Rankings!D113&lt;=5,1,0)</f>
        <v>1</v>
      </c>
      <c r="E107" s="17" t="n">
        <f aca="false">IF(Rankings!E113&lt;=5,1,0)</f>
        <v>0</v>
      </c>
      <c r="F107" s="17" t="n">
        <f aca="false">IF(Rankings!F113&lt;=5,1,0)</f>
        <v>1</v>
      </c>
      <c r="G107" s="17" t="n">
        <f aca="false">IF(Rankings!G113&lt;=5,1,0)</f>
        <v>0</v>
      </c>
      <c r="H107" s="17" t="n">
        <f aca="false">IF(Rankings!H113&lt;=5,1,0)</f>
        <v>1</v>
      </c>
      <c r="I107" s="17" t="n">
        <f aca="false">IF(Rankings!I113&lt;=5,1,0)</f>
        <v>1</v>
      </c>
      <c r="J107" s="17" t="n">
        <f aca="false">IF(Rankings!J113&lt;=5,1,0)</f>
        <v>1</v>
      </c>
      <c r="K107" s="20" t="n">
        <f aca="false">SUM(C107:J107)</f>
        <v>5</v>
      </c>
      <c r="L107" s="16" t="n">
        <f aca="false">SUMPRODUCT(C107:J107,Returns!B111:I111)/K107</f>
        <v>0.214963843565898</v>
      </c>
      <c r="M107" s="16" t="n">
        <f aca="false">-2*Assumptions!$B$13</f>
        <v>-0.007</v>
      </c>
      <c r="N107" s="16" t="n">
        <f aca="false">-Assumptions!$B$16*MAX(0,(1+O101)*(1+O102)*(1+O103)*(1+O104)*(1+O105)*(1+O106)-1)</f>
        <v>-0.0403620684633909</v>
      </c>
      <c r="O107" s="16" t="n">
        <f aca="false">L107+M107+N107</f>
        <v>0.167601775102507</v>
      </c>
      <c r="P107" s="21" t="n">
        <f aca="false">P106*(1+O107)</f>
        <v>2.63357085893213</v>
      </c>
      <c r="Q107" s="21" t="n">
        <f aca="false">MAX($P$5:P107)</f>
        <v>2.63357085893213</v>
      </c>
      <c r="R107" s="16" t="n">
        <f aca="false">P107/Q107-1</f>
        <v>0</v>
      </c>
      <c r="S107" s="16" t="n">
        <f aca="false">O107-Benchmark_RF!D107</f>
        <v>0.151373244491974</v>
      </c>
    </row>
    <row r="108" customFormat="false" ht="15" hidden="false" customHeight="true" outlineLevel="0" collapsed="false">
      <c r="A108" s="1" t="n">
        <v>111</v>
      </c>
      <c r="B108" s="13" t="n">
        <f aca="false">Returns!A112</f>
        <v>45352</v>
      </c>
      <c r="C108" s="17" t="n">
        <f aca="false">IF(Rankings!C113&lt;=5,1,0)</f>
        <v>0</v>
      </c>
      <c r="D108" s="17" t="n">
        <f aca="false">IF(Rankings!D113&lt;=5,1,0)</f>
        <v>1</v>
      </c>
      <c r="E108" s="17" t="n">
        <f aca="false">IF(Rankings!E113&lt;=5,1,0)</f>
        <v>0</v>
      </c>
      <c r="F108" s="17" t="n">
        <f aca="false">IF(Rankings!F113&lt;=5,1,0)</f>
        <v>1</v>
      </c>
      <c r="G108" s="17" t="n">
        <f aca="false">IF(Rankings!G113&lt;=5,1,0)</f>
        <v>0</v>
      </c>
      <c r="H108" s="17" t="n">
        <f aca="false">IF(Rankings!H113&lt;=5,1,0)</f>
        <v>1</v>
      </c>
      <c r="I108" s="17" t="n">
        <f aca="false">IF(Rankings!I113&lt;=5,1,0)</f>
        <v>1</v>
      </c>
      <c r="J108" s="17" t="n">
        <f aca="false">IF(Rankings!J113&lt;=5,1,0)</f>
        <v>1</v>
      </c>
      <c r="K108" s="20" t="n">
        <f aca="false">SUM(C108:J108)</f>
        <v>5</v>
      </c>
      <c r="L108" s="16" t="n">
        <f aca="false">SUMPRODUCT(C108:J108,Returns!B112:I112)/K108</f>
        <v>0.075150799014356</v>
      </c>
      <c r="M108" s="16" t="n">
        <v>0</v>
      </c>
      <c r="N108" s="16" t="n">
        <v>0</v>
      </c>
      <c r="O108" s="16" t="n">
        <f aca="false">L108+M108+N108</f>
        <v>0.075150799014356</v>
      </c>
      <c r="P108" s="21" t="n">
        <f aca="false">P107*(1+O108)</f>
        <v>2.8314858132418</v>
      </c>
      <c r="Q108" s="21" t="n">
        <f aca="false">MAX($P$5:P108)</f>
        <v>2.8314858132418</v>
      </c>
      <c r="R108" s="16" t="n">
        <f aca="false">P108/Q108-1</f>
        <v>0</v>
      </c>
      <c r="S108" s="16" t="n">
        <f aca="false">O108-Benchmark_RF!D108</f>
        <v>0.058838535151829</v>
      </c>
    </row>
    <row r="109" customFormat="false" ht="15" hidden="false" customHeight="true" outlineLevel="0" collapsed="false">
      <c r="A109" s="1" t="n">
        <v>112</v>
      </c>
      <c r="B109" s="13" t="n">
        <f aca="false">Returns!A113</f>
        <v>45383</v>
      </c>
      <c r="C109" s="17" t="n">
        <f aca="false">IF(Rankings!C113&lt;=5,1,0)</f>
        <v>0</v>
      </c>
      <c r="D109" s="17" t="n">
        <f aca="false">IF(Rankings!D113&lt;=5,1,0)</f>
        <v>1</v>
      </c>
      <c r="E109" s="17" t="n">
        <f aca="false">IF(Rankings!E113&lt;=5,1,0)</f>
        <v>0</v>
      </c>
      <c r="F109" s="17" t="n">
        <f aca="false">IF(Rankings!F113&lt;=5,1,0)</f>
        <v>1</v>
      </c>
      <c r="G109" s="17" t="n">
        <f aca="false">IF(Rankings!G113&lt;=5,1,0)</f>
        <v>0</v>
      </c>
      <c r="H109" s="17" t="n">
        <f aca="false">IF(Rankings!H113&lt;=5,1,0)</f>
        <v>1</v>
      </c>
      <c r="I109" s="17" t="n">
        <f aca="false">IF(Rankings!I113&lt;=5,1,0)</f>
        <v>1</v>
      </c>
      <c r="J109" s="17" t="n">
        <f aca="false">IF(Rankings!J113&lt;=5,1,0)</f>
        <v>1</v>
      </c>
      <c r="K109" s="20" t="n">
        <f aca="false">SUM(C109:J109)</f>
        <v>5</v>
      </c>
      <c r="L109" s="16" t="n">
        <f aca="false">SUMPRODUCT(C109:J109,Returns!B113:I113)/K109</f>
        <v>0.213067618329194</v>
      </c>
      <c r="M109" s="16" t="n">
        <v>0</v>
      </c>
      <c r="N109" s="16" t="n">
        <v>0</v>
      </c>
      <c r="O109" s="16" t="n">
        <f aca="false">L109+M109+N109</f>
        <v>0.213067618329194</v>
      </c>
      <c r="P109" s="21" t="n">
        <f aca="false">P108*(1+O109)</f>
        <v>3.43478375180213</v>
      </c>
      <c r="Q109" s="21" t="n">
        <f aca="false">MAX($P$5:P109)</f>
        <v>3.43478375180213</v>
      </c>
      <c r="R109" s="16" t="n">
        <f aca="false">P109/Q109-1</f>
        <v>0</v>
      </c>
      <c r="S109" s="16" t="n">
        <f aca="false">O109-Benchmark_RF!D109</f>
        <v>0.196643828043831</v>
      </c>
    </row>
    <row r="110" customFormat="false" ht="15" hidden="false" customHeight="true" outlineLevel="0" collapsed="false">
      <c r="A110" s="1" t="n">
        <v>113</v>
      </c>
      <c r="B110" s="13" t="n">
        <f aca="false">Returns!A114</f>
        <v>45413</v>
      </c>
      <c r="C110" s="17" t="n">
        <f aca="false">IF(Rankings!C113&lt;=5,1,0)</f>
        <v>0</v>
      </c>
      <c r="D110" s="17" t="n">
        <f aca="false">IF(Rankings!D113&lt;=5,1,0)</f>
        <v>1</v>
      </c>
      <c r="E110" s="17" t="n">
        <f aca="false">IF(Rankings!E113&lt;=5,1,0)</f>
        <v>0</v>
      </c>
      <c r="F110" s="17" t="n">
        <f aca="false">IF(Rankings!F113&lt;=5,1,0)</f>
        <v>1</v>
      </c>
      <c r="G110" s="17" t="n">
        <f aca="false">IF(Rankings!G113&lt;=5,1,0)</f>
        <v>0</v>
      </c>
      <c r="H110" s="17" t="n">
        <f aca="false">IF(Rankings!H113&lt;=5,1,0)</f>
        <v>1</v>
      </c>
      <c r="I110" s="17" t="n">
        <f aca="false">IF(Rankings!I113&lt;=5,1,0)</f>
        <v>1</v>
      </c>
      <c r="J110" s="17" t="n">
        <f aca="false">IF(Rankings!J113&lt;=5,1,0)</f>
        <v>1</v>
      </c>
      <c r="K110" s="20" t="n">
        <f aca="false">SUM(C110:J110)</f>
        <v>5</v>
      </c>
      <c r="L110" s="16" t="n">
        <f aca="false">SUMPRODUCT(C110:J110,Returns!B114:I114)/K110</f>
        <v>0.0523119380789163</v>
      </c>
      <c r="M110" s="16" t="n">
        <v>0</v>
      </c>
      <c r="N110" s="16" t="n">
        <v>0</v>
      </c>
      <c r="O110" s="16" t="n">
        <f aca="false">L110+M110+N110</f>
        <v>0.0523119380789163</v>
      </c>
      <c r="P110" s="21" t="n">
        <f aca="false">P109*(1+O110)</f>
        <v>3.61446394674087</v>
      </c>
      <c r="Q110" s="21" t="n">
        <f aca="false">MAX($P$5:P110)</f>
        <v>3.61446394674087</v>
      </c>
      <c r="R110" s="16" t="n">
        <f aca="false">P110/Q110-1</f>
        <v>0</v>
      </c>
      <c r="S110" s="16" t="n">
        <f aca="false">O110-Benchmark_RF!D110</f>
        <v>0.0363420638118406</v>
      </c>
    </row>
    <row r="111" customFormat="false" ht="15" hidden="false" customHeight="true" outlineLevel="0" collapsed="false">
      <c r="A111" s="1" t="n">
        <v>114</v>
      </c>
      <c r="B111" s="13" t="n">
        <f aca="false">Returns!A115</f>
        <v>45444</v>
      </c>
      <c r="C111" s="17" t="n">
        <f aca="false">IF(Rankings!C113&lt;=5,1,0)</f>
        <v>0</v>
      </c>
      <c r="D111" s="17" t="n">
        <f aca="false">IF(Rankings!D113&lt;=5,1,0)</f>
        <v>1</v>
      </c>
      <c r="E111" s="17" t="n">
        <f aca="false">IF(Rankings!E113&lt;=5,1,0)</f>
        <v>0</v>
      </c>
      <c r="F111" s="17" t="n">
        <f aca="false">IF(Rankings!F113&lt;=5,1,0)</f>
        <v>1</v>
      </c>
      <c r="G111" s="17" t="n">
        <f aca="false">IF(Rankings!G113&lt;=5,1,0)</f>
        <v>0</v>
      </c>
      <c r="H111" s="17" t="n">
        <f aca="false">IF(Rankings!H113&lt;=5,1,0)</f>
        <v>1</v>
      </c>
      <c r="I111" s="17" t="n">
        <f aca="false">IF(Rankings!I113&lt;=5,1,0)</f>
        <v>1</v>
      </c>
      <c r="J111" s="17" t="n">
        <f aca="false">IF(Rankings!J113&lt;=5,1,0)</f>
        <v>1</v>
      </c>
      <c r="K111" s="20" t="n">
        <f aca="false">SUM(C111:J111)</f>
        <v>5</v>
      </c>
      <c r="L111" s="16" t="n">
        <f aca="false">SUMPRODUCT(C111:J111,Returns!B115:I115)/K111</f>
        <v>0.0490764137384602</v>
      </c>
      <c r="M111" s="16" t="n">
        <v>0</v>
      </c>
      <c r="N111" s="16" t="n">
        <v>0</v>
      </c>
      <c r="O111" s="16" t="n">
        <f aca="false">L111+M111+N111</f>
        <v>0.0490764137384602</v>
      </c>
      <c r="P111" s="21" t="n">
        <f aca="false">P110*(1+O111)</f>
        <v>3.79184887483387</v>
      </c>
      <c r="Q111" s="21" t="n">
        <f aca="false">MAX($P$5:P111)</f>
        <v>3.79184887483387</v>
      </c>
      <c r="R111" s="16" t="n">
        <f aca="false">P111/Q111-1</f>
        <v>0</v>
      </c>
      <c r="S111" s="16" t="n">
        <f aca="false">O111-Benchmark_RF!D111</f>
        <v>0.0337567202025812</v>
      </c>
    </row>
    <row r="112" customFormat="false" ht="15" hidden="false" customHeight="true" outlineLevel="0" collapsed="false">
      <c r="A112" s="1" t="n">
        <v>115</v>
      </c>
      <c r="B112" s="13" t="n">
        <f aca="false">Returns!A116</f>
        <v>45474</v>
      </c>
      <c r="C112" s="17" t="n">
        <f aca="false">IF(Rankings!C113&lt;=5,1,0)</f>
        <v>0</v>
      </c>
      <c r="D112" s="17" t="n">
        <f aca="false">IF(Rankings!D113&lt;=5,1,0)</f>
        <v>1</v>
      </c>
      <c r="E112" s="17" t="n">
        <f aca="false">IF(Rankings!E113&lt;=5,1,0)</f>
        <v>0</v>
      </c>
      <c r="F112" s="17" t="n">
        <f aca="false">IF(Rankings!F113&lt;=5,1,0)</f>
        <v>1</v>
      </c>
      <c r="G112" s="17" t="n">
        <f aca="false">IF(Rankings!G113&lt;=5,1,0)</f>
        <v>0</v>
      </c>
      <c r="H112" s="17" t="n">
        <f aca="false">IF(Rankings!H113&lt;=5,1,0)</f>
        <v>1</v>
      </c>
      <c r="I112" s="17" t="n">
        <f aca="false">IF(Rankings!I113&lt;=5,1,0)</f>
        <v>1</v>
      </c>
      <c r="J112" s="17" t="n">
        <f aca="false">IF(Rankings!J113&lt;=5,1,0)</f>
        <v>1</v>
      </c>
      <c r="K112" s="20" t="n">
        <f aca="false">SUM(C112:J112)</f>
        <v>5</v>
      </c>
      <c r="L112" s="16" t="n">
        <f aca="false">SUMPRODUCT(C112:J112,Returns!B116:I116)/K112</f>
        <v>0.0725142215527348</v>
      </c>
      <c r="M112" s="16" t="n">
        <v>0</v>
      </c>
      <c r="N112" s="16" t="n">
        <v>0</v>
      </c>
      <c r="O112" s="16" t="n">
        <f aca="false">L112+M112+N112</f>
        <v>0.0725142215527348</v>
      </c>
      <c r="P112" s="21" t="n">
        <f aca="false">P111*(1+O112)</f>
        <v>4.06681184423807</v>
      </c>
      <c r="Q112" s="21" t="n">
        <f aca="false">MAX($P$5:P112)</f>
        <v>4.06681184423807</v>
      </c>
      <c r="R112" s="16" t="n">
        <f aca="false">P112/Q112-1</f>
        <v>0</v>
      </c>
      <c r="S112" s="16" t="n">
        <f aca="false">O112-Benchmark_RF!D112</f>
        <v>0.0575650421805924</v>
      </c>
    </row>
    <row r="113" customFormat="false" ht="15" hidden="false" customHeight="true" outlineLevel="0" collapsed="false">
      <c r="A113" s="1" t="n">
        <v>116</v>
      </c>
      <c r="B113" s="13" t="n">
        <f aca="false">Returns!A117</f>
        <v>45505</v>
      </c>
      <c r="C113" s="17" t="n">
        <f aca="false">IF(Rankings!C119&lt;=5,1,0)</f>
        <v>1</v>
      </c>
      <c r="D113" s="17" t="n">
        <f aca="false">IF(Rankings!D119&lt;=5,1,0)</f>
        <v>1</v>
      </c>
      <c r="E113" s="17" t="n">
        <f aca="false">IF(Rankings!E119&lt;=5,1,0)</f>
        <v>1</v>
      </c>
      <c r="F113" s="17" t="n">
        <f aca="false">IF(Rankings!F119&lt;=5,1,0)</f>
        <v>0</v>
      </c>
      <c r="G113" s="17" t="n">
        <f aca="false">IF(Rankings!G119&lt;=5,1,0)</f>
        <v>1</v>
      </c>
      <c r="H113" s="17" t="n">
        <f aca="false">IF(Rankings!H119&lt;=5,1,0)</f>
        <v>1</v>
      </c>
      <c r="I113" s="17" t="n">
        <f aca="false">IF(Rankings!I119&lt;=5,1,0)</f>
        <v>0</v>
      </c>
      <c r="J113" s="17" t="n">
        <f aca="false">IF(Rankings!J119&lt;=5,1,0)</f>
        <v>0</v>
      </c>
      <c r="K113" s="20" t="n">
        <f aca="false">SUM(C113:J113)</f>
        <v>5</v>
      </c>
      <c r="L113" s="16" t="n">
        <f aca="false">SUMPRODUCT(C113:J113,Returns!B117:I117)/K113</f>
        <v>-0.0144149209966417</v>
      </c>
      <c r="M113" s="16" t="n">
        <f aca="false">-2*Assumptions!$B$13</f>
        <v>-0.007</v>
      </c>
      <c r="N113" s="16" t="n">
        <f aca="false">-Assumptions!$B$16*MAX(0,(1+O107)*(1+O108)*(1+O109)*(1+O110)*(1+O111)*(1+O112)-1)</f>
        <v>-0.120455038957962</v>
      </c>
      <c r="O113" s="16" t="n">
        <f aca="false">L113+M113+N113</f>
        <v>-0.141869959954603</v>
      </c>
      <c r="P113" s="21" t="n">
        <f aca="false">P112*(1+O113)</f>
        <v>3.48985341075311</v>
      </c>
      <c r="Q113" s="21" t="n">
        <f aca="false">MAX($P$5:P113)</f>
        <v>4.06681184423807</v>
      </c>
      <c r="R113" s="16" t="n">
        <f aca="false">P113/Q113-1</f>
        <v>-0.141869959954603</v>
      </c>
      <c r="S113" s="16" t="n">
        <f aca="false">O113-Benchmark_RF!D113</f>
        <v>-0.155378114686846</v>
      </c>
    </row>
    <row r="114" customFormat="false" ht="15" hidden="false" customHeight="true" outlineLevel="0" collapsed="false">
      <c r="A114" s="1" t="n">
        <v>117</v>
      </c>
      <c r="B114" s="13" t="n">
        <f aca="false">Returns!A118</f>
        <v>45536</v>
      </c>
      <c r="C114" s="17" t="n">
        <f aca="false">IF(Rankings!C119&lt;=5,1,0)</f>
        <v>1</v>
      </c>
      <c r="D114" s="17" t="n">
        <f aca="false">IF(Rankings!D119&lt;=5,1,0)</f>
        <v>1</v>
      </c>
      <c r="E114" s="17" t="n">
        <f aca="false">IF(Rankings!E119&lt;=5,1,0)</f>
        <v>1</v>
      </c>
      <c r="F114" s="17" t="n">
        <f aca="false">IF(Rankings!F119&lt;=5,1,0)</f>
        <v>0</v>
      </c>
      <c r="G114" s="17" t="n">
        <f aca="false">IF(Rankings!G119&lt;=5,1,0)</f>
        <v>1</v>
      </c>
      <c r="H114" s="17" t="n">
        <f aca="false">IF(Rankings!H119&lt;=5,1,0)</f>
        <v>1</v>
      </c>
      <c r="I114" s="17" t="n">
        <f aca="false">IF(Rankings!I119&lt;=5,1,0)</f>
        <v>0</v>
      </c>
      <c r="J114" s="17" t="n">
        <f aca="false">IF(Rankings!J119&lt;=5,1,0)</f>
        <v>0</v>
      </c>
      <c r="K114" s="20" t="n">
        <f aca="false">SUM(C114:J114)</f>
        <v>5</v>
      </c>
      <c r="L114" s="16" t="n">
        <f aca="false">SUMPRODUCT(C114:J114,Returns!B118:I118)/K114</f>
        <v>0.105269883834052</v>
      </c>
      <c r="M114" s="16" t="n">
        <v>0</v>
      </c>
      <c r="N114" s="16" t="n">
        <v>0</v>
      </c>
      <c r="O114" s="16" t="n">
        <f aca="false">L114+M114+N114</f>
        <v>0.105269883834052</v>
      </c>
      <c r="P114" s="21" t="n">
        <f aca="false">P113*(1+O114)</f>
        <v>3.85722987390096</v>
      </c>
      <c r="Q114" s="21" t="n">
        <f aca="false">MAX($P$5:P114)</f>
        <v>4.06681184423807</v>
      </c>
      <c r="R114" s="16" t="n">
        <f aca="false">P114/Q114-1</f>
        <v>-0.0515347103245135</v>
      </c>
      <c r="S114" s="16" t="n">
        <f aca="false">O114-Benchmark_RF!D114</f>
        <v>0.0918048782248541</v>
      </c>
    </row>
    <row r="115" customFormat="false" ht="15" hidden="false" customHeight="true" outlineLevel="0" collapsed="false">
      <c r="A115" s="1" t="n">
        <v>118</v>
      </c>
      <c r="B115" s="13" t="n">
        <f aca="false">Returns!A119</f>
        <v>45566</v>
      </c>
      <c r="C115" s="17" t="n">
        <f aca="false">IF(Rankings!C119&lt;=5,1,0)</f>
        <v>1</v>
      </c>
      <c r="D115" s="17" t="n">
        <f aca="false">IF(Rankings!D119&lt;=5,1,0)</f>
        <v>1</v>
      </c>
      <c r="E115" s="17" t="n">
        <f aca="false">IF(Rankings!E119&lt;=5,1,0)</f>
        <v>1</v>
      </c>
      <c r="F115" s="17" t="n">
        <f aca="false">IF(Rankings!F119&lt;=5,1,0)</f>
        <v>0</v>
      </c>
      <c r="G115" s="17" t="n">
        <f aca="false">IF(Rankings!G119&lt;=5,1,0)</f>
        <v>1</v>
      </c>
      <c r="H115" s="17" t="n">
        <f aca="false">IF(Rankings!H119&lt;=5,1,0)</f>
        <v>1</v>
      </c>
      <c r="I115" s="17" t="n">
        <f aca="false">IF(Rankings!I119&lt;=5,1,0)</f>
        <v>0</v>
      </c>
      <c r="J115" s="17" t="n">
        <f aca="false">IF(Rankings!J119&lt;=5,1,0)</f>
        <v>0</v>
      </c>
      <c r="K115" s="20" t="n">
        <f aca="false">SUM(C115:J115)</f>
        <v>5</v>
      </c>
      <c r="L115" s="16" t="n">
        <f aca="false">SUMPRODUCT(C115:J115,Returns!B119:I119)/K115</f>
        <v>0.0999247597838082</v>
      </c>
      <c r="M115" s="16" t="n">
        <v>0</v>
      </c>
      <c r="N115" s="16" t="n">
        <v>0</v>
      </c>
      <c r="O115" s="16" t="n">
        <f aca="false">L115+M115+N115</f>
        <v>0.0999247597838082</v>
      </c>
      <c r="P115" s="21" t="n">
        <f aca="false">P114*(1+O115)</f>
        <v>4.24266264248144</v>
      </c>
      <c r="Q115" s="21" t="n">
        <f aca="false">MAX($P$5:P115)</f>
        <v>4.24266264248144</v>
      </c>
      <c r="R115" s="16" t="n">
        <f aca="false">P115/Q115-1</f>
        <v>0</v>
      </c>
      <c r="S115" s="16" t="n">
        <f aca="false">O115-Benchmark_RF!D115</f>
        <v>0.0890420306353274</v>
      </c>
    </row>
    <row r="116" customFormat="false" ht="15" hidden="false" customHeight="true" outlineLevel="0" collapsed="false">
      <c r="A116" s="1" t="n">
        <v>119</v>
      </c>
      <c r="B116" s="13" t="n">
        <f aca="false">Returns!A120</f>
        <v>45597</v>
      </c>
      <c r="C116" s="17" t="n">
        <f aca="false">IF(Rankings!C119&lt;=5,1,0)</f>
        <v>1</v>
      </c>
      <c r="D116" s="17" t="n">
        <f aca="false">IF(Rankings!D119&lt;=5,1,0)</f>
        <v>1</v>
      </c>
      <c r="E116" s="17" t="n">
        <f aca="false">IF(Rankings!E119&lt;=5,1,0)</f>
        <v>1</v>
      </c>
      <c r="F116" s="17" t="n">
        <f aca="false">IF(Rankings!F119&lt;=5,1,0)</f>
        <v>0</v>
      </c>
      <c r="G116" s="17" t="n">
        <f aca="false">IF(Rankings!G119&lt;=5,1,0)</f>
        <v>1</v>
      </c>
      <c r="H116" s="17" t="n">
        <f aca="false">IF(Rankings!H119&lt;=5,1,0)</f>
        <v>1</v>
      </c>
      <c r="I116" s="17" t="n">
        <f aca="false">IF(Rankings!I119&lt;=5,1,0)</f>
        <v>0</v>
      </c>
      <c r="J116" s="17" t="n">
        <f aca="false">IF(Rankings!J119&lt;=5,1,0)</f>
        <v>0</v>
      </c>
      <c r="K116" s="20" t="n">
        <f aca="false">SUM(C116:J116)</f>
        <v>5</v>
      </c>
      <c r="L116" s="16" t="n">
        <f aca="false">SUMPRODUCT(C116:J116,Returns!B120:I120)/K116</f>
        <v>0.0912791498790753</v>
      </c>
      <c r="M116" s="16" t="n">
        <v>0</v>
      </c>
      <c r="N116" s="16" t="n">
        <v>0</v>
      </c>
      <c r="O116" s="16" t="n">
        <f aca="false">L116+M116+N116</f>
        <v>0.0912791498790753</v>
      </c>
      <c r="P116" s="21" t="n">
        <f aca="false">P115*(1+O116)</f>
        <v>4.62992928171086</v>
      </c>
      <c r="Q116" s="21" t="n">
        <f aca="false">MAX($P$5:P116)</f>
        <v>4.62992928171086</v>
      </c>
      <c r="R116" s="16" t="n">
        <f aca="false">P116/Q116-1</f>
        <v>0</v>
      </c>
      <c r="S116" s="16" t="n">
        <f aca="false">O116-Benchmark_RF!D116</f>
        <v>0.0803964207305945</v>
      </c>
    </row>
    <row r="117" customFormat="false" ht="15" hidden="false" customHeight="true" outlineLevel="0" collapsed="false">
      <c r="A117" s="1" t="n">
        <v>120</v>
      </c>
      <c r="B117" s="13" t="n">
        <f aca="false">Returns!A121</f>
        <v>45627</v>
      </c>
      <c r="C117" s="17" t="n">
        <f aca="false">IF(Rankings!C119&lt;=5,1,0)</f>
        <v>1</v>
      </c>
      <c r="D117" s="17" t="n">
        <f aca="false">IF(Rankings!D119&lt;=5,1,0)</f>
        <v>1</v>
      </c>
      <c r="E117" s="17" t="n">
        <f aca="false">IF(Rankings!E119&lt;=5,1,0)</f>
        <v>1</v>
      </c>
      <c r="F117" s="17" t="n">
        <f aca="false">IF(Rankings!F119&lt;=5,1,0)</f>
        <v>0</v>
      </c>
      <c r="G117" s="17" t="n">
        <f aca="false">IF(Rankings!G119&lt;=5,1,0)</f>
        <v>1</v>
      </c>
      <c r="H117" s="17" t="n">
        <f aca="false">IF(Rankings!H119&lt;=5,1,0)</f>
        <v>1</v>
      </c>
      <c r="I117" s="17" t="n">
        <f aca="false">IF(Rankings!I119&lt;=5,1,0)</f>
        <v>0</v>
      </c>
      <c r="J117" s="17" t="n">
        <f aca="false">IF(Rankings!J119&lt;=5,1,0)</f>
        <v>0</v>
      </c>
      <c r="K117" s="20" t="n">
        <f aca="false">SUM(C117:J117)</f>
        <v>5</v>
      </c>
      <c r="L117" s="16" t="n">
        <f aca="false">SUMPRODUCT(C117:J117,Returns!B121:I121)/K117</f>
        <v>0.0909793103342212</v>
      </c>
      <c r="M117" s="16" t="n">
        <v>0</v>
      </c>
      <c r="N117" s="16" t="n">
        <v>0</v>
      </c>
      <c r="O117" s="16" t="n">
        <f aca="false">L117+M117+N117</f>
        <v>0.0909793103342212</v>
      </c>
      <c r="P117" s="21" t="n">
        <f aca="false">P116*(1+O117)</f>
        <v>5.05115705465713</v>
      </c>
      <c r="Q117" s="21" t="n">
        <f aca="false">MAX($P$5:P117)</f>
        <v>5.05115705465713</v>
      </c>
      <c r="R117" s="16" t="n">
        <f aca="false">P117/Q117-1</f>
        <v>0</v>
      </c>
      <c r="S117" s="16" t="n">
        <f aca="false">O117-Benchmark_RF!D117</f>
        <v>0.0816032527777131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10" min="3" style="1" width="8"/>
    <col collapsed="false" customWidth="true" hidden="false" outlineLevel="0" max="16" min="11" style="1" width="11"/>
    <col collapsed="false" customWidth="true" hidden="false" outlineLevel="0" max="17" min="17" style="1" width="12"/>
    <col collapsed="false" customWidth="true" hidden="false" outlineLevel="0" max="18" min="18" style="1" width="11"/>
    <col collapsed="false" customWidth="true" hidden="false" outlineLevel="0" max="19" min="19" style="1" width="13"/>
  </cols>
  <sheetData>
    <row r="1" customFormat="false" ht="15.75" hidden="false" customHeight="true" outlineLevel="0" collapsed="false">
      <c r="A1" s="18" t="s">
        <v>87</v>
      </c>
    </row>
    <row r="2" customFormat="false" ht="15" hidden="false" customHeight="true" outlineLevel="0" collapsed="false">
      <c r="A2" s="5" t="s">
        <v>69</v>
      </c>
    </row>
    <row r="4" customFormat="false" ht="15" hidden="false" customHeight="true" outlineLevel="0" collapsed="false">
      <c r="A4" s="12" t="s">
        <v>70</v>
      </c>
      <c r="B4" s="12" t="s">
        <v>51</v>
      </c>
      <c r="C4" s="12" t="s">
        <v>52</v>
      </c>
      <c r="D4" s="12" t="s">
        <v>53</v>
      </c>
      <c r="E4" s="12" t="s">
        <v>54</v>
      </c>
      <c r="F4" s="12" t="s">
        <v>55</v>
      </c>
      <c r="G4" s="12" t="s">
        <v>56</v>
      </c>
      <c r="H4" s="12" t="s">
        <v>57</v>
      </c>
      <c r="I4" s="12" t="s">
        <v>58</v>
      </c>
      <c r="J4" s="12" t="s">
        <v>59</v>
      </c>
      <c r="K4" s="12" t="s">
        <v>71</v>
      </c>
      <c r="L4" s="12" t="s">
        <v>72</v>
      </c>
      <c r="M4" s="12" t="s">
        <v>73</v>
      </c>
      <c r="N4" s="12" t="s">
        <v>74</v>
      </c>
      <c r="O4" s="12" t="s">
        <v>75</v>
      </c>
      <c r="P4" s="12" t="s">
        <v>76</v>
      </c>
      <c r="Q4" s="19" t="s">
        <v>77</v>
      </c>
      <c r="R4" s="19" t="s">
        <v>78</v>
      </c>
      <c r="S4" s="19" t="s">
        <v>79</v>
      </c>
    </row>
    <row r="5" customFormat="false" ht="15" hidden="false" customHeight="true" outlineLevel="0" collapsed="false">
      <c r="A5" s="1" t="n">
        <v>8</v>
      </c>
      <c r="B5" s="13" t="n">
        <f aca="false">Returns!A9</f>
        <v>42217</v>
      </c>
      <c r="C5" s="17" t="n">
        <f aca="false">IF(Rankings!C11&lt;=5,1,0)</f>
        <v>0</v>
      </c>
      <c r="D5" s="17" t="n">
        <f aca="false">IF(Rankings!D11&lt;=5,1,0)</f>
        <v>1</v>
      </c>
      <c r="E5" s="17" t="n">
        <f aca="false">IF(Rankings!E11&lt;=5,1,0)</f>
        <v>0</v>
      </c>
      <c r="F5" s="17" t="n">
        <f aca="false">IF(Rankings!F11&lt;=5,1,0)</f>
        <v>1</v>
      </c>
      <c r="G5" s="17" t="n">
        <f aca="false">IF(Rankings!G11&lt;=5,1,0)</f>
        <v>1</v>
      </c>
      <c r="H5" s="17" t="n">
        <f aca="false">IF(Rankings!H11&lt;=5,1,0)</f>
        <v>1</v>
      </c>
      <c r="I5" s="17" t="n">
        <f aca="false">IF(Rankings!I11&lt;=5,1,0)</f>
        <v>0</v>
      </c>
      <c r="J5" s="17" t="n">
        <f aca="false">IF(Rankings!J11&lt;=5,1,0)</f>
        <v>1</v>
      </c>
      <c r="K5" s="20" t="n">
        <f aca="false">SUM(C5:J5)</f>
        <v>5</v>
      </c>
      <c r="L5" s="16" t="n">
        <f aca="false">SUMPRODUCT(C5:J5,Returns!B9:I9)/K5</f>
        <v>-0.0455796089027458</v>
      </c>
      <c r="M5" s="16" t="n">
        <f aca="false">-2*Assumptions!$B$13</f>
        <v>-0.007</v>
      </c>
      <c r="N5" s="16" t="n">
        <v>0</v>
      </c>
      <c r="O5" s="16" t="n">
        <f aca="false">L5+M5+N5</f>
        <v>-0.0525796089027457</v>
      </c>
      <c r="P5" s="21" t="n">
        <f aca="false">1*(1+O5)</f>
        <v>0.947420391097254</v>
      </c>
      <c r="Q5" s="21" t="n">
        <f aca="false">MAX($P$5:P5)</f>
        <v>0.947420391097254</v>
      </c>
      <c r="R5" s="16" t="n">
        <f aca="false">P5/Q5-1</f>
        <v>0</v>
      </c>
      <c r="S5" s="16" t="n">
        <f aca="false">O5-Benchmark_RF!D5</f>
        <v>-0.0581795394120719</v>
      </c>
    </row>
    <row r="6" customFormat="false" ht="15" hidden="false" customHeight="true" outlineLevel="0" collapsed="false">
      <c r="A6" s="1" t="n">
        <v>9</v>
      </c>
      <c r="B6" s="13" t="n">
        <f aca="false">Returns!A10</f>
        <v>42248</v>
      </c>
      <c r="C6" s="17" t="n">
        <f aca="false">IF(Rankings!C11&lt;=5,1,0)</f>
        <v>0</v>
      </c>
      <c r="D6" s="17" t="n">
        <f aca="false">IF(Rankings!D11&lt;=5,1,0)</f>
        <v>1</v>
      </c>
      <c r="E6" s="17" t="n">
        <f aca="false">IF(Rankings!E11&lt;=5,1,0)</f>
        <v>0</v>
      </c>
      <c r="F6" s="17" t="n">
        <f aca="false">IF(Rankings!F11&lt;=5,1,0)</f>
        <v>1</v>
      </c>
      <c r="G6" s="17" t="n">
        <f aca="false">IF(Rankings!G11&lt;=5,1,0)</f>
        <v>1</v>
      </c>
      <c r="H6" s="17" t="n">
        <f aca="false">IF(Rankings!H11&lt;=5,1,0)</f>
        <v>1</v>
      </c>
      <c r="I6" s="17" t="n">
        <f aca="false">IF(Rankings!I11&lt;=5,1,0)</f>
        <v>0</v>
      </c>
      <c r="J6" s="17" t="n">
        <f aca="false">IF(Rankings!J11&lt;=5,1,0)</f>
        <v>1</v>
      </c>
      <c r="K6" s="20" t="n">
        <f aca="false">SUM(C6:J6)</f>
        <v>5</v>
      </c>
      <c r="L6" s="16" t="n">
        <f aca="false">SUMPRODUCT(C6:J6,Returns!B10:I10)/K6</f>
        <v>-0.0589943258463786</v>
      </c>
      <c r="M6" s="16" t="n">
        <v>0</v>
      </c>
      <c r="N6" s="16" t="n">
        <v>0</v>
      </c>
      <c r="O6" s="16" t="n">
        <f aca="false">L6+M6+N6</f>
        <v>-0.0589943258463786</v>
      </c>
      <c r="P6" s="21" t="n">
        <f aca="false">P5*(1+O6)</f>
        <v>0.89152796383136</v>
      </c>
      <c r="Q6" s="21" t="n">
        <f aca="false">MAX($P$5:P6)</f>
        <v>0.947420391097254</v>
      </c>
      <c r="R6" s="16" t="n">
        <f aca="false">P6/Q6-1</f>
        <v>-0.0589943258463785</v>
      </c>
      <c r="S6" s="16" t="n">
        <f aca="false">O6-Benchmark_RF!D6</f>
        <v>-0.0642295082035376</v>
      </c>
    </row>
    <row r="7" customFormat="false" ht="15" hidden="false" customHeight="true" outlineLevel="0" collapsed="false">
      <c r="A7" s="1" t="n">
        <v>10</v>
      </c>
      <c r="B7" s="13" t="n">
        <f aca="false">Returns!A11</f>
        <v>42278</v>
      </c>
      <c r="C7" s="17" t="n">
        <f aca="false">IF(Rankings!C11&lt;=5,1,0)</f>
        <v>0</v>
      </c>
      <c r="D7" s="17" t="n">
        <f aca="false">IF(Rankings!D11&lt;=5,1,0)</f>
        <v>1</v>
      </c>
      <c r="E7" s="17" t="n">
        <f aca="false">IF(Rankings!E11&lt;=5,1,0)</f>
        <v>0</v>
      </c>
      <c r="F7" s="17" t="n">
        <f aca="false">IF(Rankings!F11&lt;=5,1,0)</f>
        <v>1</v>
      </c>
      <c r="G7" s="17" t="n">
        <f aca="false">IF(Rankings!G11&lt;=5,1,0)</f>
        <v>1</v>
      </c>
      <c r="H7" s="17" t="n">
        <f aca="false">IF(Rankings!H11&lt;=5,1,0)</f>
        <v>1</v>
      </c>
      <c r="I7" s="17" t="n">
        <f aca="false">IF(Rankings!I11&lt;=5,1,0)</f>
        <v>0</v>
      </c>
      <c r="J7" s="17" t="n">
        <f aca="false">IF(Rankings!J11&lt;=5,1,0)</f>
        <v>1</v>
      </c>
      <c r="K7" s="20" t="n">
        <f aca="false">SUM(C7:J7)</f>
        <v>5</v>
      </c>
      <c r="L7" s="16" t="n">
        <f aca="false">SUMPRODUCT(C7:J7,Returns!B11:I11)/K7</f>
        <v>0.0419683463490294</v>
      </c>
      <c r="M7" s="16" t="n">
        <v>0</v>
      </c>
      <c r="N7" s="16" t="n">
        <v>0</v>
      </c>
      <c r="O7" s="16" t="n">
        <f aca="false">L7+M7+N7</f>
        <v>0.0419683463490294</v>
      </c>
      <c r="P7" s="21" t="n">
        <f aca="false">P6*(1+O7)</f>
        <v>0.928943918197279</v>
      </c>
      <c r="Q7" s="21" t="n">
        <f aca="false">MAX($P$5:P7)</f>
        <v>0.947420391097254</v>
      </c>
      <c r="R7" s="16" t="n">
        <f aca="false">P7/Q7-1</f>
        <v>-0.0195018737970974</v>
      </c>
      <c r="S7" s="16" t="n">
        <f aca="false">O7-Benchmark_RF!D7</f>
        <v>0.0368611114438701</v>
      </c>
    </row>
    <row r="8" customFormat="false" ht="15" hidden="false" customHeight="true" outlineLevel="0" collapsed="false">
      <c r="A8" s="1" t="n">
        <v>11</v>
      </c>
      <c r="B8" s="13" t="n">
        <f aca="false">Returns!A12</f>
        <v>42309</v>
      </c>
      <c r="C8" s="17" t="n">
        <f aca="false">IF(Rankings!C14&lt;=5,1,0)</f>
        <v>1</v>
      </c>
      <c r="D8" s="17" t="n">
        <f aca="false">IF(Rankings!D14&lt;=5,1,0)</f>
        <v>1</v>
      </c>
      <c r="E8" s="17" t="n">
        <f aca="false">IF(Rankings!E14&lt;=5,1,0)</f>
        <v>1</v>
      </c>
      <c r="F8" s="17" t="n">
        <f aca="false">IF(Rankings!F14&lt;=5,1,0)</f>
        <v>1</v>
      </c>
      <c r="G8" s="17" t="n">
        <f aca="false">IF(Rankings!G14&lt;=5,1,0)</f>
        <v>0</v>
      </c>
      <c r="H8" s="17" t="n">
        <f aca="false">IF(Rankings!H14&lt;=5,1,0)</f>
        <v>0</v>
      </c>
      <c r="I8" s="17" t="n">
        <f aca="false">IF(Rankings!I14&lt;=5,1,0)</f>
        <v>0</v>
      </c>
      <c r="J8" s="17" t="n">
        <f aca="false">IF(Rankings!J14&lt;=5,1,0)</f>
        <v>1</v>
      </c>
      <c r="K8" s="20" t="n">
        <f aca="false">SUM(C8:J8)</f>
        <v>5</v>
      </c>
      <c r="L8" s="16" t="n">
        <f aca="false">SUMPRODUCT(C8:J8,Returns!B12:I12)/K8</f>
        <v>-0.0407302317670609</v>
      </c>
      <c r="M8" s="16" t="n">
        <f aca="false">-2*Assumptions!$B$13</f>
        <v>-0.007</v>
      </c>
      <c r="N8" s="16" t="n">
        <f aca="false">-Assumptions!$B$16*MAX(0,(1+O5)*(1+O6)*(1+O7)-1)</f>
        <v>-0</v>
      </c>
      <c r="O8" s="16" t="n">
        <f aca="false">L8+M8+N8</f>
        <v>-0.0477302317670609</v>
      </c>
      <c r="P8" s="21" t="n">
        <f aca="false">P7*(1+O8)</f>
        <v>0.884605209683121</v>
      </c>
      <c r="Q8" s="21" t="n">
        <f aca="false">MAX($P$5:P8)</f>
        <v>0.947420391097254</v>
      </c>
      <c r="R8" s="16" t="n">
        <f aca="false">P8/Q8-1</f>
        <v>-0.0663012766079308</v>
      </c>
      <c r="S8" s="16" t="n">
        <f aca="false">O8-Benchmark_RF!D8</f>
        <v>-0.0528889033964861</v>
      </c>
    </row>
    <row r="9" customFormat="false" ht="15" hidden="false" customHeight="true" outlineLevel="0" collapsed="false">
      <c r="A9" s="1" t="n">
        <v>12</v>
      </c>
      <c r="B9" s="13" t="n">
        <f aca="false">Returns!A13</f>
        <v>42339</v>
      </c>
      <c r="C9" s="17" t="n">
        <f aca="false">IF(Rankings!C14&lt;=5,1,0)</f>
        <v>1</v>
      </c>
      <c r="D9" s="17" t="n">
        <f aca="false">IF(Rankings!D14&lt;=5,1,0)</f>
        <v>1</v>
      </c>
      <c r="E9" s="17" t="n">
        <f aca="false">IF(Rankings!E14&lt;=5,1,0)</f>
        <v>1</v>
      </c>
      <c r="F9" s="17" t="n">
        <f aca="false">IF(Rankings!F14&lt;=5,1,0)</f>
        <v>1</v>
      </c>
      <c r="G9" s="17" t="n">
        <f aca="false">IF(Rankings!G14&lt;=5,1,0)</f>
        <v>0</v>
      </c>
      <c r="H9" s="17" t="n">
        <f aca="false">IF(Rankings!H14&lt;=5,1,0)</f>
        <v>0</v>
      </c>
      <c r="I9" s="17" t="n">
        <f aca="false">IF(Rankings!I14&lt;=5,1,0)</f>
        <v>0</v>
      </c>
      <c r="J9" s="17" t="n">
        <f aca="false">IF(Rankings!J14&lt;=5,1,0)</f>
        <v>1</v>
      </c>
      <c r="K9" s="20" t="n">
        <f aca="false">SUM(C9:J9)</f>
        <v>5</v>
      </c>
      <c r="L9" s="16" t="n">
        <f aca="false">SUMPRODUCT(C9:J9,Returns!B13:I13)/K9</f>
        <v>0.0843609908166431</v>
      </c>
      <c r="M9" s="16" t="n">
        <v>0</v>
      </c>
      <c r="N9" s="16" t="n">
        <v>0</v>
      </c>
      <c r="O9" s="16" t="n">
        <f aca="false">L9+M9+N9</f>
        <v>0.0843609908166431</v>
      </c>
      <c r="P9" s="21" t="n">
        <f aca="false">P8*(1+O9)</f>
        <v>0.959231381653554</v>
      </c>
      <c r="Q9" s="21" t="n">
        <f aca="false">MAX($P$5:P9)</f>
        <v>0.959231381653554</v>
      </c>
      <c r="R9" s="16" t="n">
        <f aca="false">P9/Q9-1</f>
        <v>0</v>
      </c>
      <c r="S9" s="16" t="n">
        <f aca="false">O9-Benchmark_RF!D9</f>
        <v>0.0792272856193729</v>
      </c>
    </row>
    <row r="10" customFormat="false" ht="15" hidden="false" customHeight="true" outlineLevel="0" collapsed="false">
      <c r="A10" s="1" t="n">
        <v>13</v>
      </c>
      <c r="B10" s="13" t="n">
        <f aca="false">Returns!A14</f>
        <v>42370</v>
      </c>
      <c r="C10" s="17" t="n">
        <f aca="false">IF(Rankings!C14&lt;=5,1,0)</f>
        <v>1</v>
      </c>
      <c r="D10" s="17" t="n">
        <f aca="false">IF(Rankings!D14&lt;=5,1,0)</f>
        <v>1</v>
      </c>
      <c r="E10" s="17" t="n">
        <f aca="false">IF(Rankings!E14&lt;=5,1,0)</f>
        <v>1</v>
      </c>
      <c r="F10" s="17" t="n">
        <f aca="false">IF(Rankings!F14&lt;=5,1,0)</f>
        <v>1</v>
      </c>
      <c r="G10" s="17" t="n">
        <f aca="false">IF(Rankings!G14&lt;=5,1,0)</f>
        <v>0</v>
      </c>
      <c r="H10" s="17" t="n">
        <f aca="false">IF(Rankings!H14&lt;=5,1,0)</f>
        <v>0</v>
      </c>
      <c r="I10" s="17" t="n">
        <f aca="false">IF(Rankings!I14&lt;=5,1,0)</f>
        <v>0</v>
      </c>
      <c r="J10" s="17" t="n">
        <f aca="false">IF(Rankings!J14&lt;=5,1,0)</f>
        <v>1</v>
      </c>
      <c r="K10" s="20" t="n">
        <f aca="false">SUM(C10:J10)</f>
        <v>5</v>
      </c>
      <c r="L10" s="16" t="n">
        <f aca="false">SUMPRODUCT(C10:J10,Returns!B14:I14)/K10</f>
        <v>-0.0813416069842607</v>
      </c>
      <c r="M10" s="16" t="n">
        <v>0</v>
      </c>
      <c r="N10" s="16" t="n">
        <v>0</v>
      </c>
      <c r="O10" s="16" t="n">
        <f aca="false">L10+M10+N10</f>
        <v>-0.0813416069842607</v>
      </c>
      <c r="P10" s="21" t="n">
        <f aca="false">P9*(1+O10)</f>
        <v>0.881205959600121</v>
      </c>
      <c r="Q10" s="21" t="n">
        <f aca="false">MAX($P$5:P10)</f>
        <v>0.959231381653554</v>
      </c>
      <c r="R10" s="16" t="n">
        <f aca="false">P10/Q10-1</f>
        <v>-0.0813416069842606</v>
      </c>
      <c r="S10" s="16" t="n">
        <f aca="false">O10-Benchmark_RF!D10</f>
        <v>-0.0863368097404024</v>
      </c>
    </row>
    <row r="11" customFormat="false" ht="15" hidden="false" customHeight="true" outlineLevel="0" collapsed="false">
      <c r="A11" s="1" t="n">
        <v>14</v>
      </c>
      <c r="B11" s="13" t="n">
        <f aca="false">Returns!A15</f>
        <v>42401</v>
      </c>
      <c r="C11" s="17" t="n">
        <f aca="false">IF(Rankings!C17&lt;=5,1,0)</f>
        <v>1</v>
      </c>
      <c r="D11" s="17" t="n">
        <f aca="false">IF(Rankings!D17&lt;=5,1,0)</f>
        <v>1</v>
      </c>
      <c r="E11" s="17" t="n">
        <f aca="false">IF(Rankings!E17&lt;=5,1,0)</f>
        <v>0</v>
      </c>
      <c r="F11" s="17" t="n">
        <f aca="false">IF(Rankings!F17&lt;=5,1,0)</f>
        <v>1</v>
      </c>
      <c r="G11" s="17" t="n">
        <f aca="false">IF(Rankings!G17&lt;=5,1,0)</f>
        <v>0</v>
      </c>
      <c r="H11" s="17" t="n">
        <f aca="false">IF(Rankings!H17&lt;=5,1,0)</f>
        <v>0</v>
      </c>
      <c r="I11" s="17" t="n">
        <f aca="false">IF(Rankings!I17&lt;=5,1,0)</f>
        <v>1</v>
      </c>
      <c r="J11" s="17" t="n">
        <f aca="false">IF(Rankings!J17&lt;=5,1,0)</f>
        <v>1</v>
      </c>
      <c r="K11" s="20" t="n">
        <f aca="false">SUM(C11:J11)</f>
        <v>5</v>
      </c>
      <c r="L11" s="16" t="n">
        <f aca="false">SUMPRODUCT(C11:J11,Returns!B15:I15)/K11</f>
        <v>-0.0260488087107883</v>
      </c>
      <c r="M11" s="16" t="n">
        <f aca="false">-2*Assumptions!$B$13</f>
        <v>-0.007</v>
      </c>
      <c r="N11" s="16" t="n">
        <f aca="false">-Assumptions!$B$16*MAX(0,(1+O8)*(1+O9)*(1+O10)-1)</f>
        <v>-0</v>
      </c>
      <c r="O11" s="16" t="n">
        <f aca="false">L11+M11+N11</f>
        <v>-0.0330488087107883</v>
      </c>
      <c r="P11" s="21" t="n">
        <f aca="false">P10*(1+O11)</f>
        <v>0.85208315240649</v>
      </c>
      <c r="Q11" s="21" t="n">
        <f aca="false">MAX($P$5:P11)</f>
        <v>0.959231381653554</v>
      </c>
      <c r="R11" s="16" t="n">
        <f aca="false">P11/Q11-1</f>
        <v>-0.111702172485598</v>
      </c>
      <c r="S11" s="16" t="n">
        <f aca="false">O11-Benchmark_RF!D11</f>
        <v>-0.0380853398044714</v>
      </c>
    </row>
    <row r="12" customFormat="false" ht="15" hidden="false" customHeight="true" outlineLevel="0" collapsed="false">
      <c r="A12" s="1" t="n">
        <v>15</v>
      </c>
      <c r="B12" s="13" t="n">
        <f aca="false">Returns!A16</f>
        <v>42430</v>
      </c>
      <c r="C12" s="17" t="n">
        <f aca="false">IF(Rankings!C17&lt;=5,1,0)</f>
        <v>1</v>
      </c>
      <c r="D12" s="17" t="n">
        <f aca="false">IF(Rankings!D17&lt;=5,1,0)</f>
        <v>1</v>
      </c>
      <c r="E12" s="17" t="n">
        <f aca="false">IF(Rankings!E17&lt;=5,1,0)</f>
        <v>0</v>
      </c>
      <c r="F12" s="17" t="n">
        <f aca="false">IF(Rankings!F17&lt;=5,1,0)</f>
        <v>1</v>
      </c>
      <c r="G12" s="17" t="n">
        <f aca="false">IF(Rankings!G17&lt;=5,1,0)</f>
        <v>0</v>
      </c>
      <c r="H12" s="17" t="n">
        <f aca="false">IF(Rankings!H17&lt;=5,1,0)</f>
        <v>0</v>
      </c>
      <c r="I12" s="17" t="n">
        <f aca="false">IF(Rankings!I17&lt;=5,1,0)</f>
        <v>1</v>
      </c>
      <c r="J12" s="17" t="n">
        <f aca="false">IF(Rankings!J17&lt;=5,1,0)</f>
        <v>1</v>
      </c>
      <c r="K12" s="20" t="n">
        <f aca="false">SUM(C12:J12)</f>
        <v>5</v>
      </c>
      <c r="L12" s="16" t="n">
        <f aca="false">SUMPRODUCT(C12:J12,Returns!B16:I16)/K12</f>
        <v>0.0832509354472736</v>
      </c>
      <c r="M12" s="16" t="n">
        <v>0</v>
      </c>
      <c r="N12" s="16" t="n">
        <v>0</v>
      </c>
      <c r="O12" s="16" t="n">
        <f aca="false">L12+M12+N12</f>
        <v>0.0832509354472736</v>
      </c>
      <c r="P12" s="21" t="n">
        <f aca="false">P11*(1+O12)</f>
        <v>0.923019871923192</v>
      </c>
      <c r="Q12" s="21" t="n">
        <f aca="false">MAX($P$5:P12)</f>
        <v>0.959231381653554</v>
      </c>
      <c r="R12" s="16" t="n">
        <f aca="false">P12/Q12-1</f>
        <v>-0.037750547389243</v>
      </c>
      <c r="S12" s="16" t="n">
        <f aca="false">O12-Benchmark_RF!D12</f>
        <v>0.0782494218119517</v>
      </c>
    </row>
    <row r="13" customFormat="false" ht="15" hidden="false" customHeight="true" outlineLevel="0" collapsed="false">
      <c r="A13" s="1" t="n">
        <v>16</v>
      </c>
      <c r="B13" s="13" t="n">
        <f aca="false">Returns!A17</f>
        <v>42461</v>
      </c>
      <c r="C13" s="17" t="n">
        <f aca="false">IF(Rankings!C17&lt;=5,1,0)</f>
        <v>1</v>
      </c>
      <c r="D13" s="17" t="n">
        <f aca="false">IF(Rankings!D17&lt;=5,1,0)</f>
        <v>1</v>
      </c>
      <c r="E13" s="17" t="n">
        <f aca="false">IF(Rankings!E17&lt;=5,1,0)</f>
        <v>0</v>
      </c>
      <c r="F13" s="17" t="n">
        <f aca="false">IF(Rankings!F17&lt;=5,1,0)</f>
        <v>1</v>
      </c>
      <c r="G13" s="17" t="n">
        <f aca="false">IF(Rankings!G17&lt;=5,1,0)</f>
        <v>0</v>
      </c>
      <c r="H13" s="17" t="n">
        <f aca="false">IF(Rankings!H17&lt;=5,1,0)</f>
        <v>0</v>
      </c>
      <c r="I13" s="17" t="n">
        <f aca="false">IF(Rankings!I17&lt;=5,1,0)</f>
        <v>1</v>
      </c>
      <c r="J13" s="17" t="n">
        <f aca="false">IF(Rankings!J17&lt;=5,1,0)</f>
        <v>1</v>
      </c>
      <c r="K13" s="20" t="n">
        <f aca="false">SUM(C13:J13)</f>
        <v>5</v>
      </c>
      <c r="L13" s="16" t="n">
        <f aca="false">SUMPRODUCT(C13:J13,Returns!B17:I17)/K13</f>
        <v>0.0717484558428333</v>
      </c>
      <c r="M13" s="16" t="n">
        <v>0</v>
      </c>
      <c r="N13" s="16" t="n">
        <v>0</v>
      </c>
      <c r="O13" s="16" t="n">
        <f aca="false">L13+M13+N13</f>
        <v>0.0717484558428333</v>
      </c>
      <c r="P13" s="21" t="n">
        <f aca="false">P12*(1+O13)</f>
        <v>0.989245122445931</v>
      </c>
      <c r="Q13" s="21" t="n">
        <f aca="false">MAX($P$5:P13)</f>
        <v>0.989245122445931</v>
      </c>
      <c r="R13" s="16" t="n">
        <f aca="false">P13/Q13-1</f>
        <v>0</v>
      </c>
      <c r="S13" s="16" t="n">
        <f aca="false">O13-Benchmark_RF!D13</f>
        <v>0.0667469422075114</v>
      </c>
    </row>
    <row r="14" customFormat="false" ht="15" hidden="false" customHeight="true" outlineLevel="0" collapsed="false">
      <c r="A14" s="1" t="n">
        <v>17</v>
      </c>
      <c r="B14" s="13" t="n">
        <f aca="false">Returns!A18</f>
        <v>42491</v>
      </c>
      <c r="C14" s="17" t="n">
        <f aca="false">IF(Rankings!C20&lt;=5,1,0)</f>
        <v>1</v>
      </c>
      <c r="D14" s="17" t="n">
        <f aca="false">IF(Rankings!D20&lt;=5,1,0)</f>
        <v>0</v>
      </c>
      <c r="E14" s="17" t="n">
        <f aca="false">IF(Rankings!E20&lt;=5,1,0)</f>
        <v>0</v>
      </c>
      <c r="F14" s="17" t="n">
        <f aca="false">IF(Rankings!F20&lt;=5,1,0)</f>
        <v>1</v>
      </c>
      <c r="G14" s="17" t="n">
        <f aca="false">IF(Rankings!G20&lt;=5,1,0)</f>
        <v>0</v>
      </c>
      <c r="H14" s="17" t="n">
        <f aca="false">IF(Rankings!H20&lt;=5,1,0)</f>
        <v>1</v>
      </c>
      <c r="I14" s="17" t="n">
        <f aca="false">IF(Rankings!I20&lt;=5,1,0)</f>
        <v>1</v>
      </c>
      <c r="J14" s="17" t="n">
        <f aca="false">IF(Rankings!J20&lt;=5,1,0)</f>
        <v>1</v>
      </c>
      <c r="K14" s="20" t="n">
        <f aca="false">SUM(C14:J14)</f>
        <v>5</v>
      </c>
      <c r="L14" s="16" t="n">
        <f aca="false">SUMPRODUCT(C14:J14,Returns!B18:I18)/K14</f>
        <v>0.0370186632114313</v>
      </c>
      <c r="M14" s="16" t="n">
        <f aca="false">-2*Assumptions!$B$13</f>
        <v>-0.007</v>
      </c>
      <c r="N14" s="16" t="n">
        <f aca="false">-Assumptions!$B$16*MAX(0,(1+O11)*(1+O12)*(1+O13)-1)</f>
        <v>-0.0183905638067013</v>
      </c>
      <c r="O14" s="16" t="n">
        <f aca="false">L14+M14+N14</f>
        <v>0.01162809940473</v>
      </c>
      <c r="P14" s="21" t="n">
        <f aca="false">P13*(1+O14)</f>
        <v>1.00074816306538</v>
      </c>
      <c r="Q14" s="21" t="n">
        <f aca="false">MAX($P$5:P14)</f>
        <v>1.00074816306538</v>
      </c>
      <c r="R14" s="16" t="n">
        <f aca="false">P14/Q14-1</f>
        <v>0</v>
      </c>
      <c r="S14" s="16" t="n">
        <f aca="false">O14-Benchmark_RF!D14</f>
        <v>0.0067704242508107</v>
      </c>
    </row>
    <row r="15" customFormat="false" ht="15" hidden="false" customHeight="true" outlineLevel="0" collapsed="false">
      <c r="A15" s="1" t="n">
        <v>18</v>
      </c>
      <c r="B15" s="13" t="n">
        <f aca="false">Returns!A19</f>
        <v>42522</v>
      </c>
      <c r="C15" s="17" t="n">
        <f aca="false">IF(Rankings!C20&lt;=5,1,0)</f>
        <v>1</v>
      </c>
      <c r="D15" s="17" t="n">
        <f aca="false">IF(Rankings!D20&lt;=5,1,0)</f>
        <v>0</v>
      </c>
      <c r="E15" s="17" t="n">
        <f aca="false">IF(Rankings!E20&lt;=5,1,0)</f>
        <v>0</v>
      </c>
      <c r="F15" s="17" t="n">
        <f aca="false">IF(Rankings!F20&lt;=5,1,0)</f>
        <v>1</v>
      </c>
      <c r="G15" s="17" t="n">
        <f aca="false">IF(Rankings!G20&lt;=5,1,0)</f>
        <v>0</v>
      </c>
      <c r="H15" s="17" t="n">
        <f aca="false">IF(Rankings!H20&lt;=5,1,0)</f>
        <v>1</v>
      </c>
      <c r="I15" s="17" t="n">
        <f aca="false">IF(Rankings!I20&lt;=5,1,0)</f>
        <v>1</v>
      </c>
      <c r="J15" s="17" t="n">
        <f aca="false">IF(Rankings!J20&lt;=5,1,0)</f>
        <v>1</v>
      </c>
      <c r="K15" s="20" t="n">
        <f aca="false">SUM(C15:J15)</f>
        <v>5</v>
      </c>
      <c r="L15" s="16" t="n">
        <f aca="false">SUMPRODUCT(C15:J15,Returns!B19:I19)/K15</f>
        <v>0.0167615058289611</v>
      </c>
      <c r="M15" s="16" t="n">
        <v>0</v>
      </c>
      <c r="N15" s="16" t="n">
        <v>0</v>
      </c>
      <c r="O15" s="16" t="n">
        <f aca="false">L15+M15+N15</f>
        <v>0.0167615058289611</v>
      </c>
      <c r="P15" s="21" t="n">
        <f aca="false">P14*(1+O15)</f>
        <v>1.01752220923392</v>
      </c>
      <c r="Q15" s="21" t="n">
        <f aca="false">MAX($P$5:P15)</f>
        <v>1.01752220923392</v>
      </c>
      <c r="R15" s="16" t="n">
        <f aca="false">P15/Q15-1</f>
        <v>0</v>
      </c>
      <c r="S15" s="16" t="n">
        <f aca="false">O15-Benchmark_RF!D15</f>
        <v>0.0119731465988097</v>
      </c>
    </row>
    <row r="16" customFormat="false" ht="15" hidden="false" customHeight="true" outlineLevel="0" collapsed="false">
      <c r="A16" s="1" t="n">
        <v>19</v>
      </c>
      <c r="B16" s="13" t="n">
        <f aca="false">Returns!A20</f>
        <v>42552</v>
      </c>
      <c r="C16" s="17" t="n">
        <f aca="false">IF(Rankings!C20&lt;=5,1,0)</f>
        <v>1</v>
      </c>
      <c r="D16" s="17" t="n">
        <f aca="false">IF(Rankings!D20&lt;=5,1,0)</f>
        <v>0</v>
      </c>
      <c r="E16" s="17" t="n">
        <f aca="false">IF(Rankings!E20&lt;=5,1,0)</f>
        <v>0</v>
      </c>
      <c r="F16" s="17" t="n">
        <f aca="false">IF(Rankings!F20&lt;=5,1,0)</f>
        <v>1</v>
      </c>
      <c r="G16" s="17" t="n">
        <f aca="false">IF(Rankings!G20&lt;=5,1,0)</f>
        <v>0</v>
      </c>
      <c r="H16" s="17" t="n">
        <f aca="false">IF(Rankings!H20&lt;=5,1,0)</f>
        <v>1</v>
      </c>
      <c r="I16" s="17" t="n">
        <f aca="false">IF(Rankings!I20&lt;=5,1,0)</f>
        <v>1</v>
      </c>
      <c r="J16" s="17" t="n">
        <f aca="false">IF(Rankings!J20&lt;=5,1,0)</f>
        <v>1</v>
      </c>
      <c r="K16" s="20" t="n">
        <f aca="false">SUM(C16:J16)</f>
        <v>5</v>
      </c>
      <c r="L16" s="16" t="n">
        <f aca="false">SUMPRODUCT(C16:J16,Returns!B20:I20)/K16</f>
        <v>0.0229656284020003</v>
      </c>
      <c r="M16" s="16" t="n">
        <v>0</v>
      </c>
      <c r="N16" s="16" t="n">
        <v>0</v>
      </c>
      <c r="O16" s="16" t="n">
        <f aca="false">L16+M16+N16</f>
        <v>0.0229656284020003</v>
      </c>
      <c r="P16" s="21" t="n">
        <f aca="false">P15*(1+O16)</f>
        <v>1.04089024618197</v>
      </c>
      <c r="Q16" s="21" t="n">
        <f aca="false">MAX($P$5:P16)</f>
        <v>1.04089024618197</v>
      </c>
      <c r="R16" s="16" t="n">
        <f aca="false">P16/Q16-1</f>
        <v>0</v>
      </c>
      <c r="S16" s="16" t="n">
        <f aca="false">O16-Benchmark_RF!D16</f>
        <v>0.0182662634902324</v>
      </c>
    </row>
    <row r="17" customFormat="false" ht="15" hidden="false" customHeight="true" outlineLevel="0" collapsed="false">
      <c r="A17" s="1" t="n">
        <v>20</v>
      </c>
      <c r="B17" s="13" t="n">
        <f aca="false">Returns!A21</f>
        <v>42583</v>
      </c>
      <c r="C17" s="17" t="n">
        <f aca="false">IF(Rankings!C23&lt;=5,1,0)</f>
        <v>0</v>
      </c>
      <c r="D17" s="17" t="n">
        <f aca="false">IF(Rankings!D23&lt;=5,1,0)</f>
        <v>0</v>
      </c>
      <c r="E17" s="17" t="n">
        <f aca="false">IF(Rankings!E23&lt;=5,1,0)</f>
        <v>1</v>
      </c>
      <c r="F17" s="17" t="n">
        <f aca="false">IF(Rankings!F23&lt;=5,1,0)</f>
        <v>1</v>
      </c>
      <c r="G17" s="17" t="n">
        <f aca="false">IF(Rankings!G23&lt;=5,1,0)</f>
        <v>0</v>
      </c>
      <c r="H17" s="17" t="n">
        <f aca="false">IF(Rankings!H23&lt;=5,1,0)</f>
        <v>1</v>
      </c>
      <c r="I17" s="17" t="n">
        <f aca="false">IF(Rankings!I23&lt;=5,1,0)</f>
        <v>1</v>
      </c>
      <c r="J17" s="17" t="n">
        <f aca="false">IF(Rankings!J23&lt;=5,1,0)</f>
        <v>1</v>
      </c>
      <c r="K17" s="20" t="n">
        <f aca="false">SUM(C17:J17)</f>
        <v>5</v>
      </c>
      <c r="L17" s="16" t="n">
        <f aca="false">SUMPRODUCT(C17:J17,Returns!B21:I21)/K17</f>
        <v>0.00729340619926251</v>
      </c>
      <c r="M17" s="16" t="n">
        <f aca="false">-2*Assumptions!$B$13</f>
        <v>-0.007</v>
      </c>
      <c r="N17" s="16" t="n">
        <f aca="false">-Assumptions!$B$16*MAX(0,(1+O14)*(1+O15)*(1+O16)-1)</f>
        <v>-0.0078309898978844</v>
      </c>
      <c r="O17" s="16" t="n">
        <f aca="false">L17+M17+N17</f>
        <v>-0.00753758369862189</v>
      </c>
      <c r="P17" s="21" t="n">
        <f aca="false">P16*(1+O17)</f>
        <v>1.03304444883029</v>
      </c>
      <c r="Q17" s="21" t="n">
        <f aca="false">MAX($P$5:P17)</f>
        <v>1.04089024618197</v>
      </c>
      <c r="R17" s="16" t="n">
        <f aca="false">P17/Q17-1</f>
        <v>-0.0075375836986219</v>
      </c>
      <c r="S17" s="16" t="n">
        <f aca="false">O17-Benchmark_RF!D17</f>
        <v>-0.0122944686272089</v>
      </c>
    </row>
    <row r="18" customFormat="false" ht="15" hidden="false" customHeight="true" outlineLevel="0" collapsed="false">
      <c r="A18" s="1" t="n">
        <v>21</v>
      </c>
      <c r="B18" s="13" t="n">
        <f aca="false">Returns!A22</f>
        <v>42614</v>
      </c>
      <c r="C18" s="17" t="n">
        <f aca="false">IF(Rankings!C23&lt;=5,1,0)</f>
        <v>0</v>
      </c>
      <c r="D18" s="17" t="n">
        <f aca="false">IF(Rankings!D23&lt;=5,1,0)</f>
        <v>0</v>
      </c>
      <c r="E18" s="17" t="n">
        <f aca="false">IF(Rankings!E23&lt;=5,1,0)</f>
        <v>1</v>
      </c>
      <c r="F18" s="17" t="n">
        <f aca="false">IF(Rankings!F23&lt;=5,1,0)</f>
        <v>1</v>
      </c>
      <c r="G18" s="17" t="n">
        <f aca="false">IF(Rankings!G23&lt;=5,1,0)</f>
        <v>0</v>
      </c>
      <c r="H18" s="17" t="n">
        <f aca="false">IF(Rankings!H23&lt;=5,1,0)</f>
        <v>1</v>
      </c>
      <c r="I18" s="17" t="n">
        <f aca="false">IF(Rankings!I23&lt;=5,1,0)</f>
        <v>1</v>
      </c>
      <c r="J18" s="17" t="n">
        <f aca="false">IF(Rankings!J23&lt;=5,1,0)</f>
        <v>1</v>
      </c>
      <c r="K18" s="20" t="n">
        <f aca="false">SUM(C18:J18)</f>
        <v>5</v>
      </c>
      <c r="L18" s="16" t="n">
        <f aca="false">SUMPRODUCT(C18:J18,Returns!B22:I22)/K18</f>
        <v>0.087712388664118</v>
      </c>
      <c r="M18" s="16" t="n">
        <v>0</v>
      </c>
      <c r="N18" s="16" t="n">
        <v>0</v>
      </c>
      <c r="O18" s="16" t="n">
        <f aca="false">L18+M18+N18</f>
        <v>0.087712388664118</v>
      </c>
      <c r="P18" s="21" t="n">
        <f aca="false">P17*(1+O18)</f>
        <v>1.1236552450334</v>
      </c>
      <c r="Q18" s="21" t="n">
        <f aca="false">MAX($P$5:P18)</f>
        <v>1.1236552450334</v>
      </c>
      <c r="R18" s="16" t="n">
        <f aca="false">P18/Q18-1</f>
        <v>0</v>
      </c>
      <c r="S18" s="16" t="n">
        <f aca="false">O18-Benchmark_RF!D18</f>
        <v>0.0829555037355309</v>
      </c>
    </row>
    <row r="19" customFormat="false" ht="15" hidden="false" customHeight="true" outlineLevel="0" collapsed="false">
      <c r="A19" s="1" t="n">
        <v>22</v>
      </c>
      <c r="B19" s="13" t="n">
        <f aca="false">Returns!A23</f>
        <v>42644</v>
      </c>
      <c r="C19" s="17" t="n">
        <f aca="false">IF(Rankings!C23&lt;=5,1,0)</f>
        <v>0</v>
      </c>
      <c r="D19" s="17" t="n">
        <f aca="false">IF(Rankings!D23&lt;=5,1,0)</f>
        <v>0</v>
      </c>
      <c r="E19" s="17" t="n">
        <f aca="false">IF(Rankings!E23&lt;=5,1,0)</f>
        <v>1</v>
      </c>
      <c r="F19" s="17" t="n">
        <f aca="false">IF(Rankings!F23&lt;=5,1,0)</f>
        <v>1</v>
      </c>
      <c r="G19" s="17" t="n">
        <f aca="false">IF(Rankings!G23&lt;=5,1,0)</f>
        <v>0</v>
      </c>
      <c r="H19" s="17" t="n">
        <f aca="false">IF(Rankings!H23&lt;=5,1,0)</f>
        <v>1</v>
      </c>
      <c r="I19" s="17" t="n">
        <f aca="false">IF(Rankings!I23&lt;=5,1,0)</f>
        <v>1</v>
      </c>
      <c r="J19" s="17" t="n">
        <f aca="false">IF(Rankings!J23&lt;=5,1,0)</f>
        <v>1</v>
      </c>
      <c r="K19" s="20" t="n">
        <f aca="false">SUM(C19:J19)</f>
        <v>5</v>
      </c>
      <c r="L19" s="16" t="n">
        <f aca="false">SUMPRODUCT(C19:J19,Returns!B23:I23)/K19</f>
        <v>0.055321812020397</v>
      </c>
      <c r="M19" s="16" t="n">
        <v>0</v>
      </c>
      <c r="N19" s="16" t="n">
        <v>0</v>
      </c>
      <c r="O19" s="16" t="n">
        <f aca="false">L19+M19+N19</f>
        <v>0.055321812020397</v>
      </c>
      <c r="P19" s="21" t="n">
        <f aca="false">P18*(1+O19)</f>
        <v>1.18581788927488</v>
      </c>
      <c r="Q19" s="21" t="n">
        <f aca="false">MAX($P$5:P19)</f>
        <v>1.18581788927488</v>
      </c>
      <c r="R19" s="16" t="n">
        <f aca="false">P19/Q19-1</f>
        <v>0</v>
      </c>
      <c r="S19" s="16" t="n">
        <f aca="false">O19-Benchmark_RF!D19</f>
        <v>0.0505491095042544</v>
      </c>
    </row>
    <row r="20" customFormat="false" ht="15" hidden="false" customHeight="true" outlineLevel="0" collapsed="false">
      <c r="A20" s="1" t="n">
        <v>23</v>
      </c>
      <c r="B20" s="13" t="n">
        <f aca="false">Returns!A24</f>
        <v>42675</v>
      </c>
      <c r="C20" s="17" t="n">
        <f aca="false">IF(Rankings!C26&lt;=5,1,0)</f>
        <v>1</v>
      </c>
      <c r="D20" s="17" t="n">
        <f aca="false">IF(Rankings!D26&lt;=5,1,0)</f>
        <v>0</v>
      </c>
      <c r="E20" s="17" t="n">
        <f aca="false">IF(Rankings!E26&lt;=5,1,0)</f>
        <v>0</v>
      </c>
      <c r="F20" s="17" t="n">
        <f aca="false">IF(Rankings!F26&lt;=5,1,0)</f>
        <v>1</v>
      </c>
      <c r="G20" s="17" t="n">
        <f aca="false">IF(Rankings!G26&lt;=5,1,0)</f>
        <v>0</v>
      </c>
      <c r="H20" s="17" t="n">
        <f aca="false">IF(Rankings!H26&lt;=5,1,0)</f>
        <v>1</v>
      </c>
      <c r="I20" s="17" t="n">
        <f aca="false">IF(Rankings!I26&lt;=5,1,0)</f>
        <v>1</v>
      </c>
      <c r="J20" s="17" t="n">
        <f aca="false">IF(Rankings!J26&lt;=5,1,0)</f>
        <v>1</v>
      </c>
      <c r="K20" s="20" t="n">
        <f aca="false">SUM(C20:J20)</f>
        <v>5</v>
      </c>
      <c r="L20" s="16" t="n">
        <f aca="false">SUMPRODUCT(C20:J20,Returns!B24:I24)/K20</f>
        <v>0.103717622339353</v>
      </c>
      <c r="M20" s="16" t="n">
        <f aca="false">-2*Assumptions!$B$13</f>
        <v>-0.007</v>
      </c>
      <c r="N20" s="16" t="n">
        <f aca="false">-Assumptions!$B$16*MAX(0,(1+O17)*(1+O18)*(1+O19)-1)</f>
        <v>-0.0208851476355709</v>
      </c>
      <c r="O20" s="16" t="n">
        <f aca="false">L20+M20+N20</f>
        <v>0.0758324747037825</v>
      </c>
      <c r="P20" s="21" t="n">
        <f aca="false">P19*(1+O20)</f>
        <v>1.27574139436661</v>
      </c>
      <c r="Q20" s="21" t="n">
        <f aca="false">MAX($P$5:P20)</f>
        <v>1.27574139436661</v>
      </c>
      <c r="R20" s="16" t="n">
        <f aca="false">P20/Q20-1</f>
        <v>0</v>
      </c>
      <c r="S20" s="16" t="n">
        <f aca="false">O20-Benchmark_RF!D20</f>
        <v>0.0710044321912447</v>
      </c>
    </row>
    <row r="21" customFormat="false" ht="15" hidden="false" customHeight="true" outlineLevel="0" collapsed="false">
      <c r="A21" s="1" t="n">
        <v>24</v>
      </c>
      <c r="B21" s="13" t="n">
        <f aca="false">Returns!A25</f>
        <v>42705</v>
      </c>
      <c r="C21" s="17" t="n">
        <f aca="false">IF(Rankings!C26&lt;=5,1,0)</f>
        <v>1</v>
      </c>
      <c r="D21" s="17" t="n">
        <f aca="false">IF(Rankings!D26&lt;=5,1,0)</f>
        <v>0</v>
      </c>
      <c r="E21" s="17" t="n">
        <f aca="false">IF(Rankings!E26&lt;=5,1,0)</f>
        <v>0</v>
      </c>
      <c r="F21" s="17" t="n">
        <f aca="false">IF(Rankings!F26&lt;=5,1,0)</f>
        <v>1</v>
      </c>
      <c r="G21" s="17" t="n">
        <f aca="false">IF(Rankings!G26&lt;=5,1,0)</f>
        <v>0</v>
      </c>
      <c r="H21" s="17" t="n">
        <f aca="false">IF(Rankings!H26&lt;=5,1,0)</f>
        <v>1</v>
      </c>
      <c r="I21" s="17" t="n">
        <f aca="false">IF(Rankings!I26&lt;=5,1,0)</f>
        <v>1</v>
      </c>
      <c r="J21" s="17" t="n">
        <f aca="false">IF(Rankings!J26&lt;=5,1,0)</f>
        <v>1</v>
      </c>
      <c r="K21" s="20" t="n">
        <f aca="false">SUM(C21:J21)</f>
        <v>5</v>
      </c>
      <c r="L21" s="16" t="n">
        <f aca="false">SUMPRODUCT(C21:J21,Returns!B25:I25)/K21</f>
        <v>0.102493444595899</v>
      </c>
      <c r="M21" s="16" t="n">
        <v>0</v>
      </c>
      <c r="N21" s="16" t="n">
        <v>0</v>
      </c>
      <c r="O21" s="16" t="n">
        <f aca="false">L21+M21+N21</f>
        <v>0.102493444595899</v>
      </c>
      <c r="P21" s="21" t="n">
        <f aca="false">P20*(1+O21)</f>
        <v>1.40649652428881</v>
      </c>
      <c r="Q21" s="21" t="n">
        <f aca="false">MAX($P$5:P21)</f>
        <v>1.40649652428881</v>
      </c>
      <c r="R21" s="16" t="n">
        <f aca="false">P21/Q21-1</f>
        <v>0</v>
      </c>
      <c r="S21" s="16" t="n">
        <f aca="false">O21-Benchmark_RF!D21</f>
        <v>0.0976536268962592</v>
      </c>
    </row>
    <row r="22" customFormat="false" ht="15" hidden="false" customHeight="true" outlineLevel="0" collapsed="false">
      <c r="A22" s="1" t="n">
        <v>25</v>
      </c>
      <c r="B22" s="13" t="n">
        <f aca="false">Returns!A26</f>
        <v>42736</v>
      </c>
      <c r="C22" s="17" t="n">
        <f aca="false">IF(Rankings!C26&lt;=5,1,0)</f>
        <v>1</v>
      </c>
      <c r="D22" s="17" t="n">
        <f aca="false">IF(Rankings!D26&lt;=5,1,0)</f>
        <v>0</v>
      </c>
      <c r="E22" s="17" t="n">
        <f aca="false">IF(Rankings!E26&lt;=5,1,0)</f>
        <v>0</v>
      </c>
      <c r="F22" s="17" t="n">
        <f aca="false">IF(Rankings!F26&lt;=5,1,0)</f>
        <v>1</v>
      </c>
      <c r="G22" s="17" t="n">
        <f aca="false">IF(Rankings!G26&lt;=5,1,0)</f>
        <v>0</v>
      </c>
      <c r="H22" s="17" t="n">
        <f aca="false">IF(Rankings!H26&lt;=5,1,0)</f>
        <v>1</v>
      </c>
      <c r="I22" s="17" t="n">
        <f aca="false">IF(Rankings!I26&lt;=5,1,0)</f>
        <v>1</v>
      </c>
      <c r="J22" s="17" t="n">
        <f aca="false">IF(Rankings!J26&lt;=5,1,0)</f>
        <v>1</v>
      </c>
      <c r="K22" s="20" t="n">
        <f aca="false">SUM(C22:J22)</f>
        <v>5</v>
      </c>
      <c r="L22" s="16" t="n">
        <f aca="false">SUMPRODUCT(C22:J22,Returns!B26:I26)/K22</f>
        <v>-0.000181353056088152</v>
      </c>
      <c r="M22" s="16" t="n">
        <v>0</v>
      </c>
      <c r="N22" s="16" t="n">
        <v>0</v>
      </c>
      <c r="O22" s="16" t="n">
        <f aca="false">L22+M22+N22</f>
        <v>-0.000181353056088152</v>
      </c>
      <c r="P22" s="21" t="n">
        <f aca="false">P21*(1+O22)</f>
        <v>1.40624145184576</v>
      </c>
      <c r="Q22" s="21" t="n">
        <f aca="false">MAX($P$5:P22)</f>
        <v>1.40649652428881</v>
      </c>
      <c r="R22" s="16" t="n">
        <f aca="false">P22/Q22-1</f>
        <v>-0.000181353056088018</v>
      </c>
      <c r="S22" s="16" t="n">
        <f aca="false">O22-Benchmark_RF!D22</f>
        <v>-0.00495571626003313</v>
      </c>
    </row>
    <row r="23" customFormat="false" ht="15" hidden="false" customHeight="true" outlineLevel="0" collapsed="false">
      <c r="A23" s="1" t="n">
        <v>26</v>
      </c>
      <c r="B23" s="13" t="n">
        <f aca="false">Returns!A27</f>
        <v>42767</v>
      </c>
      <c r="C23" s="17" t="n">
        <f aca="false">IF(Rankings!C29&lt;=5,1,0)</f>
        <v>1</v>
      </c>
      <c r="D23" s="17" t="n">
        <f aca="false">IF(Rankings!D29&lt;=5,1,0)</f>
        <v>0</v>
      </c>
      <c r="E23" s="17" t="n">
        <f aca="false">IF(Rankings!E29&lt;=5,1,0)</f>
        <v>0</v>
      </c>
      <c r="F23" s="17" t="n">
        <f aca="false">IF(Rankings!F29&lt;=5,1,0)</f>
        <v>1</v>
      </c>
      <c r="G23" s="17" t="n">
        <f aca="false">IF(Rankings!G29&lt;=5,1,0)</f>
        <v>0</v>
      </c>
      <c r="H23" s="17" t="n">
        <f aca="false">IF(Rankings!H29&lt;=5,1,0)</f>
        <v>1</v>
      </c>
      <c r="I23" s="17" t="n">
        <f aca="false">IF(Rankings!I29&lt;=5,1,0)</f>
        <v>1</v>
      </c>
      <c r="J23" s="17" t="n">
        <f aca="false">IF(Rankings!J29&lt;=5,1,0)</f>
        <v>1</v>
      </c>
      <c r="K23" s="20" t="n">
        <f aca="false">SUM(C23:J23)</f>
        <v>5</v>
      </c>
      <c r="L23" s="16" t="n">
        <f aca="false">SUMPRODUCT(C23:J23,Returns!B27:I27)/K23</f>
        <v>-0.0288965327970376</v>
      </c>
      <c r="M23" s="16" t="n">
        <f aca="false">-2*Assumptions!$B$13</f>
        <v>-0.007</v>
      </c>
      <c r="N23" s="16" t="n">
        <f aca="false">-Assumptions!$B$16*MAX(0,(1+O20)*(1+O21)*(1+O22)-1)</f>
        <v>-0.0278824722452538</v>
      </c>
      <c r="O23" s="16" t="n">
        <f aca="false">L23+M23+N23</f>
        <v>-0.0637790050422914</v>
      </c>
      <c r="P23" s="21" t="n">
        <f aca="false">P22*(1+O23)</f>
        <v>1.31655277119781</v>
      </c>
      <c r="Q23" s="21" t="n">
        <f aca="false">MAX($P$5:P23)</f>
        <v>1.40649652428881</v>
      </c>
      <c r="R23" s="16" t="n">
        <f aca="false">P23/Q23-1</f>
        <v>-0.0639487915809008</v>
      </c>
      <c r="S23" s="16" t="n">
        <f aca="false">O23-Benchmark_RF!D23</f>
        <v>-0.0686004875640941</v>
      </c>
    </row>
    <row r="24" customFormat="false" ht="15" hidden="false" customHeight="true" outlineLevel="0" collapsed="false">
      <c r="A24" s="1" t="n">
        <v>27</v>
      </c>
      <c r="B24" s="13" t="n">
        <f aca="false">Returns!A28</f>
        <v>42795</v>
      </c>
      <c r="C24" s="17" t="n">
        <f aca="false">IF(Rankings!C29&lt;=5,1,0)</f>
        <v>1</v>
      </c>
      <c r="D24" s="17" t="n">
        <f aca="false">IF(Rankings!D29&lt;=5,1,0)</f>
        <v>0</v>
      </c>
      <c r="E24" s="17" t="n">
        <f aca="false">IF(Rankings!E29&lt;=5,1,0)</f>
        <v>0</v>
      </c>
      <c r="F24" s="17" t="n">
        <f aca="false">IF(Rankings!F29&lt;=5,1,0)</f>
        <v>1</v>
      </c>
      <c r="G24" s="17" t="n">
        <f aca="false">IF(Rankings!G29&lt;=5,1,0)</f>
        <v>0</v>
      </c>
      <c r="H24" s="17" t="n">
        <f aca="false">IF(Rankings!H29&lt;=5,1,0)</f>
        <v>1</v>
      </c>
      <c r="I24" s="17" t="n">
        <f aca="false">IF(Rankings!I29&lt;=5,1,0)</f>
        <v>1</v>
      </c>
      <c r="J24" s="17" t="n">
        <f aca="false">IF(Rankings!J29&lt;=5,1,0)</f>
        <v>1</v>
      </c>
      <c r="K24" s="20" t="n">
        <f aca="false">SUM(C24:J24)</f>
        <v>5</v>
      </c>
      <c r="L24" s="16" t="n">
        <f aca="false">SUMPRODUCT(C24:J24,Returns!B28:I28)/K24</f>
        <v>0.0150820694477144</v>
      </c>
      <c r="M24" s="16" t="n">
        <v>0</v>
      </c>
      <c r="N24" s="16" t="n">
        <v>0</v>
      </c>
      <c r="O24" s="16" t="n">
        <f aca="false">L24+M24+N24</f>
        <v>0.0150820694477144</v>
      </c>
      <c r="P24" s="21" t="n">
        <f aca="false">P23*(1+O24)</f>
        <v>1.33640911152459</v>
      </c>
      <c r="Q24" s="21" t="n">
        <f aca="false">MAX($P$5:P24)</f>
        <v>1.40649652428881</v>
      </c>
      <c r="R24" s="16" t="n">
        <f aca="false">P24/Q24-1</f>
        <v>-0.0498312022489068</v>
      </c>
      <c r="S24" s="16" t="n">
        <f aca="false">O24-Benchmark_RF!D24</f>
        <v>0.0102367993232428</v>
      </c>
    </row>
    <row r="25" customFormat="false" ht="15" hidden="false" customHeight="true" outlineLevel="0" collapsed="false">
      <c r="A25" s="1" t="n">
        <v>28</v>
      </c>
      <c r="B25" s="13" t="n">
        <f aca="false">Returns!A29</f>
        <v>42826</v>
      </c>
      <c r="C25" s="17" t="n">
        <f aca="false">IF(Rankings!C29&lt;=5,1,0)</f>
        <v>1</v>
      </c>
      <c r="D25" s="17" t="n">
        <f aca="false">IF(Rankings!D29&lt;=5,1,0)</f>
        <v>0</v>
      </c>
      <c r="E25" s="17" t="n">
        <f aca="false">IF(Rankings!E29&lt;=5,1,0)</f>
        <v>0</v>
      </c>
      <c r="F25" s="17" t="n">
        <f aca="false">IF(Rankings!F29&lt;=5,1,0)</f>
        <v>1</v>
      </c>
      <c r="G25" s="17" t="n">
        <f aca="false">IF(Rankings!G29&lt;=5,1,0)</f>
        <v>0</v>
      </c>
      <c r="H25" s="17" t="n">
        <f aca="false">IF(Rankings!H29&lt;=5,1,0)</f>
        <v>1</v>
      </c>
      <c r="I25" s="17" t="n">
        <f aca="false">IF(Rankings!I29&lt;=5,1,0)</f>
        <v>1</v>
      </c>
      <c r="J25" s="17" t="n">
        <f aca="false">IF(Rankings!J29&lt;=5,1,0)</f>
        <v>1</v>
      </c>
      <c r="K25" s="20" t="n">
        <f aca="false">SUM(C25:J25)</f>
        <v>5</v>
      </c>
      <c r="L25" s="16" t="n">
        <f aca="false">SUMPRODUCT(C25:J25,Returns!B29:I29)/K25</f>
        <v>0.0472654040859863</v>
      </c>
      <c r="M25" s="16" t="n">
        <v>0</v>
      </c>
      <c r="N25" s="16" t="n">
        <v>0</v>
      </c>
      <c r="O25" s="16" t="n">
        <f aca="false">L25+M25+N25</f>
        <v>0.0472654040859863</v>
      </c>
      <c r="P25" s="21" t="n">
        <f aca="false">P24*(1+O25)</f>
        <v>1.399575028205</v>
      </c>
      <c r="Q25" s="21" t="n">
        <f aca="false">MAX($P$5:P25)</f>
        <v>1.40649652428881</v>
      </c>
      <c r="R25" s="16" t="n">
        <f aca="false">P25/Q25-1</f>
        <v>-0.00492109007330555</v>
      </c>
      <c r="S25" s="16" t="n">
        <f aca="false">O25-Benchmark_RF!D25</f>
        <v>0.042409625133231</v>
      </c>
    </row>
    <row r="26" customFormat="false" ht="15" hidden="false" customHeight="true" outlineLevel="0" collapsed="false">
      <c r="A26" s="1" t="n">
        <v>29</v>
      </c>
      <c r="B26" s="13" t="n">
        <f aca="false">Returns!A30</f>
        <v>42856</v>
      </c>
      <c r="C26" s="17" t="n">
        <f aca="false">IF(Rankings!C32&lt;=5,1,0)</f>
        <v>1</v>
      </c>
      <c r="D26" s="17" t="n">
        <f aca="false">IF(Rankings!D32&lt;=5,1,0)</f>
        <v>0</v>
      </c>
      <c r="E26" s="17" t="n">
        <f aca="false">IF(Rankings!E32&lt;=5,1,0)</f>
        <v>0</v>
      </c>
      <c r="F26" s="17" t="n">
        <f aca="false">IF(Rankings!F32&lt;=5,1,0)</f>
        <v>1</v>
      </c>
      <c r="G26" s="17" t="n">
        <f aca="false">IF(Rankings!G32&lt;=5,1,0)</f>
        <v>0</v>
      </c>
      <c r="H26" s="17" t="n">
        <f aca="false">IF(Rankings!H32&lt;=5,1,0)</f>
        <v>1</v>
      </c>
      <c r="I26" s="17" t="n">
        <f aca="false">IF(Rankings!I32&lt;=5,1,0)</f>
        <v>1</v>
      </c>
      <c r="J26" s="17" t="n">
        <f aca="false">IF(Rankings!J32&lt;=5,1,0)</f>
        <v>1</v>
      </c>
      <c r="K26" s="20" t="n">
        <f aca="false">SUM(C26:J26)</f>
        <v>5</v>
      </c>
      <c r="L26" s="16" t="n">
        <f aca="false">SUMPRODUCT(C26:J26,Returns!B30:I30)/K26</f>
        <v>0.19113531122947</v>
      </c>
      <c r="M26" s="16" t="n">
        <f aca="false">-2*Assumptions!$B$13</f>
        <v>-0.007</v>
      </c>
      <c r="N26" s="16" t="n">
        <f aca="false">-Assumptions!$B$16*MAX(0,(1+O23)*(1+O24)*(1+O25)-1)</f>
        <v>-0</v>
      </c>
      <c r="O26" s="16" t="n">
        <f aca="false">L26+M26+N26</f>
        <v>0.18413531122947</v>
      </c>
      <c r="P26" s="21" t="n">
        <f aca="false">P25*(1+O26)</f>
        <v>1.65728621161252</v>
      </c>
      <c r="Q26" s="21" t="n">
        <f aca="false">MAX($P$5:P26)</f>
        <v>1.65728621161252</v>
      </c>
      <c r="R26" s="16" t="n">
        <f aca="false">P26/Q26-1</f>
        <v>0</v>
      </c>
      <c r="S26" s="16" t="n">
        <f aca="false">O26-Benchmark_RF!D26</f>
        <v>0.179279532276714</v>
      </c>
    </row>
    <row r="27" customFormat="false" ht="15" hidden="false" customHeight="true" outlineLevel="0" collapsed="false">
      <c r="A27" s="1" t="n">
        <v>30</v>
      </c>
      <c r="B27" s="13" t="n">
        <f aca="false">Returns!A31</f>
        <v>42887</v>
      </c>
      <c r="C27" s="17" t="n">
        <f aca="false">IF(Rankings!C32&lt;=5,1,0)</f>
        <v>1</v>
      </c>
      <c r="D27" s="17" t="n">
        <f aca="false">IF(Rankings!D32&lt;=5,1,0)</f>
        <v>0</v>
      </c>
      <c r="E27" s="17" t="n">
        <f aca="false">IF(Rankings!E32&lt;=5,1,0)</f>
        <v>0</v>
      </c>
      <c r="F27" s="17" t="n">
        <f aca="false">IF(Rankings!F32&lt;=5,1,0)</f>
        <v>1</v>
      </c>
      <c r="G27" s="17" t="n">
        <f aca="false">IF(Rankings!G32&lt;=5,1,0)</f>
        <v>0</v>
      </c>
      <c r="H27" s="17" t="n">
        <f aca="false">IF(Rankings!H32&lt;=5,1,0)</f>
        <v>1</v>
      </c>
      <c r="I27" s="17" t="n">
        <f aca="false">IF(Rankings!I32&lt;=5,1,0)</f>
        <v>1</v>
      </c>
      <c r="J27" s="17" t="n">
        <f aca="false">IF(Rankings!J32&lt;=5,1,0)</f>
        <v>1</v>
      </c>
      <c r="K27" s="20" t="n">
        <f aca="false">SUM(C27:J27)</f>
        <v>5</v>
      </c>
      <c r="L27" s="16" t="n">
        <f aca="false">SUMPRODUCT(C27:J27,Returns!B31:I31)/K27</f>
        <v>-0.0237795513188566</v>
      </c>
      <c r="M27" s="16" t="n">
        <v>0</v>
      </c>
      <c r="N27" s="16" t="n">
        <v>0</v>
      </c>
      <c r="O27" s="16" t="n">
        <f aca="false">L27+M27+N27</f>
        <v>-0.0237795513188566</v>
      </c>
      <c r="P27" s="21" t="n">
        <f aca="false">P26*(1+O27)</f>
        <v>1.61787668909345</v>
      </c>
      <c r="Q27" s="21" t="n">
        <f aca="false">MAX($P$5:P27)</f>
        <v>1.65728621161252</v>
      </c>
      <c r="R27" s="16" t="n">
        <f aca="false">P27/Q27-1</f>
        <v>-0.0237795513188565</v>
      </c>
      <c r="S27" s="16" t="n">
        <f aca="false">O27-Benchmark_RF!D27</f>
        <v>-0.0286399916955873</v>
      </c>
    </row>
    <row r="28" customFormat="false" ht="15" hidden="false" customHeight="true" outlineLevel="0" collapsed="false">
      <c r="A28" s="1" t="n">
        <v>31</v>
      </c>
      <c r="B28" s="13" t="n">
        <f aca="false">Returns!A32</f>
        <v>42917</v>
      </c>
      <c r="C28" s="17" t="n">
        <f aca="false">IF(Rankings!C32&lt;=5,1,0)</f>
        <v>1</v>
      </c>
      <c r="D28" s="17" t="n">
        <f aca="false">IF(Rankings!D32&lt;=5,1,0)</f>
        <v>0</v>
      </c>
      <c r="E28" s="17" t="n">
        <f aca="false">IF(Rankings!E32&lt;=5,1,0)</f>
        <v>0</v>
      </c>
      <c r="F28" s="17" t="n">
        <f aca="false">IF(Rankings!F32&lt;=5,1,0)</f>
        <v>1</v>
      </c>
      <c r="G28" s="17" t="n">
        <f aca="false">IF(Rankings!G32&lt;=5,1,0)</f>
        <v>0</v>
      </c>
      <c r="H28" s="17" t="n">
        <f aca="false">IF(Rankings!H32&lt;=5,1,0)</f>
        <v>1</v>
      </c>
      <c r="I28" s="17" t="n">
        <f aca="false">IF(Rankings!I32&lt;=5,1,0)</f>
        <v>1</v>
      </c>
      <c r="J28" s="17" t="n">
        <f aca="false">IF(Rankings!J32&lt;=5,1,0)</f>
        <v>1</v>
      </c>
      <c r="K28" s="20" t="n">
        <f aca="false">SUM(C28:J28)</f>
        <v>5</v>
      </c>
      <c r="L28" s="16" t="n">
        <f aca="false">SUMPRODUCT(C28:J28,Returns!B32:I32)/K28</f>
        <v>-0.000120211699748829</v>
      </c>
      <c r="M28" s="16" t="n">
        <v>0</v>
      </c>
      <c r="N28" s="16" t="n">
        <v>0</v>
      </c>
      <c r="O28" s="16" t="n">
        <f aca="false">L28+M28+N28</f>
        <v>-0.000120211699748829</v>
      </c>
      <c r="P28" s="21" t="n">
        <f aca="false">P27*(1+O28)</f>
        <v>1.61768220138667</v>
      </c>
      <c r="Q28" s="21" t="n">
        <f aca="false">MAX($P$5:P28)</f>
        <v>1.65728621161252</v>
      </c>
      <c r="R28" s="16" t="n">
        <f aca="false">P28/Q28-1</f>
        <v>-0.023896904438322</v>
      </c>
      <c r="S28" s="16" t="n">
        <f aca="false">O28-Benchmark_RF!D28</f>
        <v>-0.00498057307127517</v>
      </c>
    </row>
    <row r="29" customFormat="false" ht="15" hidden="false" customHeight="true" outlineLevel="0" collapsed="false">
      <c r="A29" s="1" t="n">
        <v>32</v>
      </c>
      <c r="B29" s="13" t="n">
        <f aca="false">Returns!A33</f>
        <v>42948</v>
      </c>
      <c r="C29" s="17" t="n">
        <f aca="false">IF(Rankings!C35&lt;=5,1,0)</f>
        <v>1</v>
      </c>
      <c r="D29" s="17" t="n">
        <f aca="false">IF(Rankings!D35&lt;=5,1,0)</f>
        <v>0</v>
      </c>
      <c r="E29" s="17" t="n">
        <f aca="false">IF(Rankings!E35&lt;=5,1,0)</f>
        <v>1</v>
      </c>
      <c r="F29" s="17" t="n">
        <f aca="false">IF(Rankings!F35&lt;=5,1,0)</f>
        <v>0</v>
      </c>
      <c r="G29" s="17" t="n">
        <f aca="false">IF(Rankings!G35&lt;=5,1,0)</f>
        <v>0</v>
      </c>
      <c r="H29" s="17" t="n">
        <f aca="false">IF(Rankings!H35&lt;=5,1,0)</f>
        <v>1</v>
      </c>
      <c r="I29" s="17" t="n">
        <f aca="false">IF(Rankings!I35&lt;=5,1,0)</f>
        <v>1</v>
      </c>
      <c r="J29" s="17" t="n">
        <f aca="false">IF(Rankings!J35&lt;=5,1,0)</f>
        <v>1</v>
      </c>
      <c r="K29" s="20" t="n">
        <f aca="false">SUM(C29:J29)</f>
        <v>5</v>
      </c>
      <c r="L29" s="16" t="n">
        <f aca="false">SUMPRODUCT(C29:J29,Returns!B33:I33)/K29</f>
        <v>-0.135731144520714</v>
      </c>
      <c r="M29" s="16" t="n">
        <f aca="false">-2*Assumptions!$B$13</f>
        <v>-0.007</v>
      </c>
      <c r="N29" s="16" t="n">
        <f aca="false">-Assumptions!$B$16*MAX(0,(1+O26)*(1+O27)*(1+O28)-1)</f>
        <v>-0.0233757214282464</v>
      </c>
      <c r="O29" s="16" t="n">
        <f aca="false">L29+M29+N29</f>
        <v>-0.16610686594896</v>
      </c>
      <c r="P29" s="21" t="n">
        <f aca="false">P28*(1+O29)</f>
        <v>1.34897408081291</v>
      </c>
      <c r="Q29" s="21" t="n">
        <f aca="false">MAX($P$5:P29)</f>
        <v>1.65728621161252</v>
      </c>
      <c r="R29" s="16" t="n">
        <f aca="false">P29/Q29-1</f>
        <v>-0.18603433048515</v>
      </c>
      <c r="S29" s="16" t="n">
        <f aca="false">O29-Benchmark_RF!D29</f>
        <v>-0.170966674282142</v>
      </c>
    </row>
    <row r="30" customFormat="false" ht="15" hidden="false" customHeight="true" outlineLevel="0" collapsed="false">
      <c r="A30" s="1" t="n">
        <v>33</v>
      </c>
      <c r="B30" s="13" t="n">
        <f aca="false">Returns!A34</f>
        <v>42979</v>
      </c>
      <c r="C30" s="17" t="n">
        <f aca="false">IF(Rankings!C35&lt;=5,1,0)</f>
        <v>1</v>
      </c>
      <c r="D30" s="17" t="n">
        <f aca="false">IF(Rankings!D35&lt;=5,1,0)</f>
        <v>0</v>
      </c>
      <c r="E30" s="17" t="n">
        <f aca="false">IF(Rankings!E35&lt;=5,1,0)</f>
        <v>1</v>
      </c>
      <c r="F30" s="17" t="n">
        <f aca="false">IF(Rankings!F35&lt;=5,1,0)</f>
        <v>0</v>
      </c>
      <c r="G30" s="17" t="n">
        <f aca="false">IF(Rankings!G35&lt;=5,1,0)</f>
        <v>0</v>
      </c>
      <c r="H30" s="17" t="n">
        <f aca="false">IF(Rankings!H35&lt;=5,1,0)</f>
        <v>1</v>
      </c>
      <c r="I30" s="17" t="n">
        <f aca="false">IF(Rankings!I35&lt;=5,1,0)</f>
        <v>1</v>
      </c>
      <c r="J30" s="17" t="n">
        <f aca="false">IF(Rankings!J35&lt;=5,1,0)</f>
        <v>1</v>
      </c>
      <c r="K30" s="20" t="n">
        <f aca="false">SUM(C30:J30)</f>
        <v>5</v>
      </c>
      <c r="L30" s="16" t="n">
        <f aca="false">SUMPRODUCT(C30:J30,Returns!B34:I34)/K30</f>
        <v>0.0704266414818385</v>
      </c>
      <c r="M30" s="16" t="n">
        <v>0</v>
      </c>
      <c r="N30" s="16" t="n">
        <v>0</v>
      </c>
      <c r="O30" s="16" t="n">
        <f aca="false">L30+M30+N30</f>
        <v>0.0704266414818385</v>
      </c>
      <c r="P30" s="21" t="n">
        <f aca="false">P29*(1+O30)</f>
        <v>1.44397779477062</v>
      </c>
      <c r="Q30" s="21" t="n">
        <f aca="false">MAX($P$5:P30)</f>
        <v>1.65728621161252</v>
      </c>
      <c r="R30" s="16" t="n">
        <f aca="false">P30/Q30-1</f>
        <v>-0.128709462099703</v>
      </c>
      <c r="S30" s="16" t="n">
        <f aca="false">O30-Benchmark_RF!D30</f>
        <v>0.0655662011051078</v>
      </c>
    </row>
    <row r="31" customFormat="false" ht="15" hidden="false" customHeight="true" outlineLevel="0" collapsed="false">
      <c r="A31" s="1" t="n">
        <v>34</v>
      </c>
      <c r="B31" s="13" t="n">
        <f aca="false">Returns!A35</f>
        <v>43009</v>
      </c>
      <c r="C31" s="17" t="n">
        <f aca="false">IF(Rankings!C35&lt;=5,1,0)</f>
        <v>1</v>
      </c>
      <c r="D31" s="17" t="n">
        <f aca="false">IF(Rankings!D35&lt;=5,1,0)</f>
        <v>0</v>
      </c>
      <c r="E31" s="17" t="n">
        <f aca="false">IF(Rankings!E35&lt;=5,1,0)</f>
        <v>1</v>
      </c>
      <c r="F31" s="17" t="n">
        <f aca="false">IF(Rankings!F35&lt;=5,1,0)</f>
        <v>0</v>
      </c>
      <c r="G31" s="17" t="n">
        <f aca="false">IF(Rankings!G35&lt;=5,1,0)</f>
        <v>0</v>
      </c>
      <c r="H31" s="17" t="n">
        <f aca="false">IF(Rankings!H35&lt;=5,1,0)</f>
        <v>1</v>
      </c>
      <c r="I31" s="17" t="n">
        <f aca="false">IF(Rankings!I35&lt;=5,1,0)</f>
        <v>1</v>
      </c>
      <c r="J31" s="17" t="n">
        <f aca="false">IF(Rankings!J35&lt;=5,1,0)</f>
        <v>1</v>
      </c>
      <c r="K31" s="20" t="n">
        <f aca="false">SUM(C31:J31)</f>
        <v>5</v>
      </c>
      <c r="L31" s="16" t="n">
        <f aca="false">SUMPRODUCT(C31:J31,Returns!B35:I35)/K31</f>
        <v>-0.0248941209038813</v>
      </c>
      <c r="M31" s="16" t="n">
        <v>0</v>
      </c>
      <c r="N31" s="16" t="n">
        <v>0</v>
      </c>
      <c r="O31" s="16" t="n">
        <f aca="false">L31+M31+N31</f>
        <v>-0.0248941209038813</v>
      </c>
      <c r="P31" s="21" t="n">
        <f aca="false">P30*(1+O31)</f>
        <v>1.40803123696508</v>
      </c>
      <c r="Q31" s="21" t="n">
        <f aca="false">MAX($P$5:P31)</f>
        <v>1.65728621161252</v>
      </c>
      <c r="R31" s="16" t="n">
        <f aca="false">P31/Q31-1</f>
        <v>-0.150399474092601</v>
      </c>
      <c r="S31" s="16" t="n">
        <f aca="false">O31-Benchmark_RF!D31</f>
        <v>-0.029754561280612</v>
      </c>
    </row>
    <row r="32" customFormat="false" ht="15" hidden="false" customHeight="true" outlineLevel="0" collapsed="false">
      <c r="A32" s="1" t="n">
        <v>35</v>
      </c>
      <c r="B32" s="13" t="n">
        <f aca="false">Returns!A36</f>
        <v>43040</v>
      </c>
      <c r="C32" s="17" t="n">
        <f aca="false">IF(Rankings!C38&lt;=5,1,0)</f>
        <v>1</v>
      </c>
      <c r="D32" s="17" t="n">
        <f aca="false">IF(Rankings!D38&lt;=5,1,0)</f>
        <v>1</v>
      </c>
      <c r="E32" s="17" t="n">
        <f aca="false">IF(Rankings!E38&lt;=5,1,0)</f>
        <v>1</v>
      </c>
      <c r="F32" s="17" t="n">
        <f aca="false">IF(Rankings!F38&lt;=5,1,0)</f>
        <v>0</v>
      </c>
      <c r="G32" s="17" t="n">
        <f aca="false">IF(Rankings!G38&lt;=5,1,0)</f>
        <v>0</v>
      </c>
      <c r="H32" s="17" t="n">
        <f aca="false">IF(Rankings!H38&lt;=5,1,0)</f>
        <v>1</v>
      </c>
      <c r="I32" s="17" t="n">
        <f aca="false">IF(Rankings!I38&lt;=5,1,0)</f>
        <v>1</v>
      </c>
      <c r="J32" s="17" t="n">
        <f aca="false">IF(Rankings!J38&lt;=5,1,0)</f>
        <v>0</v>
      </c>
      <c r="K32" s="20" t="n">
        <f aca="false">SUM(C32:J32)</f>
        <v>5</v>
      </c>
      <c r="L32" s="16" t="n">
        <f aca="false">SUMPRODUCT(C32:J32,Returns!B36:I36)/K32</f>
        <v>0.124560128293672</v>
      </c>
      <c r="M32" s="16" t="n">
        <f aca="false">-2*Assumptions!$B$13</f>
        <v>-0.007</v>
      </c>
      <c r="N32" s="16" t="n">
        <f aca="false">-Assumptions!$B$16*MAX(0,(1+O29)*(1+O30)*(1+O31)-1)</f>
        <v>-0</v>
      </c>
      <c r="O32" s="16" t="n">
        <f aca="false">L32+M32+N32</f>
        <v>0.117560128293672</v>
      </c>
      <c r="P32" s="21" t="n">
        <f aca="false">P31*(1+O32)</f>
        <v>1.57355956982419</v>
      </c>
      <c r="Q32" s="21" t="n">
        <f aca="false">MAX($P$5:P32)</f>
        <v>1.65728621161252</v>
      </c>
      <c r="R32" s="16" t="n">
        <f aca="false">P32/Q32-1</f>
        <v>-0.0505203272685558</v>
      </c>
      <c r="S32" s="16" t="n">
        <f aca="false">O32-Benchmark_RF!D32</f>
        <v>0.112699766922146</v>
      </c>
    </row>
    <row r="33" customFormat="false" ht="15" hidden="false" customHeight="true" outlineLevel="0" collapsed="false">
      <c r="A33" s="1" t="n">
        <v>36</v>
      </c>
      <c r="B33" s="13" t="n">
        <f aca="false">Returns!A37</f>
        <v>43070</v>
      </c>
      <c r="C33" s="17" t="n">
        <f aca="false">IF(Rankings!C38&lt;=5,1,0)</f>
        <v>1</v>
      </c>
      <c r="D33" s="17" t="n">
        <f aca="false">IF(Rankings!D38&lt;=5,1,0)</f>
        <v>1</v>
      </c>
      <c r="E33" s="17" t="n">
        <f aca="false">IF(Rankings!E38&lt;=5,1,0)</f>
        <v>1</v>
      </c>
      <c r="F33" s="17" t="n">
        <f aca="false">IF(Rankings!F38&lt;=5,1,0)</f>
        <v>0</v>
      </c>
      <c r="G33" s="17" t="n">
        <f aca="false">IF(Rankings!G38&lt;=5,1,0)</f>
        <v>0</v>
      </c>
      <c r="H33" s="17" t="n">
        <f aca="false">IF(Rankings!H38&lt;=5,1,0)</f>
        <v>1</v>
      </c>
      <c r="I33" s="17" t="n">
        <f aca="false">IF(Rankings!I38&lt;=5,1,0)</f>
        <v>1</v>
      </c>
      <c r="J33" s="17" t="n">
        <f aca="false">IF(Rankings!J38&lt;=5,1,0)</f>
        <v>0</v>
      </c>
      <c r="K33" s="20" t="n">
        <f aca="false">SUM(C33:J33)</f>
        <v>5</v>
      </c>
      <c r="L33" s="16" t="n">
        <f aca="false">SUMPRODUCT(C33:J33,Returns!B37:I37)/K33</f>
        <v>0.00628128219632016</v>
      </c>
      <c r="M33" s="16" t="n">
        <v>0</v>
      </c>
      <c r="N33" s="16" t="n">
        <v>0</v>
      </c>
      <c r="O33" s="16" t="n">
        <f aca="false">L33+M33+N33</f>
        <v>0.00628128219632016</v>
      </c>
      <c r="P33" s="21" t="n">
        <f aca="false">P32*(1+O33)</f>
        <v>1.58344354153497</v>
      </c>
      <c r="Q33" s="21" t="n">
        <f aca="false">MAX($P$5:P33)</f>
        <v>1.65728621161252</v>
      </c>
      <c r="R33" s="16" t="n">
        <f aca="false">P33/Q33-1</f>
        <v>-0.0445563775044601</v>
      </c>
      <c r="S33" s="16" t="n">
        <f aca="false">O33-Benchmark_RF!D33</f>
        <v>0.00142084181958944</v>
      </c>
    </row>
    <row r="34" customFormat="false" ht="15" hidden="false" customHeight="true" outlineLevel="0" collapsed="false">
      <c r="A34" s="1" t="n">
        <v>37</v>
      </c>
      <c r="B34" s="13" t="n">
        <f aca="false">Returns!A38</f>
        <v>43101</v>
      </c>
      <c r="C34" s="17" t="n">
        <f aca="false">IF(Rankings!C38&lt;=5,1,0)</f>
        <v>1</v>
      </c>
      <c r="D34" s="17" t="n">
        <f aca="false">IF(Rankings!D38&lt;=5,1,0)</f>
        <v>1</v>
      </c>
      <c r="E34" s="17" t="n">
        <f aca="false">IF(Rankings!E38&lt;=5,1,0)</f>
        <v>1</v>
      </c>
      <c r="F34" s="17" t="n">
        <f aca="false">IF(Rankings!F38&lt;=5,1,0)</f>
        <v>0</v>
      </c>
      <c r="G34" s="17" t="n">
        <f aca="false">IF(Rankings!G38&lt;=5,1,0)</f>
        <v>0</v>
      </c>
      <c r="H34" s="17" t="n">
        <f aca="false">IF(Rankings!H38&lt;=5,1,0)</f>
        <v>1</v>
      </c>
      <c r="I34" s="17" t="n">
        <f aca="false">IF(Rankings!I38&lt;=5,1,0)</f>
        <v>1</v>
      </c>
      <c r="J34" s="17" t="n">
        <f aca="false">IF(Rankings!J38&lt;=5,1,0)</f>
        <v>0</v>
      </c>
      <c r="K34" s="20" t="n">
        <f aca="false">SUM(C34:J34)</f>
        <v>5</v>
      </c>
      <c r="L34" s="16" t="n">
        <f aca="false">SUMPRODUCT(C34:J34,Returns!B38:I38)/K34</f>
        <v>0.0598032746528112</v>
      </c>
      <c r="M34" s="16" t="n">
        <v>0</v>
      </c>
      <c r="N34" s="16" t="n">
        <v>0</v>
      </c>
      <c r="O34" s="16" t="n">
        <f aca="false">L34+M34+N34</f>
        <v>0.0598032746528112</v>
      </c>
      <c r="P34" s="21" t="n">
        <f aca="false">P33*(1+O34)</f>
        <v>1.67813865054661</v>
      </c>
      <c r="Q34" s="21" t="n">
        <f aca="false">MAX($P$5:P34)</f>
        <v>1.67813865054661</v>
      </c>
      <c r="R34" s="16" t="n">
        <f aca="false">P34/Q34-1</f>
        <v>0</v>
      </c>
      <c r="S34" s="16" t="n">
        <f aca="false">O34-Benchmark_RF!D34</f>
        <v>0.054777862513975</v>
      </c>
    </row>
    <row r="35" customFormat="false" ht="15" hidden="false" customHeight="true" outlineLevel="0" collapsed="false">
      <c r="A35" s="1" t="n">
        <v>38</v>
      </c>
      <c r="B35" s="13" t="n">
        <f aca="false">Returns!A39</f>
        <v>43132</v>
      </c>
      <c r="C35" s="17" t="n">
        <f aca="false">IF(Rankings!C41&lt;=5,1,0)</f>
        <v>1</v>
      </c>
      <c r="D35" s="17" t="n">
        <f aca="false">IF(Rankings!D41&lt;=5,1,0)</f>
        <v>1</v>
      </c>
      <c r="E35" s="17" t="n">
        <f aca="false">IF(Rankings!E41&lt;=5,1,0)</f>
        <v>1</v>
      </c>
      <c r="F35" s="17" t="n">
        <f aca="false">IF(Rankings!F41&lt;=5,1,0)</f>
        <v>0</v>
      </c>
      <c r="G35" s="17" t="n">
        <f aca="false">IF(Rankings!G41&lt;=5,1,0)</f>
        <v>1</v>
      </c>
      <c r="H35" s="17" t="n">
        <f aca="false">IF(Rankings!H41&lt;=5,1,0)</f>
        <v>0</v>
      </c>
      <c r="I35" s="17" t="n">
        <f aca="false">IF(Rankings!I41&lt;=5,1,0)</f>
        <v>0</v>
      </c>
      <c r="J35" s="17" t="n">
        <f aca="false">IF(Rankings!J41&lt;=5,1,0)</f>
        <v>1</v>
      </c>
      <c r="K35" s="20" t="n">
        <f aca="false">SUM(C35:J35)</f>
        <v>5</v>
      </c>
      <c r="L35" s="16" t="n">
        <f aca="false">SUMPRODUCT(C35:J35,Returns!B39:I39)/K35</f>
        <v>-0.0248767343355184</v>
      </c>
      <c r="M35" s="16" t="n">
        <f aca="false">-2*Assumptions!$B$13</f>
        <v>-0.007</v>
      </c>
      <c r="N35" s="16" t="n">
        <f aca="false">-Assumptions!$B$16*MAX(0,(1+O32)*(1+O33)*(1+O34)-1)</f>
        <v>-0.0287750093702184</v>
      </c>
      <c r="O35" s="16" t="n">
        <f aca="false">L35+M35+N35</f>
        <v>-0.0606517437057368</v>
      </c>
      <c r="P35" s="21" t="n">
        <f aca="false">P34*(1+O35)</f>
        <v>1.57635661521097</v>
      </c>
      <c r="Q35" s="21" t="n">
        <f aca="false">MAX($P$5:P35)</f>
        <v>1.67813865054661</v>
      </c>
      <c r="R35" s="16" t="n">
        <f aca="false">P35/Q35-1</f>
        <v>-0.0606517437057368</v>
      </c>
      <c r="S35" s="16" t="n">
        <f aca="false">O35-Benchmark_RF!D35</f>
        <v>-0.0657025460846117</v>
      </c>
    </row>
    <row r="36" customFormat="false" ht="15" hidden="false" customHeight="true" outlineLevel="0" collapsed="false">
      <c r="A36" s="1" t="n">
        <v>39</v>
      </c>
      <c r="B36" s="13" t="n">
        <f aca="false">Returns!A40</f>
        <v>43160</v>
      </c>
      <c r="C36" s="17" t="n">
        <f aca="false">IF(Rankings!C41&lt;=5,1,0)</f>
        <v>1</v>
      </c>
      <c r="D36" s="17" t="n">
        <f aca="false">IF(Rankings!D41&lt;=5,1,0)</f>
        <v>1</v>
      </c>
      <c r="E36" s="17" t="n">
        <f aca="false">IF(Rankings!E41&lt;=5,1,0)</f>
        <v>1</v>
      </c>
      <c r="F36" s="17" t="n">
        <f aca="false">IF(Rankings!F41&lt;=5,1,0)</f>
        <v>0</v>
      </c>
      <c r="G36" s="17" t="n">
        <f aca="false">IF(Rankings!G41&lt;=5,1,0)</f>
        <v>1</v>
      </c>
      <c r="H36" s="17" t="n">
        <f aca="false">IF(Rankings!H41&lt;=5,1,0)</f>
        <v>0</v>
      </c>
      <c r="I36" s="17" t="n">
        <f aca="false">IF(Rankings!I41&lt;=5,1,0)</f>
        <v>0</v>
      </c>
      <c r="J36" s="17" t="n">
        <f aca="false">IF(Rankings!J41&lt;=5,1,0)</f>
        <v>1</v>
      </c>
      <c r="K36" s="20" t="n">
        <f aca="false">SUM(C36:J36)</f>
        <v>5</v>
      </c>
      <c r="L36" s="16" t="n">
        <f aca="false">SUMPRODUCT(C36:J36,Returns!B40:I40)/K36</f>
        <v>0.0569513993038914</v>
      </c>
      <c r="M36" s="16" t="n">
        <v>0</v>
      </c>
      <c r="N36" s="16" t="n">
        <v>0</v>
      </c>
      <c r="O36" s="16" t="n">
        <f aca="false">L36+M36+N36</f>
        <v>0.0569513993038914</v>
      </c>
      <c r="P36" s="21" t="n">
        <f aca="false">P35*(1+O36)</f>
        <v>1.66613233024918</v>
      </c>
      <c r="Q36" s="21" t="n">
        <f aca="false">MAX($P$5:P36)</f>
        <v>1.67813865054661</v>
      </c>
      <c r="R36" s="16" t="n">
        <f aca="false">P36/Q36-1</f>
        <v>-0.00715454607610799</v>
      </c>
      <c r="S36" s="16" t="n">
        <f aca="false">O36-Benchmark_RF!D36</f>
        <v>0.0518793912317763</v>
      </c>
    </row>
    <row r="37" customFormat="false" ht="15" hidden="false" customHeight="true" outlineLevel="0" collapsed="false">
      <c r="A37" s="1" t="n">
        <v>40</v>
      </c>
      <c r="B37" s="13" t="n">
        <f aca="false">Returns!A41</f>
        <v>43191</v>
      </c>
      <c r="C37" s="17" t="n">
        <f aca="false">IF(Rankings!C41&lt;=5,1,0)</f>
        <v>1</v>
      </c>
      <c r="D37" s="17" t="n">
        <f aca="false">IF(Rankings!D41&lt;=5,1,0)</f>
        <v>1</v>
      </c>
      <c r="E37" s="17" t="n">
        <f aca="false">IF(Rankings!E41&lt;=5,1,0)</f>
        <v>1</v>
      </c>
      <c r="F37" s="17" t="n">
        <f aca="false">IF(Rankings!F41&lt;=5,1,0)</f>
        <v>0</v>
      </c>
      <c r="G37" s="17" t="n">
        <f aca="false">IF(Rankings!G41&lt;=5,1,0)</f>
        <v>1</v>
      </c>
      <c r="H37" s="17" t="n">
        <f aca="false">IF(Rankings!H41&lt;=5,1,0)</f>
        <v>0</v>
      </c>
      <c r="I37" s="17" t="n">
        <f aca="false">IF(Rankings!I41&lt;=5,1,0)</f>
        <v>0</v>
      </c>
      <c r="J37" s="17" t="n">
        <f aca="false">IF(Rankings!J41&lt;=5,1,0)</f>
        <v>1</v>
      </c>
      <c r="K37" s="20" t="n">
        <f aca="false">SUM(C37:J37)</f>
        <v>5</v>
      </c>
      <c r="L37" s="16" t="n">
        <f aca="false">SUMPRODUCT(C37:J37,Returns!B41:I41)/K37</f>
        <v>-0.00392690101788178</v>
      </c>
      <c r="M37" s="16" t="n">
        <v>0</v>
      </c>
      <c r="N37" s="16" t="n">
        <v>0</v>
      </c>
      <c r="O37" s="16" t="n">
        <f aca="false">L37+M37+N37</f>
        <v>-0.00392690101788178</v>
      </c>
      <c r="P37" s="21" t="n">
        <f aca="false">P36*(1+O37)</f>
        <v>1.6595895935056</v>
      </c>
      <c r="Q37" s="21" t="n">
        <f aca="false">MAX($P$5:P37)</f>
        <v>1.67813865054661</v>
      </c>
      <c r="R37" s="16" t="n">
        <f aca="false">P37/Q37-1</f>
        <v>-0.0110533518997209</v>
      </c>
      <c r="S37" s="16" t="n">
        <f aca="false">O37-Benchmark_RF!D37</f>
        <v>-0.00898140883555514</v>
      </c>
    </row>
    <row r="38" customFormat="false" ht="15" hidden="false" customHeight="true" outlineLevel="0" collapsed="false">
      <c r="A38" s="1" t="n">
        <v>41</v>
      </c>
      <c r="B38" s="13" t="n">
        <f aca="false">Returns!A42</f>
        <v>43221</v>
      </c>
      <c r="C38" s="17" t="n">
        <f aca="false">IF(Rankings!C44&lt;=5,1,0)</f>
        <v>1</v>
      </c>
      <c r="D38" s="17" t="n">
        <f aca="false">IF(Rankings!D44&lt;=5,1,0)</f>
        <v>0</v>
      </c>
      <c r="E38" s="17" t="n">
        <f aca="false">IF(Rankings!E44&lt;=5,1,0)</f>
        <v>0</v>
      </c>
      <c r="F38" s="17" t="n">
        <f aca="false">IF(Rankings!F44&lt;=5,1,0)</f>
        <v>1</v>
      </c>
      <c r="G38" s="17" t="n">
        <f aca="false">IF(Rankings!G44&lt;=5,1,0)</f>
        <v>1</v>
      </c>
      <c r="H38" s="17" t="n">
        <f aca="false">IF(Rankings!H44&lt;=5,1,0)</f>
        <v>1</v>
      </c>
      <c r="I38" s="17" t="n">
        <f aca="false">IF(Rankings!I44&lt;=5,1,0)</f>
        <v>0</v>
      </c>
      <c r="J38" s="17" t="n">
        <f aca="false">IF(Rankings!J44&lt;=5,1,0)</f>
        <v>1</v>
      </c>
      <c r="K38" s="20" t="n">
        <f aca="false">SUM(C38:J38)</f>
        <v>5</v>
      </c>
      <c r="L38" s="16" t="n">
        <f aca="false">SUMPRODUCT(C38:J38,Returns!B42:I42)/K38</f>
        <v>-0.0488870999683058</v>
      </c>
      <c r="M38" s="16" t="n">
        <f aca="false">-2*Assumptions!$B$13</f>
        <v>-0.007</v>
      </c>
      <c r="N38" s="16" t="n">
        <f aca="false">-Assumptions!$B$16*MAX(0,(1+O35)*(1+O36)*(1+O37)-1)</f>
        <v>-0</v>
      </c>
      <c r="O38" s="16" t="n">
        <f aca="false">L38+M38+N38</f>
        <v>-0.0558870999683058</v>
      </c>
      <c r="P38" s="21" t="n">
        <f aca="false">P37*(1+O38)</f>
        <v>1.56683994398699</v>
      </c>
      <c r="Q38" s="21" t="n">
        <f aca="false">MAX($P$5:P38)</f>
        <v>1.67813865054661</v>
      </c>
      <c r="R38" s="16" t="n">
        <f aca="false">P38/Q38-1</f>
        <v>-0.0663227120854221</v>
      </c>
      <c r="S38" s="16" t="n">
        <f aca="false">O38-Benchmark_RF!D38</f>
        <v>-0.0609586351046398</v>
      </c>
    </row>
    <row r="39" customFormat="false" ht="15" hidden="false" customHeight="true" outlineLevel="0" collapsed="false">
      <c r="A39" s="1" t="n">
        <v>42</v>
      </c>
      <c r="B39" s="13" t="n">
        <f aca="false">Returns!A43</f>
        <v>43252</v>
      </c>
      <c r="C39" s="17" t="n">
        <f aca="false">IF(Rankings!C44&lt;=5,1,0)</f>
        <v>1</v>
      </c>
      <c r="D39" s="17" t="n">
        <f aca="false">IF(Rankings!D44&lt;=5,1,0)</f>
        <v>0</v>
      </c>
      <c r="E39" s="17" t="n">
        <f aca="false">IF(Rankings!E44&lt;=5,1,0)</f>
        <v>0</v>
      </c>
      <c r="F39" s="17" t="n">
        <f aca="false">IF(Rankings!F44&lt;=5,1,0)</f>
        <v>1</v>
      </c>
      <c r="G39" s="17" t="n">
        <f aca="false">IF(Rankings!G44&lt;=5,1,0)</f>
        <v>1</v>
      </c>
      <c r="H39" s="17" t="n">
        <f aca="false">IF(Rankings!H44&lt;=5,1,0)</f>
        <v>1</v>
      </c>
      <c r="I39" s="17" t="n">
        <f aca="false">IF(Rankings!I44&lt;=5,1,0)</f>
        <v>0</v>
      </c>
      <c r="J39" s="17" t="n">
        <f aca="false">IF(Rankings!J44&lt;=5,1,0)</f>
        <v>1</v>
      </c>
      <c r="K39" s="20" t="n">
        <f aca="false">SUM(C39:J39)</f>
        <v>5</v>
      </c>
      <c r="L39" s="16" t="n">
        <f aca="false">SUMPRODUCT(C39:J39,Returns!B43:I43)/K39</f>
        <v>-0.028123315118076</v>
      </c>
      <c r="M39" s="16" t="n">
        <v>0</v>
      </c>
      <c r="N39" s="16" t="n">
        <v>0</v>
      </c>
      <c r="O39" s="16" t="n">
        <f aca="false">L39+M39+N39</f>
        <v>-0.028123315118076</v>
      </c>
      <c r="P39" s="21" t="n">
        <f aca="false">P38*(1+O39)</f>
        <v>1.52277521050265</v>
      </c>
      <c r="Q39" s="21" t="n">
        <f aca="false">MAX($P$5:P39)</f>
        <v>1.67813865054661</v>
      </c>
      <c r="R39" s="16" t="n">
        <f aca="false">P39/Q39-1</f>
        <v>-0.0925808126720343</v>
      </c>
      <c r="S39" s="16" t="n">
        <f aca="false">O39-Benchmark_RF!D39</f>
        <v>-0.0335889018300237</v>
      </c>
    </row>
    <row r="40" customFormat="false" ht="15" hidden="false" customHeight="true" outlineLevel="0" collapsed="false">
      <c r="A40" s="1" t="n">
        <v>43</v>
      </c>
      <c r="B40" s="13" t="n">
        <f aca="false">Returns!A44</f>
        <v>43282</v>
      </c>
      <c r="C40" s="17" t="n">
        <f aca="false">IF(Rankings!C44&lt;=5,1,0)</f>
        <v>1</v>
      </c>
      <c r="D40" s="17" t="n">
        <f aca="false">IF(Rankings!D44&lt;=5,1,0)</f>
        <v>0</v>
      </c>
      <c r="E40" s="17" t="n">
        <f aca="false">IF(Rankings!E44&lt;=5,1,0)</f>
        <v>0</v>
      </c>
      <c r="F40" s="17" t="n">
        <f aca="false">IF(Rankings!F44&lt;=5,1,0)</f>
        <v>1</v>
      </c>
      <c r="G40" s="17" t="n">
        <f aca="false">IF(Rankings!G44&lt;=5,1,0)</f>
        <v>1</v>
      </c>
      <c r="H40" s="17" t="n">
        <f aca="false">IF(Rankings!H44&lt;=5,1,0)</f>
        <v>1</v>
      </c>
      <c r="I40" s="17" t="n">
        <f aca="false">IF(Rankings!I44&lt;=5,1,0)</f>
        <v>0</v>
      </c>
      <c r="J40" s="17" t="n">
        <f aca="false">IF(Rankings!J44&lt;=5,1,0)</f>
        <v>1</v>
      </c>
      <c r="K40" s="20" t="n">
        <f aca="false">SUM(C40:J40)</f>
        <v>5</v>
      </c>
      <c r="L40" s="16" t="n">
        <f aca="false">SUMPRODUCT(C40:J40,Returns!B44:I44)/K40</f>
        <v>0.014845392727566</v>
      </c>
      <c r="M40" s="16" t="n">
        <v>0</v>
      </c>
      <c r="N40" s="16" t="n">
        <v>0</v>
      </c>
      <c r="O40" s="16" t="n">
        <f aca="false">L40+M40+N40</f>
        <v>0.014845392727566</v>
      </c>
      <c r="P40" s="21" t="n">
        <f aca="false">P39*(1+O40)</f>
        <v>1.54538140653837</v>
      </c>
      <c r="Q40" s="21" t="n">
        <f aca="false">MAX($P$5:P40)</f>
        <v>1.67813865054661</v>
      </c>
      <c r="R40" s="16" t="n">
        <f aca="false">P40/Q40-1</f>
        <v>-0.0791098184676219</v>
      </c>
      <c r="S40" s="16" t="n">
        <f aca="false">O40-Benchmark_RF!D40</f>
        <v>0.00862804893451583</v>
      </c>
    </row>
    <row r="41" customFormat="false" ht="15" hidden="false" customHeight="true" outlineLevel="0" collapsed="false">
      <c r="A41" s="1" t="n">
        <v>44</v>
      </c>
      <c r="B41" s="13" t="n">
        <f aca="false">Returns!A45</f>
        <v>43313</v>
      </c>
      <c r="C41" s="17" t="n">
        <f aca="false">IF(Rankings!C47&lt;=5,1,0)</f>
        <v>1</v>
      </c>
      <c r="D41" s="17" t="n">
        <f aca="false">IF(Rankings!D47&lt;=5,1,0)</f>
        <v>1</v>
      </c>
      <c r="E41" s="17" t="n">
        <f aca="false">IF(Rankings!E47&lt;=5,1,0)</f>
        <v>0</v>
      </c>
      <c r="F41" s="17" t="n">
        <f aca="false">IF(Rankings!F47&lt;=5,1,0)</f>
        <v>0</v>
      </c>
      <c r="G41" s="17" t="n">
        <f aca="false">IF(Rankings!G47&lt;=5,1,0)</f>
        <v>1</v>
      </c>
      <c r="H41" s="17" t="n">
        <f aca="false">IF(Rankings!H47&lt;=5,1,0)</f>
        <v>1</v>
      </c>
      <c r="I41" s="17" t="n">
        <f aca="false">IF(Rankings!I47&lt;=5,1,0)</f>
        <v>0</v>
      </c>
      <c r="J41" s="17" t="n">
        <f aca="false">IF(Rankings!J47&lt;=5,1,0)</f>
        <v>1</v>
      </c>
      <c r="K41" s="20" t="n">
        <f aca="false">SUM(C41:J41)</f>
        <v>5</v>
      </c>
      <c r="L41" s="16" t="n">
        <f aca="false">SUMPRODUCT(C41:J41,Returns!B45:I45)/K41</f>
        <v>0.0140143369988927</v>
      </c>
      <c r="M41" s="16" t="n">
        <f aca="false">-2*Assumptions!$B$13</f>
        <v>-0.007</v>
      </c>
      <c r="N41" s="16" t="n">
        <f aca="false">-Assumptions!$B$16*MAX(0,(1+O38)*(1+O39)*(1+O40)-1)</f>
        <v>-0</v>
      </c>
      <c r="O41" s="16" t="n">
        <f aca="false">L41+M41+N41</f>
        <v>0.00701433699889267</v>
      </c>
      <c r="P41" s="21" t="n">
        <f aca="false">P40*(1+O41)</f>
        <v>1.55622123251565</v>
      </c>
      <c r="Q41" s="21" t="n">
        <f aca="false">MAX($P$5:P41)</f>
        <v>1.67813865054661</v>
      </c>
      <c r="R41" s="16" t="n">
        <f aca="false">P41/Q41-1</f>
        <v>-0.0726503843953823</v>
      </c>
      <c r="S41" s="16" t="n">
        <f aca="false">O41-Benchmark_RF!D41</f>
        <v>0.000774655537606945</v>
      </c>
    </row>
    <row r="42" customFormat="false" ht="15" hidden="false" customHeight="true" outlineLevel="0" collapsed="false">
      <c r="A42" s="1" t="n">
        <v>45</v>
      </c>
      <c r="B42" s="13" t="n">
        <f aca="false">Returns!A46</f>
        <v>43344</v>
      </c>
      <c r="C42" s="17" t="n">
        <f aca="false">IF(Rankings!C47&lt;=5,1,0)</f>
        <v>1</v>
      </c>
      <c r="D42" s="17" t="n">
        <f aca="false">IF(Rankings!D47&lt;=5,1,0)</f>
        <v>1</v>
      </c>
      <c r="E42" s="17" t="n">
        <f aca="false">IF(Rankings!E47&lt;=5,1,0)</f>
        <v>0</v>
      </c>
      <c r="F42" s="17" t="n">
        <f aca="false">IF(Rankings!F47&lt;=5,1,0)</f>
        <v>0</v>
      </c>
      <c r="G42" s="17" t="n">
        <f aca="false">IF(Rankings!G47&lt;=5,1,0)</f>
        <v>1</v>
      </c>
      <c r="H42" s="17" t="n">
        <f aca="false">IF(Rankings!H47&lt;=5,1,0)</f>
        <v>1</v>
      </c>
      <c r="I42" s="17" t="n">
        <f aca="false">IF(Rankings!I47&lt;=5,1,0)</f>
        <v>0</v>
      </c>
      <c r="J42" s="17" t="n">
        <f aca="false">IF(Rankings!J47&lt;=5,1,0)</f>
        <v>1</v>
      </c>
      <c r="K42" s="20" t="n">
        <f aca="false">SUM(C42:J42)</f>
        <v>5</v>
      </c>
      <c r="L42" s="16" t="n">
        <f aca="false">SUMPRODUCT(C42:J42,Returns!B46:I46)/K42</f>
        <v>0.00356213337310491</v>
      </c>
      <c r="M42" s="16" t="n">
        <v>0</v>
      </c>
      <c r="N42" s="16" t="n">
        <v>0</v>
      </c>
      <c r="O42" s="16" t="n">
        <f aca="false">L42+M42+N42</f>
        <v>0.00356213337310491</v>
      </c>
      <c r="P42" s="21" t="n">
        <f aca="false">P41*(1+O42)</f>
        <v>1.56176470010393</v>
      </c>
      <c r="Q42" s="21" t="n">
        <f aca="false">MAX($P$5:P42)</f>
        <v>1.67813865054661</v>
      </c>
      <c r="R42" s="16" t="n">
        <f aca="false">P42/Q42-1</f>
        <v>-0.0693470413811012</v>
      </c>
      <c r="S42" s="16" t="n">
        <f aca="false">O42-Benchmark_RF!D42</f>
        <v>-0.00267754808818081</v>
      </c>
    </row>
    <row r="43" customFormat="false" ht="15" hidden="false" customHeight="true" outlineLevel="0" collapsed="false">
      <c r="A43" s="1" t="n">
        <v>46</v>
      </c>
      <c r="B43" s="13" t="n">
        <f aca="false">Returns!A47</f>
        <v>43374</v>
      </c>
      <c r="C43" s="17" t="n">
        <f aca="false">IF(Rankings!C47&lt;=5,1,0)</f>
        <v>1</v>
      </c>
      <c r="D43" s="17" t="n">
        <f aca="false">IF(Rankings!D47&lt;=5,1,0)</f>
        <v>1</v>
      </c>
      <c r="E43" s="17" t="n">
        <f aca="false">IF(Rankings!E47&lt;=5,1,0)</f>
        <v>0</v>
      </c>
      <c r="F43" s="17" t="n">
        <f aca="false">IF(Rankings!F47&lt;=5,1,0)</f>
        <v>0</v>
      </c>
      <c r="G43" s="17" t="n">
        <f aca="false">IF(Rankings!G47&lt;=5,1,0)</f>
        <v>1</v>
      </c>
      <c r="H43" s="17" t="n">
        <f aca="false">IF(Rankings!H47&lt;=5,1,0)</f>
        <v>1</v>
      </c>
      <c r="I43" s="17" t="n">
        <f aca="false">IF(Rankings!I47&lt;=5,1,0)</f>
        <v>0</v>
      </c>
      <c r="J43" s="17" t="n">
        <f aca="false">IF(Rankings!J47&lt;=5,1,0)</f>
        <v>1</v>
      </c>
      <c r="K43" s="20" t="n">
        <f aca="false">SUM(C43:J43)</f>
        <v>5</v>
      </c>
      <c r="L43" s="16" t="n">
        <f aca="false">SUMPRODUCT(C43:J43,Returns!B47:I47)/K43</f>
        <v>0.0331929040481222</v>
      </c>
      <c r="M43" s="16" t="n">
        <v>0</v>
      </c>
      <c r="N43" s="16" t="n">
        <v>0</v>
      </c>
      <c r="O43" s="16" t="n">
        <f aca="false">L43+M43+N43</f>
        <v>0.0331929040481222</v>
      </c>
      <c r="P43" s="21" t="n">
        <f aca="false">P42*(1+O43)</f>
        <v>1.61360420594022</v>
      </c>
      <c r="Q43" s="21" t="n">
        <f aca="false">MAX($P$5:P43)</f>
        <v>1.67813865054661</v>
      </c>
      <c r="R43" s="16" t="n">
        <f aca="false">P43/Q43-1</f>
        <v>-0.038455967023563</v>
      </c>
      <c r="S43" s="16" t="n">
        <f aca="false">O43-Benchmark_RF!D43</f>
        <v>0.0261459656523843</v>
      </c>
    </row>
    <row r="44" customFormat="false" ht="15" hidden="false" customHeight="true" outlineLevel="0" collapsed="false">
      <c r="A44" s="1" t="n">
        <v>47</v>
      </c>
      <c r="B44" s="13" t="n">
        <f aca="false">Returns!A48</f>
        <v>43405</v>
      </c>
      <c r="C44" s="17" t="n">
        <f aca="false">IF(Rankings!C50&lt;=5,1,0)</f>
        <v>1</v>
      </c>
      <c r="D44" s="17" t="n">
        <f aca="false">IF(Rankings!D50&lt;=5,1,0)</f>
        <v>1</v>
      </c>
      <c r="E44" s="17" t="n">
        <f aca="false">IF(Rankings!E50&lt;=5,1,0)</f>
        <v>0</v>
      </c>
      <c r="F44" s="17" t="n">
        <f aca="false">IF(Rankings!F50&lt;=5,1,0)</f>
        <v>0</v>
      </c>
      <c r="G44" s="17" t="n">
        <f aca="false">IF(Rankings!G50&lt;=5,1,0)</f>
        <v>1</v>
      </c>
      <c r="H44" s="17" t="n">
        <f aca="false">IF(Rankings!H50&lt;=5,1,0)</f>
        <v>1</v>
      </c>
      <c r="I44" s="17" t="n">
        <f aca="false">IF(Rankings!I50&lt;=5,1,0)</f>
        <v>1</v>
      </c>
      <c r="J44" s="17" t="n">
        <f aca="false">IF(Rankings!J50&lt;=5,1,0)</f>
        <v>0</v>
      </c>
      <c r="K44" s="20" t="n">
        <f aca="false">SUM(C44:J44)</f>
        <v>5</v>
      </c>
      <c r="L44" s="16" t="n">
        <f aca="false">SUMPRODUCT(C44:J44,Returns!B48:I48)/K44</f>
        <v>-0.0397971137851259</v>
      </c>
      <c r="M44" s="16" t="n">
        <f aca="false">-2*Assumptions!$B$13</f>
        <v>-0.007</v>
      </c>
      <c r="N44" s="16" t="n">
        <f aca="false">-Assumptions!$B$16*MAX(0,(1+O41)*(1+O42)*(1+O43)-1)</f>
        <v>-0.00662193803224342</v>
      </c>
      <c r="O44" s="16" t="n">
        <f aca="false">L44+M44+N44</f>
        <v>-0.0534190518173694</v>
      </c>
      <c r="P44" s="21" t="n">
        <f aca="false">P43*(1+O44)</f>
        <v>1.52740699925038</v>
      </c>
      <c r="Q44" s="21" t="n">
        <f aca="false">MAX($P$5:P44)</f>
        <v>1.67813865054661</v>
      </c>
      <c r="R44" s="16" t="n">
        <f aca="false">P44/Q44-1</f>
        <v>-0.0898207375458135</v>
      </c>
      <c r="S44" s="16" t="n">
        <f aca="false">O44-Benchmark_RF!D44</f>
        <v>-0.060470772683078</v>
      </c>
    </row>
    <row r="45" customFormat="false" ht="15" hidden="false" customHeight="true" outlineLevel="0" collapsed="false">
      <c r="A45" s="1" t="n">
        <v>48</v>
      </c>
      <c r="B45" s="13" t="n">
        <f aca="false">Returns!A49</f>
        <v>43435</v>
      </c>
      <c r="C45" s="17" t="n">
        <f aca="false">IF(Rankings!C50&lt;=5,1,0)</f>
        <v>1</v>
      </c>
      <c r="D45" s="17" t="n">
        <f aca="false">IF(Rankings!D50&lt;=5,1,0)</f>
        <v>1</v>
      </c>
      <c r="E45" s="17" t="n">
        <f aca="false">IF(Rankings!E50&lt;=5,1,0)</f>
        <v>0</v>
      </c>
      <c r="F45" s="17" t="n">
        <f aca="false">IF(Rankings!F50&lt;=5,1,0)</f>
        <v>0</v>
      </c>
      <c r="G45" s="17" t="n">
        <f aca="false">IF(Rankings!G50&lt;=5,1,0)</f>
        <v>1</v>
      </c>
      <c r="H45" s="17" t="n">
        <f aca="false">IF(Rankings!H50&lt;=5,1,0)</f>
        <v>1</v>
      </c>
      <c r="I45" s="17" t="n">
        <f aca="false">IF(Rankings!I50&lt;=5,1,0)</f>
        <v>1</v>
      </c>
      <c r="J45" s="17" t="n">
        <f aca="false">IF(Rankings!J50&lt;=5,1,0)</f>
        <v>0</v>
      </c>
      <c r="K45" s="20" t="n">
        <f aca="false">SUM(C45:J45)</f>
        <v>5</v>
      </c>
      <c r="L45" s="16" t="n">
        <f aca="false">SUMPRODUCT(C45:J45,Returns!B49:I49)/K45</f>
        <v>-0.0932904159743417</v>
      </c>
      <c r="M45" s="16" t="n">
        <v>0</v>
      </c>
      <c r="N45" s="16" t="n">
        <v>0</v>
      </c>
      <c r="O45" s="16" t="n">
        <f aca="false">L45+M45+N45</f>
        <v>-0.0932904159743417</v>
      </c>
      <c r="P45" s="21" t="n">
        <f aca="false">P44*(1+O45)</f>
        <v>1.38491456492819</v>
      </c>
      <c r="Q45" s="21" t="n">
        <f aca="false">MAX($P$5:P45)</f>
        <v>1.67813865054661</v>
      </c>
      <c r="R45" s="16" t="n">
        <f aca="false">P45/Q45-1</f>
        <v>-0.174731739551384</v>
      </c>
      <c r="S45" s="16" t="n">
        <f aca="false">O45-Benchmark_RF!D45</f>
        <v>-0.10149076571704</v>
      </c>
    </row>
    <row r="46" customFormat="false" ht="15" hidden="false" customHeight="true" outlineLevel="0" collapsed="false">
      <c r="A46" s="1" t="n">
        <v>49</v>
      </c>
      <c r="B46" s="13" t="n">
        <f aca="false">Returns!A50</f>
        <v>43466</v>
      </c>
      <c r="C46" s="17" t="n">
        <f aca="false">IF(Rankings!C50&lt;=5,1,0)</f>
        <v>1</v>
      </c>
      <c r="D46" s="17" t="n">
        <f aca="false">IF(Rankings!D50&lt;=5,1,0)</f>
        <v>1</v>
      </c>
      <c r="E46" s="17" t="n">
        <f aca="false">IF(Rankings!E50&lt;=5,1,0)</f>
        <v>0</v>
      </c>
      <c r="F46" s="17" t="n">
        <f aca="false">IF(Rankings!F50&lt;=5,1,0)</f>
        <v>0</v>
      </c>
      <c r="G46" s="17" t="n">
        <f aca="false">IF(Rankings!G50&lt;=5,1,0)</f>
        <v>1</v>
      </c>
      <c r="H46" s="17" t="n">
        <f aca="false">IF(Rankings!H50&lt;=5,1,0)</f>
        <v>1</v>
      </c>
      <c r="I46" s="17" t="n">
        <f aca="false">IF(Rankings!I50&lt;=5,1,0)</f>
        <v>1</v>
      </c>
      <c r="J46" s="17" t="n">
        <f aca="false">IF(Rankings!J50&lt;=5,1,0)</f>
        <v>0</v>
      </c>
      <c r="K46" s="20" t="n">
        <f aca="false">SUM(C46:J46)</f>
        <v>5</v>
      </c>
      <c r="L46" s="16" t="n">
        <f aca="false">SUMPRODUCT(C46:J46,Returns!B50:I50)/K46</f>
        <v>0.0832416408486774</v>
      </c>
      <c r="M46" s="16" t="n">
        <v>0</v>
      </c>
      <c r="N46" s="16" t="n">
        <v>0</v>
      </c>
      <c r="O46" s="16" t="n">
        <f aca="false">L46+M46+N46</f>
        <v>0.0832416408486774</v>
      </c>
      <c r="P46" s="21" t="n">
        <f aca="false">P45*(1+O46)</f>
        <v>1.50019712574804</v>
      </c>
      <c r="Q46" s="21" t="n">
        <f aca="false">MAX($P$5:P46)</f>
        <v>1.67813865054661</v>
      </c>
      <c r="R46" s="16" t="n">
        <f aca="false">P46/Q46-1</f>
        <v>-0.106035055411308</v>
      </c>
      <c r="S46" s="16" t="n">
        <f aca="false">O46-Benchmark_RF!D46</f>
        <v>0.0750379395366416</v>
      </c>
    </row>
    <row r="47" customFormat="false" ht="15" hidden="false" customHeight="true" outlineLevel="0" collapsed="false">
      <c r="A47" s="1" t="n">
        <v>50</v>
      </c>
      <c r="B47" s="13" t="n">
        <f aca="false">Returns!A51</f>
        <v>43497</v>
      </c>
      <c r="C47" s="17" t="n">
        <f aca="false">IF(Rankings!C53&lt;=5,1,0)</f>
        <v>1</v>
      </c>
      <c r="D47" s="17" t="n">
        <f aca="false">IF(Rankings!D53&lt;=5,1,0)</f>
        <v>1</v>
      </c>
      <c r="E47" s="17" t="n">
        <f aca="false">IF(Rankings!E53&lt;=5,1,0)</f>
        <v>1</v>
      </c>
      <c r="F47" s="17" t="n">
        <f aca="false">IF(Rankings!F53&lt;=5,1,0)</f>
        <v>0</v>
      </c>
      <c r="G47" s="17" t="n">
        <f aca="false">IF(Rankings!G53&lt;=5,1,0)</f>
        <v>1</v>
      </c>
      <c r="H47" s="17" t="n">
        <f aca="false">IF(Rankings!H53&lt;=5,1,0)</f>
        <v>0</v>
      </c>
      <c r="I47" s="17" t="n">
        <f aca="false">IF(Rankings!I53&lt;=5,1,0)</f>
        <v>1</v>
      </c>
      <c r="J47" s="17" t="n">
        <f aca="false">IF(Rankings!J53&lt;=5,1,0)</f>
        <v>0</v>
      </c>
      <c r="K47" s="20" t="n">
        <f aca="false">SUM(C47:J47)</f>
        <v>5</v>
      </c>
      <c r="L47" s="16" t="n">
        <f aca="false">SUMPRODUCT(C47:J47,Returns!B51:I51)/K47</f>
        <v>0.00569670598478271</v>
      </c>
      <c r="M47" s="16" t="n">
        <f aca="false">-2*Assumptions!$B$13</f>
        <v>-0.007</v>
      </c>
      <c r="N47" s="16" t="n">
        <f aca="false">-Assumptions!$B$16*MAX(0,(1+O44)*(1+O45)*(1+O46)-1)</f>
        <v>-0</v>
      </c>
      <c r="O47" s="16" t="n">
        <f aca="false">L47+M47+N47</f>
        <v>-0.00130329401521729</v>
      </c>
      <c r="P47" s="21" t="n">
        <f aca="false">P46*(1+O47)</f>
        <v>1.49824192781241</v>
      </c>
      <c r="Q47" s="21" t="n">
        <f aca="false">MAX($P$5:P47)</f>
        <v>1.67813865054661</v>
      </c>
      <c r="R47" s="16" t="n">
        <f aca="false">P47/Q47-1</f>
        <v>-0.107200154573404</v>
      </c>
      <c r="S47" s="16" t="n">
        <f aca="false">O47-Benchmark_RF!D47</f>
        <v>-0.00969631223056373</v>
      </c>
    </row>
    <row r="48" customFormat="false" ht="15" hidden="false" customHeight="true" outlineLevel="0" collapsed="false">
      <c r="A48" s="1" t="n">
        <v>51</v>
      </c>
      <c r="B48" s="13" t="n">
        <f aca="false">Returns!A52</f>
        <v>43525</v>
      </c>
      <c r="C48" s="17" t="n">
        <f aca="false">IF(Rankings!C53&lt;=5,1,0)</f>
        <v>1</v>
      </c>
      <c r="D48" s="17" t="n">
        <f aca="false">IF(Rankings!D53&lt;=5,1,0)</f>
        <v>1</v>
      </c>
      <c r="E48" s="17" t="n">
        <f aca="false">IF(Rankings!E53&lt;=5,1,0)</f>
        <v>1</v>
      </c>
      <c r="F48" s="17" t="n">
        <f aca="false">IF(Rankings!F53&lt;=5,1,0)</f>
        <v>0</v>
      </c>
      <c r="G48" s="17" t="n">
        <f aca="false">IF(Rankings!G53&lt;=5,1,0)</f>
        <v>1</v>
      </c>
      <c r="H48" s="17" t="n">
        <f aca="false">IF(Rankings!H53&lt;=5,1,0)</f>
        <v>0</v>
      </c>
      <c r="I48" s="17" t="n">
        <f aca="false">IF(Rankings!I53&lt;=5,1,0)</f>
        <v>1</v>
      </c>
      <c r="J48" s="17" t="n">
        <f aca="false">IF(Rankings!J53&lt;=5,1,0)</f>
        <v>0</v>
      </c>
      <c r="K48" s="20" t="n">
        <f aca="false">SUM(C48:J48)</f>
        <v>5</v>
      </c>
      <c r="L48" s="16" t="n">
        <f aca="false">SUMPRODUCT(C48:J48,Returns!B52:I52)/K48</f>
        <v>-0.0154895685084553</v>
      </c>
      <c r="M48" s="16" t="n">
        <v>0</v>
      </c>
      <c r="N48" s="16" t="n">
        <v>0</v>
      </c>
      <c r="O48" s="16" t="n">
        <f aca="false">L48+M48+N48</f>
        <v>-0.0154895685084553</v>
      </c>
      <c r="P48" s="21" t="n">
        <f aca="false">P47*(1+O48)</f>
        <v>1.47503480682932</v>
      </c>
      <c r="Q48" s="21" t="n">
        <f aca="false">MAX($P$5:P48)</f>
        <v>1.67813865054661</v>
      </c>
      <c r="R48" s="16" t="n">
        <f aca="false">P48/Q48-1</f>
        <v>-0.121029238943478</v>
      </c>
      <c r="S48" s="16" t="n">
        <f aca="false">O48-Benchmark_RF!D48</f>
        <v>-0.0238772656256842</v>
      </c>
    </row>
    <row r="49" customFormat="false" ht="15" hidden="false" customHeight="true" outlineLevel="0" collapsed="false">
      <c r="A49" s="1" t="n">
        <v>52</v>
      </c>
      <c r="B49" s="13" t="n">
        <f aca="false">Returns!A53</f>
        <v>43556</v>
      </c>
      <c r="C49" s="17" t="n">
        <f aca="false">IF(Rankings!C53&lt;=5,1,0)</f>
        <v>1</v>
      </c>
      <c r="D49" s="17" t="n">
        <f aca="false">IF(Rankings!D53&lt;=5,1,0)</f>
        <v>1</v>
      </c>
      <c r="E49" s="17" t="n">
        <f aca="false">IF(Rankings!E53&lt;=5,1,0)</f>
        <v>1</v>
      </c>
      <c r="F49" s="17" t="n">
        <f aca="false">IF(Rankings!F53&lt;=5,1,0)</f>
        <v>0</v>
      </c>
      <c r="G49" s="17" t="n">
        <f aca="false">IF(Rankings!G53&lt;=5,1,0)</f>
        <v>1</v>
      </c>
      <c r="H49" s="17" t="n">
        <f aca="false">IF(Rankings!H53&lt;=5,1,0)</f>
        <v>0</v>
      </c>
      <c r="I49" s="17" t="n">
        <f aca="false">IF(Rankings!I53&lt;=5,1,0)</f>
        <v>1</v>
      </c>
      <c r="J49" s="17" t="n">
        <f aca="false">IF(Rankings!J53&lt;=5,1,0)</f>
        <v>0</v>
      </c>
      <c r="K49" s="20" t="n">
        <f aca="false">SUM(C49:J49)</f>
        <v>5</v>
      </c>
      <c r="L49" s="16" t="n">
        <f aca="false">SUMPRODUCT(C49:J49,Returns!B53:I53)/K49</f>
        <v>-0.041342191474523</v>
      </c>
      <c r="M49" s="16" t="n">
        <v>0</v>
      </c>
      <c r="N49" s="16" t="n">
        <v>0</v>
      </c>
      <c r="O49" s="16" t="n">
        <f aca="false">L49+M49+N49</f>
        <v>-0.041342191474523</v>
      </c>
      <c r="P49" s="21" t="n">
        <f aca="false">P48*(1+O49)</f>
        <v>1.4140536354138</v>
      </c>
      <c r="Q49" s="21" t="n">
        <f aca="false">MAX($P$5:P49)</f>
        <v>1.67813865054661</v>
      </c>
      <c r="R49" s="16" t="n">
        <f aca="false">P49/Q49-1</f>
        <v>-0.157367816447584</v>
      </c>
      <c r="S49" s="16" t="n">
        <f aca="false">O49-Benchmark_RF!D49</f>
        <v>-0.0500391393516301</v>
      </c>
    </row>
    <row r="50" customFormat="false" ht="15" hidden="false" customHeight="true" outlineLevel="0" collapsed="false">
      <c r="A50" s="1" t="n">
        <v>53</v>
      </c>
      <c r="B50" s="13" t="n">
        <f aca="false">Returns!A54</f>
        <v>43586</v>
      </c>
      <c r="C50" s="17" t="n">
        <f aca="false">IF(Rankings!C56&lt;=5,1,0)</f>
        <v>1</v>
      </c>
      <c r="D50" s="17" t="n">
        <f aca="false">IF(Rankings!D56&lt;=5,1,0)</f>
        <v>1</v>
      </c>
      <c r="E50" s="17" t="n">
        <f aca="false">IF(Rankings!E56&lt;=5,1,0)</f>
        <v>1</v>
      </c>
      <c r="F50" s="17" t="n">
        <f aca="false">IF(Rankings!F56&lt;=5,1,0)</f>
        <v>0</v>
      </c>
      <c r="G50" s="17" t="n">
        <f aca="false">IF(Rankings!G56&lt;=5,1,0)</f>
        <v>1</v>
      </c>
      <c r="H50" s="17" t="n">
        <f aca="false">IF(Rankings!H56&lt;=5,1,0)</f>
        <v>0</v>
      </c>
      <c r="I50" s="17" t="n">
        <f aca="false">IF(Rankings!I56&lt;=5,1,0)</f>
        <v>0</v>
      </c>
      <c r="J50" s="17" t="n">
        <f aca="false">IF(Rankings!J56&lt;=5,1,0)</f>
        <v>1</v>
      </c>
      <c r="K50" s="20" t="n">
        <f aca="false">SUM(C50:J50)</f>
        <v>5</v>
      </c>
      <c r="L50" s="16" t="n">
        <f aca="false">SUMPRODUCT(C50:J50,Returns!B54:I54)/K50</f>
        <v>0.0271691117849194</v>
      </c>
      <c r="M50" s="16" t="n">
        <f aca="false">-2*Assumptions!$B$13</f>
        <v>-0.007</v>
      </c>
      <c r="N50" s="16" t="n">
        <f aca="false">-Assumptions!$B$16*MAX(0,(1+O47)*(1+O48)*(1+O49)-1)</f>
        <v>-0</v>
      </c>
      <c r="O50" s="16" t="n">
        <f aca="false">L50+M50+N50</f>
        <v>0.0201691117849194</v>
      </c>
      <c r="P50" s="21" t="n">
        <f aca="false">P49*(1+O50)</f>
        <v>1.44257384125633</v>
      </c>
      <c r="Q50" s="21" t="n">
        <f aca="false">MAX($P$5:P50)</f>
        <v>1.67813865054661</v>
      </c>
      <c r="R50" s="16" t="n">
        <f aca="false">P50/Q50-1</f>
        <v>-0.140372673743944</v>
      </c>
      <c r="S50" s="16" t="n">
        <f aca="false">O50-Benchmark_RF!D50</f>
        <v>0.0102496691122513</v>
      </c>
    </row>
    <row r="51" customFormat="false" ht="15" hidden="false" customHeight="true" outlineLevel="0" collapsed="false">
      <c r="A51" s="1" t="n">
        <v>54</v>
      </c>
      <c r="B51" s="13" t="n">
        <f aca="false">Returns!A55</f>
        <v>43617</v>
      </c>
      <c r="C51" s="17" t="n">
        <f aca="false">IF(Rankings!C56&lt;=5,1,0)</f>
        <v>1</v>
      </c>
      <c r="D51" s="17" t="n">
        <f aca="false">IF(Rankings!D56&lt;=5,1,0)</f>
        <v>1</v>
      </c>
      <c r="E51" s="17" t="n">
        <f aca="false">IF(Rankings!E56&lt;=5,1,0)</f>
        <v>1</v>
      </c>
      <c r="F51" s="17" t="n">
        <f aca="false">IF(Rankings!F56&lt;=5,1,0)</f>
        <v>0</v>
      </c>
      <c r="G51" s="17" t="n">
        <f aca="false">IF(Rankings!G56&lt;=5,1,0)</f>
        <v>1</v>
      </c>
      <c r="H51" s="17" t="n">
        <f aca="false">IF(Rankings!H56&lt;=5,1,0)</f>
        <v>0</v>
      </c>
      <c r="I51" s="17" t="n">
        <f aca="false">IF(Rankings!I56&lt;=5,1,0)</f>
        <v>0</v>
      </c>
      <c r="J51" s="17" t="n">
        <f aca="false">IF(Rankings!J56&lt;=5,1,0)</f>
        <v>1</v>
      </c>
      <c r="K51" s="20" t="n">
        <f aca="false">SUM(C51:J51)</f>
        <v>5</v>
      </c>
      <c r="L51" s="16" t="n">
        <f aca="false">SUMPRODUCT(C51:J51,Returns!B55:I55)/K51</f>
        <v>-0.0804286891863052</v>
      </c>
      <c r="M51" s="16" t="n">
        <v>0</v>
      </c>
      <c r="N51" s="16" t="n">
        <v>0</v>
      </c>
      <c r="O51" s="16" t="n">
        <f aca="false">L51+M51+N51</f>
        <v>-0.0804286891863052</v>
      </c>
      <c r="P51" s="21" t="n">
        <f aca="false">P50*(1+O51)</f>
        <v>1.32654951814963</v>
      </c>
      <c r="Q51" s="21" t="n">
        <f aca="false">MAX($P$5:P51)</f>
        <v>1.67813865054661</v>
      </c>
      <c r="R51" s="16" t="n">
        <f aca="false">P51/Q51-1</f>
        <v>-0.209511372783447</v>
      </c>
      <c r="S51" s="16" t="n">
        <f aca="false">O51-Benchmark_RF!D51</f>
        <v>-0.0904702072131918</v>
      </c>
    </row>
    <row r="52" customFormat="false" ht="15" hidden="false" customHeight="true" outlineLevel="0" collapsed="false">
      <c r="A52" s="1" t="n">
        <v>55</v>
      </c>
      <c r="B52" s="13" t="n">
        <f aca="false">Returns!A56</f>
        <v>43647</v>
      </c>
      <c r="C52" s="17" t="n">
        <f aca="false">IF(Rankings!C56&lt;=5,1,0)</f>
        <v>1</v>
      </c>
      <c r="D52" s="17" t="n">
        <f aca="false">IF(Rankings!D56&lt;=5,1,0)</f>
        <v>1</v>
      </c>
      <c r="E52" s="17" t="n">
        <f aca="false">IF(Rankings!E56&lt;=5,1,0)</f>
        <v>1</v>
      </c>
      <c r="F52" s="17" t="n">
        <f aca="false">IF(Rankings!F56&lt;=5,1,0)</f>
        <v>0</v>
      </c>
      <c r="G52" s="17" t="n">
        <f aca="false">IF(Rankings!G56&lt;=5,1,0)</f>
        <v>1</v>
      </c>
      <c r="H52" s="17" t="n">
        <f aca="false">IF(Rankings!H56&lt;=5,1,0)</f>
        <v>0</v>
      </c>
      <c r="I52" s="17" t="n">
        <f aca="false">IF(Rankings!I56&lt;=5,1,0)</f>
        <v>0</v>
      </c>
      <c r="J52" s="17" t="n">
        <f aca="false">IF(Rankings!J56&lt;=5,1,0)</f>
        <v>1</v>
      </c>
      <c r="K52" s="20" t="n">
        <f aca="false">SUM(C52:J52)</f>
        <v>5</v>
      </c>
      <c r="L52" s="16" t="n">
        <f aca="false">SUMPRODUCT(C52:J52,Returns!B56:I56)/K52</f>
        <v>-0.0335342729756317</v>
      </c>
      <c r="M52" s="16" t="n">
        <v>0</v>
      </c>
      <c r="N52" s="16" t="n">
        <v>0</v>
      </c>
      <c r="O52" s="16" t="n">
        <f aca="false">L52+M52+N52</f>
        <v>-0.0335342729756317</v>
      </c>
      <c r="P52" s="21" t="n">
        <f aca="false">P51*(1+O52)</f>
        <v>1.28206464449231</v>
      </c>
      <c r="Q52" s="21" t="n">
        <f aca="false">MAX($P$5:P52)</f>
        <v>1.67813865054661</v>
      </c>
      <c r="R52" s="16" t="n">
        <f aca="false">P52/Q52-1</f>
        <v>-0.236019834192659</v>
      </c>
      <c r="S52" s="16" t="n">
        <f aca="false">O52-Benchmark_RF!D52</f>
        <v>-0.0443249998166463</v>
      </c>
    </row>
    <row r="53" customFormat="false" ht="15" hidden="false" customHeight="true" outlineLevel="0" collapsed="false">
      <c r="A53" s="1" t="n">
        <v>56</v>
      </c>
      <c r="B53" s="13" t="n">
        <f aca="false">Returns!A57</f>
        <v>43678</v>
      </c>
      <c r="C53" s="17" t="n">
        <f aca="false">IF(Rankings!C59&lt;=5,1,0)</f>
        <v>1</v>
      </c>
      <c r="D53" s="17" t="n">
        <f aca="false">IF(Rankings!D59&lt;=5,1,0)</f>
        <v>1</v>
      </c>
      <c r="E53" s="17" t="n">
        <f aca="false">IF(Rankings!E59&lt;=5,1,0)</f>
        <v>1</v>
      </c>
      <c r="F53" s="17" t="n">
        <f aca="false">IF(Rankings!F59&lt;=5,1,0)</f>
        <v>0</v>
      </c>
      <c r="G53" s="17" t="n">
        <f aca="false">IF(Rankings!G59&lt;=5,1,0)</f>
        <v>1</v>
      </c>
      <c r="H53" s="17" t="n">
        <f aca="false">IF(Rankings!H59&lt;=5,1,0)</f>
        <v>1</v>
      </c>
      <c r="I53" s="17" t="n">
        <f aca="false">IF(Rankings!I59&lt;=5,1,0)</f>
        <v>0</v>
      </c>
      <c r="J53" s="17" t="n">
        <f aca="false">IF(Rankings!J59&lt;=5,1,0)</f>
        <v>0</v>
      </c>
      <c r="K53" s="20" t="n">
        <f aca="false">SUM(C53:J53)</f>
        <v>5</v>
      </c>
      <c r="L53" s="16" t="n">
        <f aca="false">SUMPRODUCT(C53:J53,Returns!B57:I57)/K53</f>
        <v>-0.0689563488629755</v>
      </c>
      <c r="M53" s="16" t="n">
        <f aca="false">-2*Assumptions!$B$13</f>
        <v>-0.007</v>
      </c>
      <c r="N53" s="16" t="n">
        <f aca="false">-Assumptions!$B$16*MAX(0,(1+O50)*(1+O51)*(1+O52)-1)</f>
        <v>-0</v>
      </c>
      <c r="O53" s="16" t="n">
        <f aca="false">L53+M53+N53</f>
        <v>-0.0759563488629755</v>
      </c>
      <c r="P53" s="21" t="n">
        <f aca="false">P52*(1+O53)</f>
        <v>1.18468369509036</v>
      </c>
      <c r="Q53" s="21" t="n">
        <f aca="false">MAX($P$5:P53)</f>
        <v>1.67813865054661</v>
      </c>
      <c r="R53" s="16" t="n">
        <f aca="false">P53/Q53-1</f>
        <v>-0.294048978191116</v>
      </c>
      <c r="S53" s="16" t="n">
        <f aca="false">O53-Benchmark_RF!D53</f>
        <v>-0.0867495194337642</v>
      </c>
    </row>
    <row r="54" customFormat="false" ht="15" hidden="false" customHeight="true" outlineLevel="0" collapsed="false">
      <c r="A54" s="1" t="n">
        <v>57</v>
      </c>
      <c r="B54" s="13" t="n">
        <f aca="false">Returns!A58</f>
        <v>43709</v>
      </c>
      <c r="C54" s="17" t="n">
        <f aca="false">IF(Rankings!C59&lt;=5,1,0)</f>
        <v>1</v>
      </c>
      <c r="D54" s="17" t="n">
        <f aca="false">IF(Rankings!D59&lt;=5,1,0)</f>
        <v>1</v>
      </c>
      <c r="E54" s="17" t="n">
        <f aca="false">IF(Rankings!E59&lt;=5,1,0)</f>
        <v>1</v>
      </c>
      <c r="F54" s="17" t="n">
        <f aca="false">IF(Rankings!F59&lt;=5,1,0)</f>
        <v>0</v>
      </c>
      <c r="G54" s="17" t="n">
        <f aca="false">IF(Rankings!G59&lt;=5,1,0)</f>
        <v>1</v>
      </c>
      <c r="H54" s="17" t="n">
        <f aca="false">IF(Rankings!H59&lt;=5,1,0)</f>
        <v>1</v>
      </c>
      <c r="I54" s="17" t="n">
        <f aca="false">IF(Rankings!I59&lt;=5,1,0)</f>
        <v>0</v>
      </c>
      <c r="J54" s="17" t="n">
        <f aca="false">IF(Rankings!J59&lt;=5,1,0)</f>
        <v>0</v>
      </c>
      <c r="K54" s="20" t="n">
        <f aca="false">SUM(C54:J54)</f>
        <v>5</v>
      </c>
      <c r="L54" s="16" t="n">
        <f aca="false">SUMPRODUCT(C54:J54,Returns!B58:I58)/K54</f>
        <v>0.0356935871530545</v>
      </c>
      <c r="M54" s="16" t="n">
        <v>0</v>
      </c>
      <c r="N54" s="16" t="n">
        <v>0</v>
      </c>
      <c r="O54" s="16" t="n">
        <f aca="false">L54+M54+N54</f>
        <v>0.0356935871530545</v>
      </c>
      <c r="P54" s="21" t="n">
        <f aca="false">P53*(1+O54)</f>
        <v>1.22696930580987</v>
      </c>
      <c r="Q54" s="21" t="n">
        <f aca="false">MAX($P$5:P54)</f>
        <v>1.67813865054661</v>
      </c>
      <c r="R54" s="16" t="n">
        <f aca="false">P54/Q54-1</f>
        <v>-0.268851053868392</v>
      </c>
      <c r="S54" s="16" t="n">
        <f aca="false">O54-Benchmark_RF!D54</f>
        <v>0.024923449464294</v>
      </c>
    </row>
    <row r="55" customFormat="false" ht="15" hidden="false" customHeight="true" outlineLevel="0" collapsed="false">
      <c r="A55" s="1" t="n">
        <v>58</v>
      </c>
      <c r="B55" s="13" t="n">
        <f aca="false">Returns!A59</f>
        <v>43739</v>
      </c>
      <c r="C55" s="17" t="n">
        <f aca="false">IF(Rankings!C59&lt;=5,1,0)</f>
        <v>1</v>
      </c>
      <c r="D55" s="17" t="n">
        <f aca="false">IF(Rankings!D59&lt;=5,1,0)</f>
        <v>1</v>
      </c>
      <c r="E55" s="17" t="n">
        <f aca="false">IF(Rankings!E59&lt;=5,1,0)</f>
        <v>1</v>
      </c>
      <c r="F55" s="17" t="n">
        <f aca="false">IF(Rankings!F59&lt;=5,1,0)</f>
        <v>0</v>
      </c>
      <c r="G55" s="17" t="n">
        <f aca="false">IF(Rankings!G59&lt;=5,1,0)</f>
        <v>1</v>
      </c>
      <c r="H55" s="17" t="n">
        <f aca="false">IF(Rankings!H59&lt;=5,1,0)</f>
        <v>1</v>
      </c>
      <c r="I55" s="17" t="n">
        <f aca="false">IF(Rankings!I59&lt;=5,1,0)</f>
        <v>0</v>
      </c>
      <c r="J55" s="17" t="n">
        <f aca="false">IF(Rankings!J59&lt;=5,1,0)</f>
        <v>0</v>
      </c>
      <c r="K55" s="20" t="n">
        <f aca="false">SUM(C55:J55)</f>
        <v>5</v>
      </c>
      <c r="L55" s="16" t="n">
        <f aca="false">SUMPRODUCT(C55:J55,Returns!B59:I59)/K55</f>
        <v>0.0388816476156709</v>
      </c>
      <c r="M55" s="16" t="n">
        <v>0</v>
      </c>
      <c r="N55" s="16" t="n">
        <v>0</v>
      </c>
      <c r="O55" s="16" t="n">
        <f aca="false">L55+M55+N55</f>
        <v>0.0388816476156709</v>
      </c>
      <c r="P55" s="21" t="n">
        <f aca="false">P54*(1+O55)</f>
        <v>1.27467589399362</v>
      </c>
      <c r="Q55" s="21" t="n">
        <f aca="false">MAX($P$5:P55)</f>
        <v>1.67813865054661</v>
      </c>
      <c r="R55" s="16" t="n">
        <f aca="false">P55/Q55-1</f>
        <v>-0.240422778190334</v>
      </c>
      <c r="S55" s="16" t="n">
        <f aca="false">O55-Benchmark_RF!D55</f>
        <v>0.0284584413468908</v>
      </c>
    </row>
    <row r="56" customFormat="false" ht="15" hidden="false" customHeight="true" outlineLevel="0" collapsed="false">
      <c r="A56" s="1" t="n">
        <v>59</v>
      </c>
      <c r="B56" s="13" t="n">
        <f aca="false">Returns!A60</f>
        <v>43770</v>
      </c>
      <c r="C56" s="17" t="n">
        <f aca="false">IF(Rankings!C62&lt;=5,1,0)</f>
        <v>0</v>
      </c>
      <c r="D56" s="17" t="n">
        <f aca="false">IF(Rankings!D62&lt;=5,1,0)</f>
        <v>1</v>
      </c>
      <c r="E56" s="17" t="n">
        <f aca="false">IF(Rankings!E62&lt;=5,1,0)</f>
        <v>1</v>
      </c>
      <c r="F56" s="17" t="n">
        <f aca="false">IF(Rankings!F62&lt;=5,1,0)</f>
        <v>1</v>
      </c>
      <c r="G56" s="17" t="n">
        <f aca="false">IF(Rankings!G62&lt;=5,1,0)</f>
        <v>0</v>
      </c>
      <c r="H56" s="17" t="n">
        <f aca="false">IF(Rankings!H62&lt;=5,1,0)</f>
        <v>0</v>
      </c>
      <c r="I56" s="17" t="n">
        <f aca="false">IF(Rankings!I62&lt;=5,1,0)</f>
        <v>1</v>
      </c>
      <c r="J56" s="17" t="n">
        <f aca="false">IF(Rankings!J62&lt;=5,1,0)</f>
        <v>1</v>
      </c>
      <c r="K56" s="20" t="n">
        <f aca="false">SUM(C56:J56)</f>
        <v>5</v>
      </c>
      <c r="L56" s="16" t="n">
        <f aca="false">SUMPRODUCT(C56:J56,Returns!B60:I60)/K56</f>
        <v>0.066725842271687</v>
      </c>
      <c r="M56" s="16" t="n">
        <f aca="false">-2*Assumptions!$B$13</f>
        <v>-0.007</v>
      </c>
      <c r="N56" s="16" t="n">
        <f aca="false">-Assumptions!$B$16*MAX(0,(1+O53)*(1+O54)*(1+O55)-1)</f>
        <v>-0</v>
      </c>
      <c r="O56" s="16" t="n">
        <f aca="false">L56+M56+N56</f>
        <v>0.059725842271687</v>
      </c>
      <c r="P56" s="21" t="n">
        <f aca="false">P55*(1+O56)</f>
        <v>1.3508069853858</v>
      </c>
      <c r="Q56" s="21" t="n">
        <f aca="false">MAX($P$5:P56)</f>
        <v>1.67813865054661</v>
      </c>
      <c r="R56" s="16" t="n">
        <f aca="false">P56/Q56-1</f>
        <v>-0.195056388847364</v>
      </c>
      <c r="S56" s="16" t="n">
        <f aca="false">O56-Benchmark_RF!D56</f>
        <v>0.0491463361627306</v>
      </c>
    </row>
    <row r="57" customFormat="false" ht="15" hidden="false" customHeight="true" outlineLevel="0" collapsed="false">
      <c r="A57" s="1" t="n">
        <v>60</v>
      </c>
      <c r="B57" s="13" t="n">
        <f aca="false">Returns!A61</f>
        <v>43800</v>
      </c>
      <c r="C57" s="17" t="n">
        <f aca="false">IF(Rankings!C62&lt;=5,1,0)</f>
        <v>0</v>
      </c>
      <c r="D57" s="17" t="n">
        <f aca="false">IF(Rankings!D62&lt;=5,1,0)</f>
        <v>1</v>
      </c>
      <c r="E57" s="17" t="n">
        <f aca="false">IF(Rankings!E62&lt;=5,1,0)</f>
        <v>1</v>
      </c>
      <c r="F57" s="17" t="n">
        <f aca="false">IF(Rankings!F62&lt;=5,1,0)</f>
        <v>1</v>
      </c>
      <c r="G57" s="17" t="n">
        <f aca="false">IF(Rankings!G62&lt;=5,1,0)</f>
        <v>0</v>
      </c>
      <c r="H57" s="17" t="n">
        <f aca="false">IF(Rankings!H62&lt;=5,1,0)</f>
        <v>0</v>
      </c>
      <c r="I57" s="17" t="n">
        <f aca="false">IF(Rankings!I62&lt;=5,1,0)</f>
        <v>1</v>
      </c>
      <c r="J57" s="17" t="n">
        <f aca="false">IF(Rankings!J62&lt;=5,1,0)</f>
        <v>1</v>
      </c>
      <c r="K57" s="20" t="n">
        <f aca="false">SUM(C57:J57)</f>
        <v>5</v>
      </c>
      <c r="L57" s="16" t="n">
        <f aca="false">SUMPRODUCT(C57:J57,Returns!B61:I61)/K57</f>
        <v>0.0981128339186925</v>
      </c>
      <c r="M57" s="16" t="n">
        <v>0</v>
      </c>
      <c r="N57" s="16" t="n">
        <v>0</v>
      </c>
      <c r="O57" s="16" t="n">
        <f aca="false">L57+M57+N57</f>
        <v>0.0981128339186925</v>
      </c>
      <c r="P57" s="21" t="n">
        <f aca="false">P56*(1+O57)</f>
        <v>1.48333848679917</v>
      </c>
      <c r="Q57" s="21" t="n">
        <f aca="false">MAX($P$5:P57)</f>
        <v>1.67813865054661</v>
      </c>
      <c r="R57" s="16" t="n">
        <f aca="false">P57/Q57-1</f>
        <v>-0.116081090012432</v>
      </c>
      <c r="S57" s="16" t="n">
        <f aca="false">O57-Benchmark_RF!D57</f>
        <v>0.0875441651290614</v>
      </c>
    </row>
    <row r="58" customFormat="false" ht="15" hidden="false" customHeight="true" outlineLevel="0" collapsed="false">
      <c r="A58" s="1" t="n">
        <v>61</v>
      </c>
      <c r="B58" s="13" t="n">
        <f aca="false">Returns!A62</f>
        <v>43831</v>
      </c>
      <c r="C58" s="17" t="n">
        <f aca="false">IF(Rankings!C62&lt;=5,1,0)</f>
        <v>0</v>
      </c>
      <c r="D58" s="17" t="n">
        <f aca="false">IF(Rankings!D62&lt;=5,1,0)</f>
        <v>1</v>
      </c>
      <c r="E58" s="17" t="n">
        <f aca="false">IF(Rankings!E62&lt;=5,1,0)</f>
        <v>1</v>
      </c>
      <c r="F58" s="17" t="n">
        <f aca="false">IF(Rankings!F62&lt;=5,1,0)</f>
        <v>1</v>
      </c>
      <c r="G58" s="17" t="n">
        <f aca="false">IF(Rankings!G62&lt;=5,1,0)</f>
        <v>0</v>
      </c>
      <c r="H58" s="17" t="n">
        <f aca="false">IF(Rankings!H62&lt;=5,1,0)</f>
        <v>0</v>
      </c>
      <c r="I58" s="17" t="n">
        <f aca="false">IF(Rankings!I62&lt;=5,1,0)</f>
        <v>1</v>
      </c>
      <c r="J58" s="17" t="n">
        <f aca="false">IF(Rankings!J62&lt;=5,1,0)</f>
        <v>1</v>
      </c>
      <c r="K58" s="20" t="n">
        <f aca="false">SUM(C58:J58)</f>
        <v>5</v>
      </c>
      <c r="L58" s="16" t="n">
        <f aca="false">SUMPRODUCT(C58:J58,Returns!B62:I62)/K58</f>
        <v>0.00481679510570865</v>
      </c>
      <c r="M58" s="16" t="n">
        <v>0</v>
      </c>
      <c r="N58" s="16" t="n">
        <v>0</v>
      </c>
      <c r="O58" s="16" t="n">
        <f aca="false">L58+M58+N58</f>
        <v>0.00481679510570865</v>
      </c>
      <c r="P58" s="21" t="n">
        <f aca="false">P57*(1+O58)</f>
        <v>1.49048342436249</v>
      </c>
      <c r="Q58" s="21" t="n">
        <f aca="false">MAX($P$5:P58)</f>
        <v>1.67813865054661</v>
      </c>
      <c r="R58" s="16" t="n">
        <f aca="false">P58/Q58-1</f>
        <v>-0.111823433732961</v>
      </c>
      <c r="S58" s="16" t="n">
        <f aca="false">O58-Benchmark_RF!D58</f>
        <v>-0.00570903148984858</v>
      </c>
    </row>
    <row r="59" customFormat="false" ht="15" hidden="false" customHeight="true" outlineLevel="0" collapsed="false">
      <c r="A59" s="1" t="n">
        <v>62</v>
      </c>
      <c r="B59" s="13" t="n">
        <f aca="false">Returns!A63</f>
        <v>43862</v>
      </c>
      <c r="C59" s="17" t="n">
        <f aca="false">IF(Rankings!C65&lt;=5,1,0)</f>
        <v>1</v>
      </c>
      <c r="D59" s="17" t="n">
        <f aca="false">IF(Rankings!D65&lt;=5,1,0)</f>
        <v>0</v>
      </c>
      <c r="E59" s="17" t="n">
        <f aca="false">IF(Rankings!E65&lt;=5,1,0)</f>
        <v>0</v>
      </c>
      <c r="F59" s="17" t="n">
        <f aca="false">IF(Rankings!F65&lt;=5,1,0)</f>
        <v>1</v>
      </c>
      <c r="G59" s="17" t="n">
        <f aca="false">IF(Rankings!G65&lt;=5,1,0)</f>
        <v>0</v>
      </c>
      <c r="H59" s="17" t="n">
        <f aca="false">IF(Rankings!H65&lt;=5,1,0)</f>
        <v>1</v>
      </c>
      <c r="I59" s="17" t="n">
        <f aca="false">IF(Rankings!I65&lt;=5,1,0)</f>
        <v>1</v>
      </c>
      <c r="J59" s="17" t="n">
        <f aca="false">IF(Rankings!J65&lt;=5,1,0)</f>
        <v>1</v>
      </c>
      <c r="K59" s="20" t="n">
        <f aca="false">SUM(C59:J59)</f>
        <v>5</v>
      </c>
      <c r="L59" s="16" t="n">
        <f aca="false">SUMPRODUCT(C59:J59,Returns!B63:I63)/K59</f>
        <v>-0.0484433217568299</v>
      </c>
      <c r="M59" s="16" t="n">
        <f aca="false">-2*Assumptions!$B$13</f>
        <v>-0.007</v>
      </c>
      <c r="N59" s="16" t="n">
        <f aca="false">-Assumptions!$B$16*MAX(0,(1+O56)*(1+O57)*(1+O58)-1)</f>
        <v>-0.0253955767955343</v>
      </c>
      <c r="O59" s="16" t="n">
        <f aca="false">L59+M59+N59</f>
        <v>-0.0808388985523643</v>
      </c>
      <c r="P59" s="21" t="n">
        <f aca="false">P58*(1+O59)</f>
        <v>1.36999438602647</v>
      </c>
      <c r="Q59" s="21" t="n">
        <f aca="false">MAX($P$5:P59)</f>
        <v>1.67813865054661</v>
      </c>
      <c r="R59" s="16" t="n">
        <f aca="false">P59/Q59-1</f>
        <v>-0.183622649070009</v>
      </c>
      <c r="S59" s="16" t="n">
        <f aca="false">O59-Benchmark_RF!D59</f>
        <v>-0.0913592292093237</v>
      </c>
    </row>
    <row r="60" customFormat="false" ht="15" hidden="false" customHeight="true" outlineLevel="0" collapsed="false">
      <c r="A60" s="1" t="n">
        <v>63</v>
      </c>
      <c r="B60" s="13" t="n">
        <f aca="false">Returns!A64</f>
        <v>43891</v>
      </c>
      <c r="C60" s="17" t="n">
        <f aca="false">IF(Rankings!C65&lt;=5,1,0)</f>
        <v>1</v>
      </c>
      <c r="D60" s="17" t="n">
        <f aca="false">IF(Rankings!D65&lt;=5,1,0)</f>
        <v>0</v>
      </c>
      <c r="E60" s="17" t="n">
        <f aca="false">IF(Rankings!E65&lt;=5,1,0)</f>
        <v>0</v>
      </c>
      <c r="F60" s="17" t="n">
        <f aca="false">IF(Rankings!F65&lt;=5,1,0)</f>
        <v>1</v>
      </c>
      <c r="G60" s="17" t="n">
        <f aca="false">IF(Rankings!G65&lt;=5,1,0)</f>
        <v>0</v>
      </c>
      <c r="H60" s="17" t="n">
        <f aca="false">IF(Rankings!H65&lt;=5,1,0)</f>
        <v>1</v>
      </c>
      <c r="I60" s="17" t="n">
        <f aca="false">IF(Rankings!I65&lt;=5,1,0)</f>
        <v>1</v>
      </c>
      <c r="J60" s="17" t="n">
        <f aca="false">IF(Rankings!J65&lt;=5,1,0)</f>
        <v>1</v>
      </c>
      <c r="K60" s="20" t="n">
        <f aca="false">SUM(C60:J60)</f>
        <v>5</v>
      </c>
      <c r="L60" s="16" t="n">
        <f aca="false">SUMPRODUCT(C60:J60,Returns!B64:I64)/K60</f>
        <v>-0.278112959303834</v>
      </c>
      <c r="M60" s="16" t="n">
        <v>0</v>
      </c>
      <c r="N60" s="16" t="n">
        <v>0</v>
      </c>
      <c r="O60" s="16" t="n">
        <f aca="false">L60+M60+N60</f>
        <v>-0.278112959303834</v>
      </c>
      <c r="P60" s="21" t="n">
        <f aca="false">P59*(1+O60)</f>
        <v>0.988981193099011</v>
      </c>
      <c r="Q60" s="21" t="n">
        <f aca="false">MAX($P$5:P60)</f>
        <v>1.67813865054661</v>
      </c>
      <c r="R60" s="16" t="n">
        <f aca="false">P60/Q60-1</f>
        <v>-0.410667770045773</v>
      </c>
      <c r="S60" s="16" t="n">
        <f aca="false">O60-Benchmark_RF!D60</f>
        <v>-0.287012044334627</v>
      </c>
    </row>
    <row r="61" customFormat="false" ht="15" hidden="false" customHeight="true" outlineLevel="0" collapsed="false">
      <c r="A61" s="1" t="n">
        <v>64</v>
      </c>
      <c r="B61" s="13" t="n">
        <f aca="false">Returns!A65</f>
        <v>43922</v>
      </c>
      <c r="C61" s="17" t="n">
        <f aca="false">IF(Rankings!C65&lt;=5,1,0)</f>
        <v>1</v>
      </c>
      <c r="D61" s="17" t="n">
        <f aca="false">IF(Rankings!D65&lt;=5,1,0)</f>
        <v>0</v>
      </c>
      <c r="E61" s="17" t="n">
        <f aca="false">IF(Rankings!E65&lt;=5,1,0)</f>
        <v>0</v>
      </c>
      <c r="F61" s="17" t="n">
        <f aca="false">IF(Rankings!F65&lt;=5,1,0)</f>
        <v>1</v>
      </c>
      <c r="G61" s="17" t="n">
        <f aca="false">IF(Rankings!G65&lt;=5,1,0)</f>
        <v>0</v>
      </c>
      <c r="H61" s="17" t="n">
        <f aca="false">IF(Rankings!H65&lt;=5,1,0)</f>
        <v>1</v>
      </c>
      <c r="I61" s="17" t="n">
        <f aca="false">IF(Rankings!I65&lt;=5,1,0)</f>
        <v>1</v>
      </c>
      <c r="J61" s="17" t="n">
        <f aca="false">IF(Rankings!J65&lt;=5,1,0)</f>
        <v>1</v>
      </c>
      <c r="K61" s="20" t="n">
        <f aca="false">SUM(C61:J61)</f>
        <v>5</v>
      </c>
      <c r="L61" s="16" t="n">
        <f aca="false">SUMPRODUCT(C61:J61,Returns!B65:I65)/K61</f>
        <v>0.161479474382132</v>
      </c>
      <c r="M61" s="16" t="n">
        <v>0</v>
      </c>
      <c r="N61" s="16" t="n">
        <v>0</v>
      </c>
      <c r="O61" s="16" t="n">
        <f aca="false">L61+M61+N61</f>
        <v>0.161479474382132</v>
      </c>
      <c r="P61" s="21" t="n">
        <f aca="false">P60*(1+O61)</f>
        <v>1.14868135633445</v>
      </c>
      <c r="Q61" s="21" t="n">
        <f aca="false">MAX($P$5:P61)</f>
        <v>1.67813865054661</v>
      </c>
      <c r="R61" s="16" t="n">
        <f aca="false">P61/Q61-1</f>
        <v>-0.315502711316315</v>
      </c>
      <c r="S61" s="16" t="n">
        <f aca="false">O61-Benchmark_RF!D61</f>
        <v>0.154879409141772</v>
      </c>
    </row>
    <row r="62" customFormat="false" ht="15" hidden="false" customHeight="true" outlineLevel="0" collapsed="false">
      <c r="A62" s="1" t="n">
        <v>65</v>
      </c>
      <c r="B62" s="13" t="n">
        <f aca="false">Returns!A66</f>
        <v>43952</v>
      </c>
      <c r="C62" s="17" t="n">
        <f aca="false">IF(Rankings!C68&lt;=5,1,0)</f>
        <v>0</v>
      </c>
      <c r="D62" s="17" t="n">
        <f aca="false">IF(Rankings!D68&lt;=5,1,0)</f>
        <v>0</v>
      </c>
      <c r="E62" s="17" t="n">
        <f aca="false">IF(Rankings!E68&lt;=5,1,0)</f>
        <v>1</v>
      </c>
      <c r="F62" s="17" t="n">
        <f aca="false">IF(Rankings!F68&lt;=5,1,0)</f>
        <v>1</v>
      </c>
      <c r="G62" s="17" t="n">
        <f aca="false">IF(Rankings!G68&lt;=5,1,0)</f>
        <v>1</v>
      </c>
      <c r="H62" s="17" t="n">
        <f aca="false">IF(Rankings!H68&lt;=5,1,0)</f>
        <v>0</v>
      </c>
      <c r="I62" s="17" t="n">
        <f aca="false">IF(Rankings!I68&lt;=5,1,0)</f>
        <v>1</v>
      </c>
      <c r="J62" s="17" t="n">
        <f aca="false">IF(Rankings!J68&lt;=5,1,0)</f>
        <v>1</v>
      </c>
      <c r="K62" s="20" t="n">
        <f aca="false">SUM(C62:J62)</f>
        <v>5</v>
      </c>
      <c r="L62" s="16" t="n">
        <f aca="false">SUMPRODUCT(C62:J62,Returns!B66:I66)/K62</f>
        <v>0.0570396372974839</v>
      </c>
      <c r="M62" s="16" t="n">
        <f aca="false">-2*Assumptions!$B$13</f>
        <v>-0.007</v>
      </c>
      <c r="N62" s="16" t="n">
        <f aca="false">-Assumptions!$B$16*MAX(0,(1+O59)*(1+O60)*(1+O61)-1)</f>
        <v>-0</v>
      </c>
      <c r="O62" s="16" t="n">
        <f aca="false">L62+M62+N62</f>
        <v>0.0500396372974839</v>
      </c>
      <c r="P62" s="21" t="n">
        <f aca="false">P61*(1+O62)</f>
        <v>1.20616095477581</v>
      </c>
      <c r="Q62" s="21" t="n">
        <f aca="false">MAX($P$5:P62)</f>
        <v>1.67813865054661</v>
      </c>
      <c r="R62" s="16" t="n">
        <f aca="false">P62/Q62-1</f>
        <v>-0.281250715259472</v>
      </c>
      <c r="S62" s="16" t="n">
        <f aca="false">O62-Benchmark_RF!D62</f>
        <v>0.0435119232307813</v>
      </c>
    </row>
    <row r="63" customFormat="false" ht="15" hidden="false" customHeight="true" outlineLevel="0" collapsed="false">
      <c r="A63" s="1" t="n">
        <v>66</v>
      </c>
      <c r="B63" s="13" t="n">
        <f aca="false">Returns!A67</f>
        <v>43983</v>
      </c>
      <c r="C63" s="17" t="n">
        <f aca="false">IF(Rankings!C68&lt;=5,1,0)</f>
        <v>0</v>
      </c>
      <c r="D63" s="17" t="n">
        <f aca="false">IF(Rankings!D68&lt;=5,1,0)</f>
        <v>0</v>
      </c>
      <c r="E63" s="17" t="n">
        <f aca="false">IF(Rankings!E68&lt;=5,1,0)</f>
        <v>1</v>
      </c>
      <c r="F63" s="17" t="n">
        <f aca="false">IF(Rankings!F68&lt;=5,1,0)</f>
        <v>1</v>
      </c>
      <c r="G63" s="17" t="n">
        <f aca="false">IF(Rankings!G68&lt;=5,1,0)</f>
        <v>1</v>
      </c>
      <c r="H63" s="17" t="n">
        <f aca="false">IF(Rankings!H68&lt;=5,1,0)</f>
        <v>0</v>
      </c>
      <c r="I63" s="17" t="n">
        <f aca="false">IF(Rankings!I68&lt;=5,1,0)</f>
        <v>1</v>
      </c>
      <c r="J63" s="17" t="n">
        <f aca="false">IF(Rankings!J68&lt;=5,1,0)</f>
        <v>1</v>
      </c>
      <c r="K63" s="20" t="n">
        <f aca="false">SUM(C63:J63)</f>
        <v>5</v>
      </c>
      <c r="L63" s="16" t="n">
        <f aca="false">SUMPRODUCT(C63:J63,Returns!B67:I67)/K63</f>
        <v>0.0423084835542356</v>
      </c>
      <c r="M63" s="16" t="n">
        <v>0</v>
      </c>
      <c r="N63" s="16" t="n">
        <v>0</v>
      </c>
      <c r="O63" s="16" t="n">
        <f aca="false">L63+M63+N63</f>
        <v>0.0423084835542356</v>
      </c>
      <c r="P63" s="21" t="n">
        <f aca="false">P62*(1+O63)</f>
        <v>1.2571917956947</v>
      </c>
      <c r="Q63" s="21" t="n">
        <f aca="false">MAX($P$5:P63)</f>
        <v>1.67813865054661</v>
      </c>
      <c r="R63" s="16" t="n">
        <f aca="false">P63/Q63-1</f>
        <v>-0.250841522966409</v>
      </c>
      <c r="S63" s="16" t="n">
        <f aca="false">O63-Benchmark_RF!D63</f>
        <v>0.0367728377588893</v>
      </c>
    </row>
    <row r="64" customFormat="false" ht="15" hidden="false" customHeight="true" outlineLevel="0" collapsed="false">
      <c r="A64" s="1" t="n">
        <v>67</v>
      </c>
      <c r="B64" s="13" t="n">
        <f aca="false">Returns!A68</f>
        <v>44013</v>
      </c>
      <c r="C64" s="17" t="n">
        <f aca="false">IF(Rankings!C68&lt;=5,1,0)</f>
        <v>0</v>
      </c>
      <c r="D64" s="17" t="n">
        <f aca="false">IF(Rankings!D68&lt;=5,1,0)</f>
        <v>0</v>
      </c>
      <c r="E64" s="17" t="n">
        <f aca="false">IF(Rankings!E68&lt;=5,1,0)</f>
        <v>1</v>
      </c>
      <c r="F64" s="17" t="n">
        <f aca="false">IF(Rankings!F68&lt;=5,1,0)</f>
        <v>1</v>
      </c>
      <c r="G64" s="17" t="n">
        <f aca="false">IF(Rankings!G68&lt;=5,1,0)</f>
        <v>1</v>
      </c>
      <c r="H64" s="17" t="n">
        <f aca="false">IF(Rankings!H68&lt;=5,1,0)</f>
        <v>0</v>
      </c>
      <c r="I64" s="17" t="n">
        <f aca="false">IF(Rankings!I68&lt;=5,1,0)</f>
        <v>1</v>
      </c>
      <c r="J64" s="17" t="n">
        <f aca="false">IF(Rankings!J68&lt;=5,1,0)</f>
        <v>1</v>
      </c>
      <c r="K64" s="20" t="n">
        <f aca="false">SUM(C64:J64)</f>
        <v>5</v>
      </c>
      <c r="L64" s="16" t="n">
        <f aca="false">SUMPRODUCT(C64:J64,Returns!B68:I68)/K64</f>
        <v>0.148840796996831</v>
      </c>
      <c r="M64" s="16" t="n">
        <v>0</v>
      </c>
      <c r="N64" s="16" t="n">
        <v>0</v>
      </c>
      <c r="O64" s="16" t="n">
        <f aca="false">L64+M64+N64</f>
        <v>0.148840796996831</v>
      </c>
      <c r="P64" s="21" t="n">
        <f aca="false">P63*(1+O64)</f>
        <v>1.44431322454378</v>
      </c>
      <c r="Q64" s="21" t="n">
        <f aca="false">MAX($P$5:P64)</f>
        <v>1.67813865054661</v>
      </c>
      <c r="R64" s="16" t="n">
        <f aca="false">P64/Q64-1</f>
        <v>-0.139336178167798</v>
      </c>
      <c r="S64" s="16" t="n">
        <f aca="false">O64-Benchmark_RF!D64</f>
        <v>0.143285861040188</v>
      </c>
    </row>
    <row r="65" customFormat="false" ht="15" hidden="false" customHeight="true" outlineLevel="0" collapsed="false">
      <c r="A65" s="1" t="n">
        <v>68</v>
      </c>
      <c r="B65" s="13" t="n">
        <f aca="false">Returns!A69</f>
        <v>44044</v>
      </c>
      <c r="C65" s="17" t="n">
        <f aca="false">IF(Rankings!C71&lt;=5,1,0)</f>
        <v>0</v>
      </c>
      <c r="D65" s="17" t="n">
        <f aca="false">IF(Rankings!D71&lt;=5,1,0)</f>
        <v>1</v>
      </c>
      <c r="E65" s="17" t="n">
        <f aca="false">IF(Rankings!E71&lt;=5,1,0)</f>
        <v>0</v>
      </c>
      <c r="F65" s="17" t="n">
        <f aca="false">IF(Rankings!F71&lt;=5,1,0)</f>
        <v>1</v>
      </c>
      <c r="G65" s="17" t="n">
        <f aca="false">IF(Rankings!G71&lt;=5,1,0)</f>
        <v>1</v>
      </c>
      <c r="H65" s="17" t="n">
        <f aca="false">IF(Rankings!H71&lt;=5,1,0)</f>
        <v>0</v>
      </c>
      <c r="I65" s="17" t="n">
        <f aca="false">IF(Rankings!I71&lt;=5,1,0)</f>
        <v>1</v>
      </c>
      <c r="J65" s="17" t="n">
        <f aca="false">IF(Rankings!J71&lt;=5,1,0)</f>
        <v>1</v>
      </c>
      <c r="K65" s="20" t="n">
        <f aca="false">SUM(C65:J65)</f>
        <v>5</v>
      </c>
      <c r="L65" s="16" t="n">
        <f aca="false">SUMPRODUCT(C65:J65,Returns!B69:I69)/K65</f>
        <v>0.0689622200906987</v>
      </c>
      <c r="M65" s="16" t="n">
        <f aca="false">-2*Assumptions!$B$13</f>
        <v>-0.007</v>
      </c>
      <c r="N65" s="16" t="n">
        <f aca="false">-Assumptions!$B$16*MAX(0,(1+O62)*(1+O63)*(1+O64)-1)</f>
        <v>-0.0386049446931979</v>
      </c>
      <c r="O65" s="16" t="n">
        <f aca="false">L65+M65+N65</f>
        <v>0.0233572753975007</v>
      </c>
      <c r="P65" s="21" t="n">
        <f aca="false">P64*(1+O65)</f>
        <v>1.4780484462897</v>
      </c>
      <c r="Q65" s="21" t="n">
        <f aca="false">MAX($P$5:P65)</f>
        <v>1.67813865054661</v>
      </c>
      <c r="R65" s="16" t="n">
        <f aca="false">P65/Q65-1</f>
        <v>-0.119233416256597</v>
      </c>
      <c r="S65" s="16" t="n">
        <f aca="false">O65-Benchmark_RF!D65</f>
        <v>0.0176314152161808</v>
      </c>
    </row>
    <row r="66" customFormat="false" ht="15" hidden="false" customHeight="true" outlineLevel="0" collapsed="false">
      <c r="A66" s="1" t="n">
        <v>69</v>
      </c>
      <c r="B66" s="13" t="n">
        <f aca="false">Returns!A70</f>
        <v>44075</v>
      </c>
      <c r="C66" s="17" t="n">
        <f aca="false">IF(Rankings!C71&lt;=5,1,0)</f>
        <v>0</v>
      </c>
      <c r="D66" s="17" t="n">
        <f aca="false">IF(Rankings!D71&lt;=5,1,0)</f>
        <v>1</v>
      </c>
      <c r="E66" s="17" t="n">
        <f aca="false">IF(Rankings!E71&lt;=5,1,0)</f>
        <v>0</v>
      </c>
      <c r="F66" s="17" t="n">
        <f aca="false">IF(Rankings!F71&lt;=5,1,0)</f>
        <v>1</v>
      </c>
      <c r="G66" s="17" t="n">
        <f aca="false">IF(Rankings!G71&lt;=5,1,0)</f>
        <v>1</v>
      </c>
      <c r="H66" s="17" t="n">
        <f aca="false">IF(Rankings!H71&lt;=5,1,0)</f>
        <v>0</v>
      </c>
      <c r="I66" s="17" t="n">
        <f aca="false">IF(Rankings!I71&lt;=5,1,0)</f>
        <v>1</v>
      </c>
      <c r="J66" s="17" t="n">
        <f aca="false">IF(Rankings!J71&lt;=5,1,0)</f>
        <v>1</v>
      </c>
      <c r="K66" s="20" t="n">
        <f aca="false">SUM(C66:J66)</f>
        <v>5</v>
      </c>
      <c r="L66" s="16" t="n">
        <f aca="false">SUMPRODUCT(C66:J66,Returns!B70:I70)/K66</f>
        <v>-0.0027460286400208</v>
      </c>
      <c r="M66" s="16" t="n">
        <v>0</v>
      </c>
      <c r="N66" s="16" t="n">
        <v>0</v>
      </c>
      <c r="O66" s="16" t="n">
        <f aca="false">L66+M66+N66</f>
        <v>-0.0027460286400208</v>
      </c>
      <c r="P66" s="21" t="n">
        <f aca="false">P65*(1+O66)</f>
        <v>1.47398968292485</v>
      </c>
      <c r="Q66" s="21" t="n">
        <f aca="false">MAX($P$5:P66)</f>
        <v>1.67813865054661</v>
      </c>
      <c r="R66" s="16" t="n">
        <f aca="false">P66/Q66-1</f>
        <v>-0.12165202652073</v>
      </c>
      <c r="S66" s="16" t="n">
        <f aca="false">O66-Benchmark_RF!D66</f>
        <v>-0.00847713212866639</v>
      </c>
    </row>
    <row r="67" customFormat="false" ht="15" hidden="false" customHeight="true" outlineLevel="0" collapsed="false">
      <c r="A67" s="1" t="n">
        <v>70</v>
      </c>
      <c r="B67" s="13" t="n">
        <f aca="false">Returns!A71</f>
        <v>44105</v>
      </c>
      <c r="C67" s="17" t="n">
        <f aca="false">IF(Rankings!C71&lt;=5,1,0)</f>
        <v>0</v>
      </c>
      <c r="D67" s="17" t="n">
        <f aca="false">IF(Rankings!D71&lt;=5,1,0)</f>
        <v>1</v>
      </c>
      <c r="E67" s="17" t="n">
        <f aca="false">IF(Rankings!E71&lt;=5,1,0)</f>
        <v>0</v>
      </c>
      <c r="F67" s="17" t="n">
        <f aca="false">IF(Rankings!F71&lt;=5,1,0)</f>
        <v>1</v>
      </c>
      <c r="G67" s="17" t="n">
        <f aca="false">IF(Rankings!G71&lt;=5,1,0)</f>
        <v>1</v>
      </c>
      <c r="H67" s="17" t="n">
        <f aca="false">IF(Rankings!H71&lt;=5,1,0)</f>
        <v>0</v>
      </c>
      <c r="I67" s="17" t="n">
        <f aca="false">IF(Rankings!I71&lt;=5,1,0)</f>
        <v>1</v>
      </c>
      <c r="J67" s="17" t="n">
        <f aca="false">IF(Rankings!J71&lt;=5,1,0)</f>
        <v>1</v>
      </c>
      <c r="K67" s="20" t="n">
        <f aca="false">SUM(C67:J67)</f>
        <v>5</v>
      </c>
      <c r="L67" s="16" t="n">
        <f aca="false">SUMPRODUCT(C67:J67,Returns!B71:I71)/K67</f>
        <v>0.0310055233851952</v>
      </c>
      <c r="M67" s="16" t="n">
        <v>0</v>
      </c>
      <c r="N67" s="16" t="n">
        <v>0</v>
      </c>
      <c r="O67" s="16" t="n">
        <f aca="false">L67+M67+N67</f>
        <v>0.0310055233851952</v>
      </c>
      <c r="P67" s="21" t="n">
        <f aca="false">P66*(1+O67)</f>
        <v>1.51969150450831</v>
      </c>
      <c r="Q67" s="21" t="n">
        <f aca="false">MAX($P$5:P67)</f>
        <v>1.67813865054661</v>
      </c>
      <c r="R67" s="16" t="n">
        <f aca="false">P67/Q67-1</f>
        <v>-0.0944183878886798</v>
      </c>
      <c r="S67" s="16" t="n">
        <f aca="false">O67-Benchmark_RF!D67</f>
        <v>0.0252277129520913</v>
      </c>
    </row>
    <row r="68" customFormat="false" ht="15" hidden="false" customHeight="true" outlineLevel="0" collapsed="false">
      <c r="A68" s="1" t="n">
        <v>71</v>
      </c>
      <c r="B68" s="13" t="n">
        <f aca="false">Returns!A72</f>
        <v>44136</v>
      </c>
      <c r="C68" s="17" t="n">
        <f aca="false">IF(Rankings!C74&lt;=5,1,0)</f>
        <v>1</v>
      </c>
      <c r="D68" s="17" t="n">
        <f aca="false">IF(Rankings!D74&lt;=5,1,0)</f>
        <v>0</v>
      </c>
      <c r="E68" s="17" t="n">
        <f aca="false">IF(Rankings!E74&lt;=5,1,0)</f>
        <v>0</v>
      </c>
      <c r="F68" s="17" t="n">
        <f aca="false">IF(Rankings!F74&lt;=5,1,0)</f>
        <v>1</v>
      </c>
      <c r="G68" s="17" t="n">
        <f aca="false">IF(Rankings!G74&lt;=5,1,0)</f>
        <v>0</v>
      </c>
      <c r="H68" s="17" t="n">
        <f aca="false">IF(Rankings!H74&lt;=5,1,0)</f>
        <v>1</v>
      </c>
      <c r="I68" s="17" t="n">
        <f aca="false">IF(Rankings!I74&lt;=5,1,0)</f>
        <v>1</v>
      </c>
      <c r="J68" s="17" t="n">
        <f aca="false">IF(Rankings!J74&lt;=5,1,0)</f>
        <v>1</v>
      </c>
      <c r="K68" s="20" t="n">
        <f aca="false">SUM(C68:J68)</f>
        <v>5</v>
      </c>
      <c r="L68" s="16" t="n">
        <f aca="false">SUMPRODUCT(C68:J68,Returns!B72:I72)/K68</f>
        <v>0.0331245186224198</v>
      </c>
      <c r="M68" s="16" t="n">
        <f aca="false">-2*Assumptions!$B$13</f>
        <v>-0.007</v>
      </c>
      <c r="N68" s="16" t="n">
        <f aca="false">-Assumptions!$B$16*MAX(0,(1+O65)*(1+O66)*(1+O67)-1)</f>
        <v>-0.0078284556303579</v>
      </c>
      <c r="O68" s="16" t="n">
        <f aca="false">L68+M68+N68</f>
        <v>0.0182960629920619</v>
      </c>
      <c r="P68" s="21" t="n">
        <f aca="false">P67*(1+O68)</f>
        <v>1.5474958760033</v>
      </c>
      <c r="Q68" s="21" t="n">
        <f aca="false">MAX($P$5:P68)</f>
        <v>1.67813865054661</v>
      </c>
      <c r="R68" s="16" t="n">
        <f aca="false">P68/Q68-1</f>
        <v>-0.0778498096690382</v>
      </c>
      <c r="S68" s="16" t="n">
        <f aca="false">O68-Benchmark_RF!D68</f>
        <v>0.0125321760863504</v>
      </c>
    </row>
    <row r="69" customFormat="false" ht="15" hidden="false" customHeight="true" outlineLevel="0" collapsed="false">
      <c r="A69" s="1" t="n">
        <v>72</v>
      </c>
      <c r="B69" s="13" t="n">
        <f aca="false">Returns!A73</f>
        <v>44166</v>
      </c>
      <c r="C69" s="17" t="n">
        <f aca="false">IF(Rankings!C74&lt;=5,1,0)</f>
        <v>1</v>
      </c>
      <c r="D69" s="17" t="n">
        <f aca="false">IF(Rankings!D74&lt;=5,1,0)</f>
        <v>0</v>
      </c>
      <c r="E69" s="17" t="n">
        <f aca="false">IF(Rankings!E74&lt;=5,1,0)</f>
        <v>0</v>
      </c>
      <c r="F69" s="17" t="n">
        <f aca="false">IF(Rankings!F74&lt;=5,1,0)</f>
        <v>1</v>
      </c>
      <c r="G69" s="17" t="n">
        <f aca="false">IF(Rankings!G74&lt;=5,1,0)</f>
        <v>0</v>
      </c>
      <c r="H69" s="17" t="n">
        <f aca="false">IF(Rankings!H74&lt;=5,1,0)</f>
        <v>1</v>
      </c>
      <c r="I69" s="17" t="n">
        <f aca="false">IF(Rankings!I74&lt;=5,1,0)</f>
        <v>1</v>
      </c>
      <c r="J69" s="17" t="n">
        <f aca="false">IF(Rankings!J74&lt;=5,1,0)</f>
        <v>1</v>
      </c>
      <c r="K69" s="20" t="n">
        <f aca="false">SUM(C69:J69)</f>
        <v>5</v>
      </c>
      <c r="L69" s="16" t="n">
        <f aca="false">SUMPRODUCT(C69:J69,Returns!B73:I73)/K69</f>
        <v>0.0670937756201353</v>
      </c>
      <c r="M69" s="16" t="n">
        <v>0</v>
      </c>
      <c r="N69" s="16" t="n">
        <v>0</v>
      </c>
      <c r="O69" s="16" t="n">
        <f aca="false">L69+M69+N69</f>
        <v>0.0670937756201353</v>
      </c>
      <c r="P69" s="21" t="n">
        <f aca="false">P68*(1+O69)</f>
        <v>1.65132321708095</v>
      </c>
      <c r="Q69" s="21" t="n">
        <f aca="false">MAX($P$5:P69)</f>
        <v>1.67813865054661</v>
      </c>
      <c r="R69" s="16" t="n">
        <f aca="false">P69/Q69-1</f>
        <v>-0.0159792717109076</v>
      </c>
      <c r="S69" s="16" t="n">
        <f aca="false">O69-Benchmark_RF!D69</f>
        <v>0.0613542991149367</v>
      </c>
    </row>
    <row r="70" customFormat="false" ht="15" hidden="false" customHeight="true" outlineLevel="0" collapsed="false">
      <c r="A70" s="1" t="n">
        <v>73</v>
      </c>
      <c r="B70" s="13" t="n">
        <f aca="false">Returns!A74</f>
        <v>44197</v>
      </c>
      <c r="C70" s="17" t="n">
        <f aca="false">IF(Rankings!C74&lt;=5,1,0)</f>
        <v>1</v>
      </c>
      <c r="D70" s="17" t="n">
        <f aca="false">IF(Rankings!D74&lt;=5,1,0)</f>
        <v>0</v>
      </c>
      <c r="E70" s="17" t="n">
        <f aca="false">IF(Rankings!E74&lt;=5,1,0)</f>
        <v>0</v>
      </c>
      <c r="F70" s="17" t="n">
        <f aca="false">IF(Rankings!F74&lt;=5,1,0)</f>
        <v>1</v>
      </c>
      <c r="G70" s="17" t="n">
        <f aca="false">IF(Rankings!G74&lt;=5,1,0)</f>
        <v>0</v>
      </c>
      <c r="H70" s="17" t="n">
        <f aca="false">IF(Rankings!H74&lt;=5,1,0)</f>
        <v>1</v>
      </c>
      <c r="I70" s="17" t="n">
        <f aca="false">IF(Rankings!I74&lt;=5,1,0)</f>
        <v>1</v>
      </c>
      <c r="J70" s="17" t="n">
        <f aca="false">IF(Rankings!J74&lt;=5,1,0)</f>
        <v>1</v>
      </c>
      <c r="K70" s="20" t="n">
        <f aca="false">SUM(C70:J70)</f>
        <v>5</v>
      </c>
      <c r="L70" s="16" t="n">
        <f aca="false">SUMPRODUCT(C70:J70,Returns!B74:I74)/K70</f>
        <v>0.0289754317411425</v>
      </c>
      <c r="M70" s="16" t="n">
        <v>0</v>
      </c>
      <c r="N70" s="16" t="n">
        <v>0</v>
      </c>
      <c r="O70" s="16" t="n">
        <f aca="false">L70+M70+N70</f>
        <v>0.0289754317411425</v>
      </c>
      <c r="P70" s="21" t="n">
        <f aca="false">P69*(1+O70)</f>
        <v>1.69917102024004</v>
      </c>
      <c r="Q70" s="21" t="n">
        <f aca="false">MAX($P$5:P70)</f>
        <v>1.69917102024004</v>
      </c>
      <c r="R70" s="16" t="n">
        <f aca="false">P70/Q70-1</f>
        <v>0</v>
      </c>
      <c r="S70" s="16" t="n">
        <f aca="false">O70-Benchmark_RF!D70</f>
        <v>0.0232025490556588</v>
      </c>
    </row>
    <row r="71" customFormat="false" ht="15" hidden="false" customHeight="true" outlineLevel="0" collapsed="false">
      <c r="A71" s="1" t="n">
        <v>74</v>
      </c>
      <c r="B71" s="13" t="n">
        <f aca="false">Returns!A75</f>
        <v>44228</v>
      </c>
      <c r="C71" s="17" t="n">
        <f aca="false">IF(Rankings!C77&lt;=5,1,0)</f>
        <v>1</v>
      </c>
      <c r="D71" s="17" t="n">
        <f aca="false">IF(Rankings!D77&lt;=5,1,0)</f>
        <v>0</v>
      </c>
      <c r="E71" s="17" t="n">
        <f aca="false">IF(Rankings!E77&lt;=5,1,0)</f>
        <v>1</v>
      </c>
      <c r="F71" s="17" t="n">
        <f aca="false">IF(Rankings!F77&lt;=5,1,0)</f>
        <v>1</v>
      </c>
      <c r="G71" s="17" t="n">
        <f aca="false">IF(Rankings!G77&lt;=5,1,0)</f>
        <v>0</v>
      </c>
      <c r="H71" s="17" t="n">
        <f aca="false">IF(Rankings!H77&lt;=5,1,0)</f>
        <v>1</v>
      </c>
      <c r="I71" s="17" t="n">
        <f aca="false">IF(Rankings!I77&lt;=5,1,0)</f>
        <v>0</v>
      </c>
      <c r="J71" s="17" t="n">
        <f aca="false">IF(Rankings!J77&lt;=5,1,0)</f>
        <v>1</v>
      </c>
      <c r="K71" s="20" t="n">
        <f aca="false">SUM(C71:J71)</f>
        <v>5</v>
      </c>
      <c r="L71" s="16" t="n">
        <f aca="false">SUMPRODUCT(C71:J71,Returns!B75:I75)/K71</f>
        <v>0.0149953308753521</v>
      </c>
      <c r="M71" s="16" t="n">
        <f aca="false">-2*Assumptions!$B$13</f>
        <v>-0.007</v>
      </c>
      <c r="N71" s="16" t="n">
        <f aca="false">-Assumptions!$B$16*MAX(0,(1+O68)*(1+O69)*(1+O70)-1)</f>
        <v>-0.0177153897879226</v>
      </c>
      <c r="O71" s="16" t="n">
        <f aca="false">L71+M71+N71</f>
        <v>-0.00972005891257053</v>
      </c>
      <c r="P71" s="21" t="n">
        <f aca="false">P70*(1+O71)</f>
        <v>1.68265497782078</v>
      </c>
      <c r="Q71" s="21" t="n">
        <f aca="false">MAX($P$5:P71)</f>
        <v>1.69917102024004</v>
      </c>
      <c r="R71" s="16" t="n">
        <f aca="false">P71/Q71-1</f>
        <v>-0.00972005891257055</v>
      </c>
      <c r="S71" s="16" t="n">
        <f aca="false">O71-Benchmark_RF!D71</f>
        <v>-0.0155233642423351</v>
      </c>
    </row>
    <row r="72" customFormat="false" ht="15" hidden="false" customHeight="true" outlineLevel="0" collapsed="false">
      <c r="A72" s="1" t="n">
        <v>75</v>
      </c>
      <c r="B72" s="13" t="n">
        <f aca="false">Returns!A76</f>
        <v>44256</v>
      </c>
      <c r="C72" s="17" t="n">
        <f aca="false">IF(Rankings!C77&lt;=5,1,0)</f>
        <v>1</v>
      </c>
      <c r="D72" s="17" t="n">
        <f aca="false">IF(Rankings!D77&lt;=5,1,0)</f>
        <v>0</v>
      </c>
      <c r="E72" s="17" t="n">
        <f aca="false">IF(Rankings!E77&lt;=5,1,0)</f>
        <v>1</v>
      </c>
      <c r="F72" s="17" t="n">
        <f aca="false">IF(Rankings!F77&lt;=5,1,0)</f>
        <v>1</v>
      </c>
      <c r="G72" s="17" t="n">
        <f aca="false">IF(Rankings!G77&lt;=5,1,0)</f>
        <v>0</v>
      </c>
      <c r="H72" s="17" t="n">
        <f aca="false">IF(Rankings!H77&lt;=5,1,0)</f>
        <v>1</v>
      </c>
      <c r="I72" s="17" t="n">
        <f aca="false">IF(Rankings!I77&lt;=5,1,0)</f>
        <v>0</v>
      </c>
      <c r="J72" s="17" t="n">
        <f aca="false">IF(Rankings!J77&lt;=5,1,0)</f>
        <v>1</v>
      </c>
      <c r="K72" s="20" t="n">
        <f aca="false">SUM(C72:J72)</f>
        <v>5</v>
      </c>
      <c r="L72" s="16" t="n">
        <f aca="false">SUMPRODUCT(C72:J72,Returns!B76:I76)/K72</f>
        <v>-0.0462855136912826</v>
      </c>
      <c r="M72" s="16" t="n">
        <v>0</v>
      </c>
      <c r="N72" s="16" t="n">
        <v>0</v>
      </c>
      <c r="O72" s="16" t="n">
        <f aca="false">L72+M72+N72</f>
        <v>-0.0462855136912826</v>
      </c>
      <c r="P72" s="21" t="n">
        <f aca="false">P71*(1+O72)</f>
        <v>1.60477242780715</v>
      </c>
      <c r="Q72" s="21" t="n">
        <f aca="false">MAX($P$5:P72)</f>
        <v>1.69917102024004</v>
      </c>
      <c r="R72" s="16" t="n">
        <f aca="false">P72/Q72-1</f>
        <v>-0.0555556746839753</v>
      </c>
      <c r="S72" s="16" t="n">
        <f aca="false">O72-Benchmark_RF!D72</f>
        <v>-0.0522756687619526</v>
      </c>
    </row>
    <row r="73" customFormat="false" ht="15" hidden="false" customHeight="true" outlineLevel="0" collapsed="false">
      <c r="A73" s="1" t="n">
        <v>76</v>
      </c>
      <c r="B73" s="13" t="n">
        <f aca="false">Returns!A77</f>
        <v>44287</v>
      </c>
      <c r="C73" s="17" t="n">
        <f aca="false">IF(Rankings!C77&lt;=5,1,0)</f>
        <v>1</v>
      </c>
      <c r="D73" s="17" t="n">
        <f aca="false">IF(Rankings!D77&lt;=5,1,0)</f>
        <v>0</v>
      </c>
      <c r="E73" s="17" t="n">
        <f aca="false">IF(Rankings!E77&lt;=5,1,0)</f>
        <v>1</v>
      </c>
      <c r="F73" s="17" t="n">
        <f aca="false">IF(Rankings!F77&lt;=5,1,0)</f>
        <v>1</v>
      </c>
      <c r="G73" s="17" t="n">
        <f aca="false">IF(Rankings!G77&lt;=5,1,0)</f>
        <v>0</v>
      </c>
      <c r="H73" s="17" t="n">
        <f aca="false">IF(Rankings!H77&lt;=5,1,0)</f>
        <v>1</v>
      </c>
      <c r="I73" s="17" t="n">
        <f aca="false">IF(Rankings!I77&lt;=5,1,0)</f>
        <v>0</v>
      </c>
      <c r="J73" s="17" t="n">
        <f aca="false">IF(Rankings!J77&lt;=5,1,0)</f>
        <v>1</v>
      </c>
      <c r="K73" s="20" t="n">
        <f aca="false">SUM(C73:J73)</f>
        <v>5</v>
      </c>
      <c r="L73" s="16" t="n">
        <f aca="false">SUMPRODUCT(C73:J73,Returns!B77:I77)/K73</f>
        <v>-0.0179094089517131</v>
      </c>
      <c r="M73" s="16" t="n">
        <v>0</v>
      </c>
      <c r="N73" s="16" t="n">
        <v>0</v>
      </c>
      <c r="O73" s="16" t="n">
        <f aca="false">L73+M73+N73</f>
        <v>-0.0179094089517131</v>
      </c>
      <c r="P73" s="21" t="n">
        <f aca="false">P72*(1+O73)</f>
        <v>1.57603190212312</v>
      </c>
      <c r="Q73" s="21" t="n">
        <f aca="false">MAX($P$5:P73)</f>
        <v>1.69917102024004</v>
      </c>
      <c r="R73" s="16" t="n">
        <f aca="false">P73/Q73-1</f>
        <v>-0.0724701143381848</v>
      </c>
      <c r="S73" s="16" t="n">
        <f aca="false">O73-Benchmark_RF!D73</f>
        <v>-0.0238578059303392</v>
      </c>
    </row>
    <row r="74" customFormat="false" ht="15" hidden="false" customHeight="true" outlineLevel="0" collapsed="false">
      <c r="A74" s="1" t="n">
        <v>77</v>
      </c>
      <c r="B74" s="13" t="n">
        <f aca="false">Returns!A78</f>
        <v>44317</v>
      </c>
      <c r="C74" s="17" t="n">
        <f aca="false">IF(Rankings!C80&lt;=5,1,0)</f>
        <v>1</v>
      </c>
      <c r="D74" s="17" t="n">
        <f aca="false">IF(Rankings!D80&lt;=5,1,0)</f>
        <v>1</v>
      </c>
      <c r="E74" s="17" t="n">
        <f aca="false">IF(Rankings!E80&lt;=5,1,0)</f>
        <v>0</v>
      </c>
      <c r="F74" s="17" t="n">
        <f aca="false">IF(Rankings!F80&lt;=5,1,0)</f>
        <v>1</v>
      </c>
      <c r="G74" s="17" t="n">
        <f aca="false">IF(Rankings!G80&lt;=5,1,0)</f>
        <v>0</v>
      </c>
      <c r="H74" s="17" t="n">
        <f aca="false">IF(Rankings!H80&lt;=5,1,0)</f>
        <v>0</v>
      </c>
      <c r="I74" s="17" t="n">
        <f aca="false">IF(Rankings!I80&lt;=5,1,0)</f>
        <v>1</v>
      </c>
      <c r="J74" s="17" t="n">
        <f aca="false">IF(Rankings!J80&lt;=5,1,0)</f>
        <v>1</v>
      </c>
      <c r="K74" s="20" t="n">
        <f aca="false">SUM(C74:J74)</f>
        <v>5</v>
      </c>
      <c r="L74" s="16" t="n">
        <f aca="false">SUMPRODUCT(C74:J74,Returns!B78:I78)/K74</f>
        <v>0.0498604059520503</v>
      </c>
      <c r="M74" s="16" t="n">
        <f aca="false">-2*Assumptions!$B$13</f>
        <v>-0.007</v>
      </c>
      <c r="N74" s="16" t="n">
        <f aca="false">-Assumptions!$B$16*MAX(0,(1+O71)*(1+O72)*(1+O73)-1)</f>
        <v>-0</v>
      </c>
      <c r="O74" s="16" t="n">
        <f aca="false">L74+M74+N74</f>
        <v>0.0428604059520503</v>
      </c>
      <c r="P74" s="21" t="n">
        <f aca="false">P73*(1+O74)</f>
        <v>1.6435812692415</v>
      </c>
      <c r="Q74" s="21" t="n">
        <f aca="false">MAX($P$5:P74)</f>
        <v>1.69917102024004</v>
      </c>
      <c r="R74" s="16" t="n">
        <f aca="false">P74/Q74-1</f>
        <v>-0.0327158069060606</v>
      </c>
      <c r="S74" s="16" t="n">
        <f aca="false">O74-Benchmark_RF!D74</f>
        <v>0.0369387910183918</v>
      </c>
    </row>
    <row r="75" customFormat="false" ht="15" hidden="false" customHeight="true" outlineLevel="0" collapsed="false">
      <c r="A75" s="1" t="n">
        <v>78</v>
      </c>
      <c r="B75" s="13" t="n">
        <f aca="false">Returns!A79</f>
        <v>44348</v>
      </c>
      <c r="C75" s="17" t="n">
        <f aca="false">IF(Rankings!C80&lt;=5,1,0)</f>
        <v>1</v>
      </c>
      <c r="D75" s="17" t="n">
        <f aca="false">IF(Rankings!D80&lt;=5,1,0)</f>
        <v>1</v>
      </c>
      <c r="E75" s="17" t="n">
        <f aca="false">IF(Rankings!E80&lt;=5,1,0)</f>
        <v>0</v>
      </c>
      <c r="F75" s="17" t="n">
        <f aca="false">IF(Rankings!F80&lt;=5,1,0)</f>
        <v>1</v>
      </c>
      <c r="G75" s="17" t="n">
        <f aca="false">IF(Rankings!G80&lt;=5,1,0)</f>
        <v>0</v>
      </c>
      <c r="H75" s="17" t="n">
        <f aca="false">IF(Rankings!H80&lt;=5,1,0)</f>
        <v>0</v>
      </c>
      <c r="I75" s="17" t="n">
        <f aca="false">IF(Rankings!I80&lt;=5,1,0)</f>
        <v>1</v>
      </c>
      <c r="J75" s="17" t="n">
        <f aca="false">IF(Rankings!J80&lt;=5,1,0)</f>
        <v>1</v>
      </c>
      <c r="K75" s="20" t="n">
        <f aca="false">SUM(C75:J75)</f>
        <v>5</v>
      </c>
      <c r="L75" s="16" t="n">
        <f aca="false">SUMPRODUCT(C75:J75,Returns!B79:I79)/K75</f>
        <v>-0.0162017199926037</v>
      </c>
      <c r="M75" s="16" t="n">
        <v>0</v>
      </c>
      <c r="N75" s="16" t="n">
        <v>0</v>
      </c>
      <c r="O75" s="16" t="n">
        <f aca="false">L75+M75+N75</f>
        <v>-0.0162017199926037</v>
      </c>
      <c r="P75" s="21" t="n">
        <f aca="false">P74*(1+O75)</f>
        <v>1.61695242573216</v>
      </c>
      <c r="Q75" s="21" t="n">
        <f aca="false">MAX($P$5:P75)</f>
        <v>1.69917102024004</v>
      </c>
      <c r="R75" s="16" t="n">
        <f aca="false">P75/Q75-1</f>
        <v>-0.0483874745558403</v>
      </c>
      <c r="S75" s="16" t="n">
        <f aca="false">O75-Benchmark_RF!D75</f>
        <v>-0.0220868581284113</v>
      </c>
    </row>
    <row r="76" customFormat="false" ht="15" hidden="false" customHeight="true" outlineLevel="0" collapsed="false">
      <c r="A76" s="1" t="n">
        <v>79</v>
      </c>
      <c r="B76" s="13" t="n">
        <f aca="false">Returns!A80</f>
        <v>44378</v>
      </c>
      <c r="C76" s="17" t="n">
        <f aca="false">IF(Rankings!C80&lt;=5,1,0)</f>
        <v>1</v>
      </c>
      <c r="D76" s="17" t="n">
        <f aca="false">IF(Rankings!D80&lt;=5,1,0)</f>
        <v>1</v>
      </c>
      <c r="E76" s="17" t="n">
        <f aca="false">IF(Rankings!E80&lt;=5,1,0)</f>
        <v>0</v>
      </c>
      <c r="F76" s="17" t="n">
        <f aca="false">IF(Rankings!F80&lt;=5,1,0)</f>
        <v>1</v>
      </c>
      <c r="G76" s="17" t="n">
        <f aca="false">IF(Rankings!G80&lt;=5,1,0)</f>
        <v>0</v>
      </c>
      <c r="H76" s="17" t="n">
        <f aca="false">IF(Rankings!H80&lt;=5,1,0)</f>
        <v>0</v>
      </c>
      <c r="I76" s="17" t="n">
        <f aca="false">IF(Rankings!I80&lt;=5,1,0)</f>
        <v>1</v>
      </c>
      <c r="J76" s="17" t="n">
        <f aca="false">IF(Rankings!J80&lt;=5,1,0)</f>
        <v>1</v>
      </c>
      <c r="K76" s="20" t="n">
        <f aca="false">SUM(C76:J76)</f>
        <v>5</v>
      </c>
      <c r="L76" s="16" t="n">
        <f aca="false">SUMPRODUCT(C76:J76,Returns!B80:I80)/K76</f>
        <v>0.00244287125105844</v>
      </c>
      <c r="M76" s="16" t="n">
        <v>0</v>
      </c>
      <c r="N76" s="16" t="n">
        <v>0</v>
      </c>
      <c r="O76" s="16" t="n">
        <f aca="false">L76+M76+N76</f>
        <v>0.00244287125105844</v>
      </c>
      <c r="P76" s="21" t="n">
        <f aca="false">P75*(1+O76)</f>
        <v>1.62090243232731</v>
      </c>
      <c r="Q76" s="21" t="n">
        <f aca="false">MAX($P$5:P76)</f>
        <v>1.69917102024004</v>
      </c>
      <c r="R76" s="16" t="n">
        <f aca="false">P76/Q76-1</f>
        <v>-0.0460628076752856</v>
      </c>
      <c r="S76" s="16" t="n">
        <f aca="false">O76-Benchmark_RF!D76</f>
        <v>-0.00339319162309428</v>
      </c>
    </row>
    <row r="77" customFormat="false" ht="15" hidden="false" customHeight="true" outlineLevel="0" collapsed="false">
      <c r="A77" s="1" t="n">
        <v>80</v>
      </c>
      <c r="B77" s="13" t="n">
        <f aca="false">Returns!A81</f>
        <v>44409</v>
      </c>
      <c r="C77" s="17" t="n">
        <f aca="false">IF(Rankings!C83&lt;=5,1,0)</f>
        <v>1</v>
      </c>
      <c r="D77" s="17" t="n">
        <f aca="false">IF(Rankings!D83&lt;=5,1,0)</f>
        <v>1</v>
      </c>
      <c r="E77" s="17" t="n">
        <f aca="false">IF(Rankings!E83&lt;=5,1,0)</f>
        <v>0</v>
      </c>
      <c r="F77" s="17" t="n">
        <f aca="false">IF(Rankings!F83&lt;=5,1,0)</f>
        <v>1</v>
      </c>
      <c r="G77" s="17" t="n">
        <f aca="false">IF(Rankings!G83&lt;=5,1,0)</f>
        <v>0</v>
      </c>
      <c r="H77" s="17" t="n">
        <f aca="false">IF(Rankings!H83&lt;=5,1,0)</f>
        <v>0</v>
      </c>
      <c r="I77" s="17" t="n">
        <f aca="false">IF(Rankings!I83&lt;=5,1,0)</f>
        <v>1</v>
      </c>
      <c r="J77" s="17" t="n">
        <f aca="false">IF(Rankings!J83&lt;=5,1,0)</f>
        <v>1</v>
      </c>
      <c r="K77" s="20" t="n">
        <f aca="false">SUM(C77:J77)</f>
        <v>5</v>
      </c>
      <c r="L77" s="16" t="n">
        <f aca="false">SUMPRODUCT(C77:J77,Returns!B81:I81)/K77</f>
        <v>0.0589502242984571</v>
      </c>
      <c r="M77" s="16" t="n">
        <f aca="false">-2*Assumptions!$B$13</f>
        <v>-0.007</v>
      </c>
      <c r="N77" s="16" t="n">
        <f aca="false">-Assumptions!$B$16*MAX(0,(1+O74)*(1+O75)*(1+O76)-1)</f>
        <v>-0.00427058584382815</v>
      </c>
      <c r="O77" s="16" t="n">
        <f aca="false">L77+M77+N77</f>
        <v>0.047679638454629</v>
      </c>
      <c r="P77" s="21" t="n">
        <f aca="false">P76*(1+O77)</f>
        <v>1.6981864742709</v>
      </c>
      <c r="Q77" s="21" t="n">
        <f aca="false">MAX($P$5:P77)</f>
        <v>1.69917102024004</v>
      </c>
      <c r="R77" s="16" t="n">
        <f aca="false">P77/Q77-1</f>
        <v>-0.000579427236819252</v>
      </c>
      <c r="S77" s="16" t="n">
        <f aca="false">O77-Benchmark_RF!D77</f>
        <v>0.0418460769361173</v>
      </c>
    </row>
    <row r="78" customFormat="false" ht="15" hidden="false" customHeight="true" outlineLevel="0" collapsed="false">
      <c r="A78" s="1" t="n">
        <v>81</v>
      </c>
      <c r="B78" s="13" t="n">
        <f aca="false">Returns!A82</f>
        <v>44440</v>
      </c>
      <c r="C78" s="17" t="n">
        <f aca="false">IF(Rankings!C83&lt;=5,1,0)</f>
        <v>1</v>
      </c>
      <c r="D78" s="17" t="n">
        <f aca="false">IF(Rankings!D83&lt;=5,1,0)</f>
        <v>1</v>
      </c>
      <c r="E78" s="17" t="n">
        <f aca="false">IF(Rankings!E83&lt;=5,1,0)</f>
        <v>0</v>
      </c>
      <c r="F78" s="17" t="n">
        <f aca="false">IF(Rankings!F83&lt;=5,1,0)</f>
        <v>1</v>
      </c>
      <c r="G78" s="17" t="n">
        <f aca="false">IF(Rankings!G83&lt;=5,1,0)</f>
        <v>0</v>
      </c>
      <c r="H78" s="17" t="n">
        <f aca="false">IF(Rankings!H83&lt;=5,1,0)</f>
        <v>0</v>
      </c>
      <c r="I78" s="17" t="n">
        <f aca="false">IF(Rankings!I83&lt;=5,1,0)</f>
        <v>1</v>
      </c>
      <c r="J78" s="17" t="n">
        <f aca="false">IF(Rankings!J83&lt;=5,1,0)</f>
        <v>1</v>
      </c>
      <c r="K78" s="20" t="n">
        <f aca="false">SUM(C78:J78)</f>
        <v>5</v>
      </c>
      <c r="L78" s="16" t="n">
        <f aca="false">SUMPRODUCT(C78:J78,Returns!B82:I82)/K78</f>
        <v>-0.063052416433259</v>
      </c>
      <c r="M78" s="16" t="n">
        <v>0</v>
      </c>
      <c r="N78" s="16" t="n">
        <v>0</v>
      </c>
      <c r="O78" s="16" t="n">
        <f aca="false">L78+M78+N78</f>
        <v>-0.063052416433259</v>
      </c>
      <c r="P78" s="21" t="n">
        <f aca="false">P77*(1+O78)</f>
        <v>1.59111171351385</v>
      </c>
      <c r="Q78" s="21" t="n">
        <f aca="false">MAX($P$5:P78)</f>
        <v>1.69917102024004</v>
      </c>
      <c r="R78" s="16" t="n">
        <f aca="false">P78/Q78-1</f>
        <v>-0.0635953093826496</v>
      </c>
      <c r="S78" s="16" t="n">
        <f aca="false">O78-Benchmark_RF!D78</f>
        <v>-0.0691527681082424</v>
      </c>
    </row>
    <row r="79" customFormat="false" ht="15" hidden="false" customHeight="true" outlineLevel="0" collapsed="false">
      <c r="A79" s="1" t="n">
        <v>82</v>
      </c>
      <c r="B79" s="13" t="n">
        <f aca="false">Returns!A83</f>
        <v>44470</v>
      </c>
      <c r="C79" s="17" t="n">
        <f aca="false">IF(Rankings!C83&lt;=5,1,0)</f>
        <v>1</v>
      </c>
      <c r="D79" s="17" t="n">
        <f aca="false">IF(Rankings!D83&lt;=5,1,0)</f>
        <v>1</v>
      </c>
      <c r="E79" s="17" t="n">
        <f aca="false">IF(Rankings!E83&lt;=5,1,0)</f>
        <v>0</v>
      </c>
      <c r="F79" s="17" t="n">
        <f aca="false">IF(Rankings!F83&lt;=5,1,0)</f>
        <v>1</v>
      </c>
      <c r="G79" s="17" t="n">
        <f aca="false">IF(Rankings!G83&lt;=5,1,0)</f>
        <v>0</v>
      </c>
      <c r="H79" s="17" t="n">
        <f aca="false">IF(Rankings!H83&lt;=5,1,0)</f>
        <v>0</v>
      </c>
      <c r="I79" s="17" t="n">
        <f aca="false">IF(Rankings!I83&lt;=5,1,0)</f>
        <v>1</v>
      </c>
      <c r="J79" s="17" t="n">
        <f aca="false">IF(Rankings!J83&lt;=5,1,0)</f>
        <v>1</v>
      </c>
      <c r="K79" s="20" t="n">
        <f aca="false">SUM(C79:J79)</f>
        <v>5</v>
      </c>
      <c r="L79" s="16" t="n">
        <f aca="false">SUMPRODUCT(C79:J79,Returns!B83:I83)/K79</f>
        <v>0.0616728525756457</v>
      </c>
      <c r="M79" s="16" t="n">
        <v>0</v>
      </c>
      <c r="N79" s="16" t="n">
        <v>0</v>
      </c>
      <c r="O79" s="16" t="n">
        <f aca="false">L79+M79+N79</f>
        <v>0.0616728525756457</v>
      </c>
      <c r="P79" s="21" t="n">
        <f aca="false">P78*(1+O79)</f>
        <v>1.68924011165277</v>
      </c>
      <c r="Q79" s="21" t="n">
        <f aca="false">MAX($P$5:P79)</f>
        <v>1.69917102024004</v>
      </c>
      <c r="R79" s="16" t="n">
        <f aca="false">P79/Q79-1</f>
        <v>-0.00584456094706254</v>
      </c>
      <c r="S79" s="16" t="n">
        <f aca="false">O79-Benchmark_RF!D79</f>
        <v>0.0551031787166904</v>
      </c>
    </row>
    <row r="80" customFormat="false" ht="15" hidden="false" customHeight="true" outlineLevel="0" collapsed="false">
      <c r="A80" s="1" t="n">
        <v>83</v>
      </c>
      <c r="B80" s="13" t="n">
        <f aca="false">Returns!A84</f>
        <v>44501</v>
      </c>
      <c r="C80" s="17" t="n">
        <f aca="false">IF(Rankings!C86&lt;=5,1,0)</f>
        <v>1</v>
      </c>
      <c r="D80" s="17" t="n">
        <f aca="false">IF(Rankings!D86&lt;=5,1,0)</f>
        <v>1</v>
      </c>
      <c r="E80" s="17" t="n">
        <f aca="false">IF(Rankings!E86&lt;=5,1,0)</f>
        <v>1</v>
      </c>
      <c r="F80" s="17" t="n">
        <f aca="false">IF(Rankings!F86&lt;=5,1,0)</f>
        <v>0</v>
      </c>
      <c r="G80" s="17" t="n">
        <f aca="false">IF(Rankings!G86&lt;=5,1,0)</f>
        <v>0</v>
      </c>
      <c r="H80" s="17" t="n">
        <f aca="false">IF(Rankings!H86&lt;=5,1,0)</f>
        <v>0</v>
      </c>
      <c r="I80" s="17" t="n">
        <f aca="false">IF(Rankings!I86&lt;=5,1,0)</f>
        <v>1</v>
      </c>
      <c r="J80" s="17" t="n">
        <f aca="false">IF(Rankings!J86&lt;=5,1,0)</f>
        <v>1</v>
      </c>
      <c r="K80" s="20" t="n">
        <f aca="false">SUM(C80:J80)</f>
        <v>5</v>
      </c>
      <c r="L80" s="16" t="n">
        <f aca="false">SUMPRODUCT(C80:J80,Returns!B84:I84)/K80</f>
        <v>0.00296856955213207</v>
      </c>
      <c r="M80" s="16" t="n">
        <f aca="false">-2*Assumptions!$B$13</f>
        <v>-0.007</v>
      </c>
      <c r="N80" s="16" t="n">
        <f aca="false">-Assumptions!$B$16*MAX(0,(1+O77)*(1+O78)*(1+O79)-1)</f>
        <v>-0.00632404004977712</v>
      </c>
      <c r="O80" s="16" t="n">
        <f aca="false">L80+M80+N80</f>
        <v>-0.0103554704976451</v>
      </c>
      <c r="P80" s="21" t="n">
        <f aca="false">P79*(1+O80)</f>
        <v>1.67174723551311</v>
      </c>
      <c r="Q80" s="21" t="n">
        <f aca="false">MAX($P$5:P80)</f>
        <v>1.69917102024004</v>
      </c>
      <c r="R80" s="16" t="n">
        <f aca="false">P80/Q80-1</f>
        <v>-0.0161395082662487</v>
      </c>
      <c r="S80" s="16" t="n">
        <f aca="false">O80-Benchmark_RF!D80</f>
        <v>-0.0171771958498324</v>
      </c>
    </row>
    <row r="81" customFormat="false" ht="15" hidden="false" customHeight="true" outlineLevel="0" collapsed="false">
      <c r="A81" s="1" t="n">
        <v>84</v>
      </c>
      <c r="B81" s="13" t="n">
        <f aca="false">Returns!A85</f>
        <v>44531</v>
      </c>
      <c r="C81" s="17" t="n">
        <f aca="false">IF(Rankings!C86&lt;=5,1,0)</f>
        <v>1</v>
      </c>
      <c r="D81" s="17" t="n">
        <f aca="false">IF(Rankings!D86&lt;=5,1,0)</f>
        <v>1</v>
      </c>
      <c r="E81" s="17" t="n">
        <f aca="false">IF(Rankings!E86&lt;=5,1,0)</f>
        <v>1</v>
      </c>
      <c r="F81" s="17" t="n">
        <f aca="false">IF(Rankings!F86&lt;=5,1,0)</f>
        <v>0</v>
      </c>
      <c r="G81" s="17" t="n">
        <f aca="false">IF(Rankings!G86&lt;=5,1,0)</f>
        <v>0</v>
      </c>
      <c r="H81" s="17" t="n">
        <f aca="false">IF(Rankings!H86&lt;=5,1,0)</f>
        <v>0</v>
      </c>
      <c r="I81" s="17" t="n">
        <f aca="false">IF(Rankings!I86&lt;=5,1,0)</f>
        <v>1</v>
      </c>
      <c r="J81" s="17" t="n">
        <f aca="false">IF(Rankings!J86&lt;=5,1,0)</f>
        <v>1</v>
      </c>
      <c r="K81" s="20" t="n">
        <f aca="false">SUM(C81:J81)</f>
        <v>5</v>
      </c>
      <c r="L81" s="16" t="n">
        <f aca="false">SUMPRODUCT(C81:J81,Returns!B85:I85)/K81</f>
        <v>-0.0278056725936679</v>
      </c>
      <c r="M81" s="16" t="n">
        <v>0</v>
      </c>
      <c r="N81" s="16" t="n">
        <v>0</v>
      </c>
      <c r="O81" s="16" t="n">
        <f aca="false">L81+M81+N81</f>
        <v>-0.0278056725936679</v>
      </c>
      <c r="P81" s="21" t="n">
        <f aca="false">P80*(1+O81)</f>
        <v>1.62526317922306</v>
      </c>
      <c r="Q81" s="21" t="n">
        <f aca="false">MAX($P$5:P81)</f>
        <v>1.69917102024004</v>
      </c>
      <c r="R81" s="16" t="n">
        <f aca="false">P81/Q81-1</f>
        <v>-0.0434964109772424</v>
      </c>
      <c r="S81" s="16" t="n">
        <f aca="false">O81-Benchmark_RF!D81</f>
        <v>-0.0360750856050307</v>
      </c>
    </row>
    <row r="82" customFormat="false" ht="15" hidden="false" customHeight="true" outlineLevel="0" collapsed="false">
      <c r="A82" s="1" t="n">
        <v>85</v>
      </c>
      <c r="B82" s="13" t="n">
        <f aca="false">Returns!A86</f>
        <v>44562</v>
      </c>
      <c r="C82" s="17" t="n">
        <f aca="false">IF(Rankings!C86&lt;=5,1,0)</f>
        <v>1</v>
      </c>
      <c r="D82" s="17" t="n">
        <f aca="false">IF(Rankings!D86&lt;=5,1,0)</f>
        <v>1</v>
      </c>
      <c r="E82" s="17" t="n">
        <f aca="false">IF(Rankings!E86&lt;=5,1,0)</f>
        <v>1</v>
      </c>
      <c r="F82" s="17" t="n">
        <f aca="false">IF(Rankings!F86&lt;=5,1,0)</f>
        <v>0</v>
      </c>
      <c r="G82" s="17" t="n">
        <f aca="false">IF(Rankings!G86&lt;=5,1,0)</f>
        <v>0</v>
      </c>
      <c r="H82" s="17" t="n">
        <f aca="false">IF(Rankings!H86&lt;=5,1,0)</f>
        <v>0</v>
      </c>
      <c r="I82" s="17" t="n">
        <f aca="false">IF(Rankings!I86&lt;=5,1,0)</f>
        <v>1</v>
      </c>
      <c r="J82" s="17" t="n">
        <f aca="false">IF(Rankings!J86&lt;=5,1,0)</f>
        <v>1</v>
      </c>
      <c r="K82" s="20" t="n">
        <f aca="false">SUM(C82:J82)</f>
        <v>5</v>
      </c>
      <c r="L82" s="16" t="n">
        <f aca="false">SUMPRODUCT(C82:J82,Returns!B86:I86)/K82</f>
        <v>0.0175291130382319</v>
      </c>
      <c r="M82" s="16" t="n">
        <v>0</v>
      </c>
      <c r="N82" s="16" t="n">
        <v>0</v>
      </c>
      <c r="O82" s="16" t="n">
        <f aca="false">L82+M82+N82</f>
        <v>0.0175291130382319</v>
      </c>
      <c r="P82" s="21" t="n">
        <f aca="false">P81*(1+O82)</f>
        <v>1.65375260120854</v>
      </c>
      <c r="Q82" s="21" t="n">
        <f aca="false">MAX($P$5:P82)</f>
        <v>1.69917102024004</v>
      </c>
      <c r="R82" s="16" t="n">
        <f aca="false">P82/Q82-1</f>
        <v>-0.0267297514437882</v>
      </c>
      <c r="S82" s="16" t="n">
        <f aca="false">O82-Benchmark_RF!D82</f>
        <v>0.00940008936619661</v>
      </c>
    </row>
    <row r="83" customFormat="false" ht="15" hidden="false" customHeight="true" outlineLevel="0" collapsed="false">
      <c r="A83" s="1" t="n">
        <v>86</v>
      </c>
      <c r="B83" s="13" t="n">
        <f aca="false">Returns!A87</f>
        <v>44593</v>
      </c>
      <c r="C83" s="17" t="n">
        <f aca="false">IF(Rankings!C89&lt;=5,1,0)</f>
        <v>1</v>
      </c>
      <c r="D83" s="17" t="n">
        <f aca="false">IF(Rankings!D89&lt;=5,1,0)</f>
        <v>1</v>
      </c>
      <c r="E83" s="17" t="n">
        <f aca="false">IF(Rankings!E89&lt;=5,1,0)</f>
        <v>1</v>
      </c>
      <c r="F83" s="17" t="n">
        <f aca="false">IF(Rankings!F89&lt;=5,1,0)</f>
        <v>0</v>
      </c>
      <c r="G83" s="17" t="n">
        <f aca="false">IF(Rankings!G89&lt;=5,1,0)</f>
        <v>1</v>
      </c>
      <c r="H83" s="17" t="n">
        <f aca="false">IF(Rankings!H89&lt;=5,1,0)</f>
        <v>0</v>
      </c>
      <c r="I83" s="17" t="n">
        <f aca="false">IF(Rankings!I89&lt;=5,1,0)</f>
        <v>1</v>
      </c>
      <c r="J83" s="17" t="n">
        <f aca="false">IF(Rankings!J89&lt;=5,1,0)</f>
        <v>0</v>
      </c>
      <c r="K83" s="20" t="n">
        <f aca="false">SUM(C83:J83)</f>
        <v>5</v>
      </c>
      <c r="L83" s="16" t="n">
        <f aca="false">SUMPRODUCT(C83:J83,Returns!B87:I87)/K83</f>
        <v>-0.00188636187548361</v>
      </c>
      <c r="M83" s="16" t="n">
        <f aca="false">-2*Assumptions!$B$13</f>
        <v>-0.007</v>
      </c>
      <c r="N83" s="16" t="n">
        <f aca="false">-Assumptions!$B$16*MAX(0,(1+O80)*(1+O81)*(1+O82)-1)</f>
        <v>-0</v>
      </c>
      <c r="O83" s="16" t="n">
        <f aca="false">L83+M83+N83</f>
        <v>-0.00888636187548361</v>
      </c>
      <c r="P83" s="21" t="n">
        <f aca="false">P82*(1+O83)</f>
        <v>1.63905675714168</v>
      </c>
      <c r="Q83" s="21" t="n">
        <f aca="false">MAX($P$5:P83)</f>
        <v>1.69917102024004</v>
      </c>
      <c r="R83" s="16" t="n">
        <f aca="false">P83/Q83-1</f>
        <v>-0.0353785830751006</v>
      </c>
      <c r="S83" s="16" t="n">
        <f aca="false">O83-Benchmark_RF!D83</f>
        <v>-0.0171529585497761</v>
      </c>
    </row>
    <row r="84" customFormat="false" ht="15" hidden="false" customHeight="true" outlineLevel="0" collapsed="false">
      <c r="A84" s="1" t="n">
        <v>87</v>
      </c>
      <c r="B84" s="13" t="n">
        <f aca="false">Returns!A88</f>
        <v>44621</v>
      </c>
      <c r="C84" s="17" t="n">
        <f aca="false">IF(Rankings!C89&lt;=5,1,0)</f>
        <v>1</v>
      </c>
      <c r="D84" s="17" t="n">
        <f aca="false">IF(Rankings!D89&lt;=5,1,0)</f>
        <v>1</v>
      </c>
      <c r="E84" s="17" t="n">
        <f aca="false">IF(Rankings!E89&lt;=5,1,0)</f>
        <v>1</v>
      </c>
      <c r="F84" s="17" t="n">
        <f aca="false">IF(Rankings!F89&lt;=5,1,0)</f>
        <v>0</v>
      </c>
      <c r="G84" s="17" t="n">
        <f aca="false">IF(Rankings!G89&lt;=5,1,0)</f>
        <v>1</v>
      </c>
      <c r="H84" s="17" t="n">
        <f aca="false">IF(Rankings!H89&lt;=5,1,0)</f>
        <v>0</v>
      </c>
      <c r="I84" s="17" t="n">
        <f aca="false">IF(Rankings!I89&lt;=5,1,0)</f>
        <v>1</v>
      </c>
      <c r="J84" s="17" t="n">
        <f aca="false">IF(Rankings!J89&lt;=5,1,0)</f>
        <v>0</v>
      </c>
      <c r="K84" s="20" t="n">
        <f aca="false">SUM(C84:J84)</f>
        <v>5</v>
      </c>
      <c r="L84" s="16" t="n">
        <f aca="false">SUMPRODUCT(C84:J84,Returns!B88:I88)/K84</f>
        <v>-0.0432268223618041</v>
      </c>
      <c r="M84" s="16" t="n">
        <v>0</v>
      </c>
      <c r="N84" s="16" t="n">
        <v>0</v>
      </c>
      <c r="O84" s="16" t="n">
        <f aca="false">L84+M84+N84</f>
        <v>-0.0432268223618041</v>
      </c>
      <c r="P84" s="21" t="n">
        <f aca="false">P83*(1+O84)</f>
        <v>1.5682055418598</v>
      </c>
      <c r="Q84" s="21" t="n">
        <f aca="false">MAX($P$5:P84)</f>
        <v>1.69917102024004</v>
      </c>
      <c r="R84" s="16" t="n">
        <f aca="false">P84/Q84-1</f>
        <v>-0.077076101710905</v>
      </c>
      <c r="S84" s="16" t="n">
        <f aca="false">O84-Benchmark_RF!D84</f>
        <v>-0.0525280975682937</v>
      </c>
    </row>
    <row r="85" customFormat="false" ht="15" hidden="false" customHeight="true" outlineLevel="0" collapsed="false">
      <c r="A85" s="1" t="n">
        <v>88</v>
      </c>
      <c r="B85" s="13" t="n">
        <f aca="false">Returns!A89</f>
        <v>44652</v>
      </c>
      <c r="C85" s="17" t="n">
        <f aca="false">IF(Rankings!C89&lt;=5,1,0)</f>
        <v>1</v>
      </c>
      <c r="D85" s="17" t="n">
        <f aca="false">IF(Rankings!D89&lt;=5,1,0)</f>
        <v>1</v>
      </c>
      <c r="E85" s="17" t="n">
        <f aca="false">IF(Rankings!E89&lt;=5,1,0)</f>
        <v>1</v>
      </c>
      <c r="F85" s="17" t="n">
        <f aca="false">IF(Rankings!F89&lt;=5,1,0)</f>
        <v>0</v>
      </c>
      <c r="G85" s="17" t="n">
        <f aca="false">IF(Rankings!G89&lt;=5,1,0)</f>
        <v>1</v>
      </c>
      <c r="H85" s="17" t="n">
        <f aca="false">IF(Rankings!H89&lt;=5,1,0)</f>
        <v>0</v>
      </c>
      <c r="I85" s="17" t="n">
        <f aca="false">IF(Rankings!I89&lt;=5,1,0)</f>
        <v>1</v>
      </c>
      <c r="J85" s="17" t="n">
        <f aca="false">IF(Rankings!J89&lt;=5,1,0)</f>
        <v>0</v>
      </c>
      <c r="K85" s="20" t="n">
        <f aca="false">SUM(C85:J85)</f>
        <v>5</v>
      </c>
      <c r="L85" s="16" t="n">
        <f aca="false">SUMPRODUCT(C85:J85,Returns!B89:I89)/K85</f>
        <v>0.00295977590604937</v>
      </c>
      <c r="M85" s="16" t="n">
        <v>0</v>
      </c>
      <c r="N85" s="16" t="n">
        <v>0</v>
      </c>
      <c r="O85" s="16" t="n">
        <f aca="false">L85+M85+N85</f>
        <v>0.00295977590604937</v>
      </c>
      <c r="P85" s="21" t="n">
        <f aca="false">P84*(1+O85)</f>
        <v>1.57284707883833</v>
      </c>
      <c r="Q85" s="21" t="n">
        <f aca="false">MAX($P$5:P85)</f>
        <v>1.69917102024004</v>
      </c>
      <c r="R85" s="16" t="n">
        <f aca="false">P85/Q85-1</f>
        <v>-0.0743444537936316</v>
      </c>
      <c r="S85" s="16" t="n">
        <f aca="false">O85-Benchmark_RF!D85</f>
        <v>-0.00816203900130128</v>
      </c>
    </row>
    <row r="86" customFormat="false" ht="15" hidden="false" customHeight="true" outlineLevel="0" collapsed="false">
      <c r="A86" s="1" t="n">
        <v>89</v>
      </c>
      <c r="B86" s="13" t="n">
        <f aca="false">Returns!A90</f>
        <v>44682</v>
      </c>
      <c r="C86" s="17" t="n">
        <f aca="false">IF(Rankings!C92&lt;=5,1,0)</f>
        <v>1</v>
      </c>
      <c r="D86" s="17" t="n">
        <f aca="false">IF(Rankings!D92&lt;=5,1,0)</f>
        <v>1</v>
      </c>
      <c r="E86" s="17" t="n">
        <f aca="false">IF(Rankings!E92&lt;=5,1,0)</f>
        <v>0</v>
      </c>
      <c r="F86" s="17" t="n">
        <f aca="false">IF(Rankings!F92&lt;=5,1,0)</f>
        <v>0</v>
      </c>
      <c r="G86" s="17" t="n">
        <f aca="false">IF(Rankings!G92&lt;=5,1,0)</f>
        <v>1</v>
      </c>
      <c r="H86" s="17" t="n">
        <f aca="false">IF(Rankings!H92&lt;=5,1,0)</f>
        <v>0</v>
      </c>
      <c r="I86" s="17" t="n">
        <f aca="false">IF(Rankings!I92&lt;=5,1,0)</f>
        <v>1</v>
      </c>
      <c r="J86" s="17" t="n">
        <f aca="false">IF(Rankings!J92&lt;=5,1,0)</f>
        <v>1</v>
      </c>
      <c r="K86" s="20" t="n">
        <f aca="false">SUM(C86:J86)</f>
        <v>5</v>
      </c>
      <c r="L86" s="16" t="n">
        <f aca="false">SUMPRODUCT(C86:J86,Returns!B90:I90)/K86</f>
        <v>-0.0894267623464305</v>
      </c>
      <c r="M86" s="16" t="n">
        <f aca="false">-2*Assumptions!$B$13</f>
        <v>-0.007</v>
      </c>
      <c r="N86" s="16" t="n">
        <f aca="false">-Assumptions!$B$16*MAX(0,(1+O83)*(1+O84)*(1+O85)-1)</f>
        <v>-0</v>
      </c>
      <c r="O86" s="16" t="n">
        <f aca="false">L86+M86+N86</f>
        <v>-0.0964267623464306</v>
      </c>
      <c r="P86" s="21" t="n">
        <f aca="false">P85*(1+O86)</f>
        <v>1.42118252735991</v>
      </c>
      <c r="Q86" s="21" t="n">
        <f aca="false">MAX($P$5:P86)</f>
        <v>1.69917102024004</v>
      </c>
      <c r="R86" s="16" t="n">
        <f aca="false">P86/Q86-1</f>
        <v>-0.163602421162329</v>
      </c>
      <c r="S86" s="16" t="n">
        <f aca="false">O86-Benchmark_RF!D86</f>
        <v>-0.107717320963549</v>
      </c>
    </row>
    <row r="87" customFormat="false" ht="15" hidden="false" customHeight="true" outlineLevel="0" collapsed="false">
      <c r="A87" s="1" t="n">
        <v>90</v>
      </c>
      <c r="B87" s="13" t="n">
        <f aca="false">Returns!A91</f>
        <v>44713</v>
      </c>
      <c r="C87" s="17" t="n">
        <f aca="false">IF(Rankings!C92&lt;=5,1,0)</f>
        <v>1</v>
      </c>
      <c r="D87" s="17" t="n">
        <f aca="false">IF(Rankings!D92&lt;=5,1,0)</f>
        <v>1</v>
      </c>
      <c r="E87" s="17" t="n">
        <f aca="false">IF(Rankings!E92&lt;=5,1,0)</f>
        <v>0</v>
      </c>
      <c r="F87" s="17" t="n">
        <f aca="false">IF(Rankings!F92&lt;=5,1,0)</f>
        <v>0</v>
      </c>
      <c r="G87" s="17" t="n">
        <f aca="false">IF(Rankings!G92&lt;=5,1,0)</f>
        <v>1</v>
      </c>
      <c r="H87" s="17" t="n">
        <f aca="false">IF(Rankings!H92&lt;=5,1,0)</f>
        <v>0</v>
      </c>
      <c r="I87" s="17" t="n">
        <f aca="false">IF(Rankings!I92&lt;=5,1,0)</f>
        <v>1</v>
      </c>
      <c r="J87" s="17" t="n">
        <f aca="false">IF(Rankings!J92&lt;=5,1,0)</f>
        <v>1</v>
      </c>
      <c r="K87" s="20" t="n">
        <f aca="false">SUM(C87:J87)</f>
        <v>5</v>
      </c>
      <c r="L87" s="16" t="n">
        <f aca="false">SUMPRODUCT(C87:J87,Returns!B91:I91)/K87</f>
        <v>-0.0405521437506293</v>
      </c>
      <c r="M87" s="16" t="n">
        <v>0</v>
      </c>
      <c r="N87" s="16" t="n">
        <v>0</v>
      </c>
      <c r="O87" s="16" t="n">
        <f aca="false">L87+M87+N87</f>
        <v>-0.0405521437506293</v>
      </c>
      <c r="P87" s="21" t="n">
        <f aca="false">P86*(1+O87)</f>
        <v>1.36355052921453</v>
      </c>
      <c r="Q87" s="21" t="n">
        <f aca="false">MAX($P$5:P87)</f>
        <v>1.69917102024004</v>
      </c>
      <c r="R87" s="16" t="n">
        <f aca="false">P87/Q87-1</f>
        <v>-0.197520136012032</v>
      </c>
      <c r="S87" s="16" t="n">
        <f aca="false">O87-Benchmark_RF!D87</f>
        <v>-0.0523256921188561</v>
      </c>
    </row>
    <row r="88" customFormat="false" ht="15" hidden="false" customHeight="true" outlineLevel="0" collapsed="false">
      <c r="A88" s="1" t="n">
        <v>91</v>
      </c>
      <c r="B88" s="13" t="n">
        <f aca="false">Returns!A92</f>
        <v>44743</v>
      </c>
      <c r="C88" s="17" t="n">
        <f aca="false">IF(Rankings!C92&lt;=5,1,0)</f>
        <v>1</v>
      </c>
      <c r="D88" s="17" t="n">
        <f aca="false">IF(Rankings!D92&lt;=5,1,0)</f>
        <v>1</v>
      </c>
      <c r="E88" s="17" t="n">
        <f aca="false">IF(Rankings!E92&lt;=5,1,0)</f>
        <v>0</v>
      </c>
      <c r="F88" s="17" t="n">
        <f aca="false">IF(Rankings!F92&lt;=5,1,0)</f>
        <v>0</v>
      </c>
      <c r="G88" s="17" t="n">
        <f aca="false">IF(Rankings!G92&lt;=5,1,0)</f>
        <v>1</v>
      </c>
      <c r="H88" s="17" t="n">
        <f aca="false">IF(Rankings!H92&lt;=5,1,0)</f>
        <v>0</v>
      </c>
      <c r="I88" s="17" t="n">
        <f aca="false">IF(Rankings!I92&lt;=5,1,0)</f>
        <v>1</v>
      </c>
      <c r="J88" s="17" t="n">
        <f aca="false">IF(Rankings!J92&lt;=5,1,0)</f>
        <v>1</v>
      </c>
      <c r="K88" s="20" t="n">
        <f aca="false">SUM(C88:J88)</f>
        <v>5</v>
      </c>
      <c r="L88" s="16" t="n">
        <f aca="false">SUMPRODUCT(C88:J88,Returns!B92:I92)/K88</f>
        <v>-0.0146882087831887</v>
      </c>
      <c r="M88" s="16" t="n">
        <v>0</v>
      </c>
      <c r="N88" s="16" t="n">
        <v>0</v>
      </c>
      <c r="O88" s="16" t="n">
        <f aca="false">L88+M88+N88</f>
        <v>-0.0146882087831887</v>
      </c>
      <c r="P88" s="21" t="n">
        <f aca="false">P87*(1+O88)</f>
        <v>1.343522414355</v>
      </c>
      <c r="Q88" s="21" t="n">
        <f aca="false">MAX($P$5:P88)</f>
        <v>1.69917102024004</v>
      </c>
      <c r="R88" s="16" t="n">
        <f aca="false">P88/Q88-1</f>
        <v>-0.209307127798592</v>
      </c>
      <c r="S88" s="16" t="n">
        <f aca="false">O88-Benchmark_RF!D88</f>
        <v>-0.0268638399042484</v>
      </c>
    </row>
    <row r="89" customFormat="false" ht="15" hidden="false" customHeight="true" outlineLevel="0" collapsed="false">
      <c r="A89" s="1" t="n">
        <v>92</v>
      </c>
      <c r="B89" s="13" t="n">
        <f aca="false">Returns!A93</f>
        <v>44774</v>
      </c>
      <c r="C89" s="17" t="n">
        <f aca="false">IF(Rankings!C95&lt;=5,1,0)</f>
        <v>1</v>
      </c>
      <c r="D89" s="17" t="n">
        <f aca="false">IF(Rankings!D95&lt;=5,1,0)</f>
        <v>1</v>
      </c>
      <c r="E89" s="17" t="n">
        <f aca="false">IF(Rankings!E95&lt;=5,1,0)</f>
        <v>0</v>
      </c>
      <c r="F89" s="17" t="n">
        <f aca="false">IF(Rankings!F95&lt;=5,1,0)</f>
        <v>0</v>
      </c>
      <c r="G89" s="17" t="n">
        <f aca="false">IF(Rankings!G95&lt;=5,1,0)</f>
        <v>1</v>
      </c>
      <c r="H89" s="17" t="n">
        <f aca="false">IF(Rankings!H95&lt;=5,1,0)</f>
        <v>0</v>
      </c>
      <c r="I89" s="17" t="n">
        <f aca="false">IF(Rankings!I95&lt;=5,1,0)</f>
        <v>1</v>
      </c>
      <c r="J89" s="17" t="n">
        <f aca="false">IF(Rankings!J95&lt;=5,1,0)</f>
        <v>1</v>
      </c>
      <c r="K89" s="20" t="n">
        <f aca="false">SUM(C89:J89)</f>
        <v>5</v>
      </c>
      <c r="L89" s="16" t="n">
        <f aca="false">SUMPRODUCT(C89:J89,Returns!B93:I93)/K89</f>
        <v>0.0966265635663176</v>
      </c>
      <c r="M89" s="16" t="n">
        <f aca="false">-2*Assumptions!$B$13</f>
        <v>-0.007</v>
      </c>
      <c r="N89" s="16" t="n">
        <f aca="false">-Assumptions!$B$16*MAX(0,(1+O86)*(1+O87)*(1+O88)-1)</f>
        <v>-0</v>
      </c>
      <c r="O89" s="16" t="n">
        <f aca="false">L89+M89+N89</f>
        <v>0.0896265635663176</v>
      </c>
      <c r="P89" s="21" t="n">
        <f aca="false">P88*(1+O89)</f>
        <v>1.46393771142796</v>
      </c>
      <c r="Q89" s="21" t="n">
        <f aca="false">MAX($P$5:P89)</f>
        <v>1.69917102024004</v>
      </c>
      <c r="R89" s="16" t="n">
        <f aca="false">P89/Q89-1</f>
        <v>-0.138440042826798</v>
      </c>
      <c r="S89" s="16" t="n">
        <f aca="false">O89-Benchmark_RF!D89</f>
        <v>0.0773780149031527</v>
      </c>
    </row>
    <row r="90" customFormat="false" ht="15" hidden="false" customHeight="true" outlineLevel="0" collapsed="false">
      <c r="A90" s="1" t="n">
        <v>93</v>
      </c>
      <c r="B90" s="13" t="n">
        <f aca="false">Returns!A94</f>
        <v>44805</v>
      </c>
      <c r="C90" s="17" t="n">
        <f aca="false">IF(Rankings!C95&lt;=5,1,0)</f>
        <v>1</v>
      </c>
      <c r="D90" s="17" t="n">
        <f aca="false">IF(Rankings!D95&lt;=5,1,0)</f>
        <v>1</v>
      </c>
      <c r="E90" s="17" t="n">
        <f aca="false">IF(Rankings!E95&lt;=5,1,0)</f>
        <v>0</v>
      </c>
      <c r="F90" s="17" t="n">
        <f aca="false">IF(Rankings!F95&lt;=5,1,0)</f>
        <v>0</v>
      </c>
      <c r="G90" s="17" t="n">
        <f aca="false">IF(Rankings!G95&lt;=5,1,0)</f>
        <v>1</v>
      </c>
      <c r="H90" s="17" t="n">
        <f aca="false">IF(Rankings!H95&lt;=5,1,0)</f>
        <v>0</v>
      </c>
      <c r="I90" s="17" t="n">
        <f aca="false">IF(Rankings!I95&lt;=5,1,0)</f>
        <v>1</v>
      </c>
      <c r="J90" s="17" t="n">
        <f aca="false">IF(Rankings!J95&lt;=5,1,0)</f>
        <v>1</v>
      </c>
      <c r="K90" s="20" t="n">
        <f aca="false">SUM(C90:J90)</f>
        <v>5</v>
      </c>
      <c r="L90" s="16" t="n">
        <f aca="false">SUMPRODUCT(C90:J90,Returns!B94:I94)/K90</f>
        <v>-0.0751125048508607</v>
      </c>
      <c r="M90" s="16" t="n">
        <v>0</v>
      </c>
      <c r="N90" s="16" t="n">
        <v>0</v>
      </c>
      <c r="O90" s="16" t="n">
        <f aca="false">L90+M90+N90</f>
        <v>-0.0751125048508607</v>
      </c>
      <c r="P90" s="21" t="n">
        <f aca="false">P89*(1+O90)</f>
        <v>1.35397768297697</v>
      </c>
      <c r="Q90" s="21" t="n">
        <f aca="false">MAX($P$5:P90)</f>
        <v>1.69917102024004</v>
      </c>
      <c r="R90" s="16" t="n">
        <f aca="false">P90/Q90-1</f>
        <v>-0.203153969289278</v>
      </c>
      <c r="S90" s="16" t="n">
        <f aca="false">O90-Benchmark_RF!D90</f>
        <v>-0.0875358202454143</v>
      </c>
    </row>
    <row r="91" customFormat="false" ht="15" hidden="false" customHeight="true" outlineLevel="0" collapsed="false">
      <c r="A91" s="1" t="n">
        <v>94</v>
      </c>
      <c r="B91" s="13" t="n">
        <f aca="false">Returns!A95</f>
        <v>44835</v>
      </c>
      <c r="C91" s="17" t="n">
        <f aca="false">IF(Rankings!C95&lt;=5,1,0)</f>
        <v>1</v>
      </c>
      <c r="D91" s="17" t="n">
        <f aca="false">IF(Rankings!D95&lt;=5,1,0)</f>
        <v>1</v>
      </c>
      <c r="E91" s="17" t="n">
        <f aca="false">IF(Rankings!E95&lt;=5,1,0)</f>
        <v>0</v>
      </c>
      <c r="F91" s="17" t="n">
        <f aca="false">IF(Rankings!F95&lt;=5,1,0)</f>
        <v>0</v>
      </c>
      <c r="G91" s="17" t="n">
        <f aca="false">IF(Rankings!G95&lt;=5,1,0)</f>
        <v>1</v>
      </c>
      <c r="H91" s="17" t="n">
        <f aca="false">IF(Rankings!H95&lt;=5,1,0)</f>
        <v>0</v>
      </c>
      <c r="I91" s="17" t="n">
        <f aca="false">IF(Rankings!I95&lt;=5,1,0)</f>
        <v>1</v>
      </c>
      <c r="J91" s="17" t="n">
        <f aca="false">IF(Rankings!J95&lt;=5,1,0)</f>
        <v>1</v>
      </c>
      <c r="K91" s="20" t="n">
        <f aca="false">SUM(C91:J91)</f>
        <v>5</v>
      </c>
      <c r="L91" s="16" t="n">
        <f aca="false">SUMPRODUCT(C91:J91,Returns!B95:I95)/K91</f>
        <v>-0.0389792119326343</v>
      </c>
      <c r="M91" s="16" t="n">
        <v>0</v>
      </c>
      <c r="N91" s="16" t="n">
        <v>0</v>
      </c>
      <c r="O91" s="16" t="n">
        <f aca="false">L91+M91+N91</f>
        <v>-0.0389792119326343</v>
      </c>
      <c r="P91" s="21" t="n">
        <f aca="false">P90*(1+O91)</f>
        <v>1.30120069992015</v>
      </c>
      <c r="Q91" s="21" t="n">
        <f aca="false">MAX($P$5:P91)</f>
        <v>1.69917102024004</v>
      </c>
      <c r="R91" s="16" t="n">
        <f aca="false">P91/Q91-1</f>
        <v>-0.234214399598029</v>
      </c>
      <c r="S91" s="16" t="n">
        <f aca="false">O91-Benchmark_RF!D91</f>
        <v>-0.0511840170046415</v>
      </c>
    </row>
    <row r="92" customFormat="false" ht="15" hidden="false" customHeight="true" outlineLevel="0" collapsed="false">
      <c r="A92" s="1" t="n">
        <v>95</v>
      </c>
      <c r="B92" s="13" t="n">
        <f aca="false">Returns!A96</f>
        <v>44866</v>
      </c>
      <c r="C92" s="17" t="n">
        <f aca="false">IF(Rankings!C98&lt;=5,1,0)</f>
        <v>0</v>
      </c>
      <c r="D92" s="17" t="n">
        <f aca="false">IF(Rankings!D98&lt;=5,1,0)</f>
        <v>1</v>
      </c>
      <c r="E92" s="17" t="n">
        <f aca="false">IF(Rankings!E98&lt;=5,1,0)</f>
        <v>0</v>
      </c>
      <c r="F92" s="17" t="n">
        <f aca="false">IF(Rankings!F98&lt;=5,1,0)</f>
        <v>1</v>
      </c>
      <c r="G92" s="17" t="n">
        <f aca="false">IF(Rankings!G98&lt;=5,1,0)</f>
        <v>1</v>
      </c>
      <c r="H92" s="17" t="n">
        <f aca="false">IF(Rankings!H98&lt;=5,1,0)</f>
        <v>0</v>
      </c>
      <c r="I92" s="17" t="n">
        <f aca="false">IF(Rankings!I98&lt;=5,1,0)</f>
        <v>1</v>
      </c>
      <c r="J92" s="17" t="n">
        <f aca="false">IF(Rankings!J98&lt;=5,1,0)</f>
        <v>1</v>
      </c>
      <c r="K92" s="20" t="n">
        <f aca="false">SUM(C92:J92)</f>
        <v>5</v>
      </c>
      <c r="L92" s="16" t="n">
        <f aca="false">SUMPRODUCT(C92:J92,Returns!B96:I96)/K92</f>
        <v>0.0234056722527613</v>
      </c>
      <c r="M92" s="16" t="n">
        <f aca="false">-2*Assumptions!$B$13</f>
        <v>-0.007</v>
      </c>
      <c r="N92" s="16" t="n">
        <f aca="false">-Assumptions!$B$16*MAX(0,(1+O89)*(1+O90)*(1+O91)-1)</f>
        <v>-0</v>
      </c>
      <c r="O92" s="16" t="n">
        <f aca="false">L92+M92+N92</f>
        <v>0.0164056722527613</v>
      </c>
      <c r="P92" s="21" t="n">
        <f aca="false">P91*(1+O92)</f>
        <v>1.3225477721381</v>
      </c>
      <c r="Q92" s="21" t="n">
        <f aca="false">MAX($P$5:P92)</f>
        <v>1.69917102024004</v>
      </c>
      <c r="R92" s="16" t="n">
        <f aca="false">P92/Q92-1</f>
        <v>-0.221651172021951</v>
      </c>
      <c r="S92" s="16" t="n">
        <f aca="false">O92-Benchmark_RF!D92</f>
        <v>0.00332269754862942</v>
      </c>
    </row>
    <row r="93" customFormat="false" ht="15" hidden="false" customHeight="true" outlineLevel="0" collapsed="false">
      <c r="A93" s="1" t="n">
        <v>96</v>
      </c>
      <c r="B93" s="13" t="n">
        <f aca="false">Returns!A97</f>
        <v>44896</v>
      </c>
      <c r="C93" s="17" t="n">
        <f aca="false">IF(Rankings!C98&lt;=5,1,0)</f>
        <v>0</v>
      </c>
      <c r="D93" s="17" t="n">
        <f aca="false">IF(Rankings!D98&lt;=5,1,0)</f>
        <v>1</v>
      </c>
      <c r="E93" s="17" t="n">
        <f aca="false">IF(Rankings!E98&lt;=5,1,0)</f>
        <v>0</v>
      </c>
      <c r="F93" s="17" t="n">
        <f aca="false">IF(Rankings!F98&lt;=5,1,0)</f>
        <v>1</v>
      </c>
      <c r="G93" s="17" t="n">
        <f aca="false">IF(Rankings!G98&lt;=5,1,0)</f>
        <v>1</v>
      </c>
      <c r="H93" s="17" t="n">
        <f aca="false">IF(Rankings!H98&lt;=5,1,0)</f>
        <v>0</v>
      </c>
      <c r="I93" s="17" t="n">
        <f aca="false">IF(Rankings!I98&lt;=5,1,0)</f>
        <v>1</v>
      </c>
      <c r="J93" s="17" t="n">
        <f aca="false">IF(Rankings!J98&lt;=5,1,0)</f>
        <v>1</v>
      </c>
      <c r="K93" s="20" t="n">
        <f aca="false">SUM(C93:J93)</f>
        <v>5</v>
      </c>
      <c r="L93" s="16" t="n">
        <f aca="false">SUMPRODUCT(C93:J93,Returns!B97:I97)/K93</f>
        <v>-0.0835749512937515</v>
      </c>
      <c r="M93" s="16" t="n">
        <v>0</v>
      </c>
      <c r="N93" s="16" t="n">
        <v>0</v>
      </c>
      <c r="O93" s="16" t="n">
        <f aca="false">L93+M93+N93</f>
        <v>-0.0835749512937515</v>
      </c>
      <c r="P93" s="21" t="n">
        <f aca="false">P92*(1+O93)</f>
        <v>1.212015906498</v>
      </c>
      <c r="Q93" s="21" t="n">
        <f aca="false">MAX($P$5:P93)</f>
        <v>1.69917102024004</v>
      </c>
      <c r="R93" s="16" t="n">
        <f aca="false">P93/Q93-1</f>
        <v>-0.286701637409765</v>
      </c>
      <c r="S93" s="16" t="n">
        <f aca="false">O93-Benchmark_RF!D93</f>
        <v>-0.0967156926700975</v>
      </c>
    </row>
    <row r="94" customFormat="false" ht="15" hidden="false" customHeight="true" outlineLevel="0" collapsed="false">
      <c r="A94" s="1" t="n">
        <v>97</v>
      </c>
      <c r="B94" s="13" t="n">
        <f aca="false">Returns!A98</f>
        <v>44927</v>
      </c>
      <c r="C94" s="17" t="n">
        <f aca="false">IF(Rankings!C98&lt;=5,1,0)</f>
        <v>0</v>
      </c>
      <c r="D94" s="17" t="n">
        <f aca="false">IF(Rankings!D98&lt;=5,1,0)</f>
        <v>1</v>
      </c>
      <c r="E94" s="17" t="n">
        <f aca="false">IF(Rankings!E98&lt;=5,1,0)</f>
        <v>0</v>
      </c>
      <c r="F94" s="17" t="n">
        <f aca="false">IF(Rankings!F98&lt;=5,1,0)</f>
        <v>1</v>
      </c>
      <c r="G94" s="17" t="n">
        <f aca="false">IF(Rankings!G98&lt;=5,1,0)</f>
        <v>1</v>
      </c>
      <c r="H94" s="17" t="n">
        <f aca="false">IF(Rankings!H98&lt;=5,1,0)</f>
        <v>0</v>
      </c>
      <c r="I94" s="17" t="n">
        <f aca="false">IF(Rankings!I98&lt;=5,1,0)</f>
        <v>1</v>
      </c>
      <c r="J94" s="17" t="n">
        <f aca="false">IF(Rankings!J98&lt;=5,1,0)</f>
        <v>1</v>
      </c>
      <c r="K94" s="20" t="n">
        <f aca="false">SUM(C94:J94)</f>
        <v>5</v>
      </c>
      <c r="L94" s="16" t="n">
        <f aca="false">SUMPRODUCT(C94:J94,Returns!B98:I98)/K94</f>
        <v>-0.0424817978884927</v>
      </c>
      <c r="M94" s="16" t="n">
        <v>0</v>
      </c>
      <c r="N94" s="16" t="n">
        <v>0</v>
      </c>
      <c r="O94" s="16" t="n">
        <f aca="false">L94+M94+N94</f>
        <v>-0.0424817978884927</v>
      </c>
      <c r="P94" s="21" t="n">
        <f aca="false">P93*(1+O94)</f>
        <v>1.16052729172052</v>
      </c>
      <c r="Q94" s="21" t="n">
        <f aca="false">MAX($P$5:P94)</f>
        <v>1.69917102024004</v>
      </c>
      <c r="R94" s="16" t="n">
        <f aca="false">P94/Q94-1</f>
        <v>-0.317003834283516</v>
      </c>
      <c r="S94" s="16" t="n">
        <f aca="false">O94-Benchmark_RF!D94</f>
        <v>-0.0562412539168224</v>
      </c>
    </row>
    <row r="95" customFormat="false" ht="15" hidden="false" customHeight="true" outlineLevel="0" collapsed="false">
      <c r="A95" s="1" t="n">
        <v>98</v>
      </c>
      <c r="B95" s="13" t="n">
        <f aca="false">Returns!A99</f>
        <v>44958</v>
      </c>
      <c r="C95" s="17" t="n">
        <f aca="false">IF(Rankings!C101&lt;=5,1,0)</f>
        <v>0</v>
      </c>
      <c r="D95" s="17" t="n">
        <f aca="false">IF(Rankings!D101&lt;=5,1,0)</f>
        <v>1</v>
      </c>
      <c r="E95" s="17" t="n">
        <f aca="false">IF(Rankings!E101&lt;=5,1,0)</f>
        <v>1</v>
      </c>
      <c r="F95" s="17" t="n">
        <f aca="false">IF(Rankings!F101&lt;=5,1,0)</f>
        <v>1</v>
      </c>
      <c r="G95" s="17" t="n">
        <f aca="false">IF(Rankings!G101&lt;=5,1,0)</f>
        <v>1</v>
      </c>
      <c r="H95" s="17" t="n">
        <f aca="false">IF(Rankings!H101&lt;=5,1,0)</f>
        <v>0</v>
      </c>
      <c r="I95" s="17" t="n">
        <f aca="false">IF(Rankings!I101&lt;=5,1,0)</f>
        <v>0</v>
      </c>
      <c r="J95" s="17" t="n">
        <f aca="false">IF(Rankings!J101&lt;=5,1,0)</f>
        <v>1</v>
      </c>
      <c r="K95" s="20" t="n">
        <f aca="false">SUM(C95:J95)</f>
        <v>5</v>
      </c>
      <c r="L95" s="16" t="n">
        <f aca="false">SUMPRODUCT(C95:J95,Returns!B99:I99)/K95</f>
        <v>0.0102869843171734</v>
      </c>
      <c r="M95" s="16" t="n">
        <f aca="false">-2*Assumptions!$B$13</f>
        <v>-0.007</v>
      </c>
      <c r="N95" s="16" t="n">
        <f aca="false">-Assumptions!$B$16*MAX(0,(1+O92)*(1+O93)*(1+O94)-1)</f>
        <v>-0</v>
      </c>
      <c r="O95" s="16" t="n">
        <f aca="false">L95+M95+N95</f>
        <v>0.00328698431717341</v>
      </c>
      <c r="P95" s="21" t="n">
        <f aca="false">P94*(1+O95)</f>
        <v>1.16434192672805</v>
      </c>
      <c r="Q95" s="21" t="n">
        <f aca="false">MAX($P$5:P95)</f>
        <v>1.69917102024004</v>
      </c>
      <c r="R95" s="16" t="n">
        <f aca="false">P95/Q95-1</f>
        <v>-0.314758836598116</v>
      </c>
      <c r="S95" s="16" t="n">
        <f aca="false">O95-Benchmark_RF!D95</f>
        <v>-0.011506339985615</v>
      </c>
    </row>
    <row r="96" customFormat="false" ht="15" hidden="false" customHeight="true" outlineLevel="0" collapsed="false">
      <c r="A96" s="1" t="n">
        <v>99</v>
      </c>
      <c r="B96" s="13" t="n">
        <f aca="false">Returns!A100</f>
        <v>44986</v>
      </c>
      <c r="C96" s="17" t="n">
        <f aca="false">IF(Rankings!C101&lt;=5,1,0)</f>
        <v>0</v>
      </c>
      <c r="D96" s="17" t="n">
        <f aca="false">IF(Rankings!D101&lt;=5,1,0)</f>
        <v>1</v>
      </c>
      <c r="E96" s="17" t="n">
        <f aca="false">IF(Rankings!E101&lt;=5,1,0)</f>
        <v>1</v>
      </c>
      <c r="F96" s="17" t="n">
        <f aca="false">IF(Rankings!F101&lt;=5,1,0)</f>
        <v>1</v>
      </c>
      <c r="G96" s="17" t="n">
        <f aca="false">IF(Rankings!G101&lt;=5,1,0)</f>
        <v>1</v>
      </c>
      <c r="H96" s="17" t="n">
        <f aca="false">IF(Rankings!H101&lt;=5,1,0)</f>
        <v>0</v>
      </c>
      <c r="I96" s="17" t="n">
        <f aca="false">IF(Rankings!I101&lt;=5,1,0)</f>
        <v>0</v>
      </c>
      <c r="J96" s="17" t="n">
        <f aca="false">IF(Rankings!J101&lt;=5,1,0)</f>
        <v>1</v>
      </c>
      <c r="K96" s="20" t="n">
        <f aca="false">SUM(C96:J96)</f>
        <v>5</v>
      </c>
      <c r="L96" s="16" t="n">
        <f aca="false">SUMPRODUCT(C96:J96,Returns!B100:I100)/K96</f>
        <v>0.00483680233828734</v>
      </c>
      <c r="M96" s="16" t="n">
        <v>0</v>
      </c>
      <c r="N96" s="16" t="n">
        <v>0</v>
      </c>
      <c r="O96" s="16" t="n">
        <f aca="false">L96+M96+N96</f>
        <v>0.00483680233828734</v>
      </c>
      <c r="P96" s="21" t="n">
        <f aca="false">P95*(1+O96)</f>
        <v>1.16997361848182</v>
      </c>
      <c r="Q96" s="21" t="n">
        <f aca="false">MAX($P$5:P96)</f>
        <v>1.69917102024004</v>
      </c>
      <c r="R96" s="16" t="n">
        <f aca="false">P96/Q96-1</f>
        <v>-0.311444460536683</v>
      </c>
      <c r="S96" s="16" t="n">
        <f aca="false">O96-Benchmark_RF!D96</f>
        <v>-0.0112170398577905</v>
      </c>
    </row>
    <row r="97" customFormat="false" ht="15" hidden="false" customHeight="true" outlineLevel="0" collapsed="false">
      <c r="A97" s="1" t="n">
        <v>100</v>
      </c>
      <c r="B97" s="13" t="n">
        <f aca="false">Returns!A101</f>
        <v>45017</v>
      </c>
      <c r="C97" s="17" t="n">
        <f aca="false">IF(Rankings!C101&lt;=5,1,0)</f>
        <v>0</v>
      </c>
      <c r="D97" s="17" t="n">
        <f aca="false">IF(Rankings!D101&lt;=5,1,0)</f>
        <v>1</v>
      </c>
      <c r="E97" s="17" t="n">
        <f aca="false">IF(Rankings!E101&lt;=5,1,0)</f>
        <v>1</v>
      </c>
      <c r="F97" s="17" t="n">
        <f aca="false">IF(Rankings!F101&lt;=5,1,0)</f>
        <v>1</v>
      </c>
      <c r="G97" s="17" t="n">
        <f aca="false">IF(Rankings!G101&lt;=5,1,0)</f>
        <v>1</v>
      </c>
      <c r="H97" s="17" t="n">
        <f aca="false">IF(Rankings!H101&lt;=5,1,0)</f>
        <v>0</v>
      </c>
      <c r="I97" s="17" t="n">
        <f aca="false">IF(Rankings!I101&lt;=5,1,0)</f>
        <v>0</v>
      </c>
      <c r="J97" s="17" t="n">
        <f aca="false">IF(Rankings!J101&lt;=5,1,0)</f>
        <v>1</v>
      </c>
      <c r="K97" s="20" t="n">
        <f aca="false">SUM(C97:J97)</f>
        <v>5</v>
      </c>
      <c r="L97" s="16" t="n">
        <f aca="false">SUMPRODUCT(C97:J97,Returns!B101:I101)/K97</f>
        <v>0.0240792990464158</v>
      </c>
      <c r="M97" s="16" t="n">
        <v>0</v>
      </c>
      <c r="N97" s="16" t="n">
        <v>0</v>
      </c>
      <c r="O97" s="16" t="n">
        <f aca="false">L97+M97+N97</f>
        <v>0.0240792990464158</v>
      </c>
      <c r="P97" s="21" t="n">
        <f aca="false">P96*(1+O97)</f>
        <v>1.19814576311766</v>
      </c>
      <c r="Q97" s="21" t="n">
        <f aca="false">MAX($P$5:P97)</f>
        <v>1.69917102024004</v>
      </c>
      <c r="R97" s="16" t="n">
        <f aca="false">P97/Q97-1</f>
        <v>-0.29486452579188</v>
      </c>
      <c r="S97" s="16" t="n">
        <f aca="false">O97-Benchmark_RF!D97</f>
        <v>0.00738422568372394</v>
      </c>
    </row>
    <row r="98" customFormat="false" ht="15" hidden="false" customHeight="true" outlineLevel="0" collapsed="false">
      <c r="A98" s="1" t="n">
        <v>101</v>
      </c>
      <c r="B98" s="13" t="n">
        <f aca="false">Returns!A102</f>
        <v>45047</v>
      </c>
      <c r="C98" s="17" t="n">
        <f aca="false">IF(Rankings!C104&lt;=5,1,0)</f>
        <v>0</v>
      </c>
      <c r="D98" s="17" t="n">
        <f aca="false">IF(Rankings!D104&lt;=5,1,0)</f>
        <v>1</v>
      </c>
      <c r="E98" s="17" t="n">
        <f aca="false">IF(Rankings!E104&lt;=5,1,0)</f>
        <v>1</v>
      </c>
      <c r="F98" s="17" t="n">
        <f aca="false">IF(Rankings!F104&lt;=5,1,0)</f>
        <v>0</v>
      </c>
      <c r="G98" s="17" t="n">
        <f aca="false">IF(Rankings!G104&lt;=5,1,0)</f>
        <v>1</v>
      </c>
      <c r="H98" s="17" t="n">
        <f aca="false">IF(Rankings!H104&lt;=5,1,0)</f>
        <v>1</v>
      </c>
      <c r="I98" s="17" t="n">
        <f aca="false">IF(Rankings!I104&lt;=5,1,0)</f>
        <v>0</v>
      </c>
      <c r="J98" s="17" t="n">
        <f aca="false">IF(Rankings!J104&lt;=5,1,0)</f>
        <v>1</v>
      </c>
      <c r="K98" s="20" t="n">
        <f aca="false">SUM(C98:J98)</f>
        <v>5</v>
      </c>
      <c r="L98" s="16" t="n">
        <f aca="false">SUMPRODUCT(C98:J98,Returns!B102:I102)/K98</f>
        <v>0.0305842860788398</v>
      </c>
      <c r="M98" s="16" t="n">
        <f aca="false">-2*Assumptions!$B$13</f>
        <v>-0.007</v>
      </c>
      <c r="N98" s="16" t="n">
        <f aca="false">-Assumptions!$B$16*MAX(0,(1+O95)*(1+O96)*(1+O97)-1)</f>
        <v>-0.00486224731622278</v>
      </c>
      <c r="O98" s="16" t="n">
        <f aca="false">L98+M98+N98</f>
        <v>0.018722038762617</v>
      </c>
      <c r="P98" s="21" t="n">
        <f aca="false">P97*(1+O98)</f>
        <v>1.22057749453801</v>
      </c>
      <c r="Q98" s="21" t="n">
        <f aca="false">MAX($P$5:P98)</f>
        <v>1.69917102024004</v>
      </c>
      <c r="R98" s="16" t="n">
        <f aca="false">P98/Q98-1</f>
        <v>-0.281662952110859</v>
      </c>
      <c r="S98" s="16" t="n">
        <f aca="false">O98-Benchmark_RF!D98</f>
        <v>0.00202696539992516</v>
      </c>
    </row>
    <row r="99" customFormat="false" ht="15" hidden="false" customHeight="true" outlineLevel="0" collapsed="false">
      <c r="A99" s="1" t="n">
        <v>102</v>
      </c>
      <c r="B99" s="13" t="n">
        <f aca="false">Returns!A103</f>
        <v>45078</v>
      </c>
      <c r="C99" s="17" t="n">
        <f aca="false">IF(Rankings!C104&lt;=5,1,0)</f>
        <v>0</v>
      </c>
      <c r="D99" s="17" t="n">
        <f aca="false">IF(Rankings!D104&lt;=5,1,0)</f>
        <v>1</v>
      </c>
      <c r="E99" s="17" t="n">
        <f aca="false">IF(Rankings!E104&lt;=5,1,0)</f>
        <v>1</v>
      </c>
      <c r="F99" s="17" t="n">
        <f aca="false">IF(Rankings!F104&lt;=5,1,0)</f>
        <v>0</v>
      </c>
      <c r="G99" s="17" t="n">
        <f aca="false">IF(Rankings!G104&lt;=5,1,0)</f>
        <v>1</v>
      </c>
      <c r="H99" s="17" t="n">
        <f aca="false">IF(Rankings!H104&lt;=5,1,0)</f>
        <v>1</v>
      </c>
      <c r="I99" s="17" t="n">
        <f aca="false">IF(Rankings!I104&lt;=5,1,0)</f>
        <v>0</v>
      </c>
      <c r="J99" s="17" t="n">
        <f aca="false">IF(Rankings!J104&lt;=5,1,0)</f>
        <v>1</v>
      </c>
      <c r="K99" s="20" t="n">
        <f aca="false">SUM(C99:J99)</f>
        <v>5</v>
      </c>
      <c r="L99" s="16" t="n">
        <f aca="false">SUMPRODUCT(C99:J99,Returns!B103:I103)/K99</f>
        <v>-0.0233003124693317</v>
      </c>
      <c r="M99" s="16" t="n">
        <v>0</v>
      </c>
      <c r="N99" s="16" t="n">
        <v>0</v>
      </c>
      <c r="O99" s="16" t="n">
        <f aca="false">L99+M99+N99</f>
        <v>-0.0233003124693317</v>
      </c>
      <c r="P99" s="21" t="n">
        <f aca="false">P98*(1+O99)</f>
        <v>1.19213765752224</v>
      </c>
      <c r="Q99" s="21" t="n">
        <f aca="false">MAX($P$5:P99)</f>
        <v>1.69917102024004</v>
      </c>
      <c r="R99" s="16" t="n">
        <f aca="false">P99/Q99-1</f>
        <v>-0.298400429784973</v>
      </c>
      <c r="S99" s="16" t="n">
        <f aca="false">O99-Benchmark_RF!D99</f>
        <v>-0.0400023313481846</v>
      </c>
    </row>
    <row r="100" customFormat="false" ht="15" hidden="false" customHeight="true" outlineLevel="0" collapsed="false">
      <c r="A100" s="1" t="n">
        <v>103</v>
      </c>
      <c r="B100" s="13" t="n">
        <f aca="false">Returns!A104</f>
        <v>45108</v>
      </c>
      <c r="C100" s="17" t="n">
        <f aca="false">IF(Rankings!C104&lt;=5,1,0)</f>
        <v>0</v>
      </c>
      <c r="D100" s="17" t="n">
        <f aca="false">IF(Rankings!D104&lt;=5,1,0)</f>
        <v>1</v>
      </c>
      <c r="E100" s="17" t="n">
        <f aca="false">IF(Rankings!E104&lt;=5,1,0)</f>
        <v>1</v>
      </c>
      <c r="F100" s="17" t="n">
        <f aca="false">IF(Rankings!F104&lt;=5,1,0)</f>
        <v>0</v>
      </c>
      <c r="G100" s="17" t="n">
        <f aca="false">IF(Rankings!G104&lt;=5,1,0)</f>
        <v>1</v>
      </c>
      <c r="H100" s="17" t="n">
        <f aca="false">IF(Rankings!H104&lt;=5,1,0)</f>
        <v>1</v>
      </c>
      <c r="I100" s="17" t="n">
        <f aca="false">IF(Rankings!I104&lt;=5,1,0)</f>
        <v>0</v>
      </c>
      <c r="J100" s="17" t="n">
        <f aca="false">IF(Rankings!J104&lt;=5,1,0)</f>
        <v>1</v>
      </c>
      <c r="K100" s="20" t="n">
        <f aca="false">SUM(C100:J100)</f>
        <v>5</v>
      </c>
      <c r="L100" s="16" t="n">
        <f aca="false">SUMPRODUCT(C100:J100,Returns!B104:I104)/K100</f>
        <v>0.151047064110629</v>
      </c>
      <c r="M100" s="16" t="n">
        <v>0</v>
      </c>
      <c r="N100" s="16" t="n">
        <v>0</v>
      </c>
      <c r="O100" s="16" t="n">
        <f aca="false">L100+M100+N100</f>
        <v>0.151047064110629</v>
      </c>
      <c r="P100" s="21" t="n">
        <f aca="false">P99*(1+O100)</f>
        <v>1.3722065507067</v>
      </c>
      <c r="Q100" s="21" t="n">
        <f aca="false">MAX($P$5:P100)</f>
        <v>1.69917102024004</v>
      </c>
      <c r="R100" s="16" t="n">
        <f aca="false">P100/Q100-1</f>
        <v>-0.192425874522714</v>
      </c>
      <c r="S100" s="16" t="n">
        <f aca="false">O100-Benchmark_RF!D100</f>
        <v>0.133716971156835</v>
      </c>
    </row>
    <row r="101" customFormat="false" ht="15" hidden="false" customHeight="true" outlineLevel="0" collapsed="false">
      <c r="A101" s="1" t="n">
        <v>104</v>
      </c>
      <c r="B101" s="13" t="n">
        <f aca="false">Returns!A105</f>
        <v>45139</v>
      </c>
      <c r="C101" s="17" t="n">
        <f aca="false">IF(Rankings!C107&lt;=5,1,0)</f>
        <v>1</v>
      </c>
      <c r="D101" s="17" t="n">
        <f aca="false">IF(Rankings!D107&lt;=5,1,0)</f>
        <v>0</v>
      </c>
      <c r="E101" s="17" t="n">
        <f aca="false">IF(Rankings!E107&lt;=5,1,0)</f>
        <v>1</v>
      </c>
      <c r="F101" s="17" t="n">
        <f aca="false">IF(Rankings!F107&lt;=5,1,0)</f>
        <v>1</v>
      </c>
      <c r="G101" s="17" t="n">
        <f aca="false">IF(Rankings!G107&lt;=5,1,0)</f>
        <v>0</v>
      </c>
      <c r="H101" s="17" t="n">
        <f aca="false">IF(Rankings!H107&lt;=5,1,0)</f>
        <v>1</v>
      </c>
      <c r="I101" s="17" t="n">
        <f aca="false">IF(Rankings!I107&lt;=5,1,0)</f>
        <v>0</v>
      </c>
      <c r="J101" s="17" t="n">
        <f aca="false">IF(Rankings!J107&lt;=5,1,0)</f>
        <v>1</v>
      </c>
      <c r="K101" s="20" t="n">
        <f aca="false">SUM(C101:J101)</f>
        <v>5</v>
      </c>
      <c r="L101" s="16" t="n">
        <f aca="false">SUMPRODUCT(C101:J101,Returns!B105:I105)/K101</f>
        <v>-0.0524824040561681</v>
      </c>
      <c r="M101" s="16" t="n">
        <f aca="false">-2*Assumptions!$B$13</f>
        <v>-0.007</v>
      </c>
      <c r="N101" s="16" t="n">
        <f aca="false">-Assumptions!$B$16*MAX(0,(1+O98)*(1+O99)*(1+O100)-1)</f>
        <v>-0.0217912702628256</v>
      </c>
      <c r="O101" s="16" t="n">
        <f aca="false">L101+M101+N101</f>
        <v>-0.0812736743189936</v>
      </c>
      <c r="P101" s="21" t="n">
        <f aca="false">P100*(1+O101)</f>
        <v>1.26068228240617</v>
      </c>
      <c r="Q101" s="21" t="n">
        <f aca="false">MAX($P$5:P101)</f>
        <v>1.69917102024004</v>
      </c>
      <c r="R101" s="16" t="n">
        <f aca="false">P101/Q101-1</f>
        <v>-0.258060390985201</v>
      </c>
      <c r="S101" s="16" t="n">
        <f aca="false">O101-Benchmark_RF!D101</f>
        <v>-0.0985848641787181</v>
      </c>
    </row>
    <row r="102" customFormat="false" ht="15" hidden="false" customHeight="true" outlineLevel="0" collapsed="false">
      <c r="A102" s="1" t="n">
        <v>105</v>
      </c>
      <c r="B102" s="13" t="n">
        <f aca="false">Returns!A106</f>
        <v>45170</v>
      </c>
      <c r="C102" s="17" t="n">
        <f aca="false">IF(Rankings!C107&lt;=5,1,0)</f>
        <v>1</v>
      </c>
      <c r="D102" s="17" t="n">
        <f aca="false">IF(Rankings!D107&lt;=5,1,0)</f>
        <v>0</v>
      </c>
      <c r="E102" s="17" t="n">
        <f aca="false">IF(Rankings!E107&lt;=5,1,0)</f>
        <v>1</v>
      </c>
      <c r="F102" s="17" t="n">
        <f aca="false">IF(Rankings!F107&lt;=5,1,0)</f>
        <v>1</v>
      </c>
      <c r="G102" s="17" t="n">
        <f aca="false">IF(Rankings!G107&lt;=5,1,0)</f>
        <v>0</v>
      </c>
      <c r="H102" s="17" t="n">
        <f aca="false">IF(Rankings!H107&lt;=5,1,0)</f>
        <v>1</v>
      </c>
      <c r="I102" s="17" t="n">
        <f aca="false">IF(Rankings!I107&lt;=5,1,0)</f>
        <v>0</v>
      </c>
      <c r="J102" s="17" t="n">
        <f aca="false">IF(Rankings!J107&lt;=5,1,0)</f>
        <v>1</v>
      </c>
      <c r="K102" s="20" t="n">
        <f aca="false">SUM(C102:J102)</f>
        <v>5</v>
      </c>
      <c r="L102" s="16" t="n">
        <f aca="false">SUMPRODUCT(C102:J102,Returns!B106:I106)/K102</f>
        <v>-0.00592488042940298</v>
      </c>
      <c r="M102" s="16" t="n">
        <v>0</v>
      </c>
      <c r="N102" s="16" t="n">
        <v>0</v>
      </c>
      <c r="O102" s="16" t="n">
        <f aca="false">L102+M102+N102</f>
        <v>-0.00592488042940298</v>
      </c>
      <c r="P102" s="21" t="n">
        <f aca="false">P101*(1+O102)</f>
        <v>1.25321289062345</v>
      </c>
      <c r="Q102" s="21" t="n">
        <f aca="false">MAX($P$5:P102)</f>
        <v>1.69917102024004</v>
      </c>
      <c r="R102" s="16" t="n">
        <f aca="false">P102/Q102-1</f>
        <v>-0.262456294454452</v>
      </c>
      <c r="S102" s="16" t="n">
        <f aca="false">O102-Benchmark_RF!D102</f>
        <v>-0.0231576570936667</v>
      </c>
    </row>
    <row r="103" customFormat="false" ht="15" hidden="false" customHeight="true" outlineLevel="0" collapsed="false">
      <c r="A103" s="1" t="n">
        <v>106</v>
      </c>
      <c r="B103" s="13" t="n">
        <f aca="false">Returns!A107</f>
        <v>45200</v>
      </c>
      <c r="C103" s="17" t="n">
        <f aca="false">IF(Rankings!C107&lt;=5,1,0)</f>
        <v>1</v>
      </c>
      <c r="D103" s="17" t="n">
        <f aca="false">IF(Rankings!D107&lt;=5,1,0)</f>
        <v>0</v>
      </c>
      <c r="E103" s="17" t="n">
        <f aca="false">IF(Rankings!E107&lt;=5,1,0)</f>
        <v>1</v>
      </c>
      <c r="F103" s="17" t="n">
        <f aca="false">IF(Rankings!F107&lt;=5,1,0)</f>
        <v>1</v>
      </c>
      <c r="G103" s="17" t="n">
        <f aca="false">IF(Rankings!G107&lt;=5,1,0)</f>
        <v>0</v>
      </c>
      <c r="H103" s="17" t="n">
        <f aca="false">IF(Rankings!H107&lt;=5,1,0)</f>
        <v>1</v>
      </c>
      <c r="I103" s="17" t="n">
        <f aca="false">IF(Rankings!I107&lt;=5,1,0)</f>
        <v>0</v>
      </c>
      <c r="J103" s="17" t="n">
        <f aca="false">IF(Rankings!J107&lt;=5,1,0)</f>
        <v>1</v>
      </c>
      <c r="K103" s="20" t="n">
        <f aca="false">SUM(C103:J103)</f>
        <v>5</v>
      </c>
      <c r="L103" s="16" t="n">
        <f aca="false">SUMPRODUCT(C103:J103,Returns!B107:I107)/K103</f>
        <v>0.0963912968416424</v>
      </c>
      <c r="M103" s="16" t="n">
        <v>0</v>
      </c>
      <c r="N103" s="16" t="n">
        <v>0</v>
      </c>
      <c r="O103" s="16" t="n">
        <f aca="false">L103+M103+N103</f>
        <v>0.0963912968416424</v>
      </c>
      <c r="P103" s="21" t="n">
        <f aca="false">P102*(1+O103)</f>
        <v>1.37401170636931</v>
      </c>
      <c r="Q103" s="21" t="n">
        <f aca="false">MAX($P$5:P103)</f>
        <v>1.69917102024004</v>
      </c>
      <c r="R103" s="16" t="n">
        <f aca="false">P103/Q103-1</f>
        <v>-0.191363500199526</v>
      </c>
      <c r="S103" s="16" t="n">
        <f aca="false">O103-Benchmark_RF!D103</f>
        <v>0.0795851578007834</v>
      </c>
    </row>
    <row r="104" customFormat="false" ht="15" hidden="false" customHeight="true" outlineLevel="0" collapsed="false">
      <c r="A104" s="1" t="n">
        <v>107</v>
      </c>
      <c r="B104" s="13" t="n">
        <f aca="false">Returns!A108</f>
        <v>45231</v>
      </c>
      <c r="C104" s="17" t="n">
        <f aca="false">IF(Rankings!C110&lt;=5,1,0)</f>
        <v>1</v>
      </c>
      <c r="D104" s="17" t="n">
        <f aca="false">IF(Rankings!D110&lt;=5,1,0)</f>
        <v>0</v>
      </c>
      <c r="E104" s="17" t="n">
        <f aca="false">IF(Rankings!E110&lt;=5,1,0)</f>
        <v>1</v>
      </c>
      <c r="F104" s="17" t="n">
        <f aca="false">IF(Rankings!F110&lt;=5,1,0)</f>
        <v>1</v>
      </c>
      <c r="G104" s="17" t="n">
        <f aca="false">IF(Rankings!G110&lt;=5,1,0)</f>
        <v>0</v>
      </c>
      <c r="H104" s="17" t="n">
        <f aca="false">IF(Rankings!H110&lt;=5,1,0)</f>
        <v>1</v>
      </c>
      <c r="I104" s="17" t="n">
        <f aca="false">IF(Rankings!I110&lt;=5,1,0)</f>
        <v>0</v>
      </c>
      <c r="J104" s="17" t="n">
        <f aca="false">IF(Rankings!J110&lt;=5,1,0)</f>
        <v>1</v>
      </c>
      <c r="K104" s="20" t="n">
        <f aca="false">SUM(C104:J104)</f>
        <v>5</v>
      </c>
      <c r="L104" s="16" t="n">
        <f aca="false">SUMPRODUCT(C104:J104,Returns!B108:I108)/K104</f>
        <v>0.103098786345741</v>
      </c>
      <c r="M104" s="16" t="n">
        <f aca="false">-2*Assumptions!$B$13</f>
        <v>-0.007</v>
      </c>
      <c r="N104" s="16" t="n">
        <f aca="false">-Assumptions!$B$16*MAX(0,(1+O101)*(1+O102)*(1+O103)-1)</f>
        <v>-0.000197326961638356</v>
      </c>
      <c r="O104" s="16" t="n">
        <f aca="false">L104+M104+N104</f>
        <v>0.0959014593841022</v>
      </c>
      <c r="P104" s="21" t="n">
        <f aca="false">P103*(1+O104)</f>
        <v>1.50578143422097</v>
      </c>
      <c r="Q104" s="21" t="n">
        <f aca="false">MAX($P$5:P104)</f>
        <v>1.69917102024004</v>
      </c>
      <c r="R104" s="16" t="n">
        <f aca="false">P104/Q104-1</f>
        <v>-0.113814079757408</v>
      </c>
      <c r="S104" s="16" t="n">
        <f aca="false">O104-Benchmark_RF!D104</f>
        <v>0.0796519883448451</v>
      </c>
    </row>
    <row r="105" customFormat="false" ht="15" hidden="false" customHeight="true" outlineLevel="0" collapsed="false">
      <c r="A105" s="1" t="n">
        <v>108</v>
      </c>
      <c r="B105" s="13" t="n">
        <f aca="false">Returns!A109</f>
        <v>45261</v>
      </c>
      <c r="C105" s="17" t="n">
        <f aca="false">IF(Rankings!C110&lt;=5,1,0)</f>
        <v>1</v>
      </c>
      <c r="D105" s="17" t="n">
        <f aca="false">IF(Rankings!D110&lt;=5,1,0)</f>
        <v>0</v>
      </c>
      <c r="E105" s="17" t="n">
        <f aca="false">IF(Rankings!E110&lt;=5,1,0)</f>
        <v>1</v>
      </c>
      <c r="F105" s="17" t="n">
        <f aca="false">IF(Rankings!F110&lt;=5,1,0)</f>
        <v>1</v>
      </c>
      <c r="G105" s="17" t="n">
        <f aca="false">IF(Rankings!G110&lt;=5,1,0)</f>
        <v>0</v>
      </c>
      <c r="H105" s="17" t="n">
        <f aca="false">IF(Rankings!H110&lt;=5,1,0)</f>
        <v>1</v>
      </c>
      <c r="I105" s="17" t="n">
        <f aca="false">IF(Rankings!I110&lt;=5,1,0)</f>
        <v>0</v>
      </c>
      <c r="J105" s="17" t="n">
        <f aca="false">IF(Rankings!J110&lt;=5,1,0)</f>
        <v>1</v>
      </c>
      <c r="K105" s="20" t="n">
        <f aca="false">SUM(C105:J105)</f>
        <v>5</v>
      </c>
      <c r="L105" s="16" t="n">
        <f aca="false">SUMPRODUCT(C105:J105,Returns!B109:I109)/K105</f>
        <v>0.0807441598034165</v>
      </c>
      <c r="M105" s="16" t="n">
        <v>0</v>
      </c>
      <c r="N105" s="16" t="n">
        <v>0</v>
      </c>
      <c r="O105" s="16" t="n">
        <f aca="false">L105+M105+N105</f>
        <v>0.0807441598034165</v>
      </c>
      <c r="P105" s="21" t="n">
        <f aca="false">P104*(1+O105)</f>
        <v>1.62736449097472</v>
      </c>
      <c r="Q105" s="21" t="n">
        <f aca="false">MAX($P$5:P105)</f>
        <v>1.69917102024004</v>
      </c>
      <c r="R105" s="16" t="n">
        <f aca="false">P105/Q105-1</f>
        <v>-0.0422597421978027</v>
      </c>
      <c r="S105" s="16" t="n">
        <f aca="false">O105-Benchmark_RF!D105</f>
        <v>0.0645086485225793</v>
      </c>
    </row>
    <row r="106" customFormat="false" ht="15" hidden="false" customHeight="true" outlineLevel="0" collapsed="false">
      <c r="A106" s="1" t="n">
        <v>109</v>
      </c>
      <c r="B106" s="13" t="n">
        <f aca="false">Returns!A110</f>
        <v>45292</v>
      </c>
      <c r="C106" s="17" t="n">
        <f aca="false">IF(Rankings!C110&lt;=5,1,0)</f>
        <v>1</v>
      </c>
      <c r="D106" s="17" t="n">
        <f aca="false">IF(Rankings!D110&lt;=5,1,0)</f>
        <v>0</v>
      </c>
      <c r="E106" s="17" t="n">
        <f aca="false">IF(Rankings!E110&lt;=5,1,0)</f>
        <v>1</v>
      </c>
      <c r="F106" s="17" t="n">
        <f aca="false">IF(Rankings!F110&lt;=5,1,0)</f>
        <v>1</v>
      </c>
      <c r="G106" s="17" t="n">
        <f aca="false">IF(Rankings!G110&lt;=5,1,0)</f>
        <v>0</v>
      </c>
      <c r="H106" s="17" t="n">
        <f aca="false">IF(Rankings!H110&lt;=5,1,0)</f>
        <v>1</v>
      </c>
      <c r="I106" s="17" t="n">
        <f aca="false">IF(Rankings!I110&lt;=5,1,0)</f>
        <v>0</v>
      </c>
      <c r="J106" s="17" t="n">
        <f aca="false">IF(Rankings!J110&lt;=5,1,0)</f>
        <v>1</v>
      </c>
      <c r="K106" s="20" t="n">
        <f aca="false">SUM(C106:J106)</f>
        <v>5</v>
      </c>
      <c r="L106" s="16" t="n">
        <f aca="false">SUMPRODUCT(C106:J106,Returns!B110:I110)/K106</f>
        <v>0.081805148517195</v>
      </c>
      <c r="M106" s="16" t="n">
        <v>0</v>
      </c>
      <c r="N106" s="16" t="n">
        <v>0</v>
      </c>
      <c r="O106" s="16" t="n">
        <f aca="false">L106+M106+N106</f>
        <v>0.081805148517195</v>
      </c>
      <c r="P106" s="21" t="n">
        <f aca="false">P105*(1+O106)</f>
        <v>1.76049128485052</v>
      </c>
      <c r="Q106" s="21" t="n">
        <f aca="false">MAX($P$5:P106)</f>
        <v>1.76049128485052</v>
      </c>
      <c r="R106" s="16" t="n">
        <f aca="false">P106/Q106-1</f>
        <v>0</v>
      </c>
      <c r="S106" s="16" t="n">
        <f aca="false">O106-Benchmark_RF!D106</f>
        <v>0.0658162348280931</v>
      </c>
    </row>
    <row r="107" customFormat="false" ht="15" hidden="false" customHeight="true" outlineLevel="0" collapsed="false">
      <c r="A107" s="1" t="n">
        <v>110</v>
      </c>
      <c r="B107" s="13" t="n">
        <f aca="false">Returns!A111</f>
        <v>45323</v>
      </c>
      <c r="C107" s="17" t="n">
        <f aca="false">IF(Rankings!C113&lt;=5,1,0)</f>
        <v>0</v>
      </c>
      <c r="D107" s="17" t="n">
        <f aca="false">IF(Rankings!D113&lt;=5,1,0)</f>
        <v>1</v>
      </c>
      <c r="E107" s="17" t="n">
        <f aca="false">IF(Rankings!E113&lt;=5,1,0)</f>
        <v>0</v>
      </c>
      <c r="F107" s="17" t="n">
        <f aca="false">IF(Rankings!F113&lt;=5,1,0)</f>
        <v>1</v>
      </c>
      <c r="G107" s="17" t="n">
        <f aca="false">IF(Rankings!G113&lt;=5,1,0)</f>
        <v>0</v>
      </c>
      <c r="H107" s="17" t="n">
        <f aca="false">IF(Rankings!H113&lt;=5,1,0)</f>
        <v>1</v>
      </c>
      <c r="I107" s="17" t="n">
        <f aca="false">IF(Rankings!I113&lt;=5,1,0)</f>
        <v>1</v>
      </c>
      <c r="J107" s="17" t="n">
        <f aca="false">IF(Rankings!J113&lt;=5,1,0)</f>
        <v>1</v>
      </c>
      <c r="K107" s="20" t="n">
        <f aca="false">SUM(C107:J107)</f>
        <v>5</v>
      </c>
      <c r="L107" s="16" t="n">
        <f aca="false">SUMPRODUCT(C107:J107,Returns!B111:I111)/K107</f>
        <v>0.214963843565898</v>
      </c>
      <c r="M107" s="16" t="n">
        <f aca="false">-2*Assumptions!$B$13</f>
        <v>-0.007</v>
      </c>
      <c r="N107" s="16" t="n">
        <f aca="false">-Assumptions!$B$16*MAX(0,(1+O104)*(1+O105)*(1+O106)-1)</f>
        <v>-0.0421917342504792</v>
      </c>
      <c r="O107" s="16" t="n">
        <f aca="false">L107+M107+N107</f>
        <v>0.165772109315419</v>
      </c>
      <c r="P107" s="21" t="n">
        <f aca="false">P106*(1+O107)</f>
        <v>2.0523316385716</v>
      </c>
      <c r="Q107" s="21" t="n">
        <f aca="false">MAX($P$5:P107)</f>
        <v>2.0523316385716</v>
      </c>
      <c r="R107" s="16" t="n">
        <f aca="false">P107/Q107-1</f>
        <v>0</v>
      </c>
      <c r="S107" s="16" t="n">
        <f aca="false">O107-Benchmark_RF!D107</f>
        <v>0.149543578704886</v>
      </c>
    </row>
    <row r="108" customFormat="false" ht="15" hidden="false" customHeight="true" outlineLevel="0" collapsed="false">
      <c r="A108" s="1" t="n">
        <v>111</v>
      </c>
      <c r="B108" s="13" t="n">
        <f aca="false">Returns!A112</f>
        <v>45352</v>
      </c>
      <c r="C108" s="17" t="n">
        <f aca="false">IF(Rankings!C113&lt;=5,1,0)</f>
        <v>0</v>
      </c>
      <c r="D108" s="17" t="n">
        <f aca="false">IF(Rankings!D113&lt;=5,1,0)</f>
        <v>1</v>
      </c>
      <c r="E108" s="17" t="n">
        <f aca="false">IF(Rankings!E113&lt;=5,1,0)</f>
        <v>0</v>
      </c>
      <c r="F108" s="17" t="n">
        <f aca="false">IF(Rankings!F113&lt;=5,1,0)</f>
        <v>1</v>
      </c>
      <c r="G108" s="17" t="n">
        <f aca="false">IF(Rankings!G113&lt;=5,1,0)</f>
        <v>0</v>
      </c>
      <c r="H108" s="17" t="n">
        <f aca="false">IF(Rankings!H113&lt;=5,1,0)</f>
        <v>1</v>
      </c>
      <c r="I108" s="17" t="n">
        <f aca="false">IF(Rankings!I113&lt;=5,1,0)</f>
        <v>1</v>
      </c>
      <c r="J108" s="17" t="n">
        <f aca="false">IF(Rankings!J113&lt;=5,1,0)</f>
        <v>1</v>
      </c>
      <c r="K108" s="20" t="n">
        <f aca="false">SUM(C108:J108)</f>
        <v>5</v>
      </c>
      <c r="L108" s="16" t="n">
        <f aca="false">SUMPRODUCT(C108:J108,Returns!B112:I112)/K108</f>
        <v>0.075150799014356</v>
      </c>
      <c r="M108" s="16" t="n">
        <v>0</v>
      </c>
      <c r="N108" s="16" t="n">
        <v>0</v>
      </c>
      <c r="O108" s="16" t="n">
        <f aca="false">L108+M108+N108</f>
        <v>0.075150799014356</v>
      </c>
      <c r="P108" s="21" t="n">
        <f aca="false">P107*(1+O108)</f>
        <v>2.2065660010527</v>
      </c>
      <c r="Q108" s="21" t="n">
        <f aca="false">MAX($P$5:P108)</f>
        <v>2.2065660010527</v>
      </c>
      <c r="R108" s="16" t="n">
        <f aca="false">P108/Q108-1</f>
        <v>0</v>
      </c>
      <c r="S108" s="16" t="n">
        <f aca="false">O108-Benchmark_RF!D108</f>
        <v>0.058838535151829</v>
      </c>
    </row>
    <row r="109" customFormat="false" ht="15" hidden="false" customHeight="true" outlineLevel="0" collapsed="false">
      <c r="A109" s="1" t="n">
        <v>112</v>
      </c>
      <c r="B109" s="13" t="n">
        <f aca="false">Returns!A113</f>
        <v>45383</v>
      </c>
      <c r="C109" s="17" t="n">
        <f aca="false">IF(Rankings!C113&lt;=5,1,0)</f>
        <v>0</v>
      </c>
      <c r="D109" s="17" t="n">
        <f aca="false">IF(Rankings!D113&lt;=5,1,0)</f>
        <v>1</v>
      </c>
      <c r="E109" s="17" t="n">
        <f aca="false">IF(Rankings!E113&lt;=5,1,0)</f>
        <v>0</v>
      </c>
      <c r="F109" s="17" t="n">
        <f aca="false">IF(Rankings!F113&lt;=5,1,0)</f>
        <v>1</v>
      </c>
      <c r="G109" s="17" t="n">
        <f aca="false">IF(Rankings!G113&lt;=5,1,0)</f>
        <v>0</v>
      </c>
      <c r="H109" s="17" t="n">
        <f aca="false">IF(Rankings!H113&lt;=5,1,0)</f>
        <v>1</v>
      </c>
      <c r="I109" s="17" t="n">
        <f aca="false">IF(Rankings!I113&lt;=5,1,0)</f>
        <v>1</v>
      </c>
      <c r="J109" s="17" t="n">
        <f aca="false">IF(Rankings!J113&lt;=5,1,0)</f>
        <v>1</v>
      </c>
      <c r="K109" s="20" t="n">
        <f aca="false">SUM(C109:J109)</f>
        <v>5</v>
      </c>
      <c r="L109" s="16" t="n">
        <f aca="false">SUMPRODUCT(C109:J109,Returns!B113:I113)/K109</f>
        <v>0.213067618329194</v>
      </c>
      <c r="M109" s="16" t="n">
        <v>0</v>
      </c>
      <c r="N109" s="16" t="n">
        <v>0</v>
      </c>
      <c r="O109" s="16" t="n">
        <f aca="false">L109+M109+N109</f>
        <v>0.213067618329194</v>
      </c>
      <c r="P109" s="21" t="n">
        <f aca="false">P108*(1+O109)</f>
        <v>2.67671376358317</v>
      </c>
      <c r="Q109" s="21" t="n">
        <f aca="false">MAX($P$5:P109)</f>
        <v>2.67671376358317</v>
      </c>
      <c r="R109" s="16" t="n">
        <f aca="false">P109/Q109-1</f>
        <v>0</v>
      </c>
      <c r="S109" s="16" t="n">
        <f aca="false">O109-Benchmark_RF!D109</f>
        <v>0.196643828043831</v>
      </c>
    </row>
    <row r="110" customFormat="false" ht="15" hidden="false" customHeight="true" outlineLevel="0" collapsed="false">
      <c r="A110" s="1" t="n">
        <v>113</v>
      </c>
      <c r="B110" s="13" t="n">
        <f aca="false">Returns!A114</f>
        <v>45413</v>
      </c>
      <c r="C110" s="17" t="n">
        <f aca="false">IF(Rankings!C116&lt;=5,1,0)</f>
        <v>1</v>
      </c>
      <c r="D110" s="17" t="n">
        <f aca="false">IF(Rankings!D116&lt;=5,1,0)</f>
        <v>1</v>
      </c>
      <c r="E110" s="17" t="n">
        <f aca="false">IF(Rankings!E116&lt;=5,1,0)</f>
        <v>0</v>
      </c>
      <c r="F110" s="17" t="n">
        <f aca="false">IF(Rankings!F116&lt;=5,1,0)</f>
        <v>0</v>
      </c>
      <c r="G110" s="17" t="n">
        <f aca="false">IF(Rankings!G116&lt;=5,1,0)</f>
        <v>1</v>
      </c>
      <c r="H110" s="17" t="n">
        <f aca="false">IF(Rankings!H116&lt;=5,1,0)</f>
        <v>1</v>
      </c>
      <c r="I110" s="17" t="n">
        <f aca="false">IF(Rankings!I116&lt;=5,1,0)</f>
        <v>1</v>
      </c>
      <c r="J110" s="17" t="n">
        <f aca="false">IF(Rankings!J116&lt;=5,1,0)</f>
        <v>0</v>
      </c>
      <c r="K110" s="20" t="n">
        <f aca="false">SUM(C110:J110)</f>
        <v>5</v>
      </c>
      <c r="L110" s="16" t="n">
        <f aca="false">SUMPRODUCT(C110:J110,Returns!B114:I114)/K110</f>
        <v>0.065275216888114</v>
      </c>
      <c r="M110" s="16" t="n">
        <f aca="false">-2*Assumptions!$B$13</f>
        <v>-0.007</v>
      </c>
      <c r="N110" s="16" t="n">
        <f aca="false">-Assumptions!$B$16*MAX(0,(1+O107)*(1+O108)*(1+O109)-1)</f>
        <v>-0.0780653519801817</v>
      </c>
      <c r="O110" s="16" t="n">
        <f aca="false">L110+M110+N110</f>
        <v>-0.0197901350920677</v>
      </c>
      <c r="P110" s="21" t="n">
        <f aca="false">P109*(1+O110)</f>
        <v>2.62374123659906</v>
      </c>
      <c r="Q110" s="21" t="n">
        <f aca="false">MAX($P$5:P110)</f>
        <v>2.67671376358317</v>
      </c>
      <c r="R110" s="16" t="n">
        <f aca="false">P110/Q110-1</f>
        <v>-0.0197901350920675</v>
      </c>
      <c r="S110" s="16" t="n">
        <f aca="false">O110-Benchmark_RF!D110</f>
        <v>-0.0357600093591434</v>
      </c>
    </row>
    <row r="111" customFormat="false" ht="15" hidden="false" customHeight="true" outlineLevel="0" collapsed="false">
      <c r="A111" s="1" t="n">
        <v>114</v>
      </c>
      <c r="B111" s="13" t="n">
        <f aca="false">Returns!A115</f>
        <v>45444</v>
      </c>
      <c r="C111" s="17" t="n">
        <f aca="false">IF(Rankings!C116&lt;=5,1,0)</f>
        <v>1</v>
      </c>
      <c r="D111" s="17" t="n">
        <f aca="false">IF(Rankings!D116&lt;=5,1,0)</f>
        <v>1</v>
      </c>
      <c r="E111" s="17" t="n">
        <f aca="false">IF(Rankings!E116&lt;=5,1,0)</f>
        <v>0</v>
      </c>
      <c r="F111" s="17" t="n">
        <f aca="false">IF(Rankings!F116&lt;=5,1,0)</f>
        <v>0</v>
      </c>
      <c r="G111" s="17" t="n">
        <f aca="false">IF(Rankings!G116&lt;=5,1,0)</f>
        <v>1</v>
      </c>
      <c r="H111" s="17" t="n">
        <f aca="false">IF(Rankings!H116&lt;=5,1,0)</f>
        <v>1</v>
      </c>
      <c r="I111" s="17" t="n">
        <f aca="false">IF(Rankings!I116&lt;=5,1,0)</f>
        <v>1</v>
      </c>
      <c r="J111" s="17" t="n">
        <f aca="false">IF(Rankings!J116&lt;=5,1,0)</f>
        <v>0</v>
      </c>
      <c r="K111" s="20" t="n">
        <f aca="false">SUM(C111:J111)</f>
        <v>5</v>
      </c>
      <c r="L111" s="16" t="n">
        <f aca="false">SUMPRODUCT(C111:J111,Returns!B115:I115)/K111</f>
        <v>0.0393463047604157</v>
      </c>
      <c r="M111" s="16" t="n">
        <v>0</v>
      </c>
      <c r="N111" s="16" t="n">
        <v>0</v>
      </c>
      <c r="O111" s="16" t="n">
        <f aca="false">L111+M111+N111</f>
        <v>0.0393463047604157</v>
      </c>
      <c r="P111" s="21" t="n">
        <f aca="false">P110*(1+O111)</f>
        <v>2.72697575890676</v>
      </c>
      <c r="Q111" s="21" t="n">
        <f aca="false">MAX($P$5:P111)</f>
        <v>2.72697575890676</v>
      </c>
      <c r="R111" s="16" t="n">
        <f aca="false">P111/Q111-1</f>
        <v>0</v>
      </c>
      <c r="S111" s="16" t="n">
        <f aca="false">O111-Benchmark_RF!D111</f>
        <v>0.0240266112245367</v>
      </c>
    </row>
    <row r="112" customFormat="false" ht="15" hidden="false" customHeight="true" outlineLevel="0" collapsed="false">
      <c r="A112" s="1" t="n">
        <v>115</v>
      </c>
      <c r="B112" s="13" t="n">
        <f aca="false">Returns!A116</f>
        <v>45474</v>
      </c>
      <c r="C112" s="17" t="n">
        <f aca="false">IF(Rankings!C116&lt;=5,1,0)</f>
        <v>1</v>
      </c>
      <c r="D112" s="17" t="n">
        <f aca="false">IF(Rankings!D116&lt;=5,1,0)</f>
        <v>1</v>
      </c>
      <c r="E112" s="17" t="n">
        <f aca="false">IF(Rankings!E116&lt;=5,1,0)</f>
        <v>0</v>
      </c>
      <c r="F112" s="17" t="n">
        <f aca="false">IF(Rankings!F116&lt;=5,1,0)</f>
        <v>0</v>
      </c>
      <c r="G112" s="17" t="n">
        <f aca="false">IF(Rankings!G116&lt;=5,1,0)</f>
        <v>1</v>
      </c>
      <c r="H112" s="17" t="n">
        <f aca="false">IF(Rankings!H116&lt;=5,1,0)</f>
        <v>1</v>
      </c>
      <c r="I112" s="17" t="n">
        <f aca="false">IF(Rankings!I116&lt;=5,1,0)</f>
        <v>1</v>
      </c>
      <c r="J112" s="17" t="n">
        <f aca="false">IF(Rankings!J116&lt;=5,1,0)</f>
        <v>0</v>
      </c>
      <c r="K112" s="20" t="n">
        <f aca="false">SUM(C112:J112)</f>
        <v>5</v>
      </c>
      <c r="L112" s="16" t="n">
        <f aca="false">SUMPRODUCT(C112:J112,Returns!B116:I116)/K112</f>
        <v>0.0602303858971239</v>
      </c>
      <c r="M112" s="16" t="n">
        <v>0</v>
      </c>
      <c r="N112" s="16" t="n">
        <v>0</v>
      </c>
      <c r="O112" s="16" t="n">
        <f aca="false">L112+M112+N112</f>
        <v>0.0602303858971239</v>
      </c>
      <c r="P112" s="21" t="n">
        <f aca="false">P111*(1+O112)</f>
        <v>2.89122256119782</v>
      </c>
      <c r="Q112" s="21" t="n">
        <f aca="false">MAX($P$5:P112)</f>
        <v>2.89122256119782</v>
      </c>
      <c r="R112" s="16" t="n">
        <f aca="false">P112/Q112-1</f>
        <v>0</v>
      </c>
      <c r="S112" s="16" t="n">
        <f aca="false">O112-Benchmark_RF!D112</f>
        <v>0.0452812065249815</v>
      </c>
    </row>
    <row r="113" customFormat="false" ht="15" hidden="false" customHeight="true" outlineLevel="0" collapsed="false">
      <c r="A113" s="1" t="n">
        <v>116</v>
      </c>
      <c r="B113" s="13" t="n">
        <f aca="false">Returns!A117</f>
        <v>45505</v>
      </c>
      <c r="C113" s="17" t="n">
        <f aca="false">IF(Rankings!C119&lt;=5,1,0)</f>
        <v>1</v>
      </c>
      <c r="D113" s="17" t="n">
        <f aca="false">IF(Rankings!D119&lt;=5,1,0)</f>
        <v>1</v>
      </c>
      <c r="E113" s="17" t="n">
        <f aca="false">IF(Rankings!E119&lt;=5,1,0)</f>
        <v>1</v>
      </c>
      <c r="F113" s="17" t="n">
        <f aca="false">IF(Rankings!F119&lt;=5,1,0)</f>
        <v>0</v>
      </c>
      <c r="G113" s="17" t="n">
        <f aca="false">IF(Rankings!G119&lt;=5,1,0)</f>
        <v>1</v>
      </c>
      <c r="H113" s="17" t="n">
        <f aca="false">IF(Rankings!H119&lt;=5,1,0)</f>
        <v>1</v>
      </c>
      <c r="I113" s="17" t="n">
        <f aca="false">IF(Rankings!I119&lt;=5,1,0)</f>
        <v>0</v>
      </c>
      <c r="J113" s="17" t="n">
        <f aca="false">IF(Rankings!J119&lt;=5,1,0)</f>
        <v>0</v>
      </c>
      <c r="K113" s="20" t="n">
        <f aca="false">SUM(C113:J113)</f>
        <v>5</v>
      </c>
      <c r="L113" s="16" t="n">
        <f aca="false">SUMPRODUCT(C113:J113,Returns!B117:I117)/K113</f>
        <v>-0.0144149209966417</v>
      </c>
      <c r="M113" s="16" t="n">
        <f aca="false">-2*Assumptions!$B$13</f>
        <v>-0.007</v>
      </c>
      <c r="N113" s="16" t="n">
        <f aca="false">-Assumptions!$B$16*MAX(0,(1+O110)*(1+O111)*(1+O112)-1)</f>
        <v>-0.0120208294513807</v>
      </c>
      <c r="O113" s="16" t="n">
        <f aca="false">L113+M113+N113</f>
        <v>-0.0334357504480225</v>
      </c>
      <c r="P113" s="21" t="n">
        <f aca="false">P112*(1+O113)</f>
        <v>2.79455236515191</v>
      </c>
      <c r="Q113" s="21" t="n">
        <f aca="false">MAX($P$5:P113)</f>
        <v>2.89122256119782</v>
      </c>
      <c r="R113" s="16" t="n">
        <f aca="false">P113/Q113-1</f>
        <v>-0.0334357504480225</v>
      </c>
      <c r="S113" s="16" t="n">
        <f aca="false">O113-Benchmark_RF!D113</f>
        <v>-0.0469439051802649</v>
      </c>
    </row>
    <row r="114" customFormat="false" ht="15" hidden="false" customHeight="true" outlineLevel="0" collapsed="false">
      <c r="A114" s="1" t="n">
        <v>117</v>
      </c>
      <c r="B114" s="13" t="n">
        <f aca="false">Returns!A118</f>
        <v>45536</v>
      </c>
      <c r="C114" s="17" t="n">
        <f aca="false">IF(Rankings!C119&lt;=5,1,0)</f>
        <v>1</v>
      </c>
      <c r="D114" s="17" t="n">
        <f aca="false">IF(Rankings!D119&lt;=5,1,0)</f>
        <v>1</v>
      </c>
      <c r="E114" s="17" t="n">
        <f aca="false">IF(Rankings!E119&lt;=5,1,0)</f>
        <v>1</v>
      </c>
      <c r="F114" s="17" t="n">
        <f aca="false">IF(Rankings!F119&lt;=5,1,0)</f>
        <v>0</v>
      </c>
      <c r="G114" s="17" t="n">
        <f aca="false">IF(Rankings!G119&lt;=5,1,0)</f>
        <v>1</v>
      </c>
      <c r="H114" s="17" t="n">
        <f aca="false">IF(Rankings!H119&lt;=5,1,0)</f>
        <v>1</v>
      </c>
      <c r="I114" s="17" t="n">
        <f aca="false">IF(Rankings!I119&lt;=5,1,0)</f>
        <v>0</v>
      </c>
      <c r="J114" s="17" t="n">
        <f aca="false">IF(Rankings!J119&lt;=5,1,0)</f>
        <v>0</v>
      </c>
      <c r="K114" s="20" t="n">
        <f aca="false">SUM(C114:J114)</f>
        <v>5</v>
      </c>
      <c r="L114" s="16" t="n">
        <f aca="false">SUMPRODUCT(C114:J114,Returns!B118:I118)/K114</f>
        <v>0.105269883834052</v>
      </c>
      <c r="M114" s="16" t="n">
        <v>0</v>
      </c>
      <c r="N114" s="16" t="n">
        <v>0</v>
      </c>
      <c r="O114" s="16" t="n">
        <f aca="false">L114+M114+N114</f>
        <v>0.105269883834052</v>
      </c>
      <c r="P114" s="21" t="n">
        <f aca="false">P113*(1+O114)</f>
        <v>3.08873456799963</v>
      </c>
      <c r="Q114" s="21" t="n">
        <f aca="false">MAX($P$5:P114)</f>
        <v>3.08873456799963</v>
      </c>
      <c r="R114" s="16" t="n">
        <f aca="false">P114/Q114-1</f>
        <v>0</v>
      </c>
      <c r="S114" s="16" t="n">
        <f aca="false">O114-Benchmark_RF!D114</f>
        <v>0.0918048782248541</v>
      </c>
    </row>
    <row r="115" customFormat="false" ht="15" hidden="false" customHeight="true" outlineLevel="0" collapsed="false">
      <c r="A115" s="1" t="n">
        <v>118</v>
      </c>
      <c r="B115" s="13" t="n">
        <f aca="false">Returns!A119</f>
        <v>45566</v>
      </c>
      <c r="C115" s="17" t="n">
        <f aca="false">IF(Rankings!C119&lt;=5,1,0)</f>
        <v>1</v>
      </c>
      <c r="D115" s="17" t="n">
        <f aca="false">IF(Rankings!D119&lt;=5,1,0)</f>
        <v>1</v>
      </c>
      <c r="E115" s="17" t="n">
        <f aca="false">IF(Rankings!E119&lt;=5,1,0)</f>
        <v>1</v>
      </c>
      <c r="F115" s="17" t="n">
        <f aca="false">IF(Rankings!F119&lt;=5,1,0)</f>
        <v>0</v>
      </c>
      <c r="G115" s="17" t="n">
        <f aca="false">IF(Rankings!G119&lt;=5,1,0)</f>
        <v>1</v>
      </c>
      <c r="H115" s="17" t="n">
        <f aca="false">IF(Rankings!H119&lt;=5,1,0)</f>
        <v>1</v>
      </c>
      <c r="I115" s="17" t="n">
        <f aca="false">IF(Rankings!I119&lt;=5,1,0)</f>
        <v>0</v>
      </c>
      <c r="J115" s="17" t="n">
        <f aca="false">IF(Rankings!J119&lt;=5,1,0)</f>
        <v>0</v>
      </c>
      <c r="K115" s="20" t="n">
        <f aca="false">SUM(C115:J115)</f>
        <v>5</v>
      </c>
      <c r="L115" s="16" t="n">
        <f aca="false">SUMPRODUCT(C115:J115,Returns!B119:I119)/K115</f>
        <v>0.0999247597838082</v>
      </c>
      <c r="M115" s="16" t="n">
        <v>0</v>
      </c>
      <c r="N115" s="16" t="n">
        <v>0</v>
      </c>
      <c r="O115" s="16" t="n">
        <f aca="false">L115+M115+N115</f>
        <v>0.0999247597838082</v>
      </c>
      <c r="P115" s="21" t="n">
        <f aca="false">P114*(1+O115)</f>
        <v>3.39737562774294</v>
      </c>
      <c r="Q115" s="21" t="n">
        <f aca="false">MAX($P$5:P115)</f>
        <v>3.39737562774294</v>
      </c>
      <c r="R115" s="16" t="n">
        <f aca="false">P115/Q115-1</f>
        <v>0</v>
      </c>
      <c r="S115" s="16" t="n">
        <f aca="false">O115-Benchmark_RF!D115</f>
        <v>0.0890420306353274</v>
      </c>
    </row>
    <row r="116" customFormat="false" ht="15" hidden="false" customHeight="true" outlineLevel="0" collapsed="false">
      <c r="A116" s="1" t="n">
        <v>119</v>
      </c>
      <c r="B116" s="13" t="n">
        <f aca="false">Returns!A120</f>
        <v>45597</v>
      </c>
      <c r="C116" s="17" t="n">
        <f aca="false">IF(Rankings!C122&lt;=5,1,0)</f>
        <v>0</v>
      </c>
      <c r="D116" s="17" t="n">
        <f aca="false">IF(Rankings!D122&lt;=5,1,0)</f>
        <v>1</v>
      </c>
      <c r="E116" s="17" t="n">
        <f aca="false">IF(Rankings!E122&lt;=5,1,0)</f>
        <v>0</v>
      </c>
      <c r="F116" s="17" t="n">
        <f aca="false">IF(Rankings!F122&lt;=5,1,0)</f>
        <v>0</v>
      </c>
      <c r="G116" s="17" t="n">
        <f aca="false">IF(Rankings!G122&lt;=5,1,0)</f>
        <v>1</v>
      </c>
      <c r="H116" s="17" t="n">
        <f aca="false">IF(Rankings!H122&lt;=5,1,0)</f>
        <v>1</v>
      </c>
      <c r="I116" s="17" t="n">
        <f aca="false">IF(Rankings!I122&lt;=5,1,0)</f>
        <v>1</v>
      </c>
      <c r="J116" s="17" t="n">
        <f aca="false">IF(Rankings!J122&lt;=5,1,0)</f>
        <v>1</v>
      </c>
      <c r="K116" s="20" t="n">
        <f aca="false">SUM(C116:J116)</f>
        <v>5</v>
      </c>
      <c r="L116" s="16" t="n">
        <f aca="false">SUMPRODUCT(C116:J116,Returns!B120:I120)/K116</f>
        <v>0.0775490089265656</v>
      </c>
      <c r="M116" s="16" t="n">
        <f aca="false">-2*Assumptions!$B$13</f>
        <v>-0.007</v>
      </c>
      <c r="N116" s="16" t="n">
        <f aca="false">-Assumptions!$B$16*MAX(0,(1+O113)*(1+O114)*(1+O115)-1)</f>
        <v>-0.0262598116799123</v>
      </c>
      <c r="O116" s="16" t="n">
        <f aca="false">L116+M116+N116</f>
        <v>0.0442891972466532</v>
      </c>
      <c r="P116" s="21" t="n">
        <f aca="false">P115*(1+O116)</f>
        <v>3.54784266704102</v>
      </c>
      <c r="Q116" s="21" t="n">
        <f aca="false">MAX($P$5:P116)</f>
        <v>3.54784266704102</v>
      </c>
      <c r="R116" s="16" t="n">
        <f aca="false">P116/Q116-1</f>
        <v>0</v>
      </c>
      <c r="S116" s="16" t="n">
        <f aca="false">O116-Benchmark_RF!D116</f>
        <v>0.0334064680981725</v>
      </c>
    </row>
    <row r="117" customFormat="false" ht="15" hidden="false" customHeight="true" outlineLevel="0" collapsed="false">
      <c r="A117" s="1" t="n">
        <v>120</v>
      </c>
      <c r="B117" s="13" t="n">
        <f aca="false">Returns!A121</f>
        <v>45627</v>
      </c>
      <c r="C117" s="17" t="n">
        <f aca="false">IF(Rankings!C122&lt;=5,1,0)</f>
        <v>0</v>
      </c>
      <c r="D117" s="17" t="n">
        <f aca="false">IF(Rankings!D122&lt;=5,1,0)</f>
        <v>1</v>
      </c>
      <c r="E117" s="17" t="n">
        <f aca="false">IF(Rankings!E122&lt;=5,1,0)</f>
        <v>0</v>
      </c>
      <c r="F117" s="17" t="n">
        <f aca="false">IF(Rankings!F122&lt;=5,1,0)</f>
        <v>0</v>
      </c>
      <c r="G117" s="17" t="n">
        <f aca="false">IF(Rankings!G122&lt;=5,1,0)</f>
        <v>1</v>
      </c>
      <c r="H117" s="17" t="n">
        <f aca="false">IF(Rankings!H122&lt;=5,1,0)</f>
        <v>1</v>
      </c>
      <c r="I117" s="17" t="n">
        <f aca="false">IF(Rankings!I122&lt;=5,1,0)</f>
        <v>1</v>
      </c>
      <c r="J117" s="17" t="n">
        <f aca="false">IF(Rankings!J122&lt;=5,1,0)</f>
        <v>1</v>
      </c>
      <c r="K117" s="20" t="n">
        <f aca="false">SUM(C117:J117)</f>
        <v>5</v>
      </c>
      <c r="L117" s="16" t="n">
        <f aca="false">SUMPRODUCT(C117:J117,Returns!B121:I121)/K117</f>
        <v>0.188262145006069</v>
      </c>
      <c r="M117" s="16" t="n">
        <v>0</v>
      </c>
      <c r="N117" s="16" t="n">
        <v>0</v>
      </c>
      <c r="O117" s="16" t="n">
        <f aca="false">L117+M117+N117</f>
        <v>0.188262145006069</v>
      </c>
      <c r="P117" s="21" t="n">
        <f aca="false">P116*(1+O117)</f>
        <v>4.21576713768221</v>
      </c>
      <c r="Q117" s="21" t="n">
        <f aca="false">MAX($P$5:P117)</f>
        <v>4.21576713768221</v>
      </c>
      <c r="R117" s="16" t="n">
        <f aca="false">P117/Q117-1</f>
        <v>0</v>
      </c>
      <c r="S117" s="16" t="n">
        <f aca="false">O117-Benchmark_RF!D117</f>
        <v>0.178886087449561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6" min="3" style="1" width="15"/>
  </cols>
  <sheetData>
    <row r="1" customFormat="false" ht="17.25" hidden="false" customHeight="true" outlineLevel="0" collapsed="false">
      <c r="A1" s="2" t="s">
        <v>88</v>
      </c>
    </row>
    <row r="4" customFormat="false" ht="15" hidden="false" customHeight="true" outlineLevel="0" collapsed="false">
      <c r="A4" s="12" t="s">
        <v>70</v>
      </c>
      <c r="B4" s="12" t="s">
        <v>51</v>
      </c>
      <c r="C4" s="12" t="s">
        <v>89</v>
      </c>
      <c r="D4" s="12" t="s">
        <v>90</v>
      </c>
      <c r="E4" s="12" t="s">
        <v>91</v>
      </c>
      <c r="F4" s="12" t="s">
        <v>92</v>
      </c>
    </row>
    <row r="5" customFormat="false" ht="15" hidden="false" customHeight="true" outlineLevel="0" collapsed="false">
      <c r="A5" s="20" t="n">
        <v>8</v>
      </c>
      <c r="B5" s="22" t="n">
        <f aca="false">Returns!A9</f>
        <v>42217</v>
      </c>
      <c r="C5" s="16" t="n">
        <f aca="false">Returns!J9</f>
        <v>-0.0283986243450193</v>
      </c>
      <c r="D5" s="16" t="n">
        <f aca="false">(1+RiskFree!B9)^(1/12)-1</f>
        <v>0.00559993050932617</v>
      </c>
      <c r="E5" s="16" t="n">
        <f aca="false">C5-D5</f>
        <v>-0.0339985548543454</v>
      </c>
      <c r="F5" s="21" t="n">
        <f aca="false">1*(1+C5)</f>
        <v>0.971601375654981</v>
      </c>
    </row>
    <row r="6" customFormat="false" ht="15" hidden="false" customHeight="true" outlineLevel="0" collapsed="false">
      <c r="A6" s="20" t="n">
        <v>9</v>
      </c>
      <c r="B6" s="22" t="n">
        <f aca="false">Returns!A10</f>
        <v>42248</v>
      </c>
      <c r="C6" s="16" t="n">
        <f aca="false">Returns!J10</f>
        <v>-0.0702374065231434</v>
      </c>
      <c r="D6" s="16" t="n">
        <f aca="false">(1+RiskFree!B10)^(1/12)-1</f>
        <v>0.00523518235715903</v>
      </c>
      <c r="E6" s="16" t="n">
        <f aca="false">C6-D6</f>
        <v>-0.0754725888803024</v>
      </c>
      <c r="F6" s="21" t="n">
        <f aca="false">F5*(1+C6)</f>
        <v>0.903358614854657</v>
      </c>
    </row>
    <row r="7" customFormat="false" ht="15" hidden="false" customHeight="true" outlineLevel="0" collapsed="false">
      <c r="A7" s="20" t="n">
        <v>10</v>
      </c>
      <c r="B7" s="22" t="n">
        <f aca="false">Returns!A11</f>
        <v>42278</v>
      </c>
      <c r="C7" s="16" t="n">
        <f aca="false">Returns!J11</f>
        <v>0.0611442664493682</v>
      </c>
      <c r="D7" s="16" t="n">
        <f aca="false">(1+RiskFree!B11)^(1/12)-1</f>
        <v>0.0051072349051593</v>
      </c>
      <c r="E7" s="16" t="n">
        <f aca="false">C7-D7</f>
        <v>0.0560370315442089</v>
      </c>
      <c r="F7" s="21" t="n">
        <f aca="false">F6*(1+C7)</f>
        <v>0.958593814700662</v>
      </c>
    </row>
    <row r="8" customFormat="false" ht="15" hidden="false" customHeight="true" outlineLevel="0" collapsed="false">
      <c r="A8" s="20" t="n">
        <v>11</v>
      </c>
      <c r="B8" s="22" t="n">
        <f aca="false">Returns!A12</f>
        <v>42309</v>
      </c>
      <c r="C8" s="16" t="n">
        <f aca="false">Returns!J12</f>
        <v>-0.058561188035585</v>
      </c>
      <c r="D8" s="16" t="n">
        <f aca="false">(1+RiskFree!B12)^(1/12)-1</f>
        <v>0.00515867162942518</v>
      </c>
      <c r="E8" s="16" t="n">
        <f aca="false">C8-D8</f>
        <v>-0.0637198596650102</v>
      </c>
      <c r="F8" s="21" t="n">
        <f aca="false">F7*(1+C8)</f>
        <v>0.902457422068228</v>
      </c>
    </row>
    <row r="9" customFormat="false" ht="15" hidden="false" customHeight="true" outlineLevel="0" collapsed="false">
      <c r="A9" s="20" t="n">
        <v>12</v>
      </c>
      <c r="B9" s="22" t="n">
        <f aca="false">Returns!A13</f>
        <v>42339</v>
      </c>
      <c r="C9" s="16" t="n">
        <f aca="false">Returns!J13</f>
        <v>0.0173959547607827</v>
      </c>
      <c r="D9" s="16" t="n">
        <f aca="false">(1+RiskFree!B13)^(1/12)-1</f>
        <v>0.00513370519727019</v>
      </c>
      <c r="E9" s="16" t="n">
        <f aca="false">C9-D9</f>
        <v>0.0122622495635125</v>
      </c>
      <c r="F9" s="21" t="n">
        <f aca="false">F8*(1+C9)</f>
        <v>0.918156530556059</v>
      </c>
    </row>
    <row r="10" customFormat="false" ht="15" hidden="false" customHeight="true" outlineLevel="0" collapsed="false">
      <c r="A10" s="20" t="n">
        <v>13</v>
      </c>
      <c r="B10" s="22" t="n">
        <f aca="false">Returns!A14</f>
        <v>42370</v>
      </c>
      <c r="C10" s="16" t="n">
        <f aca="false">Returns!J14</f>
        <v>-0.0462486489187846</v>
      </c>
      <c r="D10" s="16" t="n">
        <f aca="false">(1+RiskFree!B14)^(1/12)-1</f>
        <v>0.00499520275614174</v>
      </c>
      <c r="E10" s="16" t="n">
        <f aca="false">C10-D10</f>
        <v>-0.0512438516749263</v>
      </c>
      <c r="F10" s="21" t="n">
        <f aca="false">F9*(1+C10)</f>
        <v>0.875693031521883</v>
      </c>
    </row>
    <row r="11" customFormat="false" ht="15" hidden="false" customHeight="true" outlineLevel="0" collapsed="false">
      <c r="A11" s="20" t="n">
        <v>14</v>
      </c>
      <c r="B11" s="22" t="n">
        <f aca="false">Returns!A15</f>
        <v>42401</v>
      </c>
      <c r="C11" s="16" t="n">
        <f aca="false">Returns!J15</f>
        <v>0.0022655965442544</v>
      </c>
      <c r="D11" s="16" t="n">
        <f aca="false">(1+RiskFree!B15)^(1/12)-1</f>
        <v>0.00503653109368307</v>
      </c>
      <c r="E11" s="16" t="n">
        <f aca="false">C11-D11</f>
        <v>-0.00277093454942867</v>
      </c>
      <c r="F11" s="21" t="n">
        <f aca="false">F10*(1+C11)</f>
        <v>0.877676998627926</v>
      </c>
    </row>
    <row r="12" customFormat="false" ht="15" hidden="false" customHeight="true" outlineLevel="0" collapsed="false">
      <c r="A12" s="20" t="n">
        <v>15</v>
      </c>
      <c r="B12" s="22" t="n">
        <f aca="false">Returns!A16</f>
        <v>42430</v>
      </c>
      <c r="C12" s="16" t="n">
        <f aca="false">Returns!J16</f>
        <v>0.0564079579183736</v>
      </c>
      <c r="D12" s="16" t="n">
        <f aca="false">(1+RiskFree!B16)^(1/12)-1</f>
        <v>0.00500151363532186</v>
      </c>
      <c r="E12" s="16" t="n">
        <f aca="false">C12-D12</f>
        <v>0.0514064442830517</v>
      </c>
      <c r="F12" s="21" t="n">
        <f aca="false">F11*(1+C12)</f>
        <v>0.927184965832455</v>
      </c>
    </row>
    <row r="13" customFormat="false" ht="15" hidden="false" customHeight="true" outlineLevel="0" collapsed="false">
      <c r="A13" s="20" t="n">
        <v>16</v>
      </c>
      <c r="B13" s="22" t="n">
        <f aca="false">Returns!A17</f>
        <v>42461</v>
      </c>
      <c r="C13" s="16" t="n">
        <f aca="false">Returns!J17</f>
        <v>0.0476867135399379</v>
      </c>
      <c r="D13" s="16" t="n">
        <f aca="false">(1+RiskFree!B17)^(1/12)-1</f>
        <v>0.00500151363532186</v>
      </c>
      <c r="E13" s="16" t="n">
        <f aca="false">C13-D13</f>
        <v>0.0426851999046161</v>
      </c>
      <c r="F13" s="21" t="n">
        <f aca="false">F12*(1+C13)</f>
        <v>0.971399369696644</v>
      </c>
    </row>
    <row r="14" customFormat="false" ht="15" hidden="false" customHeight="true" outlineLevel="0" collapsed="false">
      <c r="A14" s="20" t="n">
        <v>17</v>
      </c>
      <c r="B14" s="22" t="n">
        <f aca="false">Returns!A18</f>
        <v>42491</v>
      </c>
      <c r="C14" s="16" t="n">
        <f aca="false">Returns!J18</f>
        <v>0.0386606408137953</v>
      </c>
      <c r="D14" s="16" t="n">
        <f aca="false">(1+RiskFree!B18)^(1/12)-1</f>
        <v>0.00485767515391933</v>
      </c>
      <c r="E14" s="16" t="n">
        <f aca="false">C14-D14</f>
        <v>0.033802965659876</v>
      </c>
      <c r="F14" s="21" t="n">
        <f aca="false">F13*(1+C14)</f>
        <v>1.00895429181523</v>
      </c>
    </row>
    <row r="15" customFormat="false" ht="15" hidden="false" customHeight="true" outlineLevel="0" collapsed="false">
      <c r="A15" s="20" t="n">
        <v>18</v>
      </c>
      <c r="B15" s="22" t="n">
        <f aca="false">Returns!A19</f>
        <v>42522</v>
      </c>
      <c r="C15" s="16" t="n">
        <f aca="false">Returns!J19</f>
        <v>0.0477511233568377</v>
      </c>
      <c r="D15" s="16" t="n">
        <f aca="false">(1+RiskFree!B19)^(1/12)-1</f>
        <v>0.00478835923015142</v>
      </c>
      <c r="E15" s="16" t="n">
        <f aca="false">C15-D15</f>
        <v>0.0429627641266863</v>
      </c>
      <c r="F15" s="21" t="n">
        <f aca="false">F14*(1+C15)</f>
        <v>1.05713299266511</v>
      </c>
    </row>
    <row r="16" customFormat="false" ht="15" hidden="false" customHeight="true" outlineLevel="0" collapsed="false">
      <c r="A16" s="20" t="n">
        <v>19</v>
      </c>
      <c r="B16" s="22" t="n">
        <f aca="false">Returns!A20</f>
        <v>42552</v>
      </c>
      <c r="C16" s="16" t="n">
        <f aca="false">Returns!J20</f>
        <v>0.0455685200486773</v>
      </c>
      <c r="D16" s="16" t="n">
        <f aca="false">(1+RiskFree!B20)^(1/12)-1</f>
        <v>0.00469936491176792</v>
      </c>
      <c r="E16" s="16" t="n">
        <f aca="false">C16-D16</f>
        <v>0.0408691551369094</v>
      </c>
      <c r="F16" s="21" t="n">
        <f aca="false">F15*(1+C16)</f>
        <v>1.10530497863549</v>
      </c>
    </row>
    <row r="17" customFormat="false" ht="15" hidden="false" customHeight="true" outlineLevel="0" collapsed="false">
      <c r="A17" s="20" t="n">
        <v>20</v>
      </c>
      <c r="B17" s="22" t="n">
        <f aca="false">Returns!A21</f>
        <v>42583</v>
      </c>
      <c r="C17" s="16" t="n">
        <f aca="false">Returns!J21</f>
        <v>0.00770276783255319</v>
      </c>
      <c r="D17" s="16" t="n">
        <f aca="false">(1+RiskFree!B21)^(1/12)-1</f>
        <v>0.00475688492858706</v>
      </c>
      <c r="E17" s="16" t="n">
        <f aca="false">C17-D17</f>
        <v>0.00294588290396614</v>
      </c>
      <c r="F17" s="21" t="n">
        <f aca="false">F16*(1+C17)</f>
        <v>1.11381888627009</v>
      </c>
    </row>
    <row r="18" customFormat="false" ht="15" hidden="false" customHeight="true" outlineLevel="0" collapsed="false">
      <c r="A18" s="20" t="n">
        <v>21</v>
      </c>
      <c r="B18" s="22" t="n">
        <f aca="false">Returns!A22</f>
        <v>42614</v>
      </c>
      <c r="C18" s="16" t="n">
        <f aca="false">Returns!J22</f>
        <v>0.0183933113587231</v>
      </c>
      <c r="D18" s="16" t="n">
        <f aca="false">(1+RiskFree!B22)^(1/12)-1</f>
        <v>0.00475688492858706</v>
      </c>
      <c r="E18" s="16" t="n">
        <f aca="false">C18-D18</f>
        <v>0.0136364264301361</v>
      </c>
      <c r="F18" s="21" t="n">
        <f aca="false">F17*(1+C18)</f>
        <v>1.13430570384248</v>
      </c>
    </row>
    <row r="19" customFormat="false" ht="15" hidden="false" customHeight="true" outlineLevel="0" collapsed="false">
      <c r="A19" s="20" t="n">
        <v>22</v>
      </c>
      <c r="B19" s="22" t="n">
        <f aca="false">Returns!A23</f>
        <v>42644</v>
      </c>
      <c r="C19" s="16" t="n">
        <f aca="false">Returns!J23</f>
        <v>-0.0159827595265234</v>
      </c>
      <c r="D19" s="16" t="n">
        <f aca="false">(1+RiskFree!B23)^(1/12)-1</f>
        <v>0.00477270251614259</v>
      </c>
      <c r="E19" s="16" t="n">
        <f aca="false">C19-D19</f>
        <v>-0.020755462042666</v>
      </c>
      <c r="F19" s="21" t="n">
        <f aca="false">F18*(1+C19)</f>
        <v>1.1161763685484</v>
      </c>
    </row>
    <row r="20" customFormat="false" ht="15" hidden="false" customHeight="true" outlineLevel="0" collapsed="false">
      <c r="A20" s="20" t="n">
        <v>23</v>
      </c>
      <c r="B20" s="22" t="n">
        <f aca="false">Returns!A24</f>
        <v>42675</v>
      </c>
      <c r="C20" s="16" t="n">
        <f aca="false">Returns!J24</f>
        <v>0.0683947697188339</v>
      </c>
      <c r="D20" s="16" t="n">
        <f aca="false">(1+RiskFree!B24)^(1/12)-1</f>
        <v>0.00482804251253777</v>
      </c>
      <c r="E20" s="16" t="n">
        <f aca="false">C20-D20</f>
        <v>0.0635667272062961</v>
      </c>
      <c r="F20" s="21" t="n">
        <f aca="false">F19*(1+C20)</f>
        <v>1.19251699424087</v>
      </c>
    </row>
    <row r="21" customFormat="false" ht="15" hidden="false" customHeight="true" outlineLevel="0" collapsed="false">
      <c r="A21" s="20" t="n">
        <v>24</v>
      </c>
      <c r="B21" s="22" t="n">
        <f aca="false">Returns!A25</f>
        <v>42705</v>
      </c>
      <c r="C21" s="16" t="n">
        <f aca="false">Returns!J25</f>
        <v>0.121640349891383</v>
      </c>
      <c r="D21" s="16" t="n">
        <f aca="false">(1+RiskFree!B25)^(1/12)-1</f>
        <v>0.00483981769963959</v>
      </c>
      <c r="E21" s="16" t="n">
        <f aca="false">C21-D21</f>
        <v>0.116800532191744</v>
      </c>
      <c r="F21" s="21" t="n">
        <f aca="false">F20*(1+C21)</f>
        <v>1.33757517867175</v>
      </c>
    </row>
    <row r="22" customFormat="false" ht="15" hidden="false" customHeight="true" outlineLevel="0" collapsed="false">
      <c r="A22" s="20" t="n">
        <v>25</v>
      </c>
      <c r="B22" s="22" t="n">
        <f aca="false">Returns!A26</f>
        <v>42736</v>
      </c>
      <c r="C22" s="16" t="n">
        <f aca="false">Returns!J26</f>
        <v>0.0198862216116185</v>
      </c>
      <c r="D22" s="16" t="n">
        <f aca="false">(1+RiskFree!B26)^(1/12)-1</f>
        <v>0.00477436320394498</v>
      </c>
      <c r="E22" s="16" t="n">
        <f aca="false">C22-D22</f>
        <v>0.0151118584076735</v>
      </c>
      <c r="F22" s="21" t="n">
        <f aca="false">F21*(1+C22)</f>
        <v>1.36417449509702</v>
      </c>
    </row>
    <row r="23" customFormat="false" ht="15" hidden="false" customHeight="true" outlineLevel="0" collapsed="false">
      <c r="A23" s="20" t="n">
        <v>26</v>
      </c>
      <c r="B23" s="22" t="n">
        <f aca="false">Returns!A27</f>
        <v>42767</v>
      </c>
      <c r="C23" s="16" t="n">
        <f aca="false">Returns!J27</f>
        <v>-0.00458266360964321</v>
      </c>
      <c r="D23" s="16" t="n">
        <f aca="false">(1+RiskFree!B27)^(1/12)-1</f>
        <v>0.0048214825218027</v>
      </c>
      <c r="E23" s="16" t="n">
        <f aca="false">C23-D23</f>
        <v>-0.00940414613144591</v>
      </c>
      <c r="F23" s="21" t="n">
        <f aca="false">F22*(1+C23)</f>
        <v>1.35792294228114</v>
      </c>
    </row>
    <row r="24" customFormat="false" ht="15" hidden="false" customHeight="true" outlineLevel="0" collapsed="false">
      <c r="A24" s="20" t="n">
        <v>27</v>
      </c>
      <c r="B24" s="22" t="n">
        <f aca="false">Returns!A28</f>
        <v>42795</v>
      </c>
      <c r="C24" s="16" t="n">
        <f aca="false">Returns!J28</f>
        <v>-0.0077944988516353</v>
      </c>
      <c r="D24" s="16" t="n">
        <f aca="false">(1+RiskFree!B28)^(1/12)-1</f>
        <v>0.00484527012447167</v>
      </c>
      <c r="E24" s="16" t="n">
        <f aca="false">C24-D24</f>
        <v>-0.012639768976107</v>
      </c>
      <c r="F24" s="21" t="n">
        <f aca="false">F23*(1+C24)</f>
        <v>1.34733861346692</v>
      </c>
    </row>
    <row r="25" customFormat="false" ht="15" hidden="false" customHeight="true" outlineLevel="0" collapsed="false">
      <c r="A25" s="20" t="n">
        <v>28</v>
      </c>
      <c r="B25" s="22" t="n">
        <f aca="false">Returns!A29</f>
        <v>42826</v>
      </c>
      <c r="C25" s="16" t="n">
        <f aca="false">Returns!J29</f>
        <v>0.0237763033545402</v>
      </c>
      <c r="D25" s="16" t="n">
        <f aca="false">(1+RiskFree!B29)^(1/12)-1</f>
        <v>0.00485577895275524</v>
      </c>
      <c r="E25" s="16" t="n">
        <f aca="false">C25-D25</f>
        <v>0.0189205244017849</v>
      </c>
      <c r="F25" s="21" t="n">
        <f aca="false">F24*(1+C25)</f>
        <v>1.37937334506199</v>
      </c>
    </row>
    <row r="26" customFormat="false" ht="15" hidden="false" customHeight="true" outlineLevel="0" collapsed="false">
      <c r="A26" s="20" t="n">
        <v>29</v>
      </c>
      <c r="B26" s="22" t="n">
        <f aca="false">Returns!A30</f>
        <v>42856</v>
      </c>
      <c r="C26" s="16" t="n">
        <f aca="false">Returns!J30</f>
        <v>0.0261794409432687</v>
      </c>
      <c r="D26" s="16" t="n">
        <f aca="false">(1+RiskFree!B30)^(1/12)-1</f>
        <v>0.00485577895275524</v>
      </c>
      <c r="E26" s="16" t="n">
        <f aca="false">C26-D26</f>
        <v>0.0213236619905135</v>
      </c>
      <c r="F26" s="21" t="n">
        <f aca="false">F25*(1+C26)</f>
        <v>1.41548456808776</v>
      </c>
    </row>
    <row r="27" customFormat="false" ht="15" hidden="false" customHeight="true" outlineLevel="0" collapsed="false">
      <c r="A27" s="20" t="n">
        <v>30</v>
      </c>
      <c r="B27" s="22" t="n">
        <f aca="false">Returns!A31</f>
        <v>42887</v>
      </c>
      <c r="C27" s="16" t="n">
        <f aca="false">Returns!J31</f>
        <v>-0.0795840097470784</v>
      </c>
      <c r="D27" s="16" t="n">
        <f aca="false">(1+RiskFree!B31)^(1/12)-1</f>
        <v>0.00486044037673072</v>
      </c>
      <c r="E27" s="16" t="n">
        <f aca="false">C27-D27</f>
        <v>-0.0844444501238091</v>
      </c>
      <c r="F27" s="21" t="n">
        <f aca="false">F26*(1+C27)</f>
        <v>1.30283463042422</v>
      </c>
    </row>
    <row r="28" customFormat="false" ht="15" hidden="false" customHeight="true" outlineLevel="0" collapsed="false">
      <c r="A28" s="20" t="n">
        <v>31</v>
      </c>
      <c r="B28" s="22" t="n">
        <f aca="false">Returns!A32</f>
        <v>42917</v>
      </c>
      <c r="C28" s="16" t="n">
        <f aca="false">Returns!J32</f>
        <v>-0.011915312886487</v>
      </c>
      <c r="D28" s="16" t="n">
        <f aca="false">(1+RiskFree!B32)^(1/12)-1</f>
        <v>0.00486036137152635</v>
      </c>
      <c r="E28" s="16" t="n">
        <f aca="false">C28-D28</f>
        <v>-0.0167756742580133</v>
      </c>
      <c r="F28" s="21" t="n">
        <f aca="false">F27*(1+C28)</f>
        <v>1.28731094816337</v>
      </c>
    </row>
    <row r="29" customFormat="false" ht="15" hidden="false" customHeight="true" outlineLevel="0" collapsed="false">
      <c r="A29" s="20" t="n">
        <v>32</v>
      </c>
      <c r="B29" s="22" t="n">
        <f aca="false">Returns!A33</f>
        <v>42948</v>
      </c>
      <c r="C29" s="16" t="n">
        <f aca="false">Returns!J33</f>
        <v>-0.104399326674701</v>
      </c>
      <c r="D29" s="16" t="n">
        <f aca="false">(1+RiskFree!B33)^(1/12)-1</f>
        <v>0.00485980833318211</v>
      </c>
      <c r="E29" s="16" t="n">
        <f aca="false">C29-D29</f>
        <v>-0.109259135007883</v>
      </c>
      <c r="F29" s="21" t="n">
        <f aca="false">F28*(1+C29)</f>
        <v>1.15291655195414</v>
      </c>
    </row>
    <row r="30" customFormat="false" ht="15" hidden="false" customHeight="true" outlineLevel="0" collapsed="false">
      <c r="A30" s="20" t="n">
        <v>33</v>
      </c>
      <c r="B30" s="22" t="n">
        <f aca="false">Returns!A34</f>
        <v>42979</v>
      </c>
      <c r="C30" s="16" t="n">
        <f aca="false">Returns!J34</f>
        <v>0.0291766032898788</v>
      </c>
      <c r="D30" s="16" t="n">
        <f aca="false">(1+RiskFree!B34)^(1/12)-1</f>
        <v>0.00486044037673072</v>
      </c>
      <c r="E30" s="16" t="n">
        <f aca="false">C30-D30</f>
        <v>0.0243161629131481</v>
      </c>
      <c r="F30" s="21" t="n">
        <f aca="false">F29*(1+C30)</f>
        <v>1.18655474081684</v>
      </c>
    </row>
    <row r="31" customFormat="false" ht="15" hidden="false" customHeight="true" outlineLevel="0" collapsed="false">
      <c r="A31" s="20" t="n">
        <v>34</v>
      </c>
      <c r="B31" s="22" t="n">
        <f aca="false">Returns!A35</f>
        <v>43009</v>
      </c>
      <c r="C31" s="16" t="n">
        <f aca="false">Returns!J35</f>
        <v>-0.0658365494147859</v>
      </c>
      <c r="D31" s="16" t="n">
        <f aca="false">(1+RiskFree!B35)^(1/12)-1</f>
        <v>0.00486044037673072</v>
      </c>
      <c r="E31" s="16" t="n">
        <f aca="false">C31-D31</f>
        <v>-0.0706969897915166</v>
      </c>
      <c r="F31" s="21" t="n">
        <f aca="false">F30*(1+C31)</f>
        <v>1.10843607098971</v>
      </c>
    </row>
    <row r="32" customFormat="false" ht="15" hidden="false" customHeight="true" outlineLevel="0" collapsed="false">
      <c r="A32" s="20" t="n">
        <v>35</v>
      </c>
      <c r="B32" s="22" t="n">
        <f aca="false">Returns!A36</f>
        <v>43040</v>
      </c>
      <c r="C32" s="16" t="n">
        <f aca="false">Returns!J36</f>
        <v>0.00992422733666865</v>
      </c>
      <c r="D32" s="16" t="n">
        <f aca="false">(1+RiskFree!B36)^(1/12)-1</f>
        <v>0.00486036137152635</v>
      </c>
      <c r="E32" s="16" t="n">
        <f aca="false">C32-D32</f>
        <v>0.0050638659651423</v>
      </c>
      <c r="F32" s="21" t="n">
        <f aca="false">F31*(1+C32)</f>
        <v>1.11943644254637</v>
      </c>
    </row>
    <row r="33" customFormat="false" ht="15" hidden="false" customHeight="true" outlineLevel="0" collapsed="false">
      <c r="A33" s="20" t="n">
        <v>36</v>
      </c>
      <c r="B33" s="22" t="n">
        <f aca="false">Returns!A37</f>
        <v>43070</v>
      </c>
      <c r="C33" s="16" t="n">
        <f aca="false">Returns!J37</f>
        <v>0.0115250150211097</v>
      </c>
      <c r="D33" s="16" t="n">
        <f aca="false">(1+RiskFree!B37)^(1/12)-1</f>
        <v>0.00486044037673072</v>
      </c>
      <c r="E33" s="16" t="n">
        <f aca="false">C33-D33</f>
        <v>0.00666457464437897</v>
      </c>
      <c r="F33" s="21" t="n">
        <f aca="false">F32*(1+C33)</f>
        <v>1.1323379643619</v>
      </c>
    </row>
    <row r="34" customFormat="false" ht="15" hidden="false" customHeight="true" outlineLevel="0" collapsed="false">
      <c r="A34" s="20" t="n">
        <v>37</v>
      </c>
      <c r="B34" s="22" t="n">
        <f aca="false">Returns!A38</f>
        <v>43101</v>
      </c>
      <c r="C34" s="16" t="n">
        <f aca="false">Returns!J38</f>
        <v>0.0883973108964633</v>
      </c>
      <c r="D34" s="16" t="n">
        <f aca="false">(1+RiskFree!B38)^(1/12)-1</f>
        <v>0.00502541213883623</v>
      </c>
      <c r="E34" s="16" t="n">
        <f aca="false">C34-D34</f>
        <v>0.0833718987576271</v>
      </c>
      <c r="F34" s="21" t="n">
        <f aca="false">F33*(1+C34)</f>
        <v>1.23243359543746</v>
      </c>
    </row>
    <row r="35" customFormat="false" ht="15" hidden="false" customHeight="true" outlineLevel="0" collapsed="false">
      <c r="A35" s="20" t="n">
        <v>38</v>
      </c>
      <c r="B35" s="22" t="n">
        <f aca="false">Returns!A39</f>
        <v>43132</v>
      </c>
      <c r="C35" s="16" t="n">
        <f aca="false">Returns!J39</f>
        <v>-0.0183797380420236</v>
      </c>
      <c r="D35" s="16" t="n">
        <f aca="false">(1+RiskFree!B39)^(1/12)-1</f>
        <v>0.0050508023788749</v>
      </c>
      <c r="E35" s="16" t="n">
        <f aca="false">C35-D35</f>
        <v>-0.0234305404208985</v>
      </c>
      <c r="F35" s="21" t="n">
        <f aca="false">F34*(1+C35)</f>
        <v>1.20978178879913</v>
      </c>
    </row>
    <row r="36" customFormat="false" ht="15" hidden="false" customHeight="true" outlineLevel="0" collapsed="false">
      <c r="A36" s="20" t="n">
        <v>39</v>
      </c>
      <c r="B36" s="22" t="n">
        <f aca="false">Returns!A40</f>
        <v>43160</v>
      </c>
      <c r="C36" s="16" t="n">
        <f aca="false">Returns!J40</f>
        <v>0.0536746081817896</v>
      </c>
      <c r="D36" s="16" t="n">
        <f aca="false">(1+RiskFree!B40)^(1/12)-1</f>
        <v>0.00507200807211516</v>
      </c>
      <c r="E36" s="16" t="n">
        <f aca="false">C36-D36</f>
        <v>0.0486026001096744</v>
      </c>
      <c r="F36" s="21" t="n">
        <f aca="false">F35*(1+C36)</f>
        <v>1.27471635229839</v>
      </c>
    </row>
    <row r="37" customFormat="false" ht="15" hidden="false" customHeight="true" outlineLevel="0" collapsed="false">
      <c r="A37" s="20" t="n">
        <v>40</v>
      </c>
      <c r="B37" s="22" t="n">
        <f aca="false">Returns!A41</f>
        <v>43191</v>
      </c>
      <c r="C37" s="16" t="n">
        <f aca="false">Returns!J41</f>
        <v>-0.00156803181717424</v>
      </c>
      <c r="D37" s="16" t="n">
        <f aca="false">(1+RiskFree!B41)^(1/12)-1</f>
        <v>0.00505450781767336</v>
      </c>
      <c r="E37" s="16" t="n">
        <f aca="false">C37-D37</f>
        <v>-0.0066225396348476</v>
      </c>
      <c r="F37" s="21" t="n">
        <f aca="false">F36*(1+C37)</f>
        <v>1.27271755650012</v>
      </c>
    </row>
    <row r="38" customFormat="false" ht="15" hidden="false" customHeight="true" outlineLevel="0" collapsed="false">
      <c r="A38" s="20" t="n">
        <v>41</v>
      </c>
      <c r="B38" s="22" t="n">
        <f aca="false">Returns!A42</f>
        <v>43221</v>
      </c>
      <c r="C38" s="16" t="n">
        <f aca="false">Returns!J42</f>
        <v>-0.0580849904789876</v>
      </c>
      <c r="D38" s="16" t="n">
        <f aca="false">(1+RiskFree!B42)^(1/12)-1</f>
        <v>0.00507153513633396</v>
      </c>
      <c r="E38" s="16" t="n">
        <f aca="false">C38-D38</f>
        <v>-0.0631565256153216</v>
      </c>
      <c r="F38" s="21" t="n">
        <f aca="false">F37*(1+C38)</f>
        <v>1.19879176934837</v>
      </c>
    </row>
    <row r="39" customFormat="false" ht="15" hidden="false" customHeight="true" outlineLevel="0" collapsed="false">
      <c r="A39" s="20" t="n">
        <v>42</v>
      </c>
      <c r="B39" s="22" t="n">
        <f aca="false">Returns!A43</f>
        <v>43252</v>
      </c>
      <c r="C39" s="16" t="n">
        <f aca="false">Returns!J43</f>
        <v>-0.0218392854142121</v>
      </c>
      <c r="D39" s="16" t="n">
        <f aca="false">(1+RiskFree!B43)^(1/12)-1</f>
        <v>0.00546558671194775</v>
      </c>
      <c r="E39" s="16" t="n">
        <f aca="false">C39-D39</f>
        <v>-0.0273048721261598</v>
      </c>
      <c r="F39" s="21" t="n">
        <f aca="false">F38*(1+C39)</f>
        <v>1.17261101374536</v>
      </c>
    </row>
    <row r="40" customFormat="false" ht="15" hidden="false" customHeight="true" outlineLevel="0" collapsed="false">
      <c r="A40" s="20" t="n">
        <v>43</v>
      </c>
      <c r="B40" s="22" t="n">
        <f aca="false">Returns!A44</f>
        <v>43282</v>
      </c>
      <c r="C40" s="16" t="n">
        <f aca="false">Returns!J44</f>
        <v>0.019124619132493</v>
      </c>
      <c r="D40" s="16" t="n">
        <f aca="false">(1+RiskFree!B44)^(1/12)-1</f>
        <v>0.00621734379305017</v>
      </c>
      <c r="E40" s="16" t="n">
        <f aca="false">C40-D40</f>
        <v>0.0129072753394428</v>
      </c>
      <c r="F40" s="21" t="n">
        <f aca="false">F39*(1+C40)</f>
        <v>1.19503675277381</v>
      </c>
    </row>
    <row r="41" customFormat="false" ht="15" hidden="false" customHeight="true" outlineLevel="0" collapsed="false">
      <c r="A41" s="20" t="n">
        <v>44</v>
      </c>
      <c r="B41" s="22" t="n">
        <f aca="false">Returns!A45</f>
        <v>43313</v>
      </c>
      <c r="C41" s="16" t="n">
        <f aca="false">Returns!J45</f>
        <v>-0.0227144650866271</v>
      </c>
      <c r="D41" s="16" t="n">
        <f aca="false">(1+RiskFree!B45)^(1/12)-1</f>
        <v>0.00623968146128573</v>
      </c>
      <c r="E41" s="16" t="n">
        <f aca="false">C41-D41</f>
        <v>-0.0289541465479128</v>
      </c>
      <c r="F41" s="21" t="n">
        <f aca="false">F40*(1+C41)</f>
        <v>1.16789213217569</v>
      </c>
    </row>
    <row r="42" customFormat="false" ht="15" hidden="false" customHeight="true" outlineLevel="0" collapsed="false">
      <c r="A42" s="20" t="n">
        <v>45</v>
      </c>
      <c r="B42" s="22" t="n">
        <f aca="false">Returns!A46</f>
        <v>43344</v>
      </c>
      <c r="C42" s="16" t="n">
        <f aca="false">Returns!J46</f>
        <v>-0.0178152873444262</v>
      </c>
      <c r="D42" s="16" t="n">
        <f aca="false">(1+RiskFree!B46)^(1/12)-1</f>
        <v>0.00623968146128573</v>
      </c>
      <c r="E42" s="16" t="n">
        <f aca="false">C42-D42</f>
        <v>-0.0240549688057119</v>
      </c>
      <c r="F42" s="21" t="n">
        <f aca="false">F41*(1+C42)</f>
        <v>1.14708579825368</v>
      </c>
    </row>
    <row r="43" customFormat="false" ht="15" hidden="false" customHeight="true" outlineLevel="0" collapsed="false">
      <c r="A43" s="20" t="n">
        <v>46</v>
      </c>
      <c r="B43" s="22" t="n">
        <f aca="false">Returns!A47</f>
        <v>43374</v>
      </c>
      <c r="C43" s="16" t="n">
        <f aca="false">Returns!J47</f>
        <v>0.0158729849002126</v>
      </c>
      <c r="D43" s="16" t="n">
        <f aca="false">(1+RiskFree!B47)^(1/12)-1</f>
        <v>0.00704693839573789</v>
      </c>
      <c r="E43" s="16" t="n">
        <f aca="false">C43-D43</f>
        <v>0.00882604650447472</v>
      </c>
      <c r="F43" s="21" t="n">
        <f aca="false">F42*(1+C43)</f>
        <v>1.16529347380861</v>
      </c>
    </row>
    <row r="44" customFormat="false" ht="15" hidden="false" customHeight="true" outlineLevel="0" collapsed="false">
      <c r="A44" s="20" t="n">
        <v>47</v>
      </c>
      <c r="B44" s="22" t="n">
        <f aca="false">Returns!A48</f>
        <v>43405</v>
      </c>
      <c r="C44" s="16" t="n">
        <f aca="false">Returns!J48</f>
        <v>-0.0276914219090042</v>
      </c>
      <c r="D44" s="16" t="n">
        <f aca="false">(1+RiskFree!B48)^(1/12)-1</f>
        <v>0.0070517208657086</v>
      </c>
      <c r="E44" s="16" t="n">
        <f aca="false">C44-D44</f>
        <v>-0.0347431427747128</v>
      </c>
      <c r="F44" s="21" t="n">
        <f aca="false">F43*(1+C44)</f>
        <v>1.13302484057757</v>
      </c>
    </row>
    <row r="45" customFormat="false" ht="15" hidden="false" customHeight="true" outlineLevel="0" collapsed="false">
      <c r="A45" s="20" t="n">
        <v>48</v>
      </c>
      <c r="B45" s="22" t="n">
        <f aca="false">Returns!A49</f>
        <v>43435</v>
      </c>
      <c r="C45" s="16" t="n">
        <f aca="false">Returns!J49</f>
        <v>-0.0846838566644681</v>
      </c>
      <c r="D45" s="16" t="n">
        <f aca="false">(1+RiskFree!B49)^(1/12)-1</f>
        <v>0.00820034974269812</v>
      </c>
      <c r="E45" s="16" t="n">
        <f aca="false">C45-D45</f>
        <v>-0.0928842064071662</v>
      </c>
      <c r="F45" s="21" t="n">
        <f aca="false">F44*(1+C45)</f>
        <v>1.03707592738082</v>
      </c>
    </row>
    <row r="46" customFormat="false" ht="15" hidden="false" customHeight="true" outlineLevel="0" collapsed="false">
      <c r="A46" s="20" t="n">
        <v>49</v>
      </c>
      <c r="B46" s="22" t="n">
        <f aca="false">Returns!A50</f>
        <v>43466</v>
      </c>
      <c r="C46" s="16" t="n">
        <f aca="false">Returns!J50</f>
        <v>0.100706375835758</v>
      </c>
      <c r="D46" s="16" t="n">
        <f aca="false">(1+RiskFree!B50)^(1/12)-1</f>
        <v>0.00820370131203574</v>
      </c>
      <c r="E46" s="16" t="n">
        <f aca="false">C46-D46</f>
        <v>0.0925026745237219</v>
      </c>
      <c r="F46" s="21" t="n">
        <f aca="false">F45*(1+C46)</f>
        <v>1.14151608549385</v>
      </c>
    </row>
    <row r="47" customFormat="false" ht="15" hidden="false" customHeight="true" outlineLevel="0" collapsed="false">
      <c r="A47" s="20" t="n">
        <v>50</v>
      </c>
      <c r="B47" s="22" t="n">
        <f aca="false">Returns!A51</f>
        <v>43497</v>
      </c>
      <c r="C47" s="16" t="n">
        <f aca="false">Returns!J51</f>
        <v>-0.0427681502135319</v>
      </c>
      <c r="D47" s="16" t="n">
        <f aca="false">(1+RiskFree!B51)^(1/12)-1</f>
        <v>0.00839301821534644</v>
      </c>
      <c r="E47" s="16" t="n">
        <f aca="false">C47-D47</f>
        <v>-0.0511611684288783</v>
      </c>
      <c r="F47" s="21" t="n">
        <f aca="false">F46*(1+C47)</f>
        <v>1.09269555407828</v>
      </c>
    </row>
    <row r="48" customFormat="false" ht="15" hidden="false" customHeight="true" outlineLevel="0" collapsed="false">
      <c r="A48" s="20" t="n">
        <v>51</v>
      </c>
      <c r="B48" s="22" t="n">
        <f aca="false">Returns!A52</f>
        <v>43525</v>
      </c>
      <c r="C48" s="16" t="n">
        <f aca="false">Returns!J52</f>
        <v>-0.0103767545948493</v>
      </c>
      <c r="D48" s="16" t="n">
        <f aca="false">(1+RiskFree!B52)^(1/12)-1</f>
        <v>0.00838769711722898</v>
      </c>
      <c r="E48" s="16" t="n">
        <f aca="false">C48-D48</f>
        <v>-0.0187644517120783</v>
      </c>
      <c r="F48" s="21" t="n">
        <f aca="false">F47*(1+C48)</f>
        <v>1.08135692046673</v>
      </c>
    </row>
    <row r="49" customFormat="false" ht="15" hidden="false" customHeight="true" outlineLevel="0" collapsed="false">
      <c r="A49" s="20" t="n">
        <v>52</v>
      </c>
      <c r="B49" s="22" t="n">
        <f aca="false">Returns!A53</f>
        <v>43556</v>
      </c>
      <c r="C49" s="16" t="n">
        <f aca="false">Returns!J53</f>
        <v>-0.0482517942091636</v>
      </c>
      <c r="D49" s="16" t="n">
        <f aca="false">(1+RiskFree!B53)^(1/12)-1</f>
        <v>0.00869694787710706</v>
      </c>
      <c r="E49" s="16" t="n">
        <f aca="false">C49-D49</f>
        <v>-0.0569487420862707</v>
      </c>
      <c r="F49" s="21" t="n">
        <f aca="false">F48*(1+C49)</f>
        <v>1.02917950887371</v>
      </c>
    </row>
    <row r="50" customFormat="false" ht="15" hidden="false" customHeight="true" outlineLevel="0" collapsed="false">
      <c r="A50" s="20" t="n">
        <v>53</v>
      </c>
      <c r="B50" s="22" t="n">
        <f aca="false">Returns!A54</f>
        <v>43586</v>
      </c>
      <c r="C50" s="16" t="n">
        <f aca="false">Returns!J54</f>
        <v>-0.0220106653791657</v>
      </c>
      <c r="D50" s="16" t="n">
        <f aca="false">(1+RiskFree!B54)^(1/12)-1</f>
        <v>0.00991944267266809</v>
      </c>
      <c r="E50" s="16" t="n">
        <f aca="false">C50-D50</f>
        <v>-0.0319301080518338</v>
      </c>
      <c r="F50" s="21" t="n">
        <f aca="false">F49*(1+C50)</f>
        <v>1.0065265830888</v>
      </c>
    </row>
    <row r="51" customFormat="false" ht="15" hidden="false" customHeight="true" outlineLevel="0" collapsed="false">
      <c r="A51" s="20" t="n">
        <v>54</v>
      </c>
      <c r="B51" s="22" t="n">
        <f aca="false">Returns!A55</f>
        <v>43617</v>
      </c>
      <c r="C51" s="16" t="n">
        <f aca="false">Returns!J55</f>
        <v>-0.0576295233412064</v>
      </c>
      <c r="D51" s="16" t="n">
        <f aca="false">(1+RiskFree!B55)^(1/12)-1</f>
        <v>0.0100415180268867</v>
      </c>
      <c r="E51" s="16" t="n">
        <f aca="false">C51-D51</f>
        <v>-0.0676710413680931</v>
      </c>
      <c r="F51" s="21" t="n">
        <f aca="false">F50*(1+C51)</f>
        <v>0.94852093587514</v>
      </c>
    </row>
    <row r="52" customFormat="false" ht="15" hidden="false" customHeight="true" outlineLevel="0" collapsed="false">
      <c r="A52" s="20" t="n">
        <v>55</v>
      </c>
      <c r="B52" s="22" t="n">
        <f aca="false">Returns!A56</f>
        <v>43647</v>
      </c>
      <c r="C52" s="16" t="n">
        <f aca="false">Returns!J56</f>
        <v>-0.0579058557152794</v>
      </c>
      <c r="D52" s="16" t="n">
        <f aca="false">(1+RiskFree!B56)^(1/12)-1</f>
        <v>0.0107907268410146</v>
      </c>
      <c r="E52" s="16" t="n">
        <f aca="false">C52-D52</f>
        <v>-0.068696582556294</v>
      </c>
      <c r="F52" s="21" t="n">
        <f aca="false">F51*(1+C52)</f>
        <v>0.893596019419432</v>
      </c>
    </row>
    <row r="53" customFormat="false" ht="15" hidden="false" customHeight="true" outlineLevel="0" collapsed="false">
      <c r="A53" s="20" t="n">
        <v>56</v>
      </c>
      <c r="B53" s="22" t="n">
        <f aca="false">Returns!A57</f>
        <v>43678</v>
      </c>
      <c r="C53" s="16" t="n">
        <f aca="false">Returns!J57</f>
        <v>-0.0709601709286103</v>
      </c>
      <c r="D53" s="16" t="n">
        <f aca="false">(1+RiskFree!B57)^(1/12)-1</f>
        <v>0.0107931705707887</v>
      </c>
      <c r="E53" s="16" t="n">
        <f aca="false">C53-D53</f>
        <v>-0.081753341499399</v>
      </c>
      <c r="F53" s="21" t="n">
        <f aca="false">F52*(1+C53)</f>
        <v>0.830186293140304</v>
      </c>
    </row>
    <row r="54" customFormat="false" ht="15" hidden="false" customHeight="true" outlineLevel="0" collapsed="false">
      <c r="A54" s="20" t="n">
        <v>57</v>
      </c>
      <c r="B54" s="22" t="n">
        <f aca="false">Returns!A58</f>
        <v>43709</v>
      </c>
      <c r="C54" s="16" t="n">
        <f aca="false">Returns!J58</f>
        <v>0.0811108205278222</v>
      </c>
      <c r="D54" s="16" t="n">
        <f aca="false">(1+RiskFree!B58)^(1/12)-1</f>
        <v>0.0107701376887606</v>
      </c>
      <c r="E54" s="16" t="n">
        <f aca="false">C54-D54</f>
        <v>0.0703406828390616</v>
      </c>
      <c r="F54" s="21" t="n">
        <f aca="false">F53*(1+C54)</f>
        <v>0.897523384567865</v>
      </c>
    </row>
    <row r="55" customFormat="false" ht="15" hidden="false" customHeight="true" outlineLevel="0" collapsed="false">
      <c r="A55" s="20" t="n">
        <v>58</v>
      </c>
      <c r="B55" s="22" t="n">
        <f aca="false">Returns!A59</f>
        <v>43739</v>
      </c>
      <c r="C55" s="16" t="n">
        <f aca="false">Returns!J59</f>
        <v>0.0662377236091694</v>
      </c>
      <c r="D55" s="16" t="n">
        <f aca="false">(1+RiskFree!B59)^(1/12)-1</f>
        <v>0.0104232062687801</v>
      </c>
      <c r="E55" s="16" t="n">
        <f aca="false">C55-D55</f>
        <v>0.0558145173403892</v>
      </c>
      <c r="F55" s="21" t="n">
        <f aca="false">F54*(1+C55)</f>
        <v>0.956973290447637</v>
      </c>
    </row>
    <row r="56" customFormat="false" ht="15" hidden="false" customHeight="true" outlineLevel="0" collapsed="false">
      <c r="A56" s="20" t="n">
        <v>59</v>
      </c>
      <c r="B56" s="22" t="n">
        <f aca="false">Returns!A60</f>
        <v>43770</v>
      </c>
      <c r="C56" s="16" t="n">
        <f aca="false">Returns!J60</f>
        <v>0.148638099760026</v>
      </c>
      <c r="D56" s="16" t="n">
        <f aca="false">(1+RiskFree!B60)^(1/12)-1</f>
        <v>0.0105795061089564</v>
      </c>
      <c r="E56" s="16" t="n">
        <f aca="false">C56-D56</f>
        <v>0.138058593651069</v>
      </c>
      <c r="F56" s="21" t="n">
        <f aca="false">F55*(1+C56)</f>
        <v>1.09921598186087</v>
      </c>
    </row>
    <row r="57" customFormat="false" ht="15" hidden="false" customHeight="true" outlineLevel="0" collapsed="false">
      <c r="A57" s="20" t="n">
        <v>60</v>
      </c>
      <c r="B57" s="22" t="n">
        <f aca="false">Returns!A61</f>
        <v>43800</v>
      </c>
      <c r="C57" s="16" t="n">
        <f aca="false">Returns!J61</f>
        <v>0.0368418574284795</v>
      </c>
      <c r="D57" s="16" t="n">
        <f aca="false">(1+RiskFree!B61)^(1/12)-1</f>
        <v>0.0105686687896311</v>
      </c>
      <c r="E57" s="16" t="n">
        <f aca="false">C57-D57</f>
        <v>0.0262731886388483</v>
      </c>
      <c r="F57" s="21" t="n">
        <f aca="false">F56*(1+C57)</f>
        <v>1.1397131403477</v>
      </c>
    </row>
    <row r="58" customFormat="false" ht="15" hidden="false" customHeight="true" outlineLevel="0" collapsed="false">
      <c r="A58" s="20" t="n">
        <v>61</v>
      </c>
      <c r="B58" s="22" t="n">
        <f aca="false">Returns!A62</f>
        <v>43831</v>
      </c>
      <c r="C58" s="16" t="n">
        <f aca="false">Returns!J62</f>
        <v>0.0219923466456922</v>
      </c>
      <c r="D58" s="16" t="n">
        <f aca="false">(1+RiskFree!B62)^(1/12)-1</f>
        <v>0.0105258265955572</v>
      </c>
      <c r="E58" s="16" t="n">
        <f aca="false">C58-D58</f>
        <v>0.0114665200501349</v>
      </c>
      <c r="F58" s="21" t="n">
        <f aca="false">F57*(1+C58)</f>
        <v>1.16477810680687</v>
      </c>
    </row>
    <row r="59" customFormat="false" ht="15" hidden="false" customHeight="true" outlineLevel="0" collapsed="false">
      <c r="A59" s="20" t="n">
        <v>62</v>
      </c>
      <c r="B59" s="22" t="n">
        <f aca="false">Returns!A63</f>
        <v>43862</v>
      </c>
      <c r="C59" s="16" t="n">
        <f aca="false">Returns!J63</f>
        <v>-0.0876108010052139</v>
      </c>
      <c r="D59" s="16" t="n">
        <f aca="false">(1+RiskFree!B63)^(1/12)-1</f>
        <v>0.0105203306569595</v>
      </c>
      <c r="E59" s="16" t="n">
        <f aca="false">C59-D59</f>
        <v>-0.0981311316621734</v>
      </c>
      <c r="F59" s="21" t="n">
        <f aca="false">F58*(1+C59)</f>
        <v>1.06273096387619</v>
      </c>
    </row>
    <row r="60" customFormat="false" ht="15" hidden="false" customHeight="true" outlineLevel="0" collapsed="false">
      <c r="A60" s="20" t="n">
        <v>63</v>
      </c>
      <c r="B60" s="22" t="n">
        <f aca="false">Returns!A64</f>
        <v>43891</v>
      </c>
      <c r="C60" s="16" t="n">
        <f aca="false">Returns!J64</f>
        <v>-0.230414847242048</v>
      </c>
      <c r="D60" s="16" t="n">
        <f aca="false">(1+RiskFree!B64)^(1/12)-1</f>
        <v>0.00889908503079306</v>
      </c>
      <c r="E60" s="16" t="n">
        <f aca="false">C60-D60</f>
        <v>-0.239313932272841</v>
      </c>
      <c r="F60" s="21" t="n">
        <f aca="false">F59*(1+C60)</f>
        <v>0.817861971175261</v>
      </c>
    </row>
    <row r="61" customFormat="false" ht="15" hidden="false" customHeight="true" outlineLevel="0" collapsed="false">
      <c r="A61" s="20" t="n">
        <v>64</v>
      </c>
      <c r="B61" s="22" t="n">
        <f aca="false">Returns!A65</f>
        <v>43922</v>
      </c>
      <c r="C61" s="16" t="n">
        <f aca="false">Returns!J65</f>
        <v>0.166942794500341</v>
      </c>
      <c r="D61" s="16" t="n">
        <f aca="false">(1+RiskFree!B65)^(1/12)-1</f>
        <v>0.00660006524035994</v>
      </c>
      <c r="E61" s="16" t="n">
        <f aca="false">C61-D61</f>
        <v>0.160342729259981</v>
      </c>
      <c r="F61" s="21" t="n">
        <f aca="false">F60*(1+C61)</f>
        <v>0.954398134158817</v>
      </c>
    </row>
    <row r="62" customFormat="false" ht="15" hidden="false" customHeight="true" outlineLevel="0" collapsed="false">
      <c r="A62" s="20" t="n">
        <v>65</v>
      </c>
      <c r="B62" s="22" t="n">
        <f aca="false">Returns!A66</f>
        <v>43952</v>
      </c>
      <c r="C62" s="16" t="n">
        <f aca="false">Returns!J66</f>
        <v>-0.00528881050573926</v>
      </c>
      <c r="D62" s="16" t="n">
        <f aca="false">(1+RiskFree!B66)^(1/12)-1</f>
        <v>0.00652771406670261</v>
      </c>
      <c r="E62" s="16" t="n">
        <f aca="false">C62-D62</f>
        <v>-0.0118165245724419</v>
      </c>
      <c r="F62" s="21" t="n">
        <f aca="false">F61*(1+C62)</f>
        <v>0.94935050328022</v>
      </c>
    </row>
    <row r="63" customFormat="false" ht="15" hidden="false" customHeight="true" outlineLevel="0" collapsed="false">
      <c r="A63" s="20" t="n">
        <v>66</v>
      </c>
      <c r="B63" s="22" t="n">
        <f aca="false">Returns!A67</f>
        <v>43983</v>
      </c>
      <c r="C63" s="16" t="n">
        <f aca="false">Returns!J67</f>
        <v>0.0144613089475387</v>
      </c>
      <c r="D63" s="16" t="n">
        <f aca="false">(1+RiskFree!B67)^(1/12)-1</f>
        <v>0.00553564579534638</v>
      </c>
      <c r="E63" s="16" t="n">
        <f aca="false">C63-D63</f>
        <v>0.00892566315219234</v>
      </c>
      <c r="F63" s="21" t="n">
        <f aca="false">F62*(1+C63)</f>
        <v>0.963079354207656</v>
      </c>
    </row>
    <row r="64" customFormat="false" ht="15" hidden="false" customHeight="true" outlineLevel="0" collapsed="false">
      <c r="A64" s="20" t="n">
        <v>67</v>
      </c>
      <c r="B64" s="22" t="n">
        <f aca="false">Returns!A68</f>
        <v>44013</v>
      </c>
      <c r="C64" s="16" t="n">
        <f aca="false">Returns!J68</f>
        <v>0.140506979273672</v>
      </c>
      <c r="D64" s="16" t="n">
        <f aca="false">(1+RiskFree!B68)^(1/12)-1</f>
        <v>0.00555493595664292</v>
      </c>
      <c r="E64" s="16" t="n">
        <f aca="false">C64-D64</f>
        <v>0.134952043317029</v>
      </c>
      <c r="F64" s="21" t="n">
        <f aca="false">F63*(1+C64)</f>
        <v>1.09839872506821</v>
      </c>
    </row>
    <row r="65" customFormat="false" ht="15" hidden="false" customHeight="true" outlineLevel="0" collapsed="false">
      <c r="A65" s="20" t="n">
        <v>68</v>
      </c>
      <c r="B65" s="22" t="n">
        <f aca="false">Returns!A69</f>
        <v>44044</v>
      </c>
      <c r="C65" s="16" t="n">
        <f aca="false">Returns!J69</f>
        <v>0.0471870507335492</v>
      </c>
      <c r="D65" s="16" t="n">
        <f aca="false">(1+RiskFree!B69)^(1/12)-1</f>
        <v>0.00572586018131993</v>
      </c>
      <c r="E65" s="16" t="n">
        <f aca="false">C65-D65</f>
        <v>0.0414611905522293</v>
      </c>
      <c r="F65" s="21" t="n">
        <f aca="false">F64*(1+C65)</f>
        <v>1.15022892143367</v>
      </c>
    </row>
    <row r="66" customFormat="false" ht="15" hidden="false" customHeight="true" outlineLevel="0" collapsed="false">
      <c r="A66" s="20" t="n">
        <v>69</v>
      </c>
      <c r="B66" s="22" t="n">
        <f aca="false">Returns!A70</f>
        <v>44075</v>
      </c>
      <c r="C66" s="16" t="n">
        <f aca="false">Returns!J70</f>
        <v>-0.0131218145636695</v>
      </c>
      <c r="D66" s="16" t="n">
        <f aca="false">(1+RiskFree!B70)^(1/12)-1</f>
        <v>0.00573110348864558</v>
      </c>
      <c r="E66" s="16" t="n">
        <f aca="false">C66-D66</f>
        <v>-0.018852918052315</v>
      </c>
      <c r="F66" s="21" t="n">
        <f aca="false">F65*(1+C66)</f>
        <v>1.13513583082085</v>
      </c>
    </row>
    <row r="67" customFormat="false" ht="15" hidden="false" customHeight="true" outlineLevel="0" collapsed="false">
      <c r="A67" s="20" t="n">
        <v>70</v>
      </c>
      <c r="B67" s="22" t="n">
        <f aca="false">Returns!A71</f>
        <v>44105</v>
      </c>
      <c r="C67" s="16" t="n">
        <f aca="false">Returns!J71</f>
        <v>-0.0168463166736832</v>
      </c>
      <c r="D67" s="16" t="n">
        <f aca="false">(1+RiskFree!B71)^(1/12)-1</f>
        <v>0.00577781043310388</v>
      </c>
      <c r="E67" s="16" t="n">
        <f aca="false">C67-D67</f>
        <v>-0.0226241271067871</v>
      </c>
      <c r="F67" s="21" t="n">
        <f aca="false">F66*(1+C67)</f>
        <v>1.1160129731472</v>
      </c>
    </row>
    <row r="68" customFormat="false" ht="15" hidden="false" customHeight="true" outlineLevel="0" collapsed="false">
      <c r="A68" s="20" t="n">
        <v>71</v>
      </c>
      <c r="B68" s="22" t="n">
        <f aca="false">Returns!A72</f>
        <v>44136</v>
      </c>
      <c r="C68" s="16" t="n">
        <f aca="false">Returns!J72</f>
        <v>0.0296033894905736</v>
      </c>
      <c r="D68" s="16" t="n">
        <f aca="false">(1+RiskFree!B72)^(1/12)-1</f>
        <v>0.0057638869057115</v>
      </c>
      <c r="E68" s="16" t="n">
        <f aca="false">C68-D68</f>
        <v>0.0238395025848621</v>
      </c>
      <c r="F68" s="21" t="n">
        <f aca="false">F67*(1+C68)</f>
        <v>1.14905073986781</v>
      </c>
    </row>
    <row r="69" customFormat="false" ht="15" hidden="false" customHeight="true" outlineLevel="0" collapsed="false">
      <c r="A69" s="20" t="n">
        <v>72</v>
      </c>
      <c r="B69" s="22" t="n">
        <f aca="false">Returns!A73</f>
        <v>44166</v>
      </c>
      <c r="C69" s="16" t="n">
        <f aca="false">Returns!J73</f>
        <v>0.0654160504246286</v>
      </c>
      <c r="D69" s="16" t="n">
        <f aca="false">(1+RiskFree!B73)^(1/12)-1</f>
        <v>0.00573947650519857</v>
      </c>
      <c r="E69" s="16" t="n">
        <f aca="false">C69-D69</f>
        <v>0.05967657391943</v>
      </c>
      <c r="F69" s="21" t="n">
        <f aca="false">F68*(1+C69)</f>
        <v>1.22421710100746</v>
      </c>
    </row>
    <row r="70" customFormat="false" ht="15" hidden="false" customHeight="true" outlineLevel="0" collapsed="false">
      <c r="A70" s="20" t="n">
        <v>73</v>
      </c>
      <c r="B70" s="22" t="n">
        <f aca="false">Returns!A74</f>
        <v>44197</v>
      </c>
      <c r="C70" s="16" t="n">
        <f aca="false">Returns!J74</f>
        <v>0.0601105509768172</v>
      </c>
      <c r="D70" s="16" t="n">
        <f aca="false">(1+RiskFree!B74)^(1/12)-1</f>
        <v>0.0057728826854837</v>
      </c>
      <c r="E70" s="16" t="n">
        <f aca="false">C70-D70</f>
        <v>0.0543376682913335</v>
      </c>
      <c r="F70" s="21" t="n">
        <f aca="false">F69*(1+C70)</f>
        <v>1.29780546546426</v>
      </c>
    </row>
    <row r="71" customFormat="false" ht="15" hidden="false" customHeight="true" outlineLevel="0" collapsed="false">
      <c r="A71" s="20" t="n">
        <v>74</v>
      </c>
      <c r="B71" s="22" t="n">
        <f aca="false">Returns!A75</f>
        <v>44228</v>
      </c>
      <c r="C71" s="16" t="n">
        <f aca="false">Returns!J75</f>
        <v>-0.0112216005246464</v>
      </c>
      <c r="D71" s="16" t="n">
        <f aca="false">(1+RiskFree!B75)^(1/12)-1</f>
        <v>0.00580330532976459</v>
      </c>
      <c r="E71" s="16" t="n">
        <f aca="false">C71-D71</f>
        <v>-0.017024905854411</v>
      </c>
      <c r="F71" s="21" t="n">
        <f aca="false">F70*(1+C71)</f>
        <v>1.28324201097211</v>
      </c>
    </row>
    <row r="72" customFormat="false" ht="15" hidden="false" customHeight="true" outlineLevel="0" collapsed="false">
      <c r="A72" s="20" t="n">
        <v>75</v>
      </c>
      <c r="B72" s="22" t="n">
        <f aca="false">Returns!A76</f>
        <v>44256</v>
      </c>
      <c r="C72" s="16" t="n">
        <f aca="false">Returns!J76</f>
        <v>-0.027846275876474</v>
      </c>
      <c r="D72" s="16" t="n">
        <f aca="false">(1+RiskFree!B76)^(1/12)-1</f>
        <v>0.00599015507067002</v>
      </c>
      <c r="E72" s="16" t="n">
        <f aca="false">C72-D72</f>
        <v>-0.0338364309471441</v>
      </c>
      <c r="F72" s="21" t="n">
        <f aca="false">F71*(1+C72)</f>
        <v>1.2475084999183</v>
      </c>
    </row>
    <row r="73" customFormat="false" ht="15" hidden="false" customHeight="true" outlineLevel="0" collapsed="false">
      <c r="A73" s="20" t="n">
        <v>76</v>
      </c>
      <c r="B73" s="22" t="n">
        <f aca="false">Returns!A77</f>
        <v>44287</v>
      </c>
      <c r="C73" s="16" t="n">
        <f aca="false">Returns!J77</f>
        <v>-0.00730019500828139</v>
      </c>
      <c r="D73" s="16" t="n">
        <f aca="false">(1+RiskFree!B77)^(1/12)-1</f>
        <v>0.00594839697862604</v>
      </c>
      <c r="E73" s="16" t="n">
        <f aca="false">C73-D73</f>
        <v>-0.0132485919869074</v>
      </c>
      <c r="F73" s="21" t="n">
        <f aca="false">F72*(1+C73)</f>
        <v>1.23840144459441</v>
      </c>
    </row>
    <row r="74" customFormat="false" ht="15" hidden="false" customHeight="true" outlineLevel="0" collapsed="false">
      <c r="A74" s="20" t="n">
        <v>77</v>
      </c>
      <c r="B74" s="22" t="n">
        <f aca="false">Returns!A78</f>
        <v>44317</v>
      </c>
      <c r="C74" s="16" t="n">
        <f aca="false">Returns!J78</f>
        <v>0.0821011536893093</v>
      </c>
      <c r="D74" s="16" t="n">
        <f aca="false">(1+RiskFree!B78)^(1/12)-1</f>
        <v>0.0059216149336585</v>
      </c>
      <c r="E74" s="16" t="n">
        <f aca="false">C74-D74</f>
        <v>0.0761795387556508</v>
      </c>
      <c r="F74" s="21" t="n">
        <f aca="false">F73*(1+C74)</f>
        <v>1.34007563192612</v>
      </c>
    </row>
    <row r="75" customFormat="false" ht="15" hidden="false" customHeight="true" outlineLevel="0" collapsed="false">
      <c r="A75" s="20" t="n">
        <v>78</v>
      </c>
      <c r="B75" s="22" t="n">
        <f aca="false">Returns!A79</f>
        <v>44348</v>
      </c>
      <c r="C75" s="16" t="n">
        <f aca="false">Returns!J79</f>
        <v>-0.0112810289888539</v>
      </c>
      <c r="D75" s="16" t="n">
        <f aca="false">(1+RiskFree!B79)^(1/12)-1</f>
        <v>0.0058851381358076</v>
      </c>
      <c r="E75" s="16" t="n">
        <f aca="false">C75-D75</f>
        <v>-0.0171661671246615</v>
      </c>
      <c r="F75" s="21" t="n">
        <f aca="false">F74*(1+C75)</f>
        <v>1.3249581998751</v>
      </c>
    </row>
    <row r="76" customFormat="false" ht="15" hidden="false" customHeight="true" outlineLevel="0" collapsed="false">
      <c r="A76" s="20" t="n">
        <v>79</v>
      </c>
      <c r="B76" s="22" t="n">
        <f aca="false">Returns!A80</f>
        <v>44378</v>
      </c>
      <c r="C76" s="16" t="n">
        <f aca="false">Returns!J80</f>
        <v>-0.00635040698099199</v>
      </c>
      <c r="D76" s="16" t="n">
        <f aca="false">(1+RiskFree!B80)^(1/12)-1</f>
        <v>0.00583606287415273</v>
      </c>
      <c r="E76" s="16" t="n">
        <f aca="false">C76-D76</f>
        <v>-0.0121864698551447</v>
      </c>
      <c r="F76" s="21" t="n">
        <f aca="false">F75*(1+C76)</f>
        <v>1.3165441760731</v>
      </c>
    </row>
    <row r="77" customFormat="false" ht="15" hidden="false" customHeight="true" outlineLevel="0" collapsed="false">
      <c r="A77" s="20" t="n">
        <v>80</v>
      </c>
      <c r="B77" s="22" t="n">
        <f aca="false">Returns!A81</f>
        <v>44409</v>
      </c>
      <c r="C77" s="16" t="n">
        <f aca="false">Returns!J81</f>
        <v>0.00774514406350479</v>
      </c>
      <c r="D77" s="16" t="n">
        <f aca="false">(1+RiskFree!B81)^(1/12)-1</f>
        <v>0.00583356151851167</v>
      </c>
      <c r="E77" s="16" t="n">
        <f aca="false">C77-D77</f>
        <v>0.00191158254499313</v>
      </c>
      <c r="F77" s="21" t="n">
        <f aca="false">F76*(1+C77)</f>
        <v>1.32674100038275</v>
      </c>
    </row>
    <row r="78" customFormat="false" ht="15" hidden="false" customHeight="true" outlineLevel="0" collapsed="false">
      <c r="A78" s="20" t="n">
        <v>81</v>
      </c>
      <c r="B78" s="22" t="n">
        <f aca="false">Returns!A82</f>
        <v>44440</v>
      </c>
      <c r="C78" s="16" t="n">
        <f aca="false">Returns!J82</f>
        <v>-0.0531453778531894</v>
      </c>
      <c r="D78" s="16" t="n">
        <f aca="false">(1+RiskFree!B82)^(1/12)-1</f>
        <v>0.00610035167498335</v>
      </c>
      <c r="E78" s="16" t="n">
        <f aca="false">C78-D78</f>
        <v>-0.0592457295281728</v>
      </c>
      <c r="F78" s="21" t="n">
        <f aca="false">F77*(1+C78)</f>
        <v>1.25623084860409</v>
      </c>
    </row>
    <row r="79" customFormat="false" ht="15" hidden="false" customHeight="true" outlineLevel="0" collapsed="false">
      <c r="A79" s="20" t="n">
        <v>82</v>
      </c>
      <c r="B79" s="22" t="n">
        <f aca="false">Returns!A83</f>
        <v>44470</v>
      </c>
      <c r="C79" s="16" t="n">
        <f aca="false">Returns!J83</f>
        <v>0.029384003420966</v>
      </c>
      <c r="D79" s="16" t="n">
        <f aca="false">(1+RiskFree!B83)^(1/12)-1</f>
        <v>0.00656967385895535</v>
      </c>
      <c r="E79" s="16" t="n">
        <f aca="false">C79-D79</f>
        <v>0.0228143295620107</v>
      </c>
      <c r="F79" s="21" t="n">
        <f aca="false">F78*(1+C79)</f>
        <v>1.293143940157</v>
      </c>
    </row>
    <row r="80" customFormat="false" ht="15" hidden="false" customHeight="true" outlineLevel="0" collapsed="false">
      <c r="A80" s="20" t="n">
        <v>83</v>
      </c>
      <c r="B80" s="22" t="n">
        <f aca="false">Returns!A84</f>
        <v>44501</v>
      </c>
      <c r="C80" s="16" t="n">
        <f aca="false">Returns!J84</f>
        <v>-0.0248069351670409</v>
      </c>
      <c r="D80" s="16" t="n">
        <f aca="false">(1+RiskFree!B84)^(1/12)-1</f>
        <v>0.00682172535218739</v>
      </c>
      <c r="E80" s="16" t="n">
        <f aca="false">C80-D80</f>
        <v>-0.0316286605192283</v>
      </c>
      <c r="F80" s="21" t="n">
        <f aca="false">F79*(1+C80)</f>
        <v>1.26106500227187</v>
      </c>
    </row>
    <row r="81" customFormat="false" ht="15" hidden="false" customHeight="true" outlineLevel="0" collapsed="false">
      <c r="A81" s="20" t="n">
        <v>84</v>
      </c>
      <c r="B81" s="22" t="n">
        <f aca="false">Returns!A85</f>
        <v>44531</v>
      </c>
      <c r="C81" s="16" t="n">
        <f aca="false">Returns!J85</f>
        <v>-0.0105676691579188</v>
      </c>
      <c r="D81" s="16" t="n">
        <f aca="false">(1+RiskFree!B85)^(1/12)-1</f>
        <v>0.00826941301136275</v>
      </c>
      <c r="E81" s="16" t="n">
        <f aca="false">C81-D81</f>
        <v>-0.0188370821692816</v>
      </c>
      <c r="F81" s="21" t="n">
        <f aca="false">F80*(1+C81)</f>
        <v>1.24773848454123</v>
      </c>
    </row>
    <row r="82" customFormat="false" ht="15" hidden="false" customHeight="true" outlineLevel="0" collapsed="false">
      <c r="A82" s="20" t="n">
        <v>85</v>
      </c>
      <c r="B82" s="22" t="n">
        <f aca="false">Returns!A86</f>
        <v>44562</v>
      </c>
      <c r="C82" s="16" t="n">
        <f aca="false">Returns!J86</f>
        <v>0.017459161760218</v>
      </c>
      <c r="D82" s="16" t="n">
        <f aca="false">(1+RiskFree!B86)^(1/12)-1</f>
        <v>0.00812902367203527</v>
      </c>
      <c r="E82" s="16" t="n">
        <f aca="false">C82-D82</f>
        <v>0.00933013808818273</v>
      </c>
      <c r="F82" s="21" t="n">
        <f aca="false">F81*(1+C82)</f>
        <v>1.26952295257728</v>
      </c>
    </row>
    <row r="83" customFormat="false" ht="15" hidden="false" customHeight="true" outlineLevel="0" collapsed="false">
      <c r="A83" s="20" t="n">
        <v>86</v>
      </c>
      <c r="B83" s="22" t="n">
        <f aca="false">Returns!A87</f>
        <v>44593</v>
      </c>
      <c r="C83" s="16" t="n">
        <f aca="false">Returns!J87</f>
        <v>-0.020136119968229</v>
      </c>
      <c r="D83" s="16" t="n">
        <f aca="false">(1+RiskFree!B87)^(1/12)-1</f>
        <v>0.00826659667429253</v>
      </c>
      <c r="E83" s="16" t="n">
        <f aca="false">C83-D83</f>
        <v>-0.0284027166425215</v>
      </c>
      <c r="F83" s="21" t="n">
        <f aca="false">F82*(1+C83)</f>
        <v>1.24395968610177</v>
      </c>
    </row>
    <row r="84" customFormat="false" ht="15" hidden="false" customHeight="true" outlineLevel="0" collapsed="false">
      <c r="A84" s="20" t="n">
        <v>87</v>
      </c>
      <c r="B84" s="22" t="n">
        <f aca="false">Returns!A88</f>
        <v>44621</v>
      </c>
      <c r="C84" s="16" t="n">
        <f aca="false">Returns!J88</f>
        <v>0.0105220281770477</v>
      </c>
      <c r="D84" s="16" t="n">
        <f aca="false">(1+RiskFree!B88)^(1/12)-1</f>
        <v>0.0093012752064896</v>
      </c>
      <c r="E84" s="16" t="n">
        <f aca="false">C84-D84</f>
        <v>0.00122075297055813</v>
      </c>
      <c r="F84" s="21" t="n">
        <f aca="false">F83*(1+C84)</f>
        <v>1.25704866497004</v>
      </c>
    </row>
    <row r="85" customFormat="false" ht="15" hidden="false" customHeight="true" outlineLevel="0" collapsed="false">
      <c r="A85" s="20" t="n">
        <v>88</v>
      </c>
      <c r="B85" s="22" t="n">
        <f aca="false">Returns!A89</f>
        <v>44652</v>
      </c>
      <c r="C85" s="16" t="n">
        <f aca="false">Returns!J89</f>
        <v>0.00713528484939396</v>
      </c>
      <c r="D85" s="16" t="n">
        <f aca="false">(1+RiskFree!B89)^(1/12)-1</f>
        <v>0.0111218149073506</v>
      </c>
      <c r="E85" s="16" t="n">
        <f aca="false">C85-D85</f>
        <v>-0.00398653005795668</v>
      </c>
      <c r="F85" s="21" t="n">
        <f aca="false">F84*(1+C85)</f>
        <v>1.26601806526415</v>
      </c>
    </row>
    <row r="86" customFormat="false" ht="15" hidden="false" customHeight="true" outlineLevel="0" collapsed="false">
      <c r="A86" s="20" t="n">
        <v>89</v>
      </c>
      <c r="B86" s="22" t="n">
        <f aca="false">Returns!A90</f>
        <v>44682</v>
      </c>
      <c r="C86" s="16" t="n">
        <f aca="false">Returns!J90</f>
        <v>-0.0479844930574787</v>
      </c>
      <c r="D86" s="16" t="n">
        <f aca="false">(1+RiskFree!B90)^(1/12)-1</f>
        <v>0.0112905586171181</v>
      </c>
      <c r="E86" s="16" t="n">
        <f aca="false">C86-D86</f>
        <v>-0.0592750516745968</v>
      </c>
      <c r="F86" s="21" t="n">
        <f aca="false">F85*(1+C86)</f>
        <v>1.20526883020084</v>
      </c>
    </row>
    <row r="87" customFormat="false" ht="15" hidden="false" customHeight="true" outlineLevel="0" collapsed="false">
      <c r="A87" s="20" t="n">
        <v>90</v>
      </c>
      <c r="B87" s="22" t="n">
        <f aca="false">Returns!A91</f>
        <v>44713</v>
      </c>
      <c r="C87" s="16" t="n">
        <f aca="false">Returns!J91</f>
        <v>-0.0356865454265202</v>
      </c>
      <c r="D87" s="16" t="n">
        <f aca="false">(1+RiskFree!B91)^(1/12)-1</f>
        <v>0.0117735483682269</v>
      </c>
      <c r="E87" s="16" t="n">
        <f aca="false">C87-D87</f>
        <v>-0.047460093794747</v>
      </c>
      <c r="F87" s="21" t="n">
        <f aca="false">F86*(1+C87)</f>
        <v>1.16225694934071</v>
      </c>
    </row>
    <row r="88" customFormat="false" ht="15" hidden="false" customHeight="true" outlineLevel="0" collapsed="false">
      <c r="A88" s="20" t="n">
        <v>91</v>
      </c>
      <c r="B88" s="22" t="n">
        <f aca="false">Returns!A92</f>
        <v>44743</v>
      </c>
      <c r="C88" s="16" t="n">
        <f aca="false">Returns!J92</f>
        <v>-0.0334723692328729</v>
      </c>
      <c r="D88" s="16" t="n">
        <f aca="false">(1+RiskFree!B92)^(1/12)-1</f>
        <v>0.0121756311210597</v>
      </c>
      <c r="E88" s="16" t="n">
        <f aca="false">C88-D88</f>
        <v>-0.0456480003539326</v>
      </c>
      <c r="F88" s="21" t="n">
        <f aca="false">F87*(1+C88)</f>
        <v>1.12335345558891</v>
      </c>
    </row>
    <row r="89" customFormat="false" ht="15" hidden="false" customHeight="true" outlineLevel="0" collapsed="false">
      <c r="A89" s="20" t="n">
        <v>92</v>
      </c>
      <c r="B89" s="22" t="n">
        <f aca="false">Returns!A93</f>
        <v>44774</v>
      </c>
      <c r="C89" s="16" t="n">
        <f aca="false">Returns!J93</f>
        <v>0.0548137052818456</v>
      </c>
      <c r="D89" s="16" t="n">
        <f aca="false">(1+RiskFree!B93)^(1/12)-1</f>
        <v>0.0122485486631649</v>
      </c>
      <c r="E89" s="16" t="n">
        <f aca="false">C89-D89</f>
        <v>0.0425651566186807</v>
      </c>
      <c r="F89" s="21" t="n">
        <f aca="false">F88*(1+C89)</f>
        <v>1.1849286208309</v>
      </c>
    </row>
    <row r="90" customFormat="false" ht="15" hidden="false" customHeight="true" outlineLevel="0" collapsed="false">
      <c r="A90" s="20" t="n">
        <v>93</v>
      </c>
      <c r="B90" s="22" t="n">
        <f aca="false">Returns!A94</f>
        <v>44805</v>
      </c>
      <c r="C90" s="16" t="n">
        <f aca="false">Returns!J94</f>
        <v>-0.028865331874105</v>
      </c>
      <c r="D90" s="16" t="n">
        <f aca="false">(1+RiskFree!B94)^(1/12)-1</f>
        <v>0.0124233153945537</v>
      </c>
      <c r="E90" s="16" t="n">
        <f aca="false">C90-D90</f>
        <v>-0.0412886472686587</v>
      </c>
      <c r="F90" s="21" t="n">
        <f aca="false">F89*(1+C90)</f>
        <v>1.15072526294349</v>
      </c>
    </row>
    <row r="91" customFormat="false" ht="15" hidden="false" customHeight="true" outlineLevel="0" collapsed="false">
      <c r="A91" s="20" t="n">
        <v>94</v>
      </c>
      <c r="B91" s="22" t="n">
        <f aca="false">Returns!A95</f>
        <v>44835</v>
      </c>
      <c r="C91" s="16" t="n">
        <f aca="false">Returns!J95</f>
        <v>0.00330645265212826</v>
      </c>
      <c r="D91" s="16" t="n">
        <f aca="false">(1+RiskFree!B95)^(1/12)-1</f>
        <v>0.0122048050720072</v>
      </c>
      <c r="E91" s="16" t="n">
        <f aca="false">C91-D91</f>
        <v>-0.00889835241987891</v>
      </c>
      <c r="F91" s="21" t="n">
        <f aca="false">F90*(1+C91)</f>
        <v>1.15453008154102</v>
      </c>
    </row>
    <row r="92" customFormat="false" ht="15" hidden="false" customHeight="true" outlineLevel="0" collapsed="false">
      <c r="A92" s="20" t="n">
        <v>95</v>
      </c>
      <c r="B92" s="22" t="n">
        <f aca="false">Returns!A96</f>
        <v>44866</v>
      </c>
      <c r="C92" s="16" t="n">
        <f aca="false">Returns!J96</f>
        <v>0.0262687248604494</v>
      </c>
      <c r="D92" s="16" t="n">
        <f aca="false">(1+RiskFree!B96)^(1/12)-1</f>
        <v>0.0130829747041319</v>
      </c>
      <c r="E92" s="16" t="n">
        <f aca="false">C92-D92</f>
        <v>0.0131857501563175</v>
      </c>
      <c r="F92" s="21" t="n">
        <f aca="false">F91*(1+C92)</f>
        <v>1.18485811459614</v>
      </c>
    </row>
    <row r="93" customFormat="false" ht="15" hidden="false" customHeight="true" outlineLevel="0" collapsed="false">
      <c r="A93" s="20" t="n">
        <v>96</v>
      </c>
      <c r="B93" s="22" t="n">
        <f aca="false">Returns!A97</f>
        <v>44896</v>
      </c>
      <c r="C93" s="16" t="n">
        <f aca="false">Returns!J97</f>
        <v>-0.0455311069094797</v>
      </c>
      <c r="D93" s="16" t="n">
        <f aca="false">(1+RiskFree!B97)^(1/12)-1</f>
        <v>0.013140741376346</v>
      </c>
      <c r="E93" s="16" t="n">
        <f aca="false">C93-D93</f>
        <v>-0.0586718482858257</v>
      </c>
      <c r="F93" s="21" t="n">
        <f aca="false">F92*(1+C93)</f>
        <v>1.13091021310789</v>
      </c>
    </row>
    <row r="94" customFormat="false" ht="15" hidden="false" customHeight="true" outlineLevel="0" collapsed="false">
      <c r="A94" s="20" t="n">
        <v>97</v>
      </c>
      <c r="B94" s="22" t="n">
        <f aca="false">Returns!A98</f>
        <v>44927</v>
      </c>
      <c r="C94" s="16" t="n">
        <f aca="false">Returns!J98</f>
        <v>0.00624955931960192</v>
      </c>
      <c r="D94" s="16" t="n">
        <f aca="false">(1+RiskFree!B98)^(1/12)-1</f>
        <v>0.0137594560283296</v>
      </c>
      <c r="E94" s="16" t="n">
        <f aca="false">C94-D94</f>
        <v>-0.0075098967087277</v>
      </c>
      <c r="F94" s="21" t="n">
        <f aca="false">F93*(1+C94)</f>
        <v>1.13797790356986</v>
      </c>
    </row>
    <row r="95" customFormat="false" ht="15" hidden="false" customHeight="true" outlineLevel="0" collapsed="false">
      <c r="A95" s="20" t="n">
        <v>98</v>
      </c>
      <c r="B95" s="22" t="n">
        <f aca="false">Returns!A99</f>
        <v>44958</v>
      </c>
      <c r="C95" s="16" t="n">
        <f aca="false">Returns!J99</f>
        <v>-0.00399994492669087</v>
      </c>
      <c r="D95" s="16" t="n">
        <f aca="false">(1+RiskFree!B99)^(1/12)-1</f>
        <v>0.0147933243027885</v>
      </c>
      <c r="E95" s="16" t="n">
        <f aca="false">C95-D95</f>
        <v>-0.0187932692294793</v>
      </c>
      <c r="F95" s="21" t="n">
        <f aca="false">F94*(1+C95)</f>
        <v>1.13342605462778</v>
      </c>
    </row>
    <row r="96" customFormat="false" ht="15" hidden="false" customHeight="true" outlineLevel="0" collapsed="false">
      <c r="A96" s="20" t="n">
        <v>99</v>
      </c>
      <c r="B96" s="22" t="n">
        <f aca="false">Returns!A100</f>
        <v>44986</v>
      </c>
      <c r="C96" s="16" t="n">
        <f aca="false">Returns!J100</f>
        <v>-0.0125780139751871</v>
      </c>
      <c r="D96" s="16" t="n">
        <f aca="false">(1+RiskFree!B100)^(1/12)-1</f>
        <v>0.0160538421960779</v>
      </c>
      <c r="E96" s="16" t="n">
        <f aca="false">C96-D96</f>
        <v>-0.028631856171265</v>
      </c>
      <c r="F96" s="21" t="n">
        <f aca="false">F95*(1+C96)</f>
        <v>1.11916980587284</v>
      </c>
    </row>
    <row r="97" customFormat="false" ht="15" hidden="false" customHeight="true" outlineLevel="0" collapsed="false">
      <c r="A97" s="20" t="n">
        <v>100</v>
      </c>
      <c r="B97" s="22" t="n">
        <f aca="false">Returns!A101</f>
        <v>45017</v>
      </c>
      <c r="C97" s="16" t="n">
        <f aca="false">Returns!J101</f>
        <v>0.0394996803816321</v>
      </c>
      <c r="D97" s="16" t="n">
        <f aca="false">(1+RiskFree!B101)^(1/12)-1</f>
        <v>0.0166950733626918</v>
      </c>
      <c r="E97" s="16" t="n">
        <f aca="false">C97-D97</f>
        <v>0.0228046070189403</v>
      </c>
      <c r="F97" s="21" t="n">
        <f aca="false">F96*(1+C97)</f>
        <v>1.16337665549759</v>
      </c>
    </row>
    <row r="98" customFormat="false" ht="15" hidden="false" customHeight="true" outlineLevel="0" collapsed="false">
      <c r="A98" s="20" t="n">
        <v>101</v>
      </c>
      <c r="B98" s="22" t="n">
        <f aca="false">Returns!A102</f>
        <v>45047</v>
      </c>
      <c r="C98" s="16" t="n">
        <f aca="false">Returns!J102</f>
        <v>-0.00584475786329519</v>
      </c>
      <c r="D98" s="16" t="n">
        <f aca="false">(1+RiskFree!B102)^(1/12)-1</f>
        <v>0.0166950733626918</v>
      </c>
      <c r="E98" s="16" t="n">
        <f aca="false">C98-D98</f>
        <v>-0.022539831225987</v>
      </c>
      <c r="F98" s="21" t="n">
        <f aca="false">F97*(1+C98)</f>
        <v>1.15657700064239</v>
      </c>
    </row>
    <row r="99" customFormat="false" ht="15" hidden="false" customHeight="true" outlineLevel="0" collapsed="false">
      <c r="A99" s="20" t="n">
        <v>102</v>
      </c>
      <c r="B99" s="22" t="n">
        <f aca="false">Returns!A103</f>
        <v>45078</v>
      </c>
      <c r="C99" s="16" t="n">
        <f aca="false">Returns!J103</f>
        <v>0.00277856935851961</v>
      </c>
      <c r="D99" s="16" t="n">
        <f aca="false">(1+RiskFree!B103)^(1/12)-1</f>
        <v>0.0167020188788529</v>
      </c>
      <c r="E99" s="16" t="n">
        <f aca="false">C99-D99</f>
        <v>-0.0139234495203333</v>
      </c>
      <c r="F99" s="21" t="n">
        <f aca="false">F98*(1+C99)</f>
        <v>1.15979063005715</v>
      </c>
    </row>
    <row r="100" customFormat="false" ht="15" hidden="false" customHeight="true" outlineLevel="0" collapsed="false">
      <c r="A100" s="20" t="n">
        <v>103</v>
      </c>
      <c r="B100" s="22" t="n">
        <f aca="false">Returns!A104</f>
        <v>45108</v>
      </c>
      <c r="C100" s="16" t="n">
        <f aca="false">Returns!J104</f>
        <v>0.158781289894887</v>
      </c>
      <c r="D100" s="16" t="n">
        <f aca="false">(1+RiskFree!B104)^(1/12)-1</f>
        <v>0.0173300929537943</v>
      </c>
      <c r="E100" s="16" t="n">
        <f aca="false">C100-D100</f>
        <v>0.141451196941093</v>
      </c>
      <c r="F100" s="21" t="n">
        <f aca="false">F99*(1+C100)</f>
        <v>1.34394368230562</v>
      </c>
    </row>
    <row r="101" customFormat="false" ht="15" hidden="false" customHeight="true" outlineLevel="0" collapsed="false">
      <c r="A101" s="20" t="n">
        <v>104</v>
      </c>
      <c r="B101" s="22" t="n">
        <f aca="false">Returns!A105</f>
        <v>45139</v>
      </c>
      <c r="C101" s="16" t="n">
        <f aca="false">Returns!J105</f>
        <v>-0.0631249272659555</v>
      </c>
      <c r="D101" s="16" t="n">
        <f aca="false">(1+RiskFree!B105)^(1/12)-1</f>
        <v>0.0173111898597245</v>
      </c>
      <c r="E101" s="16" t="n">
        <f aca="false">C101-D101</f>
        <v>-0.08043611712568</v>
      </c>
      <c r="F101" s="21" t="n">
        <f aca="false">F100*(1+C101)</f>
        <v>1.25910733511054</v>
      </c>
    </row>
    <row r="102" customFormat="false" ht="15" hidden="false" customHeight="true" outlineLevel="0" collapsed="false">
      <c r="A102" s="20" t="n">
        <v>105</v>
      </c>
      <c r="B102" s="22" t="n">
        <f aca="false">Returns!A106</f>
        <v>45170</v>
      </c>
      <c r="C102" s="16" t="n">
        <f aca="false">Returns!J106</f>
        <v>0.0273358693456638</v>
      </c>
      <c r="D102" s="16" t="n">
        <f aca="false">(1+RiskFree!B106)^(1/12)-1</f>
        <v>0.0172327766642637</v>
      </c>
      <c r="E102" s="16" t="n">
        <f aca="false">C102-D102</f>
        <v>0.0101030926814001</v>
      </c>
      <c r="F102" s="21" t="n">
        <f aca="false">F101*(1+C102)</f>
        <v>1.29352612871529</v>
      </c>
    </row>
    <row r="103" customFormat="false" ht="15" hidden="false" customHeight="true" outlineLevel="0" collapsed="false">
      <c r="A103" s="20" t="n">
        <v>106</v>
      </c>
      <c r="B103" s="22" t="n">
        <f aca="false">Returns!A107</f>
        <v>45200</v>
      </c>
      <c r="C103" s="16" t="n">
        <f aca="false">Returns!J107</f>
        <v>0.12423530673925</v>
      </c>
      <c r="D103" s="16" t="n">
        <f aca="false">(1+RiskFree!B107)^(1/12)-1</f>
        <v>0.0168061390408589</v>
      </c>
      <c r="E103" s="16" t="n">
        <f aca="false">C103-D103</f>
        <v>0.107429167698391</v>
      </c>
      <c r="F103" s="21" t="n">
        <f aca="false">F102*(1+C103)</f>
        <v>1.45422774409147</v>
      </c>
    </row>
    <row r="104" customFormat="false" ht="15" hidden="false" customHeight="true" outlineLevel="0" collapsed="false">
      <c r="A104" s="20" t="n">
        <v>107</v>
      </c>
      <c r="B104" s="22" t="n">
        <f aca="false">Returns!A108</f>
        <v>45231</v>
      </c>
      <c r="C104" s="16" t="n">
        <f aca="false">Returns!J108</f>
        <v>0.164506868609949</v>
      </c>
      <c r="D104" s="16" t="n">
        <f aca="false">(1+RiskFree!B108)^(1/12)-1</f>
        <v>0.0162494710392571</v>
      </c>
      <c r="E104" s="16" t="n">
        <f aca="false">C104-D104</f>
        <v>0.148257397570692</v>
      </c>
      <c r="F104" s="21" t="n">
        <f aca="false">F103*(1+C104)</f>
        <v>1.69345819651767</v>
      </c>
    </row>
    <row r="105" customFormat="false" ht="15" hidden="false" customHeight="true" outlineLevel="0" collapsed="false">
      <c r="A105" s="20" t="n">
        <v>108</v>
      </c>
      <c r="B105" s="22" t="n">
        <f aca="false">Returns!A109</f>
        <v>45261</v>
      </c>
      <c r="C105" s="16" t="n">
        <f aca="false">Returns!J109</f>
        <v>0.0317920483779326</v>
      </c>
      <c r="D105" s="16" t="n">
        <f aca="false">(1+RiskFree!B109)^(1/12)-1</f>
        <v>0.0162355112808372</v>
      </c>
      <c r="E105" s="16" t="n">
        <f aca="false">C105-D105</f>
        <v>0.0155565370970954</v>
      </c>
      <c r="F105" s="21" t="n">
        <f aca="false">F104*(1+C105)</f>
        <v>1.74729670142736</v>
      </c>
    </row>
    <row r="106" customFormat="false" ht="15" hidden="false" customHeight="true" outlineLevel="0" collapsed="false">
      <c r="A106" s="20" t="n">
        <v>109</v>
      </c>
      <c r="B106" s="22" t="n">
        <f aca="false">Returns!A110</f>
        <v>45292</v>
      </c>
      <c r="C106" s="16" t="n">
        <f aca="false">Returns!J110</f>
        <v>-0.00755567881655772</v>
      </c>
      <c r="D106" s="16" t="n">
        <f aca="false">(1+RiskFree!B110)^(1/12)-1</f>
        <v>0.0159889136891018</v>
      </c>
      <c r="E106" s="16" t="n">
        <f aca="false">C106-D106</f>
        <v>-0.0235445925056595</v>
      </c>
      <c r="F106" s="21" t="n">
        <f aca="false">F105*(1+C106)</f>
        <v>1.73409468875415</v>
      </c>
    </row>
    <row r="107" customFormat="false" ht="15" hidden="false" customHeight="true" outlineLevel="0" collapsed="false">
      <c r="A107" s="20" t="n">
        <v>110</v>
      </c>
      <c r="B107" s="22" t="n">
        <f aca="false">Returns!A111</f>
        <v>45323</v>
      </c>
      <c r="C107" s="16" t="n">
        <f aca="false">Returns!J111</f>
        <v>0.0419389220702822</v>
      </c>
      <c r="D107" s="16" t="n">
        <f aca="false">(1+RiskFree!B111)^(1/12)-1</f>
        <v>0.0162285306105332</v>
      </c>
      <c r="E107" s="16" t="n">
        <f aca="false">C107-D107</f>
        <v>0.025710391459749</v>
      </c>
      <c r="F107" s="21" t="n">
        <f aca="false">F106*(1+C107)</f>
        <v>1.8068207507683</v>
      </c>
    </row>
    <row r="108" customFormat="false" ht="15" hidden="false" customHeight="true" outlineLevel="0" collapsed="false">
      <c r="A108" s="20" t="n">
        <v>111</v>
      </c>
      <c r="B108" s="22" t="n">
        <f aca="false">Returns!A112</f>
        <v>45352</v>
      </c>
      <c r="C108" s="16" t="n">
        <f aca="false">Returns!J112</f>
        <v>0.0375758069401406</v>
      </c>
      <c r="D108" s="16" t="n">
        <f aca="false">(1+RiskFree!B112)^(1/12)-1</f>
        <v>0.016312263862527</v>
      </c>
      <c r="E108" s="16" t="n">
        <f aca="false">C108-D108</f>
        <v>0.0212635430776136</v>
      </c>
      <c r="F108" s="21" t="n">
        <f aca="false">F107*(1+C108)</f>
        <v>1.87471349847461</v>
      </c>
    </row>
    <row r="109" customFormat="false" ht="15" hidden="false" customHeight="true" outlineLevel="0" collapsed="false">
      <c r="A109" s="20" t="n">
        <v>112</v>
      </c>
      <c r="B109" s="22" t="n">
        <f aca="false">Returns!A113</f>
        <v>45383</v>
      </c>
      <c r="C109" s="16" t="n">
        <f aca="false">Returns!J113</f>
        <v>0.0611511569789229</v>
      </c>
      <c r="D109" s="16" t="n">
        <f aca="false">(1+RiskFree!B113)^(1/12)-1</f>
        <v>0.0164237902853628</v>
      </c>
      <c r="E109" s="16" t="n">
        <f aca="false">C109-D109</f>
        <v>0.0447273666935601</v>
      </c>
      <c r="F109" s="21" t="n">
        <f aca="false">F108*(1+C109)</f>
        <v>1.98935439791033</v>
      </c>
    </row>
    <row r="110" customFormat="false" ht="15" hidden="false" customHeight="true" outlineLevel="0" collapsed="false">
      <c r="A110" s="20" t="n">
        <v>113</v>
      </c>
      <c r="B110" s="22" t="n">
        <f aca="false">Returns!A114</f>
        <v>45413</v>
      </c>
      <c r="C110" s="16" t="n">
        <f aca="false">Returns!J114</f>
        <v>0.0671696022153916</v>
      </c>
      <c r="D110" s="16" t="n">
        <f aca="false">(1+RiskFree!B114)^(1/12)-1</f>
        <v>0.0159698742670757</v>
      </c>
      <c r="E110" s="16" t="n">
        <f aca="false">C110-D110</f>
        <v>0.0511997279483158</v>
      </c>
      <c r="F110" s="21" t="n">
        <f aca="false">F109*(1+C110)</f>
        <v>2.12297854148341</v>
      </c>
    </row>
    <row r="111" customFormat="false" ht="15" hidden="false" customHeight="true" outlineLevel="0" collapsed="false">
      <c r="A111" s="20" t="n">
        <v>114</v>
      </c>
      <c r="B111" s="22" t="n">
        <f aca="false">Returns!A115</f>
        <v>45444</v>
      </c>
      <c r="C111" s="16" t="n">
        <f aca="false">Returns!J115</f>
        <v>0.0338235557696993</v>
      </c>
      <c r="D111" s="16" t="n">
        <f aca="false">(1+RiskFree!B115)^(1/12)-1</f>
        <v>0.015319693535879</v>
      </c>
      <c r="E111" s="16" t="n">
        <f aca="false">C111-D111</f>
        <v>0.0185038622338203</v>
      </c>
      <c r="F111" s="21" t="n">
        <f aca="false">F110*(1+C111)</f>
        <v>2.19478522457915</v>
      </c>
    </row>
    <row r="112" customFormat="false" ht="15" hidden="false" customHeight="true" outlineLevel="0" collapsed="false">
      <c r="A112" s="20" t="n">
        <v>115</v>
      </c>
      <c r="B112" s="22" t="n">
        <f aca="false">Returns!A116</f>
        <v>45474</v>
      </c>
      <c r="C112" s="16" t="n">
        <f aca="false">Returns!J116</f>
        <v>-0.00711288526375697</v>
      </c>
      <c r="D112" s="16" t="n">
        <f aca="false">(1+RiskFree!B116)^(1/12)-1</f>
        <v>0.0149491793721424</v>
      </c>
      <c r="E112" s="16" t="n">
        <f aca="false">C112-D112</f>
        <v>-0.0220620646358993</v>
      </c>
      <c r="F112" s="21" t="n">
        <f aca="false">F111*(1+C112)</f>
        <v>2.17917396909813</v>
      </c>
    </row>
    <row r="113" customFormat="false" ht="15" hidden="false" customHeight="true" outlineLevel="0" collapsed="false">
      <c r="A113" s="20" t="n">
        <v>116</v>
      </c>
      <c r="B113" s="22" t="n">
        <f aca="false">Returns!A117</f>
        <v>45505</v>
      </c>
      <c r="C113" s="16" t="n">
        <f aca="false">Returns!J117</f>
        <v>0.00771926094460707</v>
      </c>
      <c r="D113" s="16" t="n">
        <f aca="false">(1+RiskFree!B117)^(1/12)-1</f>
        <v>0.0135081547322424</v>
      </c>
      <c r="E113" s="16" t="n">
        <f aca="false">C113-D113</f>
        <v>-0.00578889378763536</v>
      </c>
      <c r="F113" s="21" t="n">
        <f aca="false">F112*(1+C113)</f>
        <v>2.19599558160929</v>
      </c>
    </row>
    <row r="114" customFormat="false" ht="15" hidden="false" customHeight="true" outlineLevel="0" collapsed="false">
      <c r="A114" s="20" t="n">
        <v>117</v>
      </c>
      <c r="B114" s="22" t="n">
        <f aca="false">Returns!A118</f>
        <v>45536</v>
      </c>
      <c r="C114" s="16" t="n">
        <f aca="false">Returns!J118</f>
        <v>0.033456995202592</v>
      </c>
      <c r="D114" s="16" t="n">
        <f aca="false">(1+RiskFree!B118)^(1/12)-1</f>
        <v>0.0134650056091983</v>
      </c>
      <c r="E114" s="16" t="n">
        <f aca="false">C114-D114</f>
        <v>0.0199919895933938</v>
      </c>
      <c r="F114" s="21" t="n">
        <f aca="false">F113*(1+C114)</f>
        <v>2.26946699524811</v>
      </c>
    </row>
    <row r="115" customFormat="false" ht="15" hidden="false" customHeight="true" outlineLevel="0" collapsed="false">
      <c r="A115" s="20" t="n">
        <v>118</v>
      </c>
      <c r="B115" s="22" t="n">
        <f aca="false">Returns!A119</f>
        <v>45566</v>
      </c>
      <c r="C115" s="16" t="n">
        <f aca="false">Returns!J119</f>
        <v>0.0968088201572599</v>
      </c>
      <c r="D115" s="16" t="n">
        <f aca="false">(1+RiskFree!B119)^(1/12)-1</f>
        <v>0.0108827291484808</v>
      </c>
      <c r="E115" s="16" t="n">
        <f aca="false">C115-D115</f>
        <v>0.0859260910087791</v>
      </c>
      <c r="F115" s="21" t="n">
        <f aca="false">F114*(1+C115)</f>
        <v>2.48917141744392</v>
      </c>
    </row>
    <row r="116" customFormat="false" ht="15" hidden="false" customHeight="true" outlineLevel="0" collapsed="false">
      <c r="A116" s="20" t="n">
        <v>119</v>
      </c>
      <c r="B116" s="22" t="n">
        <f aca="false">Returns!A120</f>
        <v>45597</v>
      </c>
      <c r="C116" s="16" t="n">
        <f aca="false">Returns!J120</f>
        <v>0.139271662891662</v>
      </c>
      <c r="D116" s="16" t="n">
        <f aca="false">(1+RiskFree!B120)^(1/12)-1</f>
        <v>0.0108827291484808</v>
      </c>
      <c r="E116" s="16" t="n">
        <f aca="false">C116-D116</f>
        <v>0.128388933743181</v>
      </c>
      <c r="F116" s="21" t="n">
        <f aca="false">F115*(1+C116)</f>
        <v>2.83584245997373</v>
      </c>
    </row>
    <row r="117" customFormat="false" ht="15" hidden="false" customHeight="true" outlineLevel="0" collapsed="false">
      <c r="A117" s="20" t="n">
        <v>120</v>
      </c>
      <c r="B117" s="22" t="n">
        <f aca="false">Returns!A121</f>
        <v>45627</v>
      </c>
      <c r="C117" s="16" t="n">
        <f aca="false">Returns!J121</f>
        <v>0.135851855593656</v>
      </c>
      <c r="D117" s="16" t="n">
        <f aca="false">(1+RiskFree!B121)^(1/12)-1</f>
        <v>0.00937605755650806</v>
      </c>
      <c r="E117" s="16" t="n">
        <f aca="false">C117-D117</f>
        <v>0.126475798037148</v>
      </c>
      <c r="F117" s="21" t="n">
        <f aca="false">F116*(1+C117)</f>
        <v>3.22109692033244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0" min="3" style="1" width="18"/>
  </cols>
  <sheetData>
    <row r="1" customFormat="false" ht="17.25" hidden="false" customHeight="true" outlineLevel="0" collapsed="false">
      <c r="A1" s="2" t="s">
        <v>93</v>
      </c>
    </row>
    <row r="2" customFormat="false" ht="15" hidden="false" customHeight="true" outlineLevel="0" collapsed="false">
      <c r="A2" s="5" t="s">
        <v>94</v>
      </c>
    </row>
    <row r="4" customFormat="false" ht="15" hidden="false" customHeight="true" outlineLevel="0" collapsed="false">
      <c r="A4" s="12" t="s">
        <v>95</v>
      </c>
      <c r="B4" s="12" t="s">
        <v>96</v>
      </c>
      <c r="C4" s="12" t="s">
        <v>97</v>
      </c>
      <c r="D4" s="12" t="s">
        <v>98</v>
      </c>
      <c r="E4" s="12" t="s">
        <v>99</v>
      </c>
      <c r="F4" s="12" t="s">
        <v>100</v>
      </c>
      <c r="G4" s="12" t="s">
        <v>101</v>
      </c>
      <c r="H4" s="12" t="s">
        <v>102</v>
      </c>
      <c r="I4" s="12" t="s">
        <v>103</v>
      </c>
      <c r="J4" s="12" t="s">
        <v>104</v>
      </c>
    </row>
    <row r="5" customFormat="false" ht="15" hidden="false" customHeight="true" outlineLevel="0" collapsed="false">
      <c r="A5" s="20" t="s">
        <v>105</v>
      </c>
      <c r="B5" s="20" t="s">
        <v>106</v>
      </c>
      <c r="C5" s="23" t="n">
        <f aca="false">S_Top2_Annual!P117</f>
        <v>9.49960970725431</v>
      </c>
      <c r="D5" s="24" t="n">
        <f aca="false">C5^(12/113)-1</f>
        <v>0.270068546094443</v>
      </c>
      <c r="E5" s="24" t="n">
        <f aca="false">STDEV(S_Top2_Annual!O5:O117)*SQRT(12)</f>
        <v>0.381191416281339</v>
      </c>
      <c r="F5" s="23" t="n">
        <f aca="false">(AVERAGE(S_Top2_Annual!O5:O117)-AVERAGE(Benchmark_RF!D5:D117))/STDEV(S_Top2_Annual!O5:O117)*SQRT(12)</f>
        <v>0.557337432963737</v>
      </c>
      <c r="G5" s="24" t="n">
        <f aca="false">MIN(S_Top2_Annual!R5:R117)</f>
        <v>-0.539366552696661</v>
      </c>
      <c r="H5" s="23" t="n">
        <f aca="false">SLOPE(S_Top2_Annual!S5:S117,Benchmark_RF!E5:E117)</f>
        <v>1.17559881806797</v>
      </c>
      <c r="I5" s="24" t="n">
        <f aca="false">INTERCEPT(S_Top2_Annual!S5:S117,Benchmark_RF!E5:E117)*12</f>
        <v>0.163134438827822</v>
      </c>
      <c r="J5" s="24" t="n">
        <f aca="false">D5-(Benchmark_RF!F117^(12/113)-1)</f>
        <v>0.137805572939281</v>
      </c>
    </row>
    <row r="6" customFormat="false" ht="15" hidden="false" customHeight="true" outlineLevel="0" collapsed="false">
      <c r="A6" s="20" t="s">
        <v>105</v>
      </c>
      <c r="B6" s="20" t="s">
        <v>107</v>
      </c>
      <c r="C6" s="23" t="n">
        <f aca="false">S_Top2_SemiAnnual!P117</f>
        <v>3.0971287080357</v>
      </c>
      <c r="D6" s="24" t="n">
        <f aca="false">C6^(12/113)-1</f>
        <v>0.127553781717606</v>
      </c>
      <c r="E6" s="24" t="n">
        <f aca="false">STDEV(S_Top2_SemiAnnual!O5:O117)*SQRT(12)</f>
        <v>0.336957926541107</v>
      </c>
      <c r="F6" s="23" t="n">
        <f aca="false">(AVERAGE(S_Top2_SemiAnnual!O5:O117)-AVERAGE(Benchmark_RF!D5:D117))/STDEV(S_Top2_SemiAnnual!O5:O117)*SQRT(12)</f>
        <v>0.213704134354527</v>
      </c>
      <c r="G6" s="24" t="n">
        <f aca="false">MIN(S_Top2_SemiAnnual!R5:R117)</f>
        <v>-0.528190002104931</v>
      </c>
      <c r="H6" s="23" t="n">
        <f aca="false">SLOPE(S_Top2_SemiAnnual!S5:S117,Benchmark_RF!E5:E117)</f>
        <v>1.13844499908857</v>
      </c>
      <c r="I6" s="24" t="n">
        <f aca="false">INTERCEPT(S_Top2_SemiAnnual!S5:S117,Benchmark_RF!E5:E117)*12</f>
        <v>0.0242501435103443</v>
      </c>
      <c r="J6" s="24" t="n">
        <f aca="false">D6-(Benchmark_RF!F117^(12/113)-1)</f>
        <v>-0.00470919143755566</v>
      </c>
    </row>
    <row r="7" customFormat="false" ht="15" hidden="false" customHeight="true" outlineLevel="0" collapsed="false">
      <c r="A7" s="20" t="s">
        <v>105</v>
      </c>
      <c r="B7" s="20" t="s">
        <v>108</v>
      </c>
      <c r="C7" s="23" t="n">
        <f aca="false">S_Top2_Quarterly!P117</f>
        <v>1.78973161518601</v>
      </c>
      <c r="D7" s="24" t="n">
        <f aca="false">C7^(12/113)-1</f>
        <v>0.0637626405618996</v>
      </c>
      <c r="E7" s="24" t="n">
        <f aca="false">STDEV(S_Top2_Quarterly!O5:O117)*SQRT(12)</f>
        <v>0.336976586259637</v>
      </c>
      <c r="F7" s="23" t="n">
        <f aca="false">(AVERAGE(S_Top2_Quarterly!O5:O117)-AVERAGE(Benchmark_RF!D5:D117))/STDEV(S_Top2_Quarterly!O5:O117)*SQRT(12)</f>
        <v>0.0391968002525869</v>
      </c>
      <c r="G7" s="24" t="n">
        <f aca="false">MIN(S_Top2_Quarterly!R5:R117)</f>
        <v>-0.679450940147871</v>
      </c>
      <c r="H7" s="23" t="n">
        <f aca="false">SLOPE(S_Top2_Quarterly!S5:S117,Benchmark_RF!E5:E117)</f>
        <v>1.08637575796115</v>
      </c>
      <c r="I7" s="24" t="n">
        <f aca="false">INTERCEPT(S_Top2_Quarterly!S5:S117,Benchmark_RF!E5:E117)*12</f>
        <v>-0.03236638627783</v>
      </c>
      <c r="J7" s="24" t="n">
        <f aca="false">D7-(Benchmark_RF!F117^(12/113)-1)</f>
        <v>-0.0685003325932621</v>
      </c>
    </row>
    <row r="8" customFormat="false" ht="15" hidden="false" customHeight="true" outlineLevel="0" collapsed="false">
      <c r="A8" s="20" t="s">
        <v>109</v>
      </c>
      <c r="B8" s="20" t="s">
        <v>106</v>
      </c>
      <c r="C8" s="23" t="n">
        <f aca="false">S_Top3_Annual!P117</f>
        <v>8.66453126802015</v>
      </c>
      <c r="D8" s="24" t="n">
        <f aca="false">C8^(12/113)-1</f>
        <v>0.25771878534881</v>
      </c>
      <c r="E8" s="24" t="n">
        <f aca="false">STDEV(S_Top3_Annual!O5:O117)*SQRT(12)</f>
        <v>0.327918379488592</v>
      </c>
      <c r="F8" s="23" t="n">
        <f aca="false">(AVERAGE(S_Top3_Annual!O5:O117)-AVERAGE(Benchmark_RF!D5:D117))/STDEV(S_Top3_Annual!O5:O117)*SQRT(12)</f>
        <v>0.555495132080278</v>
      </c>
      <c r="G8" s="24" t="n">
        <f aca="false">MIN(S_Top3_Annual!R5:R117)</f>
        <v>-0.42346846356745</v>
      </c>
      <c r="H8" s="23" t="n">
        <f aca="false">SLOPE(S_Top3_Annual!S5:S117,Benchmark_RF!E5:E117)</f>
        <v>1.13881972006288</v>
      </c>
      <c r="I8" s="24" t="n">
        <f aca="false">INTERCEPT(S_Top3_Annual!S5:S117,Benchmark_RF!E5:E117)*12</f>
        <v>0.134382185027896</v>
      </c>
      <c r="J8" s="24" t="n">
        <f aca="false">D8-(Benchmark_RF!F117^(12/113)-1)</f>
        <v>0.125455812193648</v>
      </c>
    </row>
    <row r="9" customFormat="false" ht="15" hidden="false" customHeight="true" outlineLevel="0" collapsed="false">
      <c r="A9" s="20" t="s">
        <v>109</v>
      </c>
      <c r="B9" s="20" t="s">
        <v>107</v>
      </c>
      <c r="C9" s="23" t="n">
        <f aca="false">S_Top3_SemiAnnual!P117</f>
        <v>8.38197947247427</v>
      </c>
      <c r="D9" s="24" t="n">
        <f aca="false">C9^(12/113)-1</f>
        <v>0.253298458311008</v>
      </c>
      <c r="E9" s="24" t="n">
        <f aca="false">STDEV(S_Top3_SemiAnnual!O5:O117)*SQRT(12)</f>
        <v>0.344021190927359</v>
      </c>
      <c r="F9" s="23" t="n">
        <f aca="false">(AVERAGE(S_Top3_SemiAnnual!O5:O117)-AVERAGE(Benchmark_RF!D5:D117))/STDEV(S_Top3_SemiAnnual!O5:O117)*SQRT(12)</f>
        <v>0.527065292851055</v>
      </c>
      <c r="G9" s="24" t="n">
        <f aca="false">MIN(S_Top3_SemiAnnual!R5:R117)</f>
        <v>-0.426359255450915</v>
      </c>
      <c r="H9" s="23" t="n">
        <f aca="false">SLOPE(S_Top3_SemiAnnual!S5:S117,Benchmark_RF!E5:E117)</f>
        <v>1.13598329640138</v>
      </c>
      <c r="I9" s="24" t="n">
        <f aca="false">INTERCEPT(S_Top3_SemiAnnual!S5:S117,Benchmark_RF!E5:E117)*12</f>
        <v>0.133665742683149</v>
      </c>
      <c r="J9" s="24" t="n">
        <f aca="false">D9-(Benchmark_RF!F117^(12/113)-1)</f>
        <v>0.121035485155846</v>
      </c>
    </row>
    <row r="10" customFormat="false" ht="15" hidden="false" customHeight="true" outlineLevel="0" collapsed="false">
      <c r="A10" s="20" t="s">
        <v>109</v>
      </c>
      <c r="B10" s="20" t="s">
        <v>108</v>
      </c>
      <c r="C10" s="23" t="n">
        <f aca="false">S_Top3_Quarterly!P117</f>
        <v>4.14251012189498</v>
      </c>
      <c r="D10" s="24" t="n">
        <f aca="false">C10^(12/113)-1</f>
        <v>0.162920736071937</v>
      </c>
      <c r="E10" s="24" t="n">
        <f aca="false">STDEV(S_Top3_Quarterly!O5:O117)*SQRT(12)</f>
        <v>0.3202687619752</v>
      </c>
      <c r="F10" s="23" t="n">
        <f aca="false">(AVERAGE(S_Top3_Quarterly!O5:O117)-AVERAGE(Benchmark_RF!D5:D117))/STDEV(S_Top3_Quarterly!O5:O117)*SQRT(12)</f>
        <v>0.303845921880799</v>
      </c>
      <c r="G10" s="24" t="n">
        <f aca="false">MIN(S_Top3_Quarterly!R5:R117)</f>
        <v>-0.498740304439201</v>
      </c>
      <c r="H10" s="23" t="n">
        <f aca="false">SLOPE(S_Top3_Quarterly!S5:S117,Benchmark_RF!E5:E117)</f>
        <v>1.06844160594628</v>
      </c>
      <c r="I10" s="24" t="n">
        <f aca="false">INTERCEPT(S_Top3_Quarterly!S5:S117,Benchmark_RF!E5:E117)*12</f>
        <v>0.0524899265990398</v>
      </c>
      <c r="J10" s="24" t="n">
        <f aca="false">D10-(Benchmark_RF!F117^(12/113)-1)</f>
        <v>0.0306577629167755</v>
      </c>
    </row>
    <row r="11" customFormat="false" ht="15" hidden="false" customHeight="true" outlineLevel="0" collapsed="false">
      <c r="A11" s="20" t="s">
        <v>110</v>
      </c>
      <c r="B11" s="20" t="s">
        <v>106</v>
      </c>
      <c r="C11" s="23" t="n">
        <f aca="false">S_Top5_Annual!P117</f>
        <v>4.96123255994635</v>
      </c>
      <c r="D11" s="24" t="n">
        <f aca="false">C11^(12/113)-1</f>
        <v>0.185408182081473</v>
      </c>
      <c r="E11" s="24" t="n">
        <f aca="false">STDEV(S_Top5_Annual!O5:O117)*SQRT(12)</f>
        <v>0.243785443662902</v>
      </c>
      <c r="F11" s="23" t="n">
        <f aca="false">(AVERAGE(S_Top5_Annual!O5:O117)-AVERAGE(Benchmark_RF!D5:D117))/STDEV(S_Top5_Annual!O5:O117)*SQRT(12)</f>
        <v>0.392703100359204</v>
      </c>
      <c r="G11" s="24" t="n">
        <f aca="false">MIN(S_Top5_Annual!R5:R117)</f>
        <v>-0.306433361328761</v>
      </c>
      <c r="H11" s="23" t="n">
        <f aca="false">SLOPE(S_Top5_Annual!S5:S117,Benchmark_RF!E5:E117)</f>
        <v>0.933026289655685</v>
      </c>
      <c r="I11" s="24" t="n">
        <f aca="false">INTERCEPT(S_Top5_Annual!S5:S117,Benchmark_RF!E5:E117)*12</f>
        <v>0.0565937068646688</v>
      </c>
      <c r="J11" s="24" t="n">
        <f aca="false">D11-(Benchmark_RF!F117^(12/113)-1)</f>
        <v>0.0531452089263111</v>
      </c>
    </row>
    <row r="12" customFormat="false" ht="15" hidden="false" customHeight="true" outlineLevel="0" collapsed="false">
      <c r="A12" s="20" t="s">
        <v>110</v>
      </c>
      <c r="B12" s="20" t="s">
        <v>107</v>
      </c>
      <c r="C12" s="23" t="n">
        <f aca="false">S_Top5_SemiAnnual!P117</f>
        <v>5.05115705465713</v>
      </c>
      <c r="D12" s="24" t="n">
        <f aca="false">C12^(12/113)-1</f>
        <v>0.187671611493995</v>
      </c>
      <c r="E12" s="24" t="n">
        <f aca="false">STDEV(S_Top5_SemiAnnual!O5:O117)*SQRT(12)</f>
        <v>0.256603275181859</v>
      </c>
      <c r="F12" s="23" t="n">
        <f aca="false">(AVERAGE(S_Top5_SemiAnnual!O5:O117)-AVERAGE(Benchmark_RF!D5:D117))/STDEV(S_Top5_SemiAnnual!O5:O117)*SQRT(12)</f>
        <v>0.393879239987633</v>
      </c>
      <c r="G12" s="24" t="n">
        <f aca="false">MIN(S_Top5_SemiAnnual!R5:R117)</f>
        <v>-0.36941748924442</v>
      </c>
      <c r="H12" s="23" t="n">
        <f aca="false">SLOPE(S_Top5_SemiAnnual!S5:S117,Benchmark_RF!E5:E117)</f>
        <v>0.950466139346703</v>
      </c>
      <c r="I12" s="24" t="n">
        <f aca="false">INTERCEPT(S_Top5_SemiAnnual!S5:S117,Benchmark_RF!E5:E117)*12</f>
        <v>0.0611974873228112</v>
      </c>
      <c r="J12" s="24" t="n">
        <f aca="false">D12-(Benchmark_RF!F117^(12/113)-1)</f>
        <v>0.055408638338833</v>
      </c>
    </row>
    <row r="13" customFormat="false" ht="15" hidden="false" customHeight="true" outlineLevel="0" collapsed="false">
      <c r="A13" s="20" t="s">
        <v>110</v>
      </c>
      <c r="B13" s="20" t="s">
        <v>108</v>
      </c>
      <c r="C13" s="23" t="n">
        <f aca="false">S_Top5_Quarterly!P117</f>
        <v>4.21576713768221</v>
      </c>
      <c r="D13" s="24" t="n">
        <f aca="false">C13^(12/113)-1</f>
        <v>0.165087595700498</v>
      </c>
      <c r="E13" s="24" t="n">
        <f aca="false">STDEV(S_Top5_Quarterly!O5:O117)*SQRT(12)</f>
        <v>0.252581228054521</v>
      </c>
      <c r="F13" s="23" t="n">
        <f aca="false">(AVERAGE(S_Top5_Quarterly!O5:O117)-AVERAGE(Benchmark_RF!D5:D117))/STDEV(S_Top5_Quarterly!O5:O117)*SQRT(12)</f>
        <v>0.318417524023411</v>
      </c>
      <c r="G13" s="24" t="n">
        <f aca="false">MIN(S_Top5_Quarterly!R5:R117)</f>
        <v>-0.410667770045773</v>
      </c>
      <c r="H13" s="23" t="n">
        <f aca="false">SLOPE(S_Top5_Quarterly!S5:S117,Benchmark_RF!E5:E117)</f>
        <v>0.948363083379526</v>
      </c>
      <c r="I13" s="24" t="n">
        <f aca="false">INTERCEPT(S_Top5_Quarterly!S5:S117,Benchmark_RF!E5:E117)*12</f>
        <v>0.0406412993347811</v>
      </c>
      <c r="J13" s="24" t="n">
        <f aca="false">D13-(Benchmark_RF!F117^(12/113)-1)</f>
        <v>0.0328246225453359</v>
      </c>
    </row>
    <row r="14" customFormat="false" ht="15" hidden="false" customHeight="true" outlineLevel="0" collapsed="false">
      <c r="A14" s="25" t="s">
        <v>60</v>
      </c>
      <c r="B14" s="25" t="s">
        <v>40</v>
      </c>
      <c r="C14" s="26" t="n">
        <f aca="false">Benchmark_RF!F117</f>
        <v>3.22109692033244</v>
      </c>
      <c r="D14" s="27" t="n">
        <f aca="false">Benchmark_RF!F117^(12/113)-1</f>
        <v>0.132262973155162</v>
      </c>
      <c r="E14" s="27" t="n">
        <f aca="false">STDEV(Benchmark_RF!C5:C117)*SQRT(12)</f>
        <v>0.212393797075334</v>
      </c>
      <c r="F14" s="26" t="n">
        <f aca="false">(AVERAGE(Benchmark_RF!C5:C117)-AVERAGE(Benchmark_RF!D5:D117))/STDEV(Benchmark_RF!C5:C117)*SQRT(12)</f>
        <v>0.19751622801304</v>
      </c>
      <c r="G14" s="25"/>
      <c r="H14" s="25"/>
      <c r="I14" s="25"/>
      <c r="J14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1" width="12"/>
  </cols>
  <sheetData>
    <row r="1" customFormat="false" ht="17.25" hidden="false" customHeight="true" outlineLevel="0" collapsed="false">
      <c r="A1" s="2" t="s">
        <v>111</v>
      </c>
    </row>
    <row r="3" customFormat="false" ht="15" hidden="false" customHeight="true" outlineLevel="0" collapsed="false">
      <c r="A3" s="1" t="s">
        <v>51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  <c r="I3" s="1" t="s">
        <v>119</v>
      </c>
      <c r="J3" s="1" t="s">
        <v>120</v>
      </c>
      <c r="K3" s="1" t="s">
        <v>60</v>
      </c>
    </row>
    <row r="4" customFormat="false" ht="15" hidden="false" customHeight="true" outlineLevel="0" collapsed="false">
      <c r="A4" s="13" t="n">
        <f aca="false">Benchmark_RF!B5</f>
        <v>42217</v>
      </c>
      <c r="B4" s="28" t="n">
        <f aca="false">S_Top2_Annual!P5</f>
        <v>0.936318870657574</v>
      </c>
      <c r="C4" s="28" t="n">
        <f aca="false">S_Top2_SemiAnnual!P5</f>
        <v>0.936318870657574</v>
      </c>
      <c r="D4" s="28" t="n">
        <f aca="false">S_Top2_Quarterly!P5</f>
        <v>0.936318870657574</v>
      </c>
      <c r="E4" s="28" t="n">
        <f aca="false">S_Top3_Annual!P5</f>
        <v>0.978977897928171</v>
      </c>
      <c r="F4" s="28" t="n">
        <f aca="false">S_Top3_SemiAnnual!P5</f>
        <v>0.978977897928171</v>
      </c>
      <c r="G4" s="28" t="n">
        <f aca="false">S_Top3_Quarterly!P5</f>
        <v>0.978977897928171</v>
      </c>
      <c r="H4" s="28" t="n">
        <f aca="false">S_Top5_Annual!P5</f>
        <v>0.947420391097254</v>
      </c>
      <c r="I4" s="28" t="n">
        <f aca="false">S_Top5_SemiAnnual!P5</f>
        <v>0.947420391097254</v>
      </c>
      <c r="J4" s="28" t="n">
        <f aca="false">S_Top5_Quarterly!P5</f>
        <v>0.947420391097254</v>
      </c>
      <c r="K4" s="28" t="n">
        <f aca="false">Benchmark_RF!F5</f>
        <v>0.971601375654981</v>
      </c>
    </row>
    <row r="5" customFormat="false" ht="15" hidden="false" customHeight="true" outlineLevel="0" collapsed="false">
      <c r="A5" s="13" t="n">
        <f aca="false">Benchmark_RF!B6</f>
        <v>42248</v>
      </c>
      <c r="B5" s="28" t="n">
        <f aca="false">S_Top2_Annual!P6</f>
        <v>0.88868479095783</v>
      </c>
      <c r="C5" s="28" t="n">
        <f aca="false">S_Top2_SemiAnnual!P6</f>
        <v>0.88868479095783</v>
      </c>
      <c r="D5" s="28" t="n">
        <f aca="false">S_Top2_Quarterly!P6</f>
        <v>0.88868479095783</v>
      </c>
      <c r="E5" s="28" t="n">
        <f aca="false">S_Top3_Annual!P6</f>
        <v>0.948489697579945</v>
      </c>
      <c r="F5" s="28" t="n">
        <f aca="false">S_Top3_SemiAnnual!P6</f>
        <v>0.948489697579945</v>
      </c>
      <c r="G5" s="28" t="n">
        <f aca="false">S_Top3_Quarterly!P6</f>
        <v>0.948489697579945</v>
      </c>
      <c r="H5" s="28" t="n">
        <f aca="false">S_Top5_Annual!P6</f>
        <v>0.89152796383136</v>
      </c>
      <c r="I5" s="28" t="n">
        <f aca="false">S_Top5_SemiAnnual!P6</f>
        <v>0.89152796383136</v>
      </c>
      <c r="J5" s="28" t="n">
        <f aca="false">S_Top5_Quarterly!P6</f>
        <v>0.89152796383136</v>
      </c>
      <c r="K5" s="28" t="n">
        <f aca="false">Benchmark_RF!F6</f>
        <v>0.903358614854657</v>
      </c>
    </row>
    <row r="6" customFormat="false" ht="15" hidden="false" customHeight="true" outlineLevel="0" collapsed="false">
      <c r="A6" s="13" t="n">
        <f aca="false">Benchmark_RF!B7</f>
        <v>42278</v>
      </c>
      <c r="B6" s="28" t="n">
        <f aca="false">S_Top2_Annual!P7</f>
        <v>0.906249530267276</v>
      </c>
      <c r="C6" s="28" t="n">
        <f aca="false">S_Top2_SemiAnnual!P7</f>
        <v>0.906249530267276</v>
      </c>
      <c r="D6" s="28" t="n">
        <f aca="false">S_Top2_Quarterly!P7</f>
        <v>0.906249530267276</v>
      </c>
      <c r="E6" s="28" t="n">
        <f aca="false">S_Top3_Annual!P7</f>
        <v>0.942619866140631</v>
      </c>
      <c r="F6" s="28" t="n">
        <f aca="false">S_Top3_SemiAnnual!P7</f>
        <v>0.942619866140631</v>
      </c>
      <c r="G6" s="28" t="n">
        <f aca="false">S_Top3_Quarterly!P7</f>
        <v>0.942619866140631</v>
      </c>
      <c r="H6" s="28" t="n">
        <f aca="false">S_Top5_Annual!P7</f>
        <v>0.928943918197279</v>
      </c>
      <c r="I6" s="28" t="n">
        <f aca="false">S_Top5_SemiAnnual!P7</f>
        <v>0.928943918197279</v>
      </c>
      <c r="J6" s="28" t="n">
        <f aca="false">S_Top5_Quarterly!P7</f>
        <v>0.928943918197279</v>
      </c>
      <c r="K6" s="28" t="n">
        <f aca="false">Benchmark_RF!F7</f>
        <v>0.958593814700662</v>
      </c>
    </row>
    <row r="7" customFormat="false" ht="15" hidden="false" customHeight="true" outlineLevel="0" collapsed="false">
      <c r="A7" s="13" t="n">
        <f aca="false">Benchmark_RF!B8</f>
        <v>42309</v>
      </c>
      <c r="B7" s="28" t="n">
        <f aca="false">S_Top2_Annual!P8</f>
        <v>0.836795174410135</v>
      </c>
      <c r="C7" s="28" t="n">
        <f aca="false">S_Top2_SemiAnnual!P8</f>
        <v>0.836795174410135</v>
      </c>
      <c r="D7" s="28" t="n">
        <f aca="false">S_Top2_Quarterly!P8</f>
        <v>0.769847852224841</v>
      </c>
      <c r="E7" s="28" t="n">
        <f aca="false">S_Top3_Annual!P8</f>
        <v>0.887119564034888</v>
      </c>
      <c r="F7" s="28" t="n">
        <f aca="false">S_Top3_SemiAnnual!P8</f>
        <v>0.887119564034888</v>
      </c>
      <c r="G7" s="28" t="n">
        <f aca="false">S_Top3_Quarterly!P8</f>
        <v>0.838497380329797</v>
      </c>
      <c r="H7" s="28" t="n">
        <f aca="false">S_Top5_Annual!P8</f>
        <v>0.905283652658217</v>
      </c>
      <c r="I7" s="28" t="n">
        <f aca="false">S_Top5_SemiAnnual!P8</f>
        <v>0.905283652658217</v>
      </c>
      <c r="J7" s="28" t="n">
        <f aca="false">S_Top5_Quarterly!P8</f>
        <v>0.884605209683121</v>
      </c>
      <c r="K7" s="28" t="n">
        <f aca="false">Benchmark_RF!F8</f>
        <v>0.902457422068228</v>
      </c>
    </row>
    <row r="8" customFormat="false" ht="15" hidden="false" customHeight="true" outlineLevel="0" collapsed="false">
      <c r="A8" s="13" t="n">
        <f aca="false">Benchmark_RF!B9</f>
        <v>42339</v>
      </c>
      <c r="B8" s="28" t="n">
        <f aca="false">S_Top2_Annual!P9</f>
        <v>0.839850961876856</v>
      </c>
      <c r="C8" s="28" t="n">
        <f aca="false">S_Top2_SemiAnnual!P9</f>
        <v>0.839850961876856</v>
      </c>
      <c r="D8" s="28" t="n">
        <f aca="false">S_Top2_Quarterly!P9</f>
        <v>0.782867789509692</v>
      </c>
      <c r="E8" s="28" t="n">
        <f aca="false">S_Top3_Annual!P9</f>
        <v>0.887621723469989</v>
      </c>
      <c r="F8" s="28" t="n">
        <f aca="false">S_Top3_SemiAnnual!P9</f>
        <v>0.887621723469989</v>
      </c>
      <c r="G8" s="28" t="n">
        <f aca="false">S_Top3_Quarterly!P9</f>
        <v>0.84638465600015</v>
      </c>
      <c r="H8" s="28" t="n">
        <f aca="false">S_Top5_Annual!P9</f>
        <v>0.983004340739824</v>
      </c>
      <c r="I8" s="28" t="n">
        <f aca="false">S_Top5_SemiAnnual!P9</f>
        <v>0.983004340739824</v>
      </c>
      <c r="J8" s="28" t="n">
        <f aca="false">S_Top5_Quarterly!P9</f>
        <v>0.959231381653554</v>
      </c>
      <c r="K8" s="28" t="n">
        <f aca="false">Benchmark_RF!F9</f>
        <v>0.918156530556059</v>
      </c>
    </row>
    <row r="9" customFormat="false" ht="15" hidden="false" customHeight="true" outlineLevel="0" collapsed="false">
      <c r="A9" s="13" t="n">
        <f aca="false">Benchmark_RF!B10</f>
        <v>42370</v>
      </c>
      <c r="B9" s="28" t="n">
        <f aca="false">S_Top2_Annual!P10</f>
        <v>0.80682234374286</v>
      </c>
      <c r="C9" s="28" t="n">
        <f aca="false">S_Top2_SemiAnnual!P10</f>
        <v>0.80682234374286</v>
      </c>
      <c r="D9" s="28" t="n">
        <f aca="false">S_Top2_Quarterly!P10</f>
        <v>0.710360713843999</v>
      </c>
      <c r="E9" s="28" t="n">
        <f aca="false">S_Top3_Annual!P10</f>
        <v>0.849784440537479</v>
      </c>
      <c r="F9" s="28" t="n">
        <f aca="false">S_Top3_SemiAnnual!P10</f>
        <v>0.849784440537479</v>
      </c>
      <c r="G9" s="28" t="n">
        <f aca="false">S_Top3_Quarterly!P10</f>
        <v>0.780235703468992</v>
      </c>
      <c r="H9" s="28" t="n">
        <f aca="false">S_Top5_Annual!P10</f>
        <v>0.911948573378292</v>
      </c>
      <c r="I9" s="28" t="n">
        <f aca="false">S_Top5_SemiAnnual!P10</f>
        <v>0.911948573378292</v>
      </c>
      <c r="J9" s="28" t="n">
        <f aca="false">S_Top5_Quarterly!P10</f>
        <v>0.881205959600121</v>
      </c>
      <c r="K9" s="28" t="n">
        <f aca="false">Benchmark_RF!F10</f>
        <v>0.875693031521883</v>
      </c>
    </row>
    <row r="10" customFormat="false" ht="15" hidden="false" customHeight="true" outlineLevel="0" collapsed="false">
      <c r="A10" s="13" t="n">
        <f aca="false">Benchmark_RF!B11</f>
        <v>42401</v>
      </c>
      <c r="B10" s="28" t="n">
        <f aca="false">S_Top2_Annual!P11</f>
        <v>0.804048381407801</v>
      </c>
      <c r="C10" s="28" t="n">
        <f aca="false">S_Top2_SemiAnnual!P11</f>
        <v>0.780686606590614</v>
      </c>
      <c r="D10" s="28" t="n">
        <f aca="false">S_Top2_Quarterly!P11</f>
        <v>0.687349699034738</v>
      </c>
      <c r="E10" s="28" t="n">
        <f aca="false">S_Top3_Annual!P11</f>
        <v>0.837088397687198</v>
      </c>
      <c r="F10" s="28" t="n">
        <f aca="false">S_Top3_SemiAnnual!P11</f>
        <v>0.813875132826535</v>
      </c>
      <c r="G10" s="28" t="n">
        <f aca="false">S_Top3_Quarterly!P11</f>
        <v>0.747265314007386</v>
      </c>
      <c r="H10" s="28" t="n">
        <f aca="false">S_Top5_Annual!P11</f>
        <v>0.896202237537499</v>
      </c>
      <c r="I10" s="28" t="n">
        <f aca="false">S_Top5_SemiAnnual!P11</f>
        <v>0.881809759422636</v>
      </c>
      <c r="J10" s="28" t="n">
        <f aca="false">S_Top5_Quarterly!P11</f>
        <v>0.85208315240649</v>
      </c>
      <c r="K10" s="28" t="n">
        <f aca="false">Benchmark_RF!F11</f>
        <v>0.877676998627926</v>
      </c>
    </row>
    <row r="11" customFormat="false" ht="15" hidden="false" customHeight="true" outlineLevel="0" collapsed="false">
      <c r="A11" s="13" t="n">
        <f aca="false">Benchmark_RF!B12</f>
        <v>42430</v>
      </c>
      <c r="B11" s="28" t="n">
        <f aca="false">S_Top2_Annual!P12</f>
        <v>0.833778840853777</v>
      </c>
      <c r="C11" s="28" t="n">
        <f aca="false">S_Top2_SemiAnnual!P12</f>
        <v>0.838530625380059</v>
      </c>
      <c r="D11" s="28" t="n">
        <f aca="false">S_Top2_Quarterly!P12</f>
        <v>0.738278033875168</v>
      </c>
      <c r="E11" s="28" t="n">
        <f aca="false">S_Top3_Annual!P12</f>
        <v>0.858754905616668</v>
      </c>
      <c r="F11" s="28" t="n">
        <f aca="false">S_Top3_SemiAnnual!P12</f>
        <v>0.911360065666962</v>
      </c>
      <c r="G11" s="28" t="n">
        <f aca="false">S_Top3_Quarterly!P12</f>
        <v>0.836771807094351</v>
      </c>
      <c r="H11" s="28" t="n">
        <f aca="false">S_Top5_Annual!P12</f>
        <v>0.957505883555284</v>
      </c>
      <c r="I11" s="28" t="n">
        <f aca="false">S_Top5_SemiAnnual!P12</f>
        <v>0.955221246781106</v>
      </c>
      <c r="J11" s="28" t="n">
        <f aca="false">S_Top5_Quarterly!P12</f>
        <v>0.923019871923192</v>
      </c>
      <c r="K11" s="28" t="n">
        <f aca="false">Benchmark_RF!F12</f>
        <v>0.927184965832455</v>
      </c>
    </row>
    <row r="12" customFormat="false" ht="15" hidden="false" customHeight="true" outlineLevel="0" collapsed="false">
      <c r="A12" s="13" t="n">
        <f aca="false">Benchmark_RF!B13</f>
        <v>42461</v>
      </c>
      <c r="B12" s="28" t="n">
        <f aca="false">S_Top2_Annual!P13</f>
        <v>0.848359706599209</v>
      </c>
      <c r="C12" s="28" t="n">
        <f aca="false">S_Top2_SemiAnnual!P13</f>
        <v>0.944668106326472</v>
      </c>
      <c r="D12" s="28" t="n">
        <f aca="false">S_Top2_Quarterly!P13</f>
        <v>0.83172598721386</v>
      </c>
      <c r="E12" s="28" t="n">
        <f aca="false">S_Top3_Annual!P13</f>
        <v>0.868415148689906</v>
      </c>
      <c r="F12" s="28" t="n">
        <f aca="false">S_Top3_SemiAnnual!P13</f>
        <v>1.01213194958871</v>
      </c>
      <c r="G12" s="28" t="n">
        <f aca="false">S_Top3_Quarterly!P13</f>
        <v>0.929296237986317</v>
      </c>
      <c r="H12" s="28" t="n">
        <f aca="false">S_Top5_Annual!P13</f>
        <v>0.984424542310527</v>
      </c>
      <c r="I12" s="28" t="n">
        <f aca="false">S_Top5_SemiAnnual!P13</f>
        <v>1.02375689622592</v>
      </c>
      <c r="J12" s="28" t="n">
        <f aca="false">S_Top5_Quarterly!P13</f>
        <v>0.989245122445931</v>
      </c>
      <c r="K12" s="28" t="n">
        <f aca="false">Benchmark_RF!F13</f>
        <v>0.971399369696644</v>
      </c>
    </row>
    <row r="13" customFormat="false" ht="15" hidden="false" customHeight="true" outlineLevel="0" collapsed="false">
      <c r="A13" s="13" t="n">
        <f aca="false">Benchmark_RF!B14</f>
        <v>42491</v>
      </c>
      <c r="B13" s="28" t="n">
        <f aca="false">S_Top2_Annual!P14</f>
        <v>0.906938049299464</v>
      </c>
      <c r="C13" s="28" t="n">
        <f aca="false">S_Top2_SemiAnnual!P14</f>
        <v>0.937038320933748</v>
      </c>
      <c r="D13" s="28" t="n">
        <f aca="false">S_Top2_Quarterly!P14</f>
        <v>0.762753626283346</v>
      </c>
      <c r="E13" s="28" t="n">
        <f aca="false">S_Top3_Annual!P14</f>
        <v>0.905306047220521</v>
      </c>
      <c r="F13" s="28" t="n">
        <f aca="false">S_Top3_SemiAnnual!P14</f>
        <v>1.06102124632865</v>
      </c>
      <c r="G13" s="28" t="n">
        <f aca="false">S_Top3_Quarterly!P14</f>
        <v>0.884509047019347</v>
      </c>
      <c r="H13" s="28" t="n">
        <f aca="false">S_Top5_Annual!P14</f>
        <v>1.03673766335863</v>
      </c>
      <c r="I13" s="28" t="n">
        <f aca="false">S_Top5_SemiAnnual!P14</f>
        <v>1.0465770129116</v>
      </c>
      <c r="J13" s="28" t="n">
        <f aca="false">S_Top5_Quarterly!P14</f>
        <v>1.00074816306538</v>
      </c>
      <c r="K13" s="28" t="n">
        <f aca="false">Benchmark_RF!F14</f>
        <v>1.00895429181523</v>
      </c>
    </row>
    <row r="14" customFormat="false" ht="15" hidden="false" customHeight="true" outlineLevel="0" collapsed="false">
      <c r="A14" s="13" t="n">
        <f aca="false">Benchmark_RF!B15</f>
        <v>42522</v>
      </c>
      <c r="B14" s="28" t="n">
        <f aca="false">S_Top2_Annual!P15</f>
        <v>0.952382266314441</v>
      </c>
      <c r="C14" s="28" t="n">
        <f aca="false">S_Top2_SemiAnnual!P15</f>
        <v>0.931903384679807</v>
      </c>
      <c r="D14" s="28" t="n">
        <f aca="false">S_Top2_Quarterly!P15</f>
        <v>0.781979376557211</v>
      </c>
      <c r="E14" s="28" t="n">
        <f aca="false">S_Top3_Annual!P15</f>
        <v>0.942798123958281</v>
      </c>
      <c r="F14" s="28" t="n">
        <f aca="false">S_Top3_SemiAnnual!P15</f>
        <v>1.06760510230017</v>
      </c>
      <c r="G14" s="28" t="n">
        <f aca="false">S_Top3_Quarterly!P15</f>
        <v>0.90261212867818</v>
      </c>
      <c r="H14" s="28" t="n">
        <f aca="false">S_Top5_Annual!P15</f>
        <v>1.07987000553189</v>
      </c>
      <c r="I14" s="28" t="n">
        <f aca="false">S_Top5_SemiAnnual!P15</f>
        <v>1.06684816938953</v>
      </c>
      <c r="J14" s="28" t="n">
        <f aca="false">S_Top5_Quarterly!P15</f>
        <v>1.01752220923392</v>
      </c>
      <c r="K14" s="28" t="n">
        <f aca="false">Benchmark_RF!F15</f>
        <v>1.05713299266511</v>
      </c>
    </row>
    <row r="15" customFormat="false" ht="15" hidden="false" customHeight="true" outlineLevel="0" collapsed="false">
      <c r="A15" s="13" t="n">
        <f aca="false">Benchmark_RF!B16</f>
        <v>42552</v>
      </c>
      <c r="B15" s="28" t="n">
        <f aca="false">S_Top2_Annual!P16</f>
        <v>1.0169651887498</v>
      </c>
      <c r="C15" s="28" t="n">
        <f aca="false">S_Top2_SemiAnnual!P16</f>
        <v>0.952509471553813</v>
      </c>
      <c r="D15" s="28" t="n">
        <f aca="false">S_Top2_Quarterly!P16</f>
        <v>0.807135552834832</v>
      </c>
      <c r="E15" s="28" t="n">
        <f aca="false">S_Top3_Annual!P16</f>
        <v>1.01872825804498</v>
      </c>
      <c r="F15" s="28" t="n">
        <f aca="false">S_Top3_SemiAnnual!P16</f>
        <v>1.10926312222753</v>
      </c>
      <c r="G15" s="28" t="n">
        <f aca="false">S_Top3_Quarterly!P16</f>
        <v>0.918830552527732</v>
      </c>
      <c r="H15" s="28" t="n">
        <f aca="false">S_Top5_Annual!P16</f>
        <v>1.1495540763104</v>
      </c>
      <c r="I15" s="28" t="n">
        <f aca="false">S_Top5_SemiAnnual!P16</f>
        <v>1.1161898928785</v>
      </c>
      <c r="J15" s="28" t="n">
        <f aca="false">S_Top5_Quarterly!P16</f>
        <v>1.04089024618197</v>
      </c>
      <c r="K15" s="28" t="n">
        <f aca="false">Benchmark_RF!F16</f>
        <v>1.10530497863549</v>
      </c>
    </row>
    <row r="16" customFormat="false" ht="15" hidden="false" customHeight="true" outlineLevel="0" collapsed="false">
      <c r="A16" s="13" t="n">
        <f aca="false">Benchmark_RF!B17</f>
        <v>42583</v>
      </c>
      <c r="B16" s="28" t="n">
        <f aca="false">S_Top2_Annual!P17</f>
        <v>1.05064596209193</v>
      </c>
      <c r="C16" s="28" t="n">
        <f aca="false">S_Top2_SemiAnnual!P17</f>
        <v>0.960680410905858</v>
      </c>
      <c r="D16" s="28" t="n">
        <f aca="false">S_Top2_Quarterly!P17</f>
        <v>0.835920979476301</v>
      </c>
      <c r="E16" s="28" t="n">
        <f aca="false">S_Top3_Annual!P17</f>
        <v>1.03523761640446</v>
      </c>
      <c r="F16" s="28" t="n">
        <f aca="false">S_Top3_SemiAnnual!P17</f>
        <v>1.07954942271254</v>
      </c>
      <c r="G16" s="28" t="n">
        <f aca="false">S_Top3_Quarterly!P17</f>
        <v>0.936302197909453</v>
      </c>
      <c r="H16" s="28" t="n">
        <f aca="false">S_Top5_Annual!P17</f>
        <v>1.12410328789506</v>
      </c>
      <c r="I16" s="28" t="n">
        <f aca="false">S_Top5_SemiAnnual!P17</f>
        <v>1.0790198648565</v>
      </c>
      <c r="J16" s="28" t="n">
        <f aca="false">S_Top5_Quarterly!P17</f>
        <v>1.03304444883029</v>
      </c>
      <c r="K16" s="28" t="n">
        <f aca="false">Benchmark_RF!F17</f>
        <v>1.11381888627009</v>
      </c>
    </row>
    <row r="17" customFormat="false" ht="15" hidden="false" customHeight="true" outlineLevel="0" collapsed="false">
      <c r="A17" s="13" t="n">
        <f aca="false">Benchmark_RF!B18</f>
        <v>42614</v>
      </c>
      <c r="B17" s="28" t="n">
        <f aca="false">S_Top2_Annual!P18</f>
        <v>1.36804626247639</v>
      </c>
      <c r="C17" s="28" t="n">
        <f aca="false">S_Top2_SemiAnnual!P18</f>
        <v>1.2509021049843</v>
      </c>
      <c r="D17" s="28" t="n">
        <f aca="false">S_Top2_Quarterly!P18</f>
        <v>1.08845283088624</v>
      </c>
      <c r="E17" s="28" t="n">
        <f aca="false">S_Top3_Annual!P18</f>
        <v>1.2389055683992</v>
      </c>
      <c r="F17" s="28" t="n">
        <f aca="false">S_Top3_SemiAnnual!P18</f>
        <v>1.29193507844692</v>
      </c>
      <c r="G17" s="28" t="n">
        <f aca="false">S_Top3_Quarterly!P18</f>
        <v>1.12050604451879</v>
      </c>
      <c r="H17" s="28" t="n">
        <f aca="false">S_Top5_Annual!P18</f>
        <v>1.22270107238152</v>
      </c>
      <c r="I17" s="28" t="n">
        <f aca="false">S_Top5_SemiAnnual!P18</f>
        <v>1.1736632746191</v>
      </c>
      <c r="J17" s="28" t="n">
        <f aca="false">S_Top5_Quarterly!P18</f>
        <v>1.1236552450334</v>
      </c>
      <c r="K17" s="28" t="n">
        <f aca="false">Benchmark_RF!F18</f>
        <v>1.13430570384248</v>
      </c>
    </row>
    <row r="18" customFormat="false" ht="15" hidden="false" customHeight="true" outlineLevel="0" collapsed="false">
      <c r="A18" s="13" t="n">
        <f aca="false">Benchmark_RF!B19</f>
        <v>42644</v>
      </c>
      <c r="B18" s="28" t="n">
        <f aca="false">S_Top2_Annual!P19</f>
        <v>1.51062736375615</v>
      </c>
      <c r="C18" s="28" t="n">
        <f aca="false">S_Top2_SemiAnnual!P19</f>
        <v>1.38127415789936</v>
      </c>
      <c r="D18" s="28" t="n">
        <f aca="false">S_Top2_Quarterly!P19</f>
        <v>1.20189402624312</v>
      </c>
      <c r="E18" s="28" t="n">
        <f aca="false">S_Top3_Annual!P19</f>
        <v>1.33779598757361</v>
      </c>
      <c r="F18" s="28" t="n">
        <f aca="false">S_Top3_SemiAnnual!P19</f>
        <v>1.39505835491974</v>
      </c>
      <c r="G18" s="28" t="n">
        <f aca="false">S_Top3_Quarterly!P19</f>
        <v>1.20994572035551</v>
      </c>
      <c r="H18" s="28" t="n">
        <f aca="false">S_Top5_Annual!P19</f>
        <v>1.29034311126495</v>
      </c>
      <c r="I18" s="28" t="n">
        <f aca="false">S_Top5_SemiAnnual!P19</f>
        <v>1.23859245367282</v>
      </c>
      <c r="J18" s="28" t="n">
        <f aca="false">S_Top5_Quarterly!P19</f>
        <v>1.18581788927488</v>
      </c>
      <c r="K18" s="28" t="n">
        <f aca="false">Benchmark_RF!F19</f>
        <v>1.1161763685484</v>
      </c>
    </row>
    <row r="19" customFormat="false" ht="15" hidden="false" customHeight="true" outlineLevel="0" collapsed="false">
      <c r="A19" s="13" t="n">
        <f aca="false">Benchmark_RF!B20</f>
        <v>42675</v>
      </c>
      <c r="B19" s="28" t="n">
        <f aca="false">S_Top2_Annual!P20</f>
        <v>1.84599604609788</v>
      </c>
      <c r="C19" s="28" t="n">
        <f aca="false">S_Top2_SemiAnnual!P20</f>
        <v>1.68792562298044</v>
      </c>
      <c r="D19" s="28" t="n">
        <f aca="false">S_Top2_Quarterly!P20</f>
        <v>1.35317181719222</v>
      </c>
      <c r="E19" s="28" t="n">
        <f aca="false">S_Top3_Annual!P20</f>
        <v>1.5649036975504</v>
      </c>
      <c r="F19" s="28" t="n">
        <f aca="false">S_Top3_SemiAnnual!P20</f>
        <v>1.63188707261118</v>
      </c>
      <c r="G19" s="28" t="n">
        <f aca="false">S_Top3_Quarterly!P20</f>
        <v>1.31175952420072</v>
      </c>
      <c r="H19" s="28" t="n">
        <f aca="false">S_Top5_Annual!P20</f>
        <v>1.42736398521794</v>
      </c>
      <c r="I19" s="28" t="n">
        <f aca="false">S_Top5_SemiAnnual!P20</f>
        <v>1.37011795180754</v>
      </c>
      <c r="J19" s="28" t="n">
        <f aca="false">S_Top5_Quarterly!P20</f>
        <v>1.27574139436661</v>
      </c>
      <c r="K19" s="28" t="n">
        <f aca="false">Benchmark_RF!F20</f>
        <v>1.19251699424087</v>
      </c>
    </row>
    <row r="20" customFormat="false" ht="15" hidden="false" customHeight="true" outlineLevel="0" collapsed="false">
      <c r="A20" s="13" t="n">
        <f aca="false">Benchmark_RF!B21</f>
        <v>42705</v>
      </c>
      <c r="B20" s="28" t="n">
        <f aca="false">S_Top2_Annual!P21</f>
        <v>1.86178568604823</v>
      </c>
      <c r="C20" s="28" t="n">
        <f aca="false">S_Top2_SemiAnnual!P21</f>
        <v>1.70236321503605</v>
      </c>
      <c r="D20" s="28" t="n">
        <f aca="false">S_Top2_Quarterly!P21</f>
        <v>1.3127723845148</v>
      </c>
      <c r="E20" s="28" t="n">
        <f aca="false">S_Top3_Annual!P21</f>
        <v>1.74505993964345</v>
      </c>
      <c r="F20" s="28" t="n">
        <f aca="false">S_Top3_SemiAnnual!P21</f>
        <v>1.81975463467398</v>
      </c>
      <c r="G20" s="28" t="n">
        <f aca="false">S_Top3_Quarterly!P21</f>
        <v>1.36162743717984</v>
      </c>
      <c r="H20" s="28" t="n">
        <f aca="false">S_Top5_Annual!P21</f>
        <v>1.53973353930799</v>
      </c>
      <c r="I20" s="28" t="n">
        <f aca="false">S_Top5_SemiAnnual!P21</f>
        <v>1.47798079890879</v>
      </c>
      <c r="J20" s="28" t="n">
        <f aca="false">S_Top5_Quarterly!P21</f>
        <v>1.40649652428881</v>
      </c>
      <c r="K20" s="28" t="n">
        <f aca="false">Benchmark_RF!F21</f>
        <v>1.33757517867175</v>
      </c>
    </row>
    <row r="21" customFormat="false" ht="15" hidden="false" customHeight="true" outlineLevel="0" collapsed="false">
      <c r="A21" s="13" t="n">
        <f aca="false">Benchmark_RF!B22</f>
        <v>42736</v>
      </c>
      <c r="B21" s="28" t="n">
        <f aca="false">S_Top2_Annual!P22</f>
        <v>1.85276541908305</v>
      </c>
      <c r="C21" s="28" t="n">
        <f aca="false">S_Top2_SemiAnnual!P22</f>
        <v>1.69411534269156</v>
      </c>
      <c r="D21" s="28" t="n">
        <f aca="false">S_Top2_Quarterly!P22</f>
        <v>1.36326337267755</v>
      </c>
      <c r="E21" s="28" t="n">
        <f aca="false">S_Top3_Annual!P22</f>
        <v>1.6985328765942</v>
      </c>
      <c r="F21" s="28" t="n">
        <f aca="false">S_Top3_SemiAnnual!P22</f>
        <v>1.77123604989749</v>
      </c>
      <c r="G21" s="28" t="n">
        <f aca="false">S_Top3_Quarterly!P22</f>
        <v>1.38282852303392</v>
      </c>
      <c r="H21" s="28" t="n">
        <f aca="false">S_Top5_Annual!P22</f>
        <v>1.56451745547997</v>
      </c>
      <c r="I21" s="28" t="n">
        <f aca="false">S_Top5_SemiAnnual!P22</f>
        <v>1.50177072832762</v>
      </c>
      <c r="J21" s="28" t="n">
        <f aca="false">S_Top5_Quarterly!P22</f>
        <v>1.40624145184576</v>
      </c>
      <c r="K21" s="28" t="n">
        <f aca="false">Benchmark_RF!F22</f>
        <v>1.36417449509702</v>
      </c>
    </row>
    <row r="22" customFormat="false" ht="15" hidden="false" customHeight="true" outlineLevel="0" collapsed="false">
      <c r="A22" s="13" t="n">
        <f aca="false">Benchmark_RF!B23</f>
        <v>42767</v>
      </c>
      <c r="B22" s="28" t="n">
        <f aca="false">S_Top2_Annual!P23</f>
        <v>1.76602413935258</v>
      </c>
      <c r="C22" s="28" t="n">
        <f aca="false">S_Top2_SemiAnnual!P23</f>
        <v>1.4088100314642</v>
      </c>
      <c r="D22" s="28" t="n">
        <f aca="false">S_Top2_Quarterly!P23</f>
        <v>1.26543309755236</v>
      </c>
      <c r="E22" s="28" t="n">
        <f aca="false">S_Top3_Annual!P23</f>
        <v>1.66725848978068</v>
      </c>
      <c r="F22" s="28" t="n">
        <f aca="false">S_Top3_SemiAnnual!P23</f>
        <v>1.53183149670802</v>
      </c>
      <c r="G22" s="28" t="n">
        <f aca="false">S_Top3_Quarterly!P23</f>
        <v>1.29006851142989</v>
      </c>
      <c r="H22" s="28" t="n">
        <f aca="false">S_Top5_Annual!P23</f>
        <v>1.51089807630244</v>
      </c>
      <c r="I22" s="28" t="n">
        <f aca="false">S_Top5_SemiAnnual!P23</f>
        <v>1.37004576666743</v>
      </c>
      <c r="J22" s="28" t="n">
        <f aca="false">S_Top5_Quarterly!P23</f>
        <v>1.31655277119781</v>
      </c>
      <c r="K22" s="28" t="n">
        <f aca="false">Benchmark_RF!F23</f>
        <v>1.35792294228114</v>
      </c>
    </row>
    <row r="23" customFormat="false" ht="15" hidden="false" customHeight="true" outlineLevel="0" collapsed="false">
      <c r="A23" s="13" t="n">
        <f aca="false">Benchmark_RF!B24</f>
        <v>42795</v>
      </c>
      <c r="B23" s="28" t="n">
        <f aca="false">S_Top2_Annual!P24</f>
        <v>1.79418985485446</v>
      </c>
      <c r="C23" s="28" t="n">
        <f aca="false">S_Top2_SemiAnnual!P24</f>
        <v>1.34460515107885</v>
      </c>
      <c r="D23" s="28" t="n">
        <f aca="false">S_Top2_Quarterly!P24</f>
        <v>1.20776245435033</v>
      </c>
      <c r="E23" s="28" t="n">
        <f aca="false">S_Top3_Annual!P24</f>
        <v>1.75982358273081</v>
      </c>
      <c r="F23" s="28" t="n">
        <f aca="false">S_Top3_SemiAnnual!P24</f>
        <v>1.49980226883804</v>
      </c>
      <c r="G23" s="28" t="n">
        <f aca="false">S_Top3_Quarterly!P24</f>
        <v>1.26309433156137</v>
      </c>
      <c r="H23" s="28" t="n">
        <f aca="false">S_Top5_Annual!P24</f>
        <v>1.52558251302245</v>
      </c>
      <c r="I23" s="28" t="n">
        <f aca="false">S_Top5_SemiAnnual!P24</f>
        <v>1.39070889206686</v>
      </c>
      <c r="J23" s="28" t="n">
        <f aca="false">S_Top5_Quarterly!P24</f>
        <v>1.33640911152459</v>
      </c>
      <c r="K23" s="28" t="n">
        <f aca="false">Benchmark_RF!F24</f>
        <v>1.34733861346692</v>
      </c>
    </row>
    <row r="24" customFormat="false" ht="15" hidden="false" customHeight="true" outlineLevel="0" collapsed="false">
      <c r="A24" s="13" t="n">
        <f aca="false">Benchmark_RF!B25</f>
        <v>42826</v>
      </c>
      <c r="B24" s="28" t="n">
        <f aca="false">S_Top2_Annual!P25</f>
        <v>2.00093983077198</v>
      </c>
      <c r="C24" s="28" t="n">
        <f aca="false">S_Top2_SemiAnnual!P25</f>
        <v>1.32220614350149</v>
      </c>
      <c r="D24" s="28" t="n">
        <f aca="false">S_Top2_Quarterly!P25</f>
        <v>1.1876430309308</v>
      </c>
      <c r="E24" s="28" t="n">
        <f aca="false">S_Top3_Annual!P25</f>
        <v>1.91799879983693</v>
      </c>
      <c r="F24" s="28" t="n">
        <f aca="false">S_Top3_SemiAnnual!P25</f>
        <v>1.62467622126134</v>
      </c>
      <c r="G24" s="28" t="n">
        <f aca="false">S_Top3_Quarterly!P25</f>
        <v>1.36825991554714</v>
      </c>
      <c r="H24" s="28" t="n">
        <f aca="false">S_Top5_Annual!P25</f>
        <v>1.56802469278374</v>
      </c>
      <c r="I24" s="28" t="n">
        <f aca="false">S_Top5_SemiAnnual!P25</f>
        <v>1.45644130981637</v>
      </c>
      <c r="J24" s="28" t="n">
        <f aca="false">S_Top5_Quarterly!P25</f>
        <v>1.399575028205</v>
      </c>
      <c r="K24" s="28" t="n">
        <f aca="false">Benchmark_RF!F25</f>
        <v>1.37937334506199</v>
      </c>
    </row>
    <row r="25" customFormat="false" ht="15" hidden="false" customHeight="true" outlineLevel="0" collapsed="false">
      <c r="A25" s="13" t="n">
        <f aca="false">Benchmark_RF!B26</f>
        <v>42856</v>
      </c>
      <c r="B25" s="28" t="n">
        <f aca="false">S_Top2_Annual!P26</f>
        <v>2.74345995785826</v>
      </c>
      <c r="C25" s="28" t="n">
        <f aca="false">S_Top2_SemiAnnual!P26</f>
        <v>1.41724326438325</v>
      </c>
      <c r="D25" s="28" t="n">
        <f aca="false">S_Top2_Quarterly!P26</f>
        <v>1.60995738957571</v>
      </c>
      <c r="E25" s="28" t="n">
        <f aca="false">S_Top3_Annual!P26</f>
        <v>2.43708674931188</v>
      </c>
      <c r="F25" s="28" t="n">
        <f aca="false">S_Top3_SemiAnnual!P26</f>
        <v>2.09367656327863</v>
      </c>
      <c r="G25" s="28" t="n">
        <f aca="false">S_Top3_Quarterly!P26</f>
        <v>1.75366194502288</v>
      </c>
      <c r="H25" s="28" t="n">
        <f aca="false">S_Top5_Annual!P26</f>
        <v>1.83230993231567</v>
      </c>
      <c r="I25" s="28" t="n">
        <f aca="false">S_Top5_SemiAnnual!P26</f>
        <v>1.73481867285558</v>
      </c>
      <c r="J25" s="28" t="n">
        <f aca="false">S_Top5_Quarterly!P26</f>
        <v>1.65728621161252</v>
      </c>
      <c r="K25" s="28" t="n">
        <f aca="false">Benchmark_RF!F26</f>
        <v>1.41548456808776</v>
      </c>
    </row>
    <row r="26" customFormat="false" ht="15" hidden="false" customHeight="true" outlineLevel="0" collapsed="false">
      <c r="A26" s="13" t="n">
        <f aca="false">Benchmark_RF!B27</f>
        <v>42887</v>
      </c>
      <c r="B26" s="28" t="n">
        <f aca="false">S_Top2_Annual!P27</f>
        <v>3.15054724963469</v>
      </c>
      <c r="C26" s="28" t="n">
        <f aca="false">S_Top2_SemiAnnual!P27</f>
        <v>1.17099632148297</v>
      </c>
      <c r="D26" s="28" t="n">
        <f aca="false">S_Top2_Quarterly!P27</f>
        <v>1.76853418125443</v>
      </c>
      <c r="E26" s="28" t="n">
        <f aca="false">S_Top3_Annual!P27</f>
        <v>2.62279564330366</v>
      </c>
      <c r="F26" s="28" t="n">
        <f aca="false">S_Top3_SemiAnnual!P27</f>
        <v>2.08852467546973</v>
      </c>
      <c r="G26" s="28" t="n">
        <f aca="false">S_Top3_Quarterly!P27</f>
        <v>1.74934672759439</v>
      </c>
      <c r="H26" s="28" t="n">
        <f aca="false">S_Top5_Annual!P27</f>
        <v>1.82958041246223</v>
      </c>
      <c r="I26" s="28" t="n">
        <f aca="false">S_Top5_SemiAnnual!P27</f>
        <v>1.6935654631955</v>
      </c>
      <c r="J26" s="28" t="n">
        <f aca="false">S_Top5_Quarterly!P27</f>
        <v>1.61787668909345</v>
      </c>
      <c r="K26" s="28" t="n">
        <f aca="false">Benchmark_RF!F27</f>
        <v>1.30283463042422</v>
      </c>
    </row>
    <row r="27" customFormat="false" ht="15" hidden="false" customHeight="true" outlineLevel="0" collapsed="false">
      <c r="A27" s="13" t="n">
        <f aca="false">Benchmark_RF!B28</f>
        <v>42917</v>
      </c>
      <c r="B27" s="28" t="n">
        <f aca="false">S_Top2_Annual!P28</f>
        <v>2.84281642388892</v>
      </c>
      <c r="C27" s="28" t="n">
        <f aca="false">S_Top2_SemiAnnual!P28</f>
        <v>1.21996653479296</v>
      </c>
      <c r="D27" s="28" t="n">
        <f aca="false">S_Top2_Quarterly!P28</f>
        <v>1.58938649755089</v>
      </c>
      <c r="E27" s="28" t="n">
        <f aca="false">S_Top3_Annual!P28</f>
        <v>2.54914788971237</v>
      </c>
      <c r="F27" s="28" t="n">
        <f aca="false">S_Top3_SemiAnnual!P28</f>
        <v>2.02452831626962</v>
      </c>
      <c r="G27" s="28" t="n">
        <f aca="false">S_Top3_Quarterly!P28</f>
        <v>1.69574342433464</v>
      </c>
      <c r="H27" s="28" t="n">
        <f aca="false">S_Top5_Annual!P28</f>
        <v>1.80850434108477</v>
      </c>
      <c r="I27" s="28" t="n">
        <f aca="false">S_Top5_SemiAnnual!P28</f>
        <v>1.69336187681254</v>
      </c>
      <c r="J27" s="28" t="n">
        <f aca="false">S_Top5_Quarterly!P28</f>
        <v>1.61768220138667</v>
      </c>
      <c r="K27" s="28" t="n">
        <f aca="false">Benchmark_RF!F28</f>
        <v>1.28731094816337</v>
      </c>
    </row>
    <row r="28" customFormat="false" ht="15" hidden="false" customHeight="true" outlineLevel="0" collapsed="false">
      <c r="A28" s="13" t="n">
        <f aca="false">Benchmark_RF!B29</f>
        <v>42948</v>
      </c>
      <c r="B28" s="28" t="n">
        <f aca="false">S_Top2_Annual!P29</f>
        <v>1.45124744049128</v>
      </c>
      <c r="C28" s="28" t="n">
        <f aca="false">S_Top2_SemiAnnual!P29</f>
        <v>0.951336213325176</v>
      </c>
      <c r="D28" s="28" t="n">
        <f aca="false">S_Top2_Quarterly!P29</f>
        <v>1.15876565398389</v>
      </c>
      <c r="E28" s="28" t="n">
        <f aca="false">S_Top3_Annual!P29</f>
        <v>1.51212440198246</v>
      </c>
      <c r="F28" s="28" t="n">
        <f aca="false">S_Top3_SemiAnnual!P29</f>
        <v>1.6137118082035</v>
      </c>
      <c r="G28" s="28" t="n">
        <f aca="false">S_Top3_Quarterly!P29</f>
        <v>1.3271386462593</v>
      </c>
      <c r="H28" s="28" t="n">
        <f aca="false">S_Top5_Annual!P29</f>
        <v>1.39487313889159</v>
      </c>
      <c r="I28" s="28" t="n">
        <f aca="false">S_Top5_SemiAnnual!P29</f>
        <v>1.41926133707571</v>
      </c>
      <c r="J28" s="28" t="n">
        <f aca="false">S_Top5_Quarterly!P29</f>
        <v>1.34897408081291</v>
      </c>
      <c r="K28" s="28" t="n">
        <f aca="false">Benchmark_RF!F29</f>
        <v>1.15291655195414</v>
      </c>
    </row>
    <row r="29" customFormat="false" ht="15" hidden="false" customHeight="true" outlineLevel="0" collapsed="false">
      <c r="A29" s="13" t="n">
        <f aca="false">Benchmark_RF!B30</f>
        <v>42979</v>
      </c>
      <c r="B29" s="28" t="n">
        <f aca="false">S_Top2_Annual!P30</f>
        <v>1.60022202482037</v>
      </c>
      <c r="C29" s="28" t="n">
        <f aca="false">S_Top2_SemiAnnual!P30</f>
        <v>1.04899352039981</v>
      </c>
      <c r="D29" s="28" t="n">
        <f aca="false">S_Top2_Quarterly!P30</f>
        <v>1.27771616980953</v>
      </c>
      <c r="E29" s="28" t="n">
        <f aca="false">S_Top3_Annual!P30</f>
        <v>1.64132696428675</v>
      </c>
      <c r="F29" s="28" t="n">
        <f aca="false">S_Top3_SemiAnnual!P30</f>
        <v>1.75159444548337</v>
      </c>
      <c r="G29" s="28" t="n">
        <f aca="false">S_Top3_Quarterly!P30</f>
        <v>1.44053521165098</v>
      </c>
      <c r="H29" s="28" t="n">
        <f aca="false">S_Top5_Annual!P30</f>
        <v>1.49310936935696</v>
      </c>
      <c r="I29" s="28" t="n">
        <f aca="false">S_Top5_SemiAnnual!P30</f>
        <v>1.51921514643098</v>
      </c>
      <c r="J29" s="28" t="n">
        <f aca="false">S_Top5_Quarterly!P30</f>
        <v>1.44397779477062</v>
      </c>
      <c r="K29" s="28" t="n">
        <f aca="false">Benchmark_RF!F30</f>
        <v>1.18655474081684</v>
      </c>
    </row>
    <row r="30" customFormat="false" ht="15" hidden="false" customHeight="true" outlineLevel="0" collapsed="false">
      <c r="A30" s="13" t="n">
        <f aca="false">Benchmark_RF!B31</f>
        <v>43009</v>
      </c>
      <c r="B30" s="28" t="n">
        <f aca="false">S_Top2_Annual!P31</f>
        <v>1.52716965872016</v>
      </c>
      <c r="C30" s="28" t="n">
        <f aca="false">S_Top2_SemiAnnual!P31</f>
        <v>1.00110550392434</v>
      </c>
      <c r="D30" s="28" t="n">
        <f aca="false">S_Top2_Quarterly!P31</f>
        <v>1.21938664555519</v>
      </c>
      <c r="E30" s="28" t="n">
        <f aca="false">S_Top3_Annual!P31</f>
        <v>1.57274390697443</v>
      </c>
      <c r="F30" s="28" t="n">
        <f aca="false">S_Top3_SemiAnnual!P31</f>
        <v>1.67840384735369</v>
      </c>
      <c r="G30" s="28" t="n">
        <f aca="false">S_Top3_Quarterly!P31</f>
        <v>1.38034226342631</v>
      </c>
      <c r="H30" s="28" t="n">
        <f aca="false">S_Top5_Annual!P31</f>
        <v>1.45593972419347</v>
      </c>
      <c r="I30" s="28" t="n">
        <f aca="false">S_Top5_SemiAnnual!P31</f>
        <v>1.48139562089672</v>
      </c>
      <c r="J30" s="28" t="n">
        <f aca="false">S_Top5_Quarterly!P31</f>
        <v>1.40803123696508</v>
      </c>
      <c r="K30" s="28" t="n">
        <f aca="false">Benchmark_RF!F31</f>
        <v>1.10843607098971</v>
      </c>
    </row>
    <row r="31" customFormat="false" ht="15" hidden="false" customHeight="true" outlineLevel="0" collapsed="false">
      <c r="A31" s="13" t="n">
        <f aca="false">Benchmark_RF!B32</f>
        <v>43040</v>
      </c>
      <c r="B31" s="28" t="n">
        <f aca="false">S_Top2_Annual!P32</f>
        <v>1.91701547689513</v>
      </c>
      <c r="C31" s="28" t="n">
        <f aca="false">S_Top2_SemiAnnual!P32</f>
        <v>1.25666112738004</v>
      </c>
      <c r="D31" s="28" t="n">
        <f aca="false">S_Top2_Quarterly!P32</f>
        <v>1.22840959734842</v>
      </c>
      <c r="E31" s="28" t="n">
        <f aca="false">S_Top3_Annual!P32</f>
        <v>1.88519142993236</v>
      </c>
      <c r="F31" s="28" t="n">
        <f aca="false">S_Top3_SemiAnnual!P32</f>
        <v>2.01184219183124</v>
      </c>
      <c r="G31" s="28" t="n">
        <f aca="false">S_Top3_Quarterly!P32</f>
        <v>1.38916899081988</v>
      </c>
      <c r="H31" s="28" t="n">
        <f aca="false">S_Top5_Annual!P32</f>
        <v>1.6408264161677</v>
      </c>
      <c r="I31" s="28" t="n">
        <f aca="false">S_Top5_SemiAnnual!P32</f>
        <v>1.66951490310425</v>
      </c>
      <c r="J31" s="28" t="n">
        <f aca="false">S_Top5_Quarterly!P32</f>
        <v>1.57355956982419</v>
      </c>
      <c r="K31" s="28" t="n">
        <f aca="false">Benchmark_RF!F32</f>
        <v>1.11943644254637</v>
      </c>
    </row>
    <row r="32" customFormat="false" ht="15" hidden="false" customHeight="true" outlineLevel="0" collapsed="false">
      <c r="A32" s="13" t="n">
        <f aca="false">Benchmark_RF!B33</f>
        <v>43070</v>
      </c>
      <c r="B32" s="28" t="n">
        <f aca="false">S_Top2_Annual!P33</f>
        <v>1.86132374655861</v>
      </c>
      <c r="C32" s="28" t="n">
        <f aca="false">S_Top2_SemiAnnual!P33</f>
        <v>1.22015352821147</v>
      </c>
      <c r="D32" s="28" t="n">
        <f aca="false">S_Top2_Quarterly!P33</f>
        <v>1.22190100378206</v>
      </c>
      <c r="E32" s="28" t="n">
        <f aca="false">S_Top3_Annual!P33</f>
        <v>1.87498947034492</v>
      </c>
      <c r="F32" s="28" t="n">
        <f aca="false">S_Top3_SemiAnnual!P33</f>
        <v>2.00095484510799</v>
      </c>
      <c r="G32" s="28" t="n">
        <f aca="false">S_Top3_Quarterly!P33</f>
        <v>1.39940615364212</v>
      </c>
      <c r="H32" s="28" t="n">
        <f aca="false">S_Top5_Annual!P33</f>
        <v>1.63941940846127</v>
      </c>
      <c r="I32" s="28" t="n">
        <f aca="false">S_Top5_SemiAnnual!P33</f>
        <v>1.6680832950368</v>
      </c>
      <c r="J32" s="28" t="n">
        <f aca="false">S_Top5_Quarterly!P33</f>
        <v>1.58344354153497</v>
      </c>
      <c r="K32" s="28" t="n">
        <f aca="false">Benchmark_RF!F33</f>
        <v>1.1323379643619</v>
      </c>
    </row>
    <row r="33" customFormat="false" ht="15" hidden="false" customHeight="true" outlineLevel="0" collapsed="false">
      <c r="A33" s="13" t="n">
        <f aca="false">Benchmark_RF!B34</f>
        <v>43101</v>
      </c>
      <c r="B33" s="28" t="n">
        <f aca="false">S_Top2_Annual!P34</f>
        <v>1.97088267594466</v>
      </c>
      <c r="C33" s="28" t="n">
        <f aca="false">S_Top2_SemiAnnual!P34</f>
        <v>1.29197269158088</v>
      </c>
      <c r="D33" s="28" t="n">
        <f aca="false">S_Top2_Quarterly!P34</f>
        <v>1.39524075804943</v>
      </c>
      <c r="E33" s="28" t="n">
        <f aca="false">S_Top3_Annual!P34</f>
        <v>1.95728409336042</v>
      </c>
      <c r="F33" s="28" t="n">
        <f aca="false">S_Top3_SemiAnnual!P34</f>
        <v>2.08877817812058</v>
      </c>
      <c r="G33" s="28" t="n">
        <f aca="false">S_Top3_Quarterly!P34</f>
        <v>1.54418974597575</v>
      </c>
      <c r="H33" s="28" t="n">
        <f aca="false">S_Top5_Annual!P34</f>
        <v>1.71519500198342</v>
      </c>
      <c r="I33" s="28" t="n">
        <f aca="false">S_Top5_SemiAnnual!P34</f>
        <v>1.7451837618688</v>
      </c>
      <c r="J33" s="28" t="n">
        <f aca="false">S_Top5_Quarterly!P34</f>
        <v>1.67813865054661</v>
      </c>
      <c r="K33" s="28" t="n">
        <f aca="false">Benchmark_RF!F34</f>
        <v>1.23243359543746</v>
      </c>
    </row>
    <row r="34" customFormat="false" ht="15" hidden="false" customHeight="true" outlineLevel="0" collapsed="false">
      <c r="A34" s="13" t="n">
        <f aca="false">Benchmark_RF!B35</f>
        <v>43132</v>
      </c>
      <c r="B34" s="28" t="n">
        <f aca="false">S_Top2_Annual!P35</f>
        <v>1.99154344311892</v>
      </c>
      <c r="C34" s="28" t="n">
        <f aca="false">S_Top2_SemiAnnual!P35</f>
        <v>1.23949702962525</v>
      </c>
      <c r="D34" s="28" t="n">
        <f aca="false">S_Top2_Quarterly!P35</f>
        <v>1.32074115229752</v>
      </c>
      <c r="E34" s="28" t="n">
        <f aca="false">S_Top3_Annual!P35</f>
        <v>1.9698110445658</v>
      </c>
      <c r="F34" s="28" t="n">
        <f aca="false">S_Top3_SemiAnnual!P35</f>
        <v>2.02563448296673</v>
      </c>
      <c r="G34" s="28" t="n">
        <f aca="false">S_Top3_Quarterly!P35</f>
        <v>1.47736539483352</v>
      </c>
      <c r="H34" s="28" t="n">
        <f aca="false">S_Top5_Annual!P35</f>
        <v>1.6967082208713</v>
      </c>
      <c r="I34" s="28" t="n">
        <f aca="false">S_Top5_SemiAnnual!P35</f>
        <v>1.68154183450861</v>
      </c>
      <c r="J34" s="28" t="n">
        <f aca="false">S_Top5_Quarterly!P35</f>
        <v>1.57635661521097</v>
      </c>
      <c r="K34" s="28" t="n">
        <f aca="false">Benchmark_RF!F35</f>
        <v>1.20978178879913</v>
      </c>
    </row>
    <row r="35" customFormat="false" ht="15" hidden="false" customHeight="true" outlineLevel="0" collapsed="false">
      <c r="A35" s="13" t="n">
        <f aca="false">Benchmark_RF!B36</f>
        <v>43160</v>
      </c>
      <c r="B35" s="28" t="n">
        <f aca="false">S_Top2_Annual!P36</f>
        <v>2.41645186334033</v>
      </c>
      <c r="C35" s="28" t="n">
        <f aca="false">S_Top2_SemiAnnual!P36</f>
        <v>1.36763330819541</v>
      </c>
      <c r="D35" s="28" t="n">
        <f aca="false">S_Top2_Quarterly!P36</f>
        <v>1.45727625658982</v>
      </c>
      <c r="E35" s="28" t="n">
        <f aca="false">S_Top3_Annual!P36</f>
        <v>2.29007634049901</v>
      </c>
      <c r="F35" s="28" t="n">
        <f aca="false">S_Top3_SemiAnnual!P36</f>
        <v>2.16328908191794</v>
      </c>
      <c r="G35" s="28" t="n">
        <f aca="false">S_Top3_Quarterly!P36</f>
        <v>1.57776166209707</v>
      </c>
      <c r="H35" s="28" t="n">
        <f aca="false">S_Top5_Annual!P36</f>
        <v>1.86797883363749</v>
      </c>
      <c r="I35" s="28" t="n">
        <f aca="false">S_Top5_SemiAnnual!P36</f>
        <v>1.77730799497191</v>
      </c>
      <c r="J35" s="28" t="n">
        <f aca="false">S_Top5_Quarterly!P36</f>
        <v>1.66613233024918</v>
      </c>
      <c r="K35" s="28" t="n">
        <f aca="false">Benchmark_RF!F36</f>
        <v>1.27471635229839</v>
      </c>
    </row>
    <row r="36" customFormat="false" ht="15" hidden="false" customHeight="true" outlineLevel="0" collapsed="false">
      <c r="A36" s="13" t="n">
        <f aca="false">Benchmark_RF!B37</f>
        <v>43191</v>
      </c>
      <c r="B36" s="28" t="n">
        <f aca="false">S_Top2_Annual!P37</f>
        <v>2.47313071403867</v>
      </c>
      <c r="C36" s="28" t="n">
        <f aca="false">S_Top2_SemiAnnual!P37</f>
        <v>1.3308162469613</v>
      </c>
      <c r="D36" s="28" t="n">
        <f aca="false">S_Top2_Quarterly!P37</f>
        <v>1.41804598276395</v>
      </c>
      <c r="E36" s="28" t="n">
        <f aca="false">S_Top3_Annual!P37</f>
        <v>2.2940758429481</v>
      </c>
      <c r="F36" s="28" t="n">
        <f aca="false">S_Top3_SemiAnnual!P37</f>
        <v>2.15692411240598</v>
      </c>
      <c r="G36" s="28" t="n">
        <f aca="false">S_Top3_Quarterly!P37</f>
        <v>1.5731194693544</v>
      </c>
      <c r="H36" s="28" t="n">
        <f aca="false">S_Top5_Annual!P37</f>
        <v>1.89828374333339</v>
      </c>
      <c r="I36" s="28" t="n">
        <f aca="false">S_Top5_SemiAnnual!P37</f>
        <v>1.77032868239736</v>
      </c>
      <c r="J36" s="28" t="n">
        <f aca="false">S_Top5_Quarterly!P37</f>
        <v>1.6595895935056</v>
      </c>
      <c r="K36" s="28" t="n">
        <f aca="false">Benchmark_RF!F37</f>
        <v>1.27271755650012</v>
      </c>
    </row>
    <row r="37" customFormat="false" ht="15" hidden="false" customHeight="true" outlineLevel="0" collapsed="false">
      <c r="A37" s="13" t="n">
        <f aca="false">Benchmark_RF!B38</f>
        <v>43221</v>
      </c>
      <c r="B37" s="28" t="n">
        <f aca="false">S_Top2_Annual!P38</f>
        <v>2.52211335278393</v>
      </c>
      <c r="C37" s="28" t="n">
        <f aca="false">S_Top2_SemiAnnual!P38</f>
        <v>1.18650042095809</v>
      </c>
      <c r="D37" s="28" t="n">
        <f aca="false">S_Top2_Quarterly!P38</f>
        <v>1.37694160191962</v>
      </c>
      <c r="E37" s="28" t="n">
        <f aca="false">S_Top3_Annual!P38</f>
        <v>2.3067548940237</v>
      </c>
      <c r="F37" s="28" t="n">
        <f aca="false">S_Top3_SemiAnnual!P38</f>
        <v>2.02359547971293</v>
      </c>
      <c r="G37" s="28" t="n">
        <f aca="false">S_Top3_Quarterly!P38</f>
        <v>1.45007066376283</v>
      </c>
      <c r="H37" s="28" t="n">
        <f aca="false">S_Top5_Annual!P38</f>
        <v>1.91037394817952</v>
      </c>
      <c r="I37" s="28" t="n">
        <f aca="false">S_Top5_SemiAnnual!P38</f>
        <v>1.69078784015564</v>
      </c>
      <c r="J37" s="28" t="n">
        <f aca="false">S_Top5_Quarterly!P38</f>
        <v>1.56683994398699</v>
      </c>
      <c r="K37" s="28" t="n">
        <f aca="false">Benchmark_RF!F38</f>
        <v>1.19879176934837</v>
      </c>
    </row>
    <row r="38" customFormat="false" ht="15" hidden="false" customHeight="true" outlineLevel="0" collapsed="false">
      <c r="A38" s="13" t="n">
        <f aca="false">Benchmark_RF!B39</f>
        <v>43252</v>
      </c>
      <c r="B38" s="28" t="n">
        <f aca="false">S_Top2_Annual!P39</f>
        <v>2.62815707973326</v>
      </c>
      <c r="C38" s="28" t="n">
        <f aca="false">S_Top2_SemiAnnual!P39</f>
        <v>1.19740492658937</v>
      </c>
      <c r="D38" s="28" t="n">
        <f aca="false">S_Top2_Quarterly!P39</f>
        <v>1.36182059512743</v>
      </c>
      <c r="E38" s="28" t="n">
        <f aca="false">S_Top3_Annual!P39</f>
        <v>2.33709627181139</v>
      </c>
      <c r="F38" s="28" t="n">
        <f aca="false">S_Top3_SemiAnnual!P39</f>
        <v>2.03997943609652</v>
      </c>
      <c r="G38" s="28" t="n">
        <f aca="false">S_Top3_Quarterly!P39</f>
        <v>1.40493038072944</v>
      </c>
      <c r="H38" s="28" t="n">
        <f aca="false">S_Top5_Annual!P39</f>
        <v>1.92671610772725</v>
      </c>
      <c r="I38" s="28" t="n">
        <f aca="false">S_Top5_SemiAnnual!P39</f>
        <v>1.68303116059077</v>
      </c>
      <c r="J38" s="28" t="n">
        <f aca="false">S_Top5_Quarterly!P39</f>
        <v>1.52277521050265</v>
      </c>
      <c r="K38" s="28" t="n">
        <f aca="false">Benchmark_RF!F39</f>
        <v>1.17261101374536</v>
      </c>
    </row>
    <row r="39" customFormat="false" ht="15" hidden="false" customHeight="true" outlineLevel="0" collapsed="false">
      <c r="A39" s="13" t="n">
        <f aca="false">Benchmark_RF!B40</f>
        <v>43282</v>
      </c>
      <c r="B39" s="28" t="n">
        <f aca="false">S_Top2_Annual!P40</f>
        <v>2.80861572565959</v>
      </c>
      <c r="C39" s="28" t="n">
        <f aca="false">S_Top2_SemiAnnual!P40</f>
        <v>1.30661256352345</v>
      </c>
      <c r="D39" s="28" t="n">
        <f aca="false">S_Top2_Quarterly!P40</f>
        <v>1.39821224053462</v>
      </c>
      <c r="E39" s="28" t="n">
        <f aca="false">S_Top3_Annual!P40</f>
        <v>2.41969935077159</v>
      </c>
      <c r="F39" s="28" t="n">
        <f aca="false">S_Top3_SemiAnnual!P40</f>
        <v>2.2011419233967</v>
      </c>
      <c r="G39" s="28" t="n">
        <f aca="false">S_Top3_Quarterly!P40</f>
        <v>1.46965147383765</v>
      </c>
      <c r="H39" s="28" t="n">
        <f aca="false">S_Top5_Annual!P40</f>
        <v>1.97602139002198</v>
      </c>
      <c r="I39" s="28" t="n">
        <f aca="false">S_Top5_SemiAnnual!P40</f>
        <v>1.7412746949098</v>
      </c>
      <c r="J39" s="28" t="n">
        <f aca="false">S_Top5_Quarterly!P40</f>
        <v>1.54538140653837</v>
      </c>
      <c r="K39" s="28" t="n">
        <f aca="false">Benchmark_RF!F40</f>
        <v>1.19503675277381</v>
      </c>
    </row>
    <row r="40" customFormat="false" ht="15" hidden="false" customHeight="true" outlineLevel="0" collapsed="false">
      <c r="A40" s="13" t="n">
        <f aca="false">Benchmark_RF!B41</f>
        <v>43313</v>
      </c>
      <c r="B40" s="28" t="n">
        <f aca="false">S_Top2_Annual!P41</f>
        <v>2.77652522593576</v>
      </c>
      <c r="C40" s="28" t="n">
        <f aca="false">S_Top2_SemiAnnual!P41</f>
        <v>1.28946268993788</v>
      </c>
      <c r="D40" s="28" t="n">
        <f aca="false">S_Top2_Quarterly!P41</f>
        <v>1.38223663763929</v>
      </c>
      <c r="E40" s="28" t="n">
        <f aca="false">S_Top3_Annual!P41</f>
        <v>2.43104568269353</v>
      </c>
      <c r="F40" s="28" t="n">
        <f aca="false">S_Top3_SemiAnnual!P41</f>
        <v>2.19370217068952</v>
      </c>
      <c r="G40" s="28" t="n">
        <f aca="false">S_Top3_Quarterly!P41</f>
        <v>1.47654288926346</v>
      </c>
      <c r="H40" s="28" t="n">
        <f aca="false">S_Top5_Annual!P41</f>
        <v>1.96242681240751</v>
      </c>
      <c r="I40" s="28" t="n">
        <f aca="false">S_Top5_SemiAnnual!P41</f>
        <v>1.75348858242755</v>
      </c>
      <c r="J40" s="28" t="n">
        <f aca="false">S_Top5_Quarterly!P41</f>
        <v>1.55622123251565</v>
      </c>
      <c r="K40" s="28" t="n">
        <f aca="false">Benchmark_RF!F41</f>
        <v>1.16789213217569</v>
      </c>
    </row>
    <row r="41" customFormat="false" ht="15" hidden="false" customHeight="true" outlineLevel="0" collapsed="false">
      <c r="A41" s="13" t="n">
        <f aca="false">Benchmark_RF!B42</f>
        <v>43344</v>
      </c>
      <c r="B41" s="28" t="n">
        <f aca="false">S_Top2_Annual!P42</f>
        <v>2.78419766892251</v>
      </c>
      <c r="C41" s="28" t="n">
        <f aca="false">S_Top2_SemiAnnual!P42</f>
        <v>1.29302589508353</v>
      </c>
      <c r="D41" s="28" t="n">
        <f aca="false">S_Top2_Quarterly!P42</f>
        <v>1.38605620740131</v>
      </c>
      <c r="E41" s="28" t="n">
        <f aca="false">S_Top3_Annual!P42</f>
        <v>2.4723847116602</v>
      </c>
      <c r="F41" s="28" t="n">
        <f aca="false">S_Top3_SemiAnnual!P42</f>
        <v>2.23100526138171</v>
      </c>
      <c r="G41" s="28" t="n">
        <f aca="false">S_Top3_Quarterly!P42</f>
        <v>1.50165095272122</v>
      </c>
      <c r="H41" s="28" t="n">
        <f aca="false">S_Top5_Annual!P42</f>
        <v>1.96941723844826</v>
      </c>
      <c r="I41" s="28" t="n">
        <f aca="false">S_Top5_SemiAnnual!P42</f>
        <v>1.75973474262637</v>
      </c>
      <c r="J41" s="28" t="n">
        <f aca="false">S_Top5_Quarterly!P42</f>
        <v>1.56176470010393</v>
      </c>
      <c r="K41" s="28" t="n">
        <f aca="false">Benchmark_RF!F42</f>
        <v>1.14708579825368</v>
      </c>
    </row>
    <row r="42" customFormat="false" ht="15" hidden="false" customHeight="true" outlineLevel="0" collapsed="false">
      <c r="A42" s="13" t="n">
        <f aca="false">Benchmark_RF!B43</f>
        <v>43374</v>
      </c>
      <c r="B42" s="28" t="n">
        <f aca="false">S_Top2_Annual!P43</f>
        <v>2.84046314696326</v>
      </c>
      <c r="C42" s="28" t="n">
        <f aca="false">S_Top2_SemiAnnual!P43</f>
        <v>1.31915648233243</v>
      </c>
      <c r="D42" s="28" t="n">
        <f aca="false">S_Top2_Quarterly!P43</f>
        <v>1.41406683178021</v>
      </c>
      <c r="E42" s="28" t="n">
        <f aca="false">S_Top3_Annual!P43</f>
        <v>2.60660198316659</v>
      </c>
      <c r="F42" s="28" t="n">
        <f aca="false">S_Top3_SemiAnnual!P43</f>
        <v>2.35211887185133</v>
      </c>
      <c r="G42" s="28" t="n">
        <f aca="false">S_Top3_Quarterly!P43</f>
        <v>1.58317042365092</v>
      </c>
      <c r="H42" s="28" t="n">
        <f aca="false">S_Top5_Annual!P43</f>
        <v>2.03478791587479</v>
      </c>
      <c r="I42" s="28" t="n">
        <f aca="false">S_Top5_SemiAnnual!P43</f>
        <v>1.81814544908851</v>
      </c>
      <c r="J42" s="28" t="n">
        <f aca="false">S_Top5_Quarterly!P43</f>
        <v>1.61360420594022</v>
      </c>
      <c r="K42" s="28" t="n">
        <f aca="false">Benchmark_RF!F43</f>
        <v>1.16529347380861</v>
      </c>
    </row>
    <row r="43" customFormat="false" ht="15" hidden="false" customHeight="true" outlineLevel="0" collapsed="false">
      <c r="A43" s="13" t="n">
        <f aca="false">Benchmark_RF!B44</f>
        <v>43405</v>
      </c>
      <c r="B43" s="28" t="n">
        <f aca="false">S_Top2_Annual!P44</f>
        <v>2.74996093799543</v>
      </c>
      <c r="C43" s="28" t="n">
        <f aca="false">S_Top2_SemiAnnual!P44</f>
        <v>1.27712581006232</v>
      </c>
      <c r="D43" s="28" t="n">
        <f aca="false">S_Top2_Quarterly!P44</f>
        <v>1.34418990617476</v>
      </c>
      <c r="E43" s="28" t="n">
        <f aca="false">S_Top3_Annual!P44</f>
        <v>2.53805589050591</v>
      </c>
      <c r="F43" s="28" t="n">
        <f aca="false">S_Top3_SemiAnnual!P44</f>
        <v>2.29026494893557</v>
      </c>
      <c r="G43" s="28" t="n">
        <f aca="false">S_Top3_Quarterly!P44</f>
        <v>1.51211231920908</v>
      </c>
      <c r="H43" s="28" t="n">
        <f aca="false">S_Top5_Annual!P44</f>
        <v>1.97876852813553</v>
      </c>
      <c r="I43" s="28" t="n">
        <f aca="false">S_Top5_SemiAnnual!P44</f>
        <v>1.76809040694665</v>
      </c>
      <c r="J43" s="28" t="n">
        <f aca="false">S_Top5_Quarterly!P44</f>
        <v>1.52740699925038</v>
      </c>
      <c r="K43" s="28" t="n">
        <f aca="false">Benchmark_RF!F44</f>
        <v>1.13302484057757</v>
      </c>
    </row>
    <row r="44" customFormat="false" ht="15" hidden="false" customHeight="true" outlineLevel="0" collapsed="false">
      <c r="A44" s="13" t="n">
        <f aca="false">Benchmark_RF!B45</f>
        <v>43435</v>
      </c>
      <c r="B44" s="28" t="n">
        <f aca="false">S_Top2_Annual!P45</f>
        <v>2.48826418100854</v>
      </c>
      <c r="C44" s="28" t="n">
        <f aca="false">S_Top2_SemiAnnual!P45</f>
        <v>1.1555896536247</v>
      </c>
      <c r="D44" s="28" t="n">
        <f aca="false">S_Top2_Quarterly!P45</f>
        <v>1.20187293007759</v>
      </c>
      <c r="E44" s="28" t="n">
        <f aca="false">S_Top3_Annual!P45</f>
        <v>2.30964850641795</v>
      </c>
      <c r="F44" s="28" t="n">
        <f aca="false">S_Top3_SemiAnnual!P45</f>
        <v>2.08415702680055</v>
      </c>
      <c r="G44" s="28" t="n">
        <f aca="false">S_Top3_Quarterly!P45</f>
        <v>1.3760327235746</v>
      </c>
      <c r="H44" s="28" t="n">
        <f aca="false">S_Top5_Annual!P45</f>
        <v>1.77030615681591</v>
      </c>
      <c r="I44" s="28" t="n">
        <f aca="false">S_Top5_SemiAnnual!P45</f>
        <v>1.58182288060447</v>
      </c>
      <c r="J44" s="28" t="n">
        <f aca="false">S_Top5_Quarterly!P45</f>
        <v>1.38491456492819</v>
      </c>
      <c r="K44" s="28" t="n">
        <f aca="false">Benchmark_RF!F45</f>
        <v>1.03707592738082</v>
      </c>
    </row>
    <row r="45" customFormat="false" ht="15" hidden="false" customHeight="true" outlineLevel="0" collapsed="false">
      <c r="A45" s="13" t="n">
        <f aca="false">Benchmark_RF!B46</f>
        <v>43466</v>
      </c>
      <c r="B45" s="28" t="n">
        <f aca="false">S_Top2_Annual!P46</f>
        <v>2.88640494168644</v>
      </c>
      <c r="C45" s="28" t="n">
        <f aca="false">S_Top2_SemiAnnual!P46</f>
        <v>1.34049258605335</v>
      </c>
      <c r="D45" s="28" t="n">
        <f aca="false">S_Top2_Quarterly!P46</f>
        <v>1.30928511598332</v>
      </c>
      <c r="E45" s="28" t="n">
        <f aca="false">S_Top3_Annual!P46</f>
        <v>2.55901557788319</v>
      </c>
      <c r="F45" s="28" t="n">
        <f aca="false">S_Top3_SemiAnnual!P46</f>
        <v>2.30917833753367</v>
      </c>
      <c r="G45" s="28" t="n">
        <f aca="false">S_Top3_Quarterly!P46</f>
        <v>1.52459959405929</v>
      </c>
      <c r="H45" s="28" t="n">
        <f aca="false">S_Top5_Annual!P46</f>
        <v>1.93934697158634</v>
      </c>
      <c r="I45" s="28" t="n">
        <f aca="false">S_Top5_SemiAnnual!P46</f>
        <v>1.73286603634924</v>
      </c>
      <c r="J45" s="28" t="n">
        <f aca="false">S_Top5_Quarterly!P46</f>
        <v>1.50019712574804</v>
      </c>
      <c r="K45" s="28" t="n">
        <f aca="false">Benchmark_RF!F46</f>
        <v>1.14151608549385</v>
      </c>
    </row>
    <row r="46" customFormat="false" ht="15" hidden="false" customHeight="true" outlineLevel="0" collapsed="false">
      <c r="A46" s="13" t="n">
        <f aca="false">Benchmark_RF!B47</f>
        <v>43497</v>
      </c>
      <c r="B46" s="28" t="n">
        <f aca="false">S_Top2_Annual!P47</f>
        <v>2.88596415847083</v>
      </c>
      <c r="C46" s="28" t="n">
        <f aca="false">S_Top2_SemiAnnual!P47</f>
        <v>1.31804934797432</v>
      </c>
      <c r="D46" s="28" t="n">
        <f aca="false">S_Top2_Quarterly!P47</f>
        <v>1.29245676806234</v>
      </c>
      <c r="E46" s="28" t="n">
        <f aca="false">S_Top3_Annual!P47</f>
        <v>2.61591889637001</v>
      </c>
      <c r="F46" s="28" t="n">
        <f aca="false">S_Top3_SemiAnnual!P47</f>
        <v>2.2430534021937</v>
      </c>
      <c r="G46" s="28" t="n">
        <f aca="false">S_Top3_Quarterly!P47</f>
        <v>1.49216617538438</v>
      </c>
      <c r="H46" s="28" t="n">
        <f aca="false">S_Top5_Annual!P47</f>
        <v>1.96679169090963</v>
      </c>
      <c r="I46" s="28" t="n">
        <f aca="false">S_Top5_SemiAnnual!P47</f>
        <v>1.7306076024149</v>
      </c>
      <c r="J46" s="28" t="n">
        <f aca="false">S_Top5_Quarterly!P47</f>
        <v>1.49824192781241</v>
      </c>
      <c r="K46" s="28" t="n">
        <f aca="false">Benchmark_RF!F47</f>
        <v>1.09269555407828</v>
      </c>
    </row>
    <row r="47" customFormat="false" ht="15" hidden="false" customHeight="true" outlineLevel="0" collapsed="false">
      <c r="A47" s="13" t="n">
        <f aca="false">Benchmark_RF!B48</f>
        <v>43525</v>
      </c>
      <c r="B47" s="28" t="n">
        <f aca="false">S_Top2_Annual!P48</f>
        <v>2.83264716441644</v>
      </c>
      <c r="C47" s="28" t="n">
        <f aca="false">S_Top2_SemiAnnual!P48</f>
        <v>1.25557673931857</v>
      </c>
      <c r="D47" s="28" t="n">
        <f aca="false">S_Top2_Quarterly!P48</f>
        <v>1.23119719079407</v>
      </c>
      <c r="E47" s="28" t="n">
        <f aca="false">S_Top3_Annual!P48</f>
        <v>2.59278183506344</v>
      </c>
      <c r="F47" s="28" t="n">
        <f aca="false">S_Top3_SemiAnnual!P48</f>
        <v>2.15213353421935</v>
      </c>
      <c r="G47" s="28" t="n">
        <f aca="false">S_Top3_Quarterly!P48</f>
        <v>1.43168275063441</v>
      </c>
      <c r="H47" s="28" t="n">
        <f aca="false">S_Top5_Annual!P48</f>
        <v>1.90512610437035</v>
      </c>
      <c r="I47" s="28" t="n">
        <f aca="false">S_Top5_SemiAnnual!P48</f>
        <v>1.70380123739604</v>
      </c>
      <c r="J47" s="28" t="n">
        <f aca="false">S_Top5_Quarterly!P48</f>
        <v>1.47503480682932</v>
      </c>
      <c r="K47" s="28" t="n">
        <f aca="false">Benchmark_RF!F48</f>
        <v>1.08135692046673</v>
      </c>
    </row>
    <row r="48" customFormat="false" ht="15" hidden="false" customHeight="true" outlineLevel="0" collapsed="false">
      <c r="A48" s="13" t="n">
        <f aca="false">Benchmark_RF!B49</f>
        <v>43556</v>
      </c>
      <c r="B48" s="28" t="n">
        <f aca="false">S_Top2_Annual!P49</f>
        <v>2.75728455945916</v>
      </c>
      <c r="C48" s="28" t="n">
        <f aca="false">S_Top2_SemiAnnual!P49</f>
        <v>1.16230028904111</v>
      </c>
      <c r="D48" s="28" t="n">
        <f aca="false">S_Top2_Quarterly!P49</f>
        <v>1.13973189046429</v>
      </c>
      <c r="E48" s="28" t="n">
        <f aca="false">S_Top3_Annual!P49</f>
        <v>2.52033893116972</v>
      </c>
      <c r="F48" s="28" t="n">
        <f aca="false">S_Top3_SemiAnnual!P49</f>
        <v>2.02528441835061</v>
      </c>
      <c r="G48" s="28" t="n">
        <f aca="false">S_Top3_Quarterly!P49</f>
        <v>1.34729779578151</v>
      </c>
      <c r="H48" s="28" t="n">
        <f aca="false">S_Top5_Annual!P49</f>
        <v>1.81230245156018</v>
      </c>
      <c r="I48" s="28" t="n">
        <f aca="false">S_Top5_SemiAnnual!P49</f>
        <v>1.63336236040508</v>
      </c>
      <c r="J48" s="28" t="n">
        <f aca="false">S_Top5_Quarterly!P49</f>
        <v>1.4140536354138</v>
      </c>
      <c r="K48" s="28" t="n">
        <f aca="false">Benchmark_RF!F49</f>
        <v>1.02917950887371</v>
      </c>
    </row>
    <row r="49" customFormat="false" ht="15" hidden="false" customHeight="true" outlineLevel="0" collapsed="false">
      <c r="A49" s="13" t="n">
        <f aca="false">Benchmark_RF!B50</f>
        <v>43586</v>
      </c>
      <c r="B49" s="28" t="n">
        <f aca="false">S_Top2_Annual!P50</f>
        <v>2.57231514776202</v>
      </c>
      <c r="C49" s="28" t="n">
        <f aca="false">S_Top2_SemiAnnual!P50</f>
        <v>1.20379835840733</v>
      </c>
      <c r="D49" s="28" t="n">
        <f aca="false">S_Top2_Quarterly!P50</f>
        <v>1.18452969473522</v>
      </c>
      <c r="E49" s="28" t="n">
        <f aca="false">S_Top3_Annual!P50</f>
        <v>2.47935793323584</v>
      </c>
      <c r="F49" s="28" t="n">
        <f aca="false">S_Top3_SemiAnnual!P50</f>
        <v>2.06863397776385</v>
      </c>
      <c r="G49" s="28" t="n">
        <f aca="false">S_Top3_Quarterly!P50</f>
        <v>1.36670452051643</v>
      </c>
      <c r="H49" s="28" t="n">
        <f aca="false">S_Top5_Annual!P50</f>
        <v>1.82581156163687</v>
      </c>
      <c r="I49" s="28" t="n">
        <f aca="false">S_Top5_SemiAnnual!P50</f>
        <v>1.67950158706384</v>
      </c>
      <c r="J49" s="28" t="n">
        <f aca="false">S_Top5_Quarterly!P50</f>
        <v>1.44257384125633</v>
      </c>
      <c r="K49" s="28" t="n">
        <f aca="false">Benchmark_RF!F50</f>
        <v>1.0065265830888</v>
      </c>
    </row>
    <row r="50" customFormat="false" ht="15" hidden="false" customHeight="true" outlineLevel="0" collapsed="false">
      <c r="A50" s="13" t="n">
        <f aca="false">Benchmark_RF!B51</f>
        <v>43617</v>
      </c>
      <c r="B50" s="28" t="n">
        <f aca="false">S_Top2_Annual!P51</f>
        <v>2.43540202507124</v>
      </c>
      <c r="C50" s="28" t="n">
        <f aca="false">S_Top2_SemiAnnual!P51</f>
        <v>1.11589427780296</v>
      </c>
      <c r="D50" s="28" t="n">
        <f aca="false">S_Top2_Quarterly!P51</f>
        <v>1.07406220818098</v>
      </c>
      <c r="E50" s="28" t="n">
        <f aca="false">S_Top3_Annual!P51</f>
        <v>2.33335633465282</v>
      </c>
      <c r="F50" s="28" t="n">
        <f aca="false">S_Top3_SemiAnnual!P51</f>
        <v>1.91466492795174</v>
      </c>
      <c r="G50" s="28" t="n">
        <f aca="false">S_Top3_Quarterly!P51</f>
        <v>1.26498029155191</v>
      </c>
      <c r="H50" s="28" t="n">
        <f aca="false">S_Top5_Annual!P51</f>
        <v>1.68172782904003</v>
      </c>
      <c r="I50" s="28" t="n">
        <f aca="false">S_Top5_SemiAnnual!P51</f>
        <v>1.55441473246356</v>
      </c>
      <c r="J50" s="28" t="n">
        <f aca="false">S_Top5_Quarterly!P51</f>
        <v>1.32654951814963</v>
      </c>
      <c r="K50" s="28" t="n">
        <f aca="false">Benchmark_RF!F51</f>
        <v>0.94852093587514</v>
      </c>
    </row>
    <row r="51" customFormat="false" ht="15" hidden="false" customHeight="true" outlineLevel="0" collapsed="false">
      <c r="A51" s="13" t="n">
        <f aca="false">Benchmark_RF!B52</f>
        <v>43647</v>
      </c>
      <c r="B51" s="28" t="n">
        <f aca="false">S_Top2_Annual!P52</f>
        <v>2.51155893712959</v>
      </c>
      <c r="C51" s="28" t="n">
        <f aca="false">S_Top2_SemiAnnual!P52</f>
        <v>1.09799820212522</v>
      </c>
      <c r="D51" s="28" t="n">
        <f aca="false">S_Top2_Quarterly!P52</f>
        <v>1.07982298543238</v>
      </c>
      <c r="E51" s="28" t="n">
        <f aca="false">S_Top3_Annual!P52</f>
        <v>2.33580992069454</v>
      </c>
      <c r="F51" s="28" t="n">
        <f aca="false">S_Top3_SemiAnnual!P52</f>
        <v>1.89850433542883</v>
      </c>
      <c r="G51" s="28" t="n">
        <f aca="false">S_Top3_Quarterly!P52</f>
        <v>1.25430331578302</v>
      </c>
      <c r="H51" s="28" t="n">
        <f aca="false">S_Top5_Annual!P52</f>
        <v>1.656221057479</v>
      </c>
      <c r="I51" s="28" t="n">
        <f aca="false">S_Top5_SemiAnnual!P52</f>
        <v>1.4930226188458</v>
      </c>
      <c r="J51" s="28" t="n">
        <f aca="false">S_Top5_Quarterly!P52</f>
        <v>1.28206464449231</v>
      </c>
      <c r="K51" s="28" t="n">
        <f aca="false">Benchmark_RF!F52</f>
        <v>0.893596019419432</v>
      </c>
    </row>
    <row r="52" customFormat="false" ht="15" hidden="false" customHeight="true" outlineLevel="0" collapsed="false">
      <c r="A52" s="13" t="n">
        <f aca="false">Benchmark_RF!B53</f>
        <v>43678</v>
      </c>
      <c r="B52" s="28" t="n">
        <f aca="false">S_Top2_Annual!P53</f>
        <v>2.17814066228916</v>
      </c>
      <c r="C52" s="28" t="n">
        <f aca="false">S_Top2_SemiAnnual!P53</f>
        <v>0.952235082288229</v>
      </c>
      <c r="D52" s="28" t="n">
        <f aca="false">S_Top2_Quarterly!P53</f>
        <v>0.936472689481377</v>
      </c>
      <c r="E52" s="28" t="n">
        <f aca="false">S_Top3_Annual!P53</f>
        <v>2.060997917766</v>
      </c>
      <c r="F52" s="28" t="n">
        <f aca="false">S_Top3_SemiAnnual!P53</f>
        <v>1.67514207706811</v>
      </c>
      <c r="G52" s="28" t="n">
        <f aca="false">S_Top3_Quarterly!P53</f>
        <v>1.10673240111384</v>
      </c>
      <c r="H52" s="28" t="n">
        <f aca="false">S_Top5_Annual!P53</f>
        <v>1.53042055304292</v>
      </c>
      <c r="I52" s="28" t="n">
        <f aca="false">S_Top5_SemiAnnual!P53</f>
        <v>1.37961807194844</v>
      </c>
      <c r="J52" s="28" t="n">
        <f aca="false">S_Top5_Quarterly!P53</f>
        <v>1.18468369509036</v>
      </c>
      <c r="K52" s="28" t="n">
        <f aca="false">Benchmark_RF!F53</f>
        <v>0.830186293140304</v>
      </c>
    </row>
    <row r="53" customFormat="false" ht="15" hidden="false" customHeight="true" outlineLevel="0" collapsed="false">
      <c r="A53" s="13" t="n">
        <f aca="false">Benchmark_RF!B54</f>
        <v>43709</v>
      </c>
      <c r="B53" s="28" t="n">
        <f aca="false">S_Top2_Annual!P54</f>
        <v>2.35519210051634</v>
      </c>
      <c r="C53" s="28" t="n">
        <f aca="false">S_Top2_SemiAnnual!P54</f>
        <v>1.02963806813228</v>
      </c>
      <c r="D53" s="28" t="n">
        <f aca="false">S_Top2_Quarterly!P54</f>
        <v>1.01259442000309</v>
      </c>
      <c r="E53" s="28" t="n">
        <f aca="false">S_Top3_Annual!P54</f>
        <v>2.1445347256744</v>
      </c>
      <c r="F53" s="28" t="n">
        <f aca="false">S_Top3_SemiAnnual!P54</f>
        <v>1.74303929360824</v>
      </c>
      <c r="G53" s="28" t="n">
        <f aca="false">S_Top3_Quarterly!P54</f>
        <v>1.15159071523483</v>
      </c>
      <c r="H53" s="28" t="n">
        <f aca="false">S_Top5_Annual!P54</f>
        <v>1.58504675243379</v>
      </c>
      <c r="I53" s="28" t="n">
        <f aca="false">S_Top5_SemiAnnual!P54</f>
        <v>1.42886158983746</v>
      </c>
      <c r="J53" s="28" t="n">
        <f aca="false">S_Top5_Quarterly!P54</f>
        <v>1.22696930580987</v>
      </c>
      <c r="K53" s="28" t="n">
        <f aca="false">Benchmark_RF!F54</f>
        <v>0.897523384567865</v>
      </c>
    </row>
    <row r="54" customFormat="false" ht="15" hidden="false" customHeight="true" outlineLevel="0" collapsed="false">
      <c r="A54" s="13" t="n">
        <f aca="false">Benchmark_RF!B55</f>
        <v>43739</v>
      </c>
      <c r="B54" s="28" t="n">
        <f aca="false">S_Top2_Annual!P55</f>
        <v>2.42643458819638</v>
      </c>
      <c r="C54" s="28" t="n">
        <f aca="false">S_Top2_SemiAnnual!P55</f>
        <v>1.06078371326574</v>
      </c>
      <c r="D54" s="28" t="n">
        <f aca="false">S_Top2_Quarterly!P55</f>
        <v>1.04322450978478</v>
      </c>
      <c r="E54" s="28" t="n">
        <f aca="false">S_Top3_Annual!P55</f>
        <v>2.24418774502556</v>
      </c>
      <c r="F54" s="28" t="n">
        <f aca="false">S_Top3_SemiAnnual!P55</f>
        <v>1.82403547724483</v>
      </c>
      <c r="G54" s="28" t="n">
        <f aca="false">S_Top3_Quarterly!P55</f>
        <v>1.20510325129032</v>
      </c>
      <c r="H54" s="28" t="n">
        <f aca="false">S_Top5_Annual!P55</f>
        <v>1.64667598171628</v>
      </c>
      <c r="I54" s="28" t="n">
        <f aca="false">S_Top5_SemiAnnual!P55</f>
        <v>1.48441808266508</v>
      </c>
      <c r="J54" s="28" t="n">
        <f aca="false">S_Top5_Quarterly!P55</f>
        <v>1.27467589399362</v>
      </c>
      <c r="K54" s="28" t="n">
        <f aca="false">Benchmark_RF!F55</f>
        <v>0.956973290447637</v>
      </c>
    </row>
    <row r="55" customFormat="false" ht="15" hidden="false" customHeight="true" outlineLevel="0" collapsed="false">
      <c r="A55" s="13" t="n">
        <f aca="false">Benchmark_RF!B56</f>
        <v>43770</v>
      </c>
      <c r="B55" s="28" t="n">
        <f aca="false">S_Top2_Annual!P56</f>
        <v>2.70028394807742</v>
      </c>
      <c r="C55" s="28" t="n">
        <f aca="false">S_Top2_SemiAnnual!P56</f>
        <v>1.18050461662872</v>
      </c>
      <c r="D55" s="28" t="n">
        <f aca="false">S_Top2_Quarterly!P56</f>
        <v>1.09621532765087</v>
      </c>
      <c r="E55" s="28" t="n">
        <f aca="false">S_Top3_Annual!P56</f>
        <v>2.49951051678881</v>
      </c>
      <c r="F55" s="28" t="n">
        <f aca="false">S_Top3_SemiAnnual!P56</f>
        <v>2.03155723868255</v>
      </c>
      <c r="G55" s="28" t="n">
        <f aca="false">S_Top3_Quarterly!P56</f>
        <v>1.28862381877103</v>
      </c>
      <c r="H55" s="28" t="n">
        <f aca="false">S_Top5_Annual!P56</f>
        <v>1.7902651343612</v>
      </c>
      <c r="I55" s="28" t="n">
        <f aca="false">S_Top5_SemiAnnual!P56</f>
        <v>1.61385844435574</v>
      </c>
      <c r="J55" s="28" t="n">
        <f aca="false">S_Top5_Quarterly!P56</f>
        <v>1.3508069853858</v>
      </c>
      <c r="K55" s="28" t="n">
        <f aca="false">Benchmark_RF!F56</f>
        <v>1.09921598186087</v>
      </c>
    </row>
    <row r="56" customFormat="false" ht="15" hidden="false" customHeight="true" outlineLevel="0" collapsed="false">
      <c r="A56" s="13" t="n">
        <f aca="false">Benchmark_RF!B57</f>
        <v>43800</v>
      </c>
      <c r="B56" s="28" t="n">
        <f aca="false">S_Top2_Annual!P57</f>
        <v>2.82655106965663</v>
      </c>
      <c r="C56" s="28" t="n">
        <f aca="false">S_Top2_SemiAnnual!P57</f>
        <v>1.23570581873148</v>
      </c>
      <c r="D56" s="28" t="n">
        <f aca="false">S_Top2_Quarterly!P57</f>
        <v>1.25344102883953</v>
      </c>
      <c r="E56" s="28" t="n">
        <f aca="false">S_Top3_Annual!P57</f>
        <v>2.65389913753042</v>
      </c>
      <c r="F56" s="28" t="n">
        <f aca="false">S_Top3_SemiAnnual!P57</f>
        <v>2.15704153568034</v>
      </c>
      <c r="G56" s="28" t="n">
        <f aca="false">S_Top3_Quarterly!P57</f>
        <v>1.4484066863911</v>
      </c>
      <c r="H56" s="28" t="n">
        <f aca="false">S_Top5_Annual!P57</f>
        <v>1.86238222513351</v>
      </c>
      <c r="I56" s="28" t="n">
        <f aca="false">S_Top5_SemiAnnual!P57</f>
        <v>1.67886936016447</v>
      </c>
      <c r="J56" s="28" t="n">
        <f aca="false">S_Top5_Quarterly!P57</f>
        <v>1.48333848679917</v>
      </c>
      <c r="K56" s="28" t="n">
        <f aca="false">Benchmark_RF!F57</f>
        <v>1.1397131403477</v>
      </c>
    </row>
    <row r="57" customFormat="false" ht="15" hidden="false" customHeight="true" outlineLevel="0" collapsed="false">
      <c r="A57" s="13" t="n">
        <f aca="false">Benchmark_RF!B58</f>
        <v>43831</v>
      </c>
      <c r="B57" s="28" t="n">
        <f aca="false">S_Top2_Annual!P58</f>
        <v>2.94952417715313</v>
      </c>
      <c r="C57" s="28" t="n">
        <f aca="false">S_Top2_SemiAnnual!P58</f>
        <v>1.28946695049104</v>
      </c>
      <c r="D57" s="28" t="n">
        <f aca="false">S_Top2_Quarterly!P58</f>
        <v>1.29820254541472</v>
      </c>
      <c r="E57" s="28" t="n">
        <f aca="false">S_Top3_Annual!P58</f>
        <v>2.80524078319807</v>
      </c>
      <c r="F57" s="28" t="n">
        <f aca="false">S_Top3_SemiAnnual!P58</f>
        <v>2.28004930608382</v>
      </c>
      <c r="G57" s="28" t="n">
        <f aca="false">S_Top3_Quarterly!P58</f>
        <v>1.49528565988592</v>
      </c>
      <c r="H57" s="28" t="n">
        <f aca="false">S_Top5_Annual!P58</f>
        <v>1.91211481611834</v>
      </c>
      <c r="I57" s="28" t="n">
        <f aca="false">S_Top5_SemiAnnual!P58</f>
        <v>1.72370146931975</v>
      </c>
      <c r="J57" s="28" t="n">
        <f aca="false">S_Top5_Quarterly!P58</f>
        <v>1.49048342436249</v>
      </c>
      <c r="K57" s="28" t="n">
        <f aca="false">Benchmark_RF!F58</f>
        <v>1.16477810680687</v>
      </c>
    </row>
    <row r="58" customFormat="false" ht="15" hidden="false" customHeight="true" outlineLevel="0" collapsed="false">
      <c r="A58" s="13" t="n">
        <f aca="false">Benchmark_RF!B59</f>
        <v>43862</v>
      </c>
      <c r="B58" s="28" t="n">
        <f aca="false">S_Top2_Annual!P59</f>
        <v>2.77246775508892</v>
      </c>
      <c r="C58" s="28" t="n">
        <f aca="false">S_Top2_SemiAnnual!P59</f>
        <v>1.23332510118375</v>
      </c>
      <c r="D58" s="28" t="n">
        <f aca="false">S_Top2_Quarterly!P59</f>
        <v>1.22804269900786</v>
      </c>
      <c r="E58" s="28" t="n">
        <f aca="false">S_Top3_Annual!P59</f>
        <v>2.66480611910435</v>
      </c>
      <c r="F58" s="28" t="n">
        <f aca="false">S_Top3_SemiAnnual!P59</f>
        <v>2.06742833941209</v>
      </c>
      <c r="G58" s="28" t="n">
        <f aca="false">S_Top3_Quarterly!P59</f>
        <v>1.3469140141828</v>
      </c>
      <c r="H58" s="28" t="n">
        <f aca="false">S_Top5_Annual!P59</f>
        <v>1.8228080741997</v>
      </c>
      <c r="I58" s="28" t="n">
        <f aca="false">S_Top5_SemiAnnual!P59</f>
        <v>1.58818576532338</v>
      </c>
      <c r="J58" s="28" t="n">
        <f aca="false">S_Top5_Quarterly!P59</f>
        <v>1.36999438602647</v>
      </c>
      <c r="K58" s="28" t="n">
        <f aca="false">Benchmark_RF!F59</f>
        <v>1.06273096387619</v>
      </c>
    </row>
    <row r="59" customFormat="false" ht="15" hidden="false" customHeight="true" outlineLevel="0" collapsed="false">
      <c r="A59" s="13" t="n">
        <f aca="false">Benchmark_RF!B60</f>
        <v>43891</v>
      </c>
      <c r="B59" s="28" t="n">
        <f aca="false">S_Top2_Annual!P60</f>
        <v>1.95442080554318</v>
      </c>
      <c r="C59" s="28" t="n">
        <f aca="false">S_Top2_SemiAnnual!P60</f>
        <v>0.8031919849028</v>
      </c>
      <c r="D59" s="28" t="n">
        <f aca="false">S_Top2_Quarterly!P60</f>
        <v>0.799751867544747</v>
      </c>
      <c r="E59" s="28" t="n">
        <f aca="false">S_Top3_Annual!P60</f>
        <v>1.83030061970088</v>
      </c>
      <c r="F59" s="28" t="n">
        <f aca="false">S_Top3_SemiAnnual!P60</f>
        <v>1.34927122091675</v>
      </c>
      <c r="G59" s="28" t="n">
        <f aca="false">S_Top3_Quarterly!P60</f>
        <v>0.87904005267873</v>
      </c>
      <c r="H59" s="28" t="n">
        <f aca="false">S_Top5_Annual!P60</f>
        <v>1.41126101522213</v>
      </c>
      <c r="I59" s="28" t="n">
        <f aca="false">S_Top5_SemiAnnual!P60</f>
        <v>1.14649072220507</v>
      </c>
      <c r="J59" s="28" t="n">
        <f aca="false">S_Top5_Quarterly!P60</f>
        <v>0.988981193099011</v>
      </c>
      <c r="K59" s="28" t="n">
        <f aca="false">Benchmark_RF!F60</f>
        <v>0.817861971175261</v>
      </c>
    </row>
    <row r="60" customFormat="false" ht="15" hidden="false" customHeight="true" outlineLevel="0" collapsed="false">
      <c r="A60" s="13" t="n">
        <f aca="false">Benchmark_RF!B61</f>
        <v>43922</v>
      </c>
      <c r="B60" s="28" t="n">
        <f aca="false">S_Top2_Annual!P61</f>
        <v>2.57763091614596</v>
      </c>
      <c r="C60" s="28" t="n">
        <f aca="false">S_Top2_SemiAnnual!P61</f>
        <v>0.862980620785785</v>
      </c>
      <c r="D60" s="28" t="n">
        <f aca="false">S_Top2_Quarterly!P61</f>
        <v>0.859284425269605</v>
      </c>
      <c r="E60" s="28" t="n">
        <f aca="false">S_Top3_Annual!P61</f>
        <v>2.22422112602342</v>
      </c>
      <c r="F60" s="28" t="n">
        <f aca="false">S_Top3_SemiAnnual!P61</f>
        <v>1.58116228058489</v>
      </c>
      <c r="G60" s="28" t="n">
        <f aca="false">S_Top3_Quarterly!P61</f>
        <v>1.03011533402054</v>
      </c>
      <c r="H60" s="28" t="n">
        <f aca="false">S_Top5_Annual!P61</f>
        <v>1.67192215941269</v>
      </c>
      <c r="I60" s="28" t="n">
        <f aca="false">S_Top5_SemiAnnual!P61</f>
        <v>1.33162544141073</v>
      </c>
      <c r="J60" s="28" t="n">
        <f aca="false">S_Top5_Quarterly!P61</f>
        <v>1.14868135633445</v>
      </c>
      <c r="K60" s="28" t="n">
        <f aca="false">Benchmark_RF!F61</f>
        <v>0.954398134158817</v>
      </c>
    </row>
    <row r="61" customFormat="false" ht="15" hidden="false" customHeight="true" outlineLevel="0" collapsed="false">
      <c r="A61" s="13" t="n">
        <f aca="false">Benchmark_RF!B62</f>
        <v>43952</v>
      </c>
      <c r="B61" s="28" t="n">
        <f aca="false">S_Top2_Annual!P62</f>
        <v>2.6628240782735</v>
      </c>
      <c r="C61" s="28" t="n">
        <f aca="false">S_Top2_SemiAnnual!P62</f>
        <v>1.04061456013041</v>
      </c>
      <c r="D61" s="28" t="n">
        <f aca="false">S_Top2_Quarterly!P62</f>
        <v>0.810729034988918</v>
      </c>
      <c r="E61" s="28" t="n">
        <f aca="false">S_Top3_Annual!P62</f>
        <v>2.23354505776687</v>
      </c>
      <c r="F61" s="28" t="n">
        <f aca="false">S_Top3_SemiAnnual!P62</f>
        <v>1.84636072557186</v>
      </c>
      <c r="G61" s="28" t="n">
        <f aca="false">S_Top3_Quarterly!P62</f>
        <v>1.11049644328024</v>
      </c>
      <c r="H61" s="28" t="n">
        <f aca="false">S_Top5_Annual!P62</f>
        <v>1.65827030222466</v>
      </c>
      <c r="I61" s="28" t="n">
        <f aca="false">S_Top5_SemiAnnual!P62</f>
        <v>1.439117549238</v>
      </c>
      <c r="J61" s="28" t="n">
        <f aca="false">S_Top5_Quarterly!P62</f>
        <v>1.20616095477581</v>
      </c>
      <c r="K61" s="28" t="n">
        <f aca="false">Benchmark_RF!F62</f>
        <v>0.94935050328022</v>
      </c>
    </row>
    <row r="62" customFormat="false" ht="15" hidden="false" customHeight="true" outlineLevel="0" collapsed="false">
      <c r="A62" s="13" t="n">
        <f aca="false">Benchmark_RF!B63</f>
        <v>43983</v>
      </c>
      <c r="B62" s="28" t="n">
        <f aca="false">S_Top2_Annual!P63</f>
        <v>2.63660438050183</v>
      </c>
      <c r="C62" s="28" t="n">
        <f aca="false">S_Top2_SemiAnnual!P63</f>
        <v>1.1072701974071</v>
      </c>
      <c r="D62" s="28" t="n">
        <f aca="false">S_Top2_Quarterly!P63</f>
        <v>0.843270910371673</v>
      </c>
      <c r="E62" s="28" t="n">
        <f aca="false">S_Top3_Annual!P63</f>
        <v>2.30242394514157</v>
      </c>
      <c r="F62" s="28" t="n">
        <f aca="false">S_Top3_SemiAnnual!P63</f>
        <v>1.90647418918302</v>
      </c>
      <c r="G62" s="28" t="n">
        <f aca="false">S_Top3_Quarterly!P63</f>
        <v>1.1861830612876</v>
      </c>
      <c r="H62" s="28" t="n">
        <f aca="false">S_Top5_Annual!P63</f>
        <v>1.69350237772976</v>
      </c>
      <c r="I62" s="28" t="n">
        <f aca="false">S_Top5_SemiAnnual!P63</f>
        <v>1.49028393570004</v>
      </c>
      <c r="J62" s="28" t="n">
        <f aca="false">S_Top5_Quarterly!P63</f>
        <v>1.2571917956947</v>
      </c>
      <c r="K62" s="28" t="n">
        <f aca="false">Benchmark_RF!F63</f>
        <v>0.963079354207656</v>
      </c>
    </row>
    <row r="63" customFormat="false" ht="15" hidden="false" customHeight="true" outlineLevel="0" collapsed="false">
      <c r="A63" s="13" t="n">
        <f aca="false">Benchmark_RF!B64</f>
        <v>44013</v>
      </c>
      <c r="B63" s="28" t="n">
        <f aca="false">S_Top2_Annual!P64</f>
        <v>3.0144831364566</v>
      </c>
      <c r="C63" s="28" t="n">
        <f aca="false">S_Top2_SemiAnnual!P64</f>
        <v>1.26187542214769</v>
      </c>
      <c r="D63" s="28" t="n">
        <f aca="false">S_Top2_Quarterly!P64</f>
        <v>0.994556176239601</v>
      </c>
      <c r="E63" s="28" t="n">
        <f aca="false">S_Top3_Annual!P64</f>
        <v>2.69755727000535</v>
      </c>
      <c r="F63" s="28" t="n">
        <f aca="false">S_Top3_SemiAnnual!P64</f>
        <v>2.1010365961553</v>
      </c>
      <c r="G63" s="28" t="n">
        <f aca="false">S_Top3_Quarterly!P64</f>
        <v>1.39556180859167</v>
      </c>
      <c r="H63" s="28" t="n">
        <f aca="false">S_Top5_Annual!P64</f>
        <v>1.90475600654803</v>
      </c>
      <c r="I63" s="28" t="n">
        <f aca="false">S_Top5_SemiAnnual!P64</f>
        <v>1.61187852959823</v>
      </c>
      <c r="J63" s="28" t="n">
        <f aca="false">S_Top5_Quarterly!P64</f>
        <v>1.44431322454378</v>
      </c>
      <c r="K63" s="28" t="n">
        <f aca="false">Benchmark_RF!F64</f>
        <v>1.09839872506821</v>
      </c>
    </row>
    <row r="64" customFormat="false" ht="15" hidden="false" customHeight="true" outlineLevel="0" collapsed="false">
      <c r="A64" s="13" t="n">
        <f aca="false">Benchmark_RF!B65</f>
        <v>44044</v>
      </c>
      <c r="B64" s="28" t="n">
        <f aca="false">S_Top2_Annual!P65</f>
        <v>2.93040239474971</v>
      </c>
      <c r="C64" s="28" t="n">
        <f aca="false">S_Top2_SemiAnnual!P65</f>
        <v>1.2645812836921</v>
      </c>
      <c r="D64" s="28" t="n">
        <f aca="false">S_Top2_Quarterly!P65</f>
        <v>0.973203810460566</v>
      </c>
      <c r="E64" s="28" t="n">
        <f aca="false">S_Top3_Annual!P65</f>
        <v>2.82379600447572</v>
      </c>
      <c r="F64" s="28" t="n">
        <f aca="false">S_Top3_SemiAnnual!P65</f>
        <v>2.24816789267379</v>
      </c>
      <c r="G64" s="28" t="n">
        <f aca="false">S_Top3_Quarterly!P65</f>
        <v>1.41902616164439</v>
      </c>
      <c r="H64" s="28" t="n">
        <f aca="false">S_Top5_Annual!P65</f>
        <v>1.97990434750697</v>
      </c>
      <c r="I64" s="28" t="n">
        <f aca="false">S_Top5_SemiAnnual!P65</f>
        <v>1.71175410180867</v>
      </c>
      <c r="J64" s="28" t="n">
        <f aca="false">S_Top5_Quarterly!P65</f>
        <v>1.4780484462897</v>
      </c>
      <c r="K64" s="28" t="n">
        <f aca="false">Benchmark_RF!F65</f>
        <v>1.15022892143367</v>
      </c>
    </row>
    <row r="65" customFormat="false" ht="15" hidden="false" customHeight="true" outlineLevel="0" collapsed="false">
      <c r="A65" s="13" t="n">
        <f aca="false">Benchmark_RF!B66</f>
        <v>44075</v>
      </c>
      <c r="B65" s="28" t="n">
        <f aca="false">S_Top2_Annual!P66</f>
        <v>3.03741548054266</v>
      </c>
      <c r="C65" s="28" t="n">
        <f aca="false">S_Top2_SemiAnnual!P66</f>
        <v>1.31076154400255</v>
      </c>
      <c r="D65" s="28" t="n">
        <f aca="false">S_Top2_Quarterly!P66</f>
        <v>1.00874348345887</v>
      </c>
      <c r="E65" s="28" t="n">
        <f aca="false">S_Top3_Annual!P66</f>
        <v>2.85161036031907</v>
      </c>
      <c r="F65" s="28" t="n">
        <f aca="false">S_Top3_SemiAnnual!P66</f>
        <v>2.27031231870998</v>
      </c>
      <c r="G65" s="28" t="n">
        <f aca="false">S_Top3_Quarterly!P66</f>
        <v>1.43300355184837</v>
      </c>
      <c r="H65" s="28" t="n">
        <f aca="false">S_Top5_Annual!P66</f>
        <v>1.97446747346422</v>
      </c>
      <c r="I65" s="28" t="n">
        <f aca="false">S_Top5_SemiAnnual!P66</f>
        <v>1.70705357602043</v>
      </c>
      <c r="J65" s="28" t="n">
        <f aca="false">S_Top5_Quarterly!P66</f>
        <v>1.47398968292485</v>
      </c>
      <c r="K65" s="28" t="n">
        <f aca="false">Benchmark_RF!F66</f>
        <v>1.13513583082085</v>
      </c>
    </row>
    <row r="66" customFormat="false" ht="15" hidden="false" customHeight="true" outlineLevel="0" collapsed="false">
      <c r="A66" s="13" t="n">
        <f aca="false">Benchmark_RF!B67</f>
        <v>44105</v>
      </c>
      <c r="B66" s="28" t="n">
        <f aca="false">S_Top2_Annual!P67</f>
        <v>3.02182211775257</v>
      </c>
      <c r="C66" s="28" t="n">
        <f aca="false">S_Top2_SemiAnnual!P67</f>
        <v>1.30403240851948</v>
      </c>
      <c r="D66" s="28" t="n">
        <f aca="false">S_Top2_Quarterly!P67</f>
        <v>1.00356483628318</v>
      </c>
      <c r="E66" s="28" t="n">
        <f aca="false">S_Top3_Annual!P67</f>
        <v>3.04035675605243</v>
      </c>
      <c r="F66" s="28" t="n">
        <f aca="false">S_Top3_SemiAnnual!P67</f>
        <v>2.42058294239281</v>
      </c>
      <c r="G66" s="28" t="n">
        <f aca="false">S_Top3_Quarterly!P67</f>
        <v>1.5278532056609</v>
      </c>
      <c r="H66" s="28" t="n">
        <f aca="false">S_Top5_Annual!P67</f>
        <v>2.03568687088602</v>
      </c>
      <c r="I66" s="28" t="n">
        <f aca="false">S_Top5_SemiAnnual!P67</f>
        <v>1.75998166559151</v>
      </c>
      <c r="J66" s="28" t="n">
        <f aca="false">S_Top5_Quarterly!P67</f>
        <v>1.51969150450831</v>
      </c>
      <c r="K66" s="28" t="n">
        <f aca="false">Benchmark_RF!F67</f>
        <v>1.1160129731472</v>
      </c>
    </row>
    <row r="67" customFormat="false" ht="15" hidden="false" customHeight="true" outlineLevel="0" collapsed="false">
      <c r="A67" s="13" t="n">
        <f aca="false">Benchmark_RF!B68</f>
        <v>44136</v>
      </c>
      <c r="B67" s="28" t="n">
        <f aca="false">S_Top2_Annual!P68</f>
        <v>3.07626120048345</v>
      </c>
      <c r="C67" s="28" t="n">
        <f aca="false">S_Top2_SemiAnnual!P68</f>
        <v>1.3275249654619</v>
      </c>
      <c r="D67" s="28" t="n">
        <f aca="false">S_Top2_Quarterly!P68</f>
        <v>1.01577489680398</v>
      </c>
      <c r="E67" s="28" t="n">
        <f aca="false">S_Top3_Annual!P68</f>
        <v>3.05458292771262</v>
      </c>
      <c r="F67" s="28" t="n">
        <f aca="false">S_Top3_SemiAnnual!P68</f>
        <v>2.43190912258126</v>
      </c>
      <c r="G67" s="28" t="n">
        <f aca="false">S_Top3_Quarterly!P68</f>
        <v>1.54880296321966</v>
      </c>
      <c r="H67" s="28" t="n">
        <f aca="false">S_Top5_Annual!P68</f>
        <v>2.11391988922204</v>
      </c>
      <c r="I67" s="28" t="n">
        <f aca="false">S_Top5_SemiAnnual!P68</f>
        <v>1.82761911999792</v>
      </c>
      <c r="J67" s="28" t="n">
        <f aca="false">S_Top5_Quarterly!P68</f>
        <v>1.5474958760033</v>
      </c>
      <c r="K67" s="28" t="n">
        <f aca="false">Benchmark_RF!F68</f>
        <v>1.14905073986781</v>
      </c>
    </row>
    <row r="68" customFormat="false" ht="15" hidden="false" customHeight="true" outlineLevel="0" collapsed="false">
      <c r="A68" s="13" t="n">
        <f aca="false">Benchmark_RF!B69</f>
        <v>44166</v>
      </c>
      <c r="B68" s="28" t="n">
        <f aca="false">S_Top2_Annual!P69</f>
        <v>3.27585637352588</v>
      </c>
      <c r="C68" s="28" t="n">
        <f aca="false">S_Top2_SemiAnnual!P69</f>
        <v>1.41365795545568</v>
      </c>
      <c r="D68" s="28" t="n">
        <f aca="false">S_Top2_Quarterly!P69</f>
        <v>1.06881831062844</v>
      </c>
      <c r="E68" s="28" t="n">
        <f aca="false">S_Top3_Annual!P69</f>
        <v>3.35686170424657</v>
      </c>
      <c r="F68" s="28" t="n">
        <f aca="false">S_Top3_SemiAnnual!P69</f>
        <v>2.67256865994274</v>
      </c>
      <c r="G68" s="28" t="n">
        <f aca="false">S_Top3_Quarterly!P69</f>
        <v>1.63685402923306</v>
      </c>
      <c r="H68" s="28" t="n">
        <f aca="false">S_Top5_Annual!P69</f>
        <v>2.28397765418989</v>
      </c>
      <c r="I68" s="28" t="n">
        <f aca="false">S_Top5_SemiAnnual!P69</f>
        <v>1.97464494833891</v>
      </c>
      <c r="J68" s="28" t="n">
        <f aca="false">S_Top5_Quarterly!P69</f>
        <v>1.65132321708095</v>
      </c>
      <c r="K68" s="28" t="n">
        <f aca="false">Benchmark_RF!F69</f>
        <v>1.22421710100746</v>
      </c>
    </row>
    <row r="69" customFormat="false" ht="15" hidden="false" customHeight="true" outlineLevel="0" collapsed="false">
      <c r="A69" s="13" t="n">
        <f aca="false">Benchmark_RF!B70</f>
        <v>44197</v>
      </c>
      <c r="B69" s="28" t="n">
        <f aca="false">S_Top2_Annual!P70</f>
        <v>3.39198966608205</v>
      </c>
      <c r="C69" s="28" t="n">
        <f aca="false">S_Top2_SemiAnnual!P70</f>
        <v>1.46377393558292</v>
      </c>
      <c r="D69" s="28" t="n">
        <f aca="false">S_Top2_Quarterly!P70</f>
        <v>1.08929368702976</v>
      </c>
      <c r="E69" s="28" t="n">
        <f aca="false">S_Top3_Annual!P70</f>
        <v>3.47579177776153</v>
      </c>
      <c r="F69" s="28" t="n">
        <f aca="false">S_Top3_SemiAnnual!P70</f>
        <v>2.76725495184409</v>
      </c>
      <c r="G69" s="28" t="n">
        <f aca="false">S_Top3_Quarterly!P70</f>
        <v>1.67191528044719</v>
      </c>
      <c r="H69" s="28" t="n">
        <f aca="false">S_Top5_Annual!P70</f>
        <v>2.38390118594614</v>
      </c>
      <c r="I69" s="28" t="n">
        <f aca="false">S_Top5_SemiAnnual!P70</f>
        <v>2.06103524066103</v>
      </c>
      <c r="J69" s="28" t="n">
        <f aca="false">S_Top5_Quarterly!P70</f>
        <v>1.69917102024004</v>
      </c>
      <c r="K69" s="28" t="n">
        <f aca="false">Benchmark_RF!F70</f>
        <v>1.29780546546426</v>
      </c>
    </row>
    <row r="70" customFormat="false" ht="15" hidden="false" customHeight="true" outlineLevel="0" collapsed="false">
      <c r="A70" s="13" t="n">
        <f aca="false">Benchmark_RF!B71</f>
        <v>44228</v>
      </c>
      <c r="B70" s="28" t="n">
        <f aca="false">S_Top2_Annual!P71</f>
        <v>3.67572610119218</v>
      </c>
      <c r="C70" s="28" t="n">
        <f aca="false">S_Top2_SemiAnnual!P71</f>
        <v>1.40873336091089</v>
      </c>
      <c r="D70" s="28" t="n">
        <f aca="false">S_Top2_Quarterly!P71</f>
        <v>1.06051927421159</v>
      </c>
      <c r="E70" s="28" t="n">
        <f aca="false">S_Top3_Annual!P71</f>
        <v>3.66272963535116</v>
      </c>
      <c r="F70" s="28" t="n">
        <f aca="false">S_Top3_SemiAnnual!P71</f>
        <v>2.55872237774886</v>
      </c>
      <c r="G70" s="28" t="n">
        <f aca="false">S_Top3_Quarterly!P71</f>
        <v>1.60179978973654</v>
      </c>
      <c r="H70" s="28" t="n">
        <f aca="false">S_Top5_Annual!P71</f>
        <v>2.51037699104204</v>
      </c>
      <c r="I70" s="28" t="n">
        <f aca="false">S_Top5_SemiAnnual!P71</f>
        <v>1.99136648256102</v>
      </c>
      <c r="J70" s="28" t="n">
        <f aca="false">S_Top5_Quarterly!P71</f>
        <v>1.68265497782078</v>
      </c>
      <c r="K70" s="28" t="n">
        <f aca="false">Benchmark_RF!F71</f>
        <v>1.28324201097211</v>
      </c>
    </row>
    <row r="71" customFormat="false" ht="15" hidden="false" customHeight="true" outlineLevel="0" collapsed="false">
      <c r="A71" s="13" t="n">
        <f aca="false">Benchmark_RF!B72</f>
        <v>44256</v>
      </c>
      <c r="B71" s="28" t="n">
        <f aca="false">S_Top2_Annual!P72</f>
        <v>3.42880677659146</v>
      </c>
      <c r="C71" s="28" t="n">
        <f aca="false">S_Top2_SemiAnnual!P72</f>
        <v>1.34414522947344</v>
      </c>
      <c r="D71" s="28" t="n">
        <f aca="false">S_Top2_Quarterly!P72</f>
        <v>1.01189619182044</v>
      </c>
      <c r="E71" s="28" t="n">
        <f aca="false">S_Top3_Annual!P72</f>
        <v>3.44448899097537</v>
      </c>
      <c r="F71" s="28" t="n">
        <f aca="false">S_Top3_SemiAnnual!P72</f>
        <v>2.42880806371452</v>
      </c>
      <c r="G71" s="28" t="n">
        <f aca="false">S_Top3_Quarterly!P72</f>
        <v>1.52047141948676</v>
      </c>
      <c r="H71" s="28" t="n">
        <f aca="false">S_Top5_Annual!P72</f>
        <v>2.42629709309678</v>
      </c>
      <c r="I71" s="28" t="n">
        <f aca="false">S_Top5_SemiAnnual!P72</f>
        <v>1.89919506196809</v>
      </c>
      <c r="J71" s="28" t="n">
        <f aca="false">S_Top5_Quarterly!P72</f>
        <v>1.60477242780715</v>
      </c>
      <c r="K71" s="28" t="n">
        <f aca="false">Benchmark_RF!F72</f>
        <v>1.2475084999183</v>
      </c>
    </row>
    <row r="72" customFormat="false" ht="15" hidden="false" customHeight="true" outlineLevel="0" collapsed="false">
      <c r="A72" s="13" t="n">
        <f aca="false">Benchmark_RF!B73</f>
        <v>44287</v>
      </c>
      <c r="B72" s="28" t="n">
        <f aca="false">S_Top2_Annual!P73</f>
        <v>3.37154672023725</v>
      </c>
      <c r="C72" s="28" t="n">
        <f aca="false">S_Top2_SemiAnnual!P73</f>
        <v>1.28108271290497</v>
      </c>
      <c r="D72" s="28" t="n">
        <f aca="false">S_Top2_Quarterly!P73</f>
        <v>0.964421619160432</v>
      </c>
      <c r="E72" s="28" t="n">
        <f aca="false">S_Top3_Annual!P73</f>
        <v>3.2838910605087</v>
      </c>
      <c r="F72" s="28" t="n">
        <f aca="false">S_Top3_SemiAnnual!P73</f>
        <v>2.31047777140346</v>
      </c>
      <c r="G72" s="28" t="n">
        <f aca="false">S_Top3_Quarterly!P73</f>
        <v>1.44639482603074</v>
      </c>
      <c r="H72" s="28" t="n">
        <f aca="false">S_Top5_Annual!P73</f>
        <v>2.32542357682576</v>
      </c>
      <c r="I72" s="28" t="n">
        <f aca="false">S_Top5_SemiAnnual!P73</f>
        <v>1.86518160092422</v>
      </c>
      <c r="J72" s="28" t="n">
        <f aca="false">S_Top5_Quarterly!P73</f>
        <v>1.57603190212312</v>
      </c>
      <c r="K72" s="28" t="n">
        <f aca="false">Benchmark_RF!F73</f>
        <v>1.23840144459441</v>
      </c>
    </row>
    <row r="73" customFormat="false" ht="15" hidden="false" customHeight="true" outlineLevel="0" collapsed="false">
      <c r="A73" s="13" t="n">
        <f aca="false">Benchmark_RF!B74</f>
        <v>44317</v>
      </c>
      <c r="B73" s="28" t="n">
        <f aca="false">S_Top2_Annual!P74</f>
        <v>3.5983830442764</v>
      </c>
      <c r="C73" s="28" t="n">
        <f aca="false">S_Top2_SemiAnnual!P74</f>
        <v>1.34071171668843</v>
      </c>
      <c r="D73" s="28" t="n">
        <f aca="false">S_Top2_Quarterly!P74</f>
        <v>1.00045944066858</v>
      </c>
      <c r="E73" s="28" t="n">
        <f aca="false">S_Top3_Annual!P74</f>
        <v>3.51353297197385</v>
      </c>
      <c r="F73" s="28" t="n">
        <f aca="false">S_Top3_SemiAnnual!P74</f>
        <v>2.39634781997548</v>
      </c>
      <c r="G73" s="28" t="n">
        <f aca="false">S_Top3_Quarterly!P74</f>
        <v>1.51532269115158</v>
      </c>
      <c r="H73" s="28" t="n">
        <f aca="false">S_Top5_Annual!P74</f>
        <v>2.46268247408579</v>
      </c>
      <c r="I73" s="28" t="n">
        <f aca="false">S_Top5_SemiAnnual!P74</f>
        <v>1.94151709648875</v>
      </c>
      <c r="J73" s="28" t="n">
        <f aca="false">S_Top5_Quarterly!P74</f>
        <v>1.6435812692415</v>
      </c>
      <c r="K73" s="28" t="n">
        <f aca="false">Benchmark_RF!F74</f>
        <v>1.34007563192612</v>
      </c>
    </row>
    <row r="74" customFormat="false" ht="15" hidden="false" customHeight="true" outlineLevel="0" collapsed="false">
      <c r="A74" s="13" t="n">
        <f aca="false">Benchmark_RF!B75</f>
        <v>44348</v>
      </c>
      <c r="B74" s="28" t="n">
        <f aca="false">S_Top2_Annual!P75</f>
        <v>3.41483020247802</v>
      </c>
      <c r="C74" s="28" t="n">
        <f aca="false">S_Top2_SemiAnnual!P75</f>
        <v>1.31742486578928</v>
      </c>
      <c r="D74" s="28" t="n">
        <f aca="false">S_Top2_Quarterly!P75</f>
        <v>0.974350248603191</v>
      </c>
      <c r="E74" s="28" t="n">
        <f aca="false">S_Top3_Annual!P75</f>
        <v>3.37567253539508</v>
      </c>
      <c r="F74" s="28" t="n">
        <f aca="false">S_Top3_SemiAnnual!P75</f>
        <v>2.34453995805192</v>
      </c>
      <c r="G74" s="28" t="n">
        <f aca="false">S_Top3_Quarterly!P75</f>
        <v>1.48103309446173</v>
      </c>
      <c r="H74" s="28" t="n">
        <f aca="false">S_Top5_Annual!P75</f>
        <v>2.3982420431653</v>
      </c>
      <c r="I74" s="28" t="n">
        <f aca="false">S_Top5_SemiAnnual!P75</f>
        <v>1.90162285712536</v>
      </c>
      <c r="J74" s="28" t="n">
        <f aca="false">S_Top5_Quarterly!P75</f>
        <v>1.61695242573216</v>
      </c>
      <c r="K74" s="28" t="n">
        <f aca="false">Benchmark_RF!F75</f>
        <v>1.3249581998751</v>
      </c>
    </row>
    <row r="75" customFormat="false" ht="15" hidden="false" customHeight="true" outlineLevel="0" collapsed="false">
      <c r="A75" s="13" t="n">
        <f aca="false">Benchmark_RF!B76</f>
        <v>44378</v>
      </c>
      <c r="B75" s="28" t="n">
        <f aca="false">S_Top2_Annual!P76</f>
        <v>3.46108294305973</v>
      </c>
      <c r="C75" s="28" t="n">
        <f aca="false">S_Top2_SemiAnnual!P76</f>
        <v>1.30748169954493</v>
      </c>
      <c r="D75" s="28" t="n">
        <f aca="false">S_Top2_Quarterly!P76</f>
        <v>0.967045838281034</v>
      </c>
      <c r="E75" s="28" t="n">
        <f aca="false">S_Top3_Annual!P76</f>
        <v>3.35008787710888</v>
      </c>
      <c r="F75" s="28" t="n">
        <f aca="false">S_Top3_SemiAnnual!P76</f>
        <v>2.33628663828026</v>
      </c>
      <c r="G75" s="28" t="n">
        <f aca="false">S_Top3_Quarterly!P76</f>
        <v>1.44903284647728</v>
      </c>
      <c r="H75" s="28" t="n">
        <f aca="false">S_Top5_Annual!P76</f>
        <v>2.42428555566959</v>
      </c>
      <c r="I75" s="28" t="n">
        <f aca="false">S_Top5_SemiAnnual!P76</f>
        <v>1.92638570472063</v>
      </c>
      <c r="J75" s="28" t="n">
        <f aca="false">S_Top5_Quarterly!P76</f>
        <v>1.62090243232731</v>
      </c>
      <c r="K75" s="28" t="n">
        <f aca="false">Benchmark_RF!F76</f>
        <v>1.3165441760731</v>
      </c>
    </row>
    <row r="76" customFormat="false" ht="15" hidden="false" customHeight="true" outlineLevel="0" collapsed="false">
      <c r="A76" s="13" t="n">
        <f aca="false">Benchmark_RF!B77</f>
        <v>44409</v>
      </c>
      <c r="B76" s="28" t="n">
        <f aca="false">S_Top2_Annual!P77</f>
        <v>3.79810975816434</v>
      </c>
      <c r="C76" s="28" t="n">
        <f aca="false">S_Top2_SemiAnnual!P77</f>
        <v>1.46385497031051</v>
      </c>
      <c r="D76" s="28" t="n">
        <f aca="false">S_Top2_Quarterly!P77</f>
        <v>1.082308677193</v>
      </c>
      <c r="E76" s="28" t="n">
        <f aca="false">S_Top3_Annual!P77</f>
        <v>3.48077086106842</v>
      </c>
      <c r="F76" s="28" t="n">
        <f aca="false">S_Top3_SemiAnnual!P77</f>
        <v>2.51219348635967</v>
      </c>
      <c r="G76" s="28" t="n">
        <f aca="false">S_Top3_Quarterly!P77</f>
        <v>1.55773895929935</v>
      </c>
      <c r="H76" s="28" t="n">
        <f aca="false">S_Top5_Annual!P77</f>
        <v>2.45104274836044</v>
      </c>
      <c r="I76" s="28" t="n">
        <f aca="false">S_Top5_SemiAnnual!P77</f>
        <v>2.02646187416621</v>
      </c>
      <c r="J76" s="28" t="n">
        <f aca="false">S_Top5_Quarterly!P77</f>
        <v>1.6981864742709</v>
      </c>
      <c r="K76" s="28" t="n">
        <f aca="false">Benchmark_RF!F77</f>
        <v>1.32674100038275</v>
      </c>
    </row>
    <row r="77" customFormat="false" ht="15" hidden="false" customHeight="true" outlineLevel="0" collapsed="false">
      <c r="A77" s="13" t="n">
        <f aca="false">Benchmark_RF!B78</f>
        <v>44440</v>
      </c>
      <c r="B77" s="28" t="n">
        <f aca="false">S_Top2_Annual!P78</f>
        <v>3.74401154143652</v>
      </c>
      <c r="C77" s="28" t="n">
        <f aca="false">S_Top2_SemiAnnual!P78</f>
        <v>1.44300461355825</v>
      </c>
      <c r="D77" s="28" t="n">
        <f aca="false">S_Top2_Quarterly!P78</f>
        <v>1.06689285903258</v>
      </c>
      <c r="E77" s="28" t="n">
        <f aca="false">S_Top3_Annual!P78</f>
        <v>3.3326932448893</v>
      </c>
      <c r="F77" s="28" t="n">
        <f aca="false">S_Top3_SemiAnnual!P78</f>
        <v>2.40532071659434</v>
      </c>
      <c r="G77" s="28" t="n">
        <f aca="false">S_Top3_Quarterly!P78</f>
        <v>1.49147022719109</v>
      </c>
      <c r="H77" s="28" t="n">
        <f aca="false">S_Top5_Annual!P78</f>
        <v>2.29649858029509</v>
      </c>
      <c r="I77" s="28" t="n">
        <f aca="false">S_Top5_SemiAnnual!P78</f>
        <v>1.89868855619016</v>
      </c>
      <c r="J77" s="28" t="n">
        <f aca="false">S_Top5_Quarterly!P78</f>
        <v>1.59111171351385</v>
      </c>
      <c r="K77" s="28" t="n">
        <f aca="false">Benchmark_RF!F78</f>
        <v>1.25623084860409</v>
      </c>
    </row>
    <row r="78" customFormat="false" ht="15" hidden="false" customHeight="true" outlineLevel="0" collapsed="false">
      <c r="A78" s="13" t="n">
        <f aca="false">Benchmark_RF!B79</f>
        <v>44470</v>
      </c>
      <c r="B78" s="28" t="n">
        <f aca="false">S_Top2_Annual!P79</f>
        <v>3.78636374171625</v>
      </c>
      <c r="C78" s="28" t="n">
        <f aca="false">S_Top2_SemiAnnual!P79</f>
        <v>1.45932785928589</v>
      </c>
      <c r="D78" s="28" t="n">
        <f aca="false">S_Top2_Quarterly!P79</f>
        <v>1.07896153444735</v>
      </c>
      <c r="E78" s="28" t="n">
        <f aca="false">S_Top3_Annual!P79</f>
        <v>3.38373824959018</v>
      </c>
      <c r="F78" s="28" t="n">
        <f aca="false">S_Top3_SemiAnnual!P79</f>
        <v>2.44216167322122</v>
      </c>
      <c r="G78" s="28" t="n">
        <f aca="false">S_Top3_Quarterly!P79</f>
        <v>1.51431424527615</v>
      </c>
      <c r="H78" s="28" t="n">
        <f aca="false">S_Top5_Annual!P79</f>
        <v>2.43813019867781</v>
      </c>
      <c r="I78" s="28" t="n">
        <f aca="false">S_Top5_SemiAnnual!P79</f>
        <v>2.01578609560314</v>
      </c>
      <c r="J78" s="28" t="n">
        <f aca="false">S_Top5_Quarterly!P79</f>
        <v>1.68924011165277</v>
      </c>
      <c r="K78" s="28" t="n">
        <f aca="false">Benchmark_RF!F79</f>
        <v>1.293143940157</v>
      </c>
    </row>
    <row r="79" customFormat="false" ht="15" hidden="false" customHeight="true" outlineLevel="0" collapsed="false">
      <c r="A79" s="13" t="n">
        <f aca="false">Benchmark_RF!B80</f>
        <v>44501</v>
      </c>
      <c r="B79" s="28" t="n">
        <f aca="false">S_Top2_Annual!P80</f>
        <v>3.93322128249619</v>
      </c>
      <c r="C79" s="28" t="n">
        <f aca="false">S_Top2_SemiAnnual!P80</f>
        <v>1.51592920961185</v>
      </c>
      <c r="D79" s="28" t="n">
        <f aca="false">S_Top2_Quarterly!P80</f>
        <v>0.973777783893008</v>
      </c>
      <c r="E79" s="28" t="n">
        <f aca="false">S_Top3_Annual!P80</f>
        <v>3.46266271723973</v>
      </c>
      <c r="F79" s="28" t="n">
        <f aca="false">S_Top3_SemiAnnual!P80</f>
        <v>2.49912420866452</v>
      </c>
      <c r="G79" s="28" t="n">
        <f aca="false">S_Top3_Quarterly!P80</f>
        <v>1.48035731816576</v>
      </c>
      <c r="H79" s="28" t="n">
        <f aca="false">S_Top5_Annual!P80</f>
        <v>2.40750478964645</v>
      </c>
      <c r="I79" s="28" t="n">
        <f aca="false">S_Top5_SemiAnnual!P80</f>
        <v>1.99046576048278</v>
      </c>
      <c r="J79" s="28" t="n">
        <f aca="false">S_Top5_Quarterly!P80</f>
        <v>1.67174723551311</v>
      </c>
      <c r="K79" s="28" t="n">
        <f aca="false">Benchmark_RF!F80</f>
        <v>1.26106500227187</v>
      </c>
    </row>
    <row r="80" customFormat="false" ht="15" hidden="false" customHeight="true" outlineLevel="0" collapsed="false">
      <c r="A80" s="13" t="n">
        <f aca="false">Benchmark_RF!B81</f>
        <v>44531</v>
      </c>
      <c r="B80" s="28" t="n">
        <f aca="false">S_Top2_Annual!P81</f>
        <v>3.69105743884698</v>
      </c>
      <c r="C80" s="28" t="n">
        <f aca="false">S_Top2_SemiAnnual!P81</f>
        <v>1.42259521751397</v>
      </c>
      <c r="D80" s="28" t="n">
        <f aca="false">S_Top2_Quarterly!P81</f>
        <v>0.956627388785289</v>
      </c>
      <c r="E80" s="28" t="n">
        <f aca="false">S_Top3_Annual!P81</f>
        <v>3.33820823200966</v>
      </c>
      <c r="F80" s="28" t="n">
        <f aca="false">S_Top3_SemiAnnual!P81</f>
        <v>2.40930107476042</v>
      </c>
      <c r="G80" s="28" t="n">
        <f aca="false">S_Top3_Quarterly!P81</f>
        <v>1.4136851276437</v>
      </c>
      <c r="H80" s="28" t="n">
        <f aca="false">S_Top5_Annual!P81</f>
        <v>2.31576922047061</v>
      </c>
      <c r="I80" s="28" t="n">
        <f aca="false">S_Top5_SemiAnnual!P81</f>
        <v>1.91462104762981</v>
      </c>
      <c r="J80" s="28" t="n">
        <f aca="false">S_Top5_Quarterly!P81</f>
        <v>1.62526317922306</v>
      </c>
      <c r="K80" s="28" t="n">
        <f aca="false">Benchmark_RF!F81</f>
        <v>1.24773848454123</v>
      </c>
    </row>
    <row r="81" customFormat="false" ht="15" hidden="false" customHeight="true" outlineLevel="0" collapsed="false">
      <c r="A81" s="13" t="n">
        <f aca="false">Benchmark_RF!B82</f>
        <v>44562</v>
      </c>
      <c r="B81" s="28" t="n">
        <f aca="false">S_Top2_Annual!P82</f>
        <v>3.82518970830138</v>
      </c>
      <c r="C81" s="28" t="n">
        <f aca="false">S_Top2_SemiAnnual!P82</f>
        <v>1.47429203562139</v>
      </c>
      <c r="D81" s="28" t="n">
        <f aca="false">S_Top2_Quarterly!P82</f>
        <v>0.938114121869784</v>
      </c>
      <c r="E81" s="28" t="n">
        <f aca="false">S_Top3_Annual!P82</f>
        <v>3.42940845012027</v>
      </c>
      <c r="F81" s="28" t="n">
        <f aca="false">S_Top3_SemiAnnual!P82</f>
        <v>2.47512344659611</v>
      </c>
      <c r="G81" s="28" t="n">
        <f aca="false">S_Top3_Quarterly!P82</f>
        <v>1.40557256278841</v>
      </c>
      <c r="H81" s="28" t="n">
        <f aca="false">S_Top5_Annual!P82</f>
        <v>2.34409778189149</v>
      </c>
      <c r="I81" s="28" t="n">
        <f aca="false">S_Top5_SemiAnnual!P82</f>
        <v>1.93804240562439</v>
      </c>
      <c r="J81" s="28" t="n">
        <f aca="false">S_Top5_Quarterly!P82</f>
        <v>1.65375260120854</v>
      </c>
      <c r="K81" s="28" t="n">
        <f aca="false">Benchmark_RF!F82</f>
        <v>1.26952295257728</v>
      </c>
    </row>
    <row r="82" customFormat="false" ht="15" hidden="false" customHeight="true" outlineLevel="0" collapsed="false">
      <c r="A82" s="13" t="n">
        <f aca="false">Benchmark_RF!B83</f>
        <v>44593</v>
      </c>
      <c r="B82" s="28" t="n">
        <f aca="false">S_Top2_Annual!P83</f>
        <v>3.81551586442315</v>
      </c>
      <c r="C82" s="28" t="n">
        <f aca="false">S_Top2_SemiAnnual!P83</f>
        <v>1.3837564194915</v>
      </c>
      <c r="D82" s="28" t="n">
        <f aca="false">S_Top2_Quarterly!P83</f>
        <v>0.898457838117731</v>
      </c>
      <c r="E82" s="28" t="n">
        <f aca="false">S_Top3_Annual!P83</f>
        <v>3.43860552928337</v>
      </c>
      <c r="F82" s="28" t="n">
        <f aca="false">S_Top3_SemiAnnual!P83</f>
        <v>2.392040316897</v>
      </c>
      <c r="G82" s="28" t="n">
        <f aca="false">S_Top3_Quarterly!P83</f>
        <v>1.37092052411607</v>
      </c>
      <c r="H82" s="28" t="n">
        <f aca="false">S_Top5_Annual!P83</f>
        <v>2.33347349015692</v>
      </c>
      <c r="I82" s="28" t="n">
        <f aca="false">S_Top5_SemiAnnual!P83</f>
        <v>1.91906117400986</v>
      </c>
      <c r="J82" s="28" t="n">
        <f aca="false">S_Top5_Quarterly!P83</f>
        <v>1.63905675714168</v>
      </c>
      <c r="K82" s="28" t="n">
        <f aca="false">Benchmark_RF!F83</f>
        <v>1.24395968610177</v>
      </c>
    </row>
    <row r="83" customFormat="false" ht="15" hidden="false" customHeight="true" outlineLevel="0" collapsed="false">
      <c r="A83" s="13" t="n">
        <f aca="false">Benchmark_RF!B84</f>
        <v>44621</v>
      </c>
      <c r="B83" s="28" t="n">
        <f aca="false">S_Top2_Annual!P84</f>
        <v>3.55592841839254</v>
      </c>
      <c r="C83" s="28" t="n">
        <f aca="false">S_Top2_SemiAnnual!P84</f>
        <v>1.27190005451596</v>
      </c>
      <c r="D83" s="28" t="n">
        <f aca="false">S_Top2_Quarterly!P84</f>
        <v>0.825830729444542</v>
      </c>
      <c r="E83" s="28" t="n">
        <f aca="false">S_Top3_Annual!P84</f>
        <v>3.21749084643851</v>
      </c>
      <c r="F83" s="28" t="n">
        <f aca="false">S_Top3_SemiAnnual!P84</f>
        <v>2.21481255252502</v>
      </c>
      <c r="G83" s="28" t="n">
        <f aca="false">S_Top3_Quarterly!P84</f>
        <v>1.26934816435922</v>
      </c>
      <c r="H83" s="28" t="n">
        <f aca="false">S_Top5_Annual!P84</f>
        <v>2.1879965582041</v>
      </c>
      <c r="I83" s="28" t="n">
        <f aca="false">S_Top5_SemiAnnual!P84</f>
        <v>1.8361062575395</v>
      </c>
      <c r="J83" s="28" t="n">
        <f aca="false">S_Top5_Quarterly!P84</f>
        <v>1.5682055418598</v>
      </c>
      <c r="K83" s="28" t="n">
        <f aca="false">Benchmark_RF!F84</f>
        <v>1.25704866497004</v>
      </c>
    </row>
    <row r="84" customFormat="false" ht="15" hidden="false" customHeight="true" outlineLevel="0" collapsed="false">
      <c r="A84" s="13" t="n">
        <f aca="false">Benchmark_RF!B85</f>
        <v>44652</v>
      </c>
      <c r="B84" s="28" t="n">
        <f aca="false">S_Top2_Annual!P85</f>
        <v>3.74863272051472</v>
      </c>
      <c r="C84" s="28" t="n">
        <f aca="false">S_Top2_SemiAnnual!P85</f>
        <v>1.28582333658057</v>
      </c>
      <c r="D84" s="28" t="n">
        <f aca="false">S_Top2_Quarterly!P85</f>
        <v>0.834870963496624</v>
      </c>
      <c r="E84" s="28" t="n">
        <f aca="false">S_Top3_Annual!P85</f>
        <v>3.35269833897165</v>
      </c>
      <c r="F84" s="28" t="n">
        <f aca="false">S_Top3_SemiAnnual!P85</f>
        <v>2.28195111946892</v>
      </c>
      <c r="G84" s="28" t="n">
        <f aca="false">S_Top3_Quarterly!P85</f>
        <v>1.30782646204215</v>
      </c>
      <c r="H84" s="28" t="n">
        <f aca="false">S_Top5_Annual!P85</f>
        <v>2.2313724929918</v>
      </c>
      <c r="I84" s="28" t="n">
        <f aca="false">S_Top5_SemiAnnual!P85</f>
        <v>1.84154072060151</v>
      </c>
      <c r="J84" s="28" t="n">
        <f aca="false">S_Top5_Quarterly!P85</f>
        <v>1.57284707883833</v>
      </c>
      <c r="K84" s="28" t="n">
        <f aca="false">Benchmark_RF!F85</f>
        <v>1.26601806526415</v>
      </c>
    </row>
    <row r="85" customFormat="false" ht="15" hidden="false" customHeight="true" outlineLevel="0" collapsed="false">
      <c r="A85" s="13" t="n">
        <f aca="false">Benchmark_RF!B86</f>
        <v>44682</v>
      </c>
      <c r="B85" s="28" t="n">
        <f aca="false">S_Top2_Annual!P86</f>
        <v>3.40993759038798</v>
      </c>
      <c r="C85" s="28" t="n">
        <f aca="false">S_Top2_SemiAnnual!P86</f>
        <v>1.18123763290733</v>
      </c>
      <c r="D85" s="28" t="n">
        <f aca="false">S_Top2_Quarterly!P86</f>
        <v>0.73467071707672</v>
      </c>
      <c r="E85" s="28" t="n">
        <f aca="false">S_Top3_Annual!P86</f>
        <v>3.09883516190643</v>
      </c>
      <c r="F85" s="28" t="n">
        <f aca="false">S_Top3_SemiAnnual!P86</f>
        <v>2.11069776277956</v>
      </c>
      <c r="G85" s="28" t="n">
        <f aca="false">S_Top3_Quarterly!P86</f>
        <v>1.17988110825024</v>
      </c>
      <c r="H85" s="28" t="n">
        <f aca="false">S_Top5_Annual!P86</f>
        <v>2.05205966011539</v>
      </c>
      <c r="I85" s="28" t="n">
        <f aca="false">S_Top5_SemiAnnual!P86</f>
        <v>1.66580845190539</v>
      </c>
      <c r="J85" s="28" t="n">
        <f aca="false">S_Top5_Quarterly!P86</f>
        <v>1.42118252735991</v>
      </c>
      <c r="K85" s="28" t="n">
        <f aca="false">Benchmark_RF!F86</f>
        <v>1.20526883020084</v>
      </c>
    </row>
    <row r="86" customFormat="false" ht="15" hidden="false" customHeight="true" outlineLevel="0" collapsed="false">
      <c r="A86" s="13" t="n">
        <f aca="false">Benchmark_RF!B87</f>
        <v>44713</v>
      </c>
      <c r="B86" s="28" t="n">
        <f aca="false">S_Top2_Annual!P87</f>
        <v>3.03871451786778</v>
      </c>
      <c r="C86" s="28" t="n">
        <f aca="false">S_Top2_SemiAnnual!P87</f>
        <v>1.12055637184298</v>
      </c>
      <c r="D86" s="28" t="n">
        <f aca="false">S_Top2_Quarterly!P87</f>
        <v>0.668978715503501</v>
      </c>
      <c r="E86" s="28" t="n">
        <f aca="false">S_Top3_Annual!P87</f>
        <v>2.85126780649112</v>
      </c>
      <c r="F86" s="28" t="n">
        <f aca="false">S_Top3_SemiAnnual!P87</f>
        <v>1.93787742109978</v>
      </c>
      <c r="G86" s="28" t="n">
        <f aca="false">S_Top3_Quarterly!P87</f>
        <v>1.1009175233296</v>
      </c>
      <c r="H86" s="28" t="n">
        <f aca="false">S_Top5_Annual!P87</f>
        <v>1.95288075132084</v>
      </c>
      <c r="I86" s="28" t="n">
        <f aca="false">S_Top5_SemiAnnual!P87</f>
        <v>1.58065426453092</v>
      </c>
      <c r="J86" s="28" t="n">
        <f aca="false">S_Top5_Quarterly!P87</f>
        <v>1.36355052921453</v>
      </c>
      <c r="K86" s="28" t="n">
        <f aca="false">Benchmark_RF!F87</f>
        <v>1.16225694934071</v>
      </c>
    </row>
    <row r="87" customFormat="false" ht="15" hidden="false" customHeight="true" outlineLevel="0" collapsed="false">
      <c r="A87" s="13" t="n">
        <f aca="false">Benchmark_RF!B88</f>
        <v>44743</v>
      </c>
      <c r="B87" s="28" t="n">
        <f aca="false">S_Top2_Annual!P88</f>
        <v>3.10678479586309</v>
      </c>
      <c r="C87" s="28" t="n">
        <f aca="false">S_Top2_SemiAnnual!P88</f>
        <v>1.11779495333393</v>
      </c>
      <c r="D87" s="28" t="n">
        <f aca="false">S_Top2_Quarterly!P88</f>
        <v>0.65434629510823</v>
      </c>
      <c r="E87" s="28" t="n">
        <f aca="false">S_Top3_Annual!P88</f>
        <v>2.91215845027251</v>
      </c>
      <c r="F87" s="28" t="n">
        <f aca="false">S_Top3_SemiAnnual!P88</f>
        <v>1.96886442491006</v>
      </c>
      <c r="G87" s="28" t="n">
        <f aca="false">S_Top3_Quarterly!P88</f>
        <v>1.09193379555</v>
      </c>
      <c r="H87" s="28" t="n">
        <f aca="false">S_Top5_Annual!P88</f>
        <v>1.95878100045469</v>
      </c>
      <c r="I87" s="28" t="n">
        <f aca="false">S_Top5_SemiAnnual!P88</f>
        <v>1.53022026371815</v>
      </c>
      <c r="J87" s="28" t="n">
        <f aca="false">S_Top5_Quarterly!P88</f>
        <v>1.343522414355</v>
      </c>
      <c r="K87" s="28" t="n">
        <f aca="false">Benchmark_RF!F88</f>
        <v>1.12335345558891</v>
      </c>
    </row>
    <row r="88" customFormat="false" ht="15" hidden="false" customHeight="true" outlineLevel="0" collapsed="false">
      <c r="A88" s="13" t="n">
        <f aca="false">Benchmark_RF!B89</f>
        <v>44774</v>
      </c>
      <c r="B88" s="28" t="n">
        <f aca="false">S_Top2_Annual!P89</f>
        <v>3.59911761766999</v>
      </c>
      <c r="C88" s="28" t="n">
        <f aca="false">S_Top2_SemiAnnual!P89</f>
        <v>1.29493214813069</v>
      </c>
      <c r="D88" s="28" t="n">
        <f aca="false">S_Top2_Quarterly!P89</f>
        <v>0.758040686280255</v>
      </c>
      <c r="E88" s="28" t="n">
        <f aca="false">S_Top3_Annual!P89</f>
        <v>3.33490447057804</v>
      </c>
      <c r="F88" s="28" t="n">
        <f aca="false">S_Top3_SemiAnnual!P89</f>
        <v>2.25467634564328</v>
      </c>
      <c r="G88" s="28" t="n">
        <f aca="false">S_Top3_Quarterly!P89</f>
        <v>1.25044531694839</v>
      </c>
      <c r="H88" s="28" t="n">
        <f aca="false">S_Top5_Annual!P89</f>
        <v>2.13433981030444</v>
      </c>
      <c r="I88" s="28" t="n">
        <f aca="false">S_Top5_SemiAnnual!P89</f>
        <v>1.66736864745475</v>
      </c>
      <c r="J88" s="28" t="n">
        <f aca="false">S_Top5_Quarterly!P89</f>
        <v>1.46393771142796</v>
      </c>
      <c r="K88" s="28" t="n">
        <f aca="false">Benchmark_RF!F89</f>
        <v>1.1849286208309</v>
      </c>
    </row>
    <row r="89" customFormat="false" ht="15" hidden="false" customHeight="true" outlineLevel="0" collapsed="false">
      <c r="A89" s="13" t="n">
        <f aca="false">Benchmark_RF!B90</f>
        <v>44805</v>
      </c>
      <c r="B89" s="28" t="n">
        <f aca="false">S_Top2_Annual!P90</f>
        <v>3.37400124183604</v>
      </c>
      <c r="C89" s="28" t="n">
        <f aca="false">S_Top2_SemiAnnual!P90</f>
        <v>1.21393717572221</v>
      </c>
      <c r="D89" s="28" t="n">
        <f aca="false">S_Top2_Quarterly!P90</f>
        <v>0.710627017109708</v>
      </c>
      <c r="E89" s="28" t="n">
        <f aca="false">S_Top3_Annual!P90</f>
        <v>3.09082585595096</v>
      </c>
      <c r="F89" s="28" t="n">
        <f aca="false">S_Top3_SemiAnnual!P90</f>
        <v>2.08965864161841</v>
      </c>
      <c r="G89" s="28" t="n">
        <f aca="false">S_Top3_Quarterly!P90</f>
        <v>1.15892636541009</v>
      </c>
      <c r="H89" s="28" t="n">
        <f aca="false">S_Top5_Annual!P90</f>
        <v>1.97402420094956</v>
      </c>
      <c r="I89" s="28" t="n">
        <f aca="false">S_Top5_SemiAnnual!P90</f>
        <v>1.54212841183463</v>
      </c>
      <c r="J89" s="28" t="n">
        <f aca="false">S_Top5_Quarterly!P90</f>
        <v>1.35397768297697</v>
      </c>
      <c r="K89" s="28" t="n">
        <f aca="false">Benchmark_RF!F90</f>
        <v>1.15072526294349</v>
      </c>
    </row>
    <row r="90" customFormat="false" ht="15" hidden="false" customHeight="true" outlineLevel="0" collapsed="false">
      <c r="A90" s="13" t="n">
        <f aca="false">Benchmark_RF!B91</f>
        <v>44835</v>
      </c>
      <c r="B90" s="28" t="n">
        <f aca="false">S_Top2_Annual!P91</f>
        <v>3.11268502083478</v>
      </c>
      <c r="C90" s="28" t="n">
        <f aca="false">S_Top2_SemiAnnual!P91</f>
        <v>1.11991780449043</v>
      </c>
      <c r="D90" s="28" t="n">
        <f aca="false">S_Top2_Quarterly!P91</f>
        <v>0.655588991530484</v>
      </c>
      <c r="E90" s="28" t="n">
        <f aca="false">S_Top3_Annual!P91</f>
        <v>2.89603329326753</v>
      </c>
      <c r="F90" s="28" t="n">
        <f aca="false">S_Top3_SemiAnnual!P91</f>
        <v>1.95796246043411</v>
      </c>
      <c r="G90" s="28" t="n">
        <f aca="false">S_Top3_Quarterly!P91</f>
        <v>1.08588755727246</v>
      </c>
      <c r="H90" s="28" t="n">
        <f aca="false">S_Top5_Annual!P91</f>
        <v>1.8970782932606</v>
      </c>
      <c r="I90" s="28" t="n">
        <f aca="false">S_Top5_SemiAnnual!P91</f>
        <v>1.48201746164239</v>
      </c>
      <c r="J90" s="28" t="n">
        <f aca="false">S_Top5_Quarterly!P91</f>
        <v>1.30120069992015</v>
      </c>
      <c r="K90" s="28" t="n">
        <f aca="false">Benchmark_RF!F91</f>
        <v>1.15453008154102</v>
      </c>
    </row>
    <row r="91" customFormat="false" ht="15" hidden="false" customHeight="true" outlineLevel="0" collapsed="false">
      <c r="A91" s="13" t="n">
        <f aca="false">Benchmark_RF!B92</f>
        <v>44866</v>
      </c>
      <c r="B91" s="28" t="n">
        <f aca="false">S_Top2_Annual!P92</f>
        <v>3.28242214676871</v>
      </c>
      <c r="C91" s="28" t="n">
        <f aca="false">S_Top2_SemiAnnual!P92</f>
        <v>1.1809877900958</v>
      </c>
      <c r="D91" s="28" t="n">
        <f aca="false">S_Top2_Quarterly!P92</f>
        <v>0.693164593827818</v>
      </c>
      <c r="E91" s="28" t="n">
        <f aca="false">S_Top3_Annual!P92</f>
        <v>3.03546658884983</v>
      </c>
      <c r="F91" s="28" t="n">
        <f aca="false">S_Top3_SemiAnnual!P92</f>
        <v>2.0522311137398</v>
      </c>
      <c r="G91" s="28" t="n">
        <f aca="false">S_Top3_Quarterly!P92</f>
        <v>1.11751582330098</v>
      </c>
      <c r="H91" s="28" t="n">
        <f aca="false">S_Top5_Annual!P92</f>
        <v>1.96201517919308</v>
      </c>
      <c r="I91" s="28" t="n">
        <f aca="false">S_Top5_SemiAnnual!P92</f>
        <v>1.53274683807272</v>
      </c>
      <c r="J91" s="28" t="n">
        <f aca="false">S_Top5_Quarterly!P92</f>
        <v>1.3225477721381</v>
      </c>
      <c r="K91" s="28" t="n">
        <f aca="false">Benchmark_RF!F92</f>
        <v>1.18485811459614</v>
      </c>
    </row>
    <row r="92" customFormat="false" ht="15" hidden="false" customHeight="true" outlineLevel="0" collapsed="false">
      <c r="A92" s="13" t="n">
        <f aca="false">Benchmark_RF!B93</f>
        <v>44896</v>
      </c>
      <c r="B92" s="28" t="n">
        <f aca="false">S_Top2_Annual!P93</f>
        <v>2.90282228650906</v>
      </c>
      <c r="C92" s="28" t="n">
        <f aca="false">S_Top2_SemiAnnual!P93</f>
        <v>1.04441096358065</v>
      </c>
      <c r="D92" s="28" t="n">
        <f aca="false">S_Top2_Quarterly!P93</f>
        <v>0.613274390289357</v>
      </c>
      <c r="E92" s="28" t="n">
        <f aca="false">S_Top3_Annual!P93</f>
        <v>2.70731024678262</v>
      </c>
      <c r="F92" s="28" t="n">
        <f aca="false">S_Top3_SemiAnnual!P93</f>
        <v>1.83036978348001</v>
      </c>
      <c r="G92" s="28" t="n">
        <f aca="false">S_Top3_Quarterly!P93</f>
        <v>1.01777280850218</v>
      </c>
      <c r="H92" s="28" t="n">
        <f aca="false">S_Top5_Annual!P93</f>
        <v>1.85260433992531</v>
      </c>
      <c r="I92" s="28" t="n">
        <f aca="false">S_Top5_SemiAnnual!P93</f>
        <v>1.44727394279802</v>
      </c>
      <c r="J92" s="28" t="n">
        <f aca="false">S_Top5_Quarterly!P93</f>
        <v>1.212015906498</v>
      </c>
      <c r="K92" s="28" t="n">
        <f aca="false">Benchmark_RF!F93</f>
        <v>1.13091021310789</v>
      </c>
    </row>
    <row r="93" customFormat="false" ht="15" hidden="false" customHeight="true" outlineLevel="0" collapsed="false">
      <c r="A93" s="13" t="n">
        <f aca="false">Benchmark_RF!B94</f>
        <v>44927</v>
      </c>
      <c r="B93" s="28" t="n">
        <f aca="false">S_Top2_Annual!P94</f>
        <v>2.7734080853278</v>
      </c>
      <c r="C93" s="28" t="n">
        <f aca="false">S_Top2_SemiAnnual!P94</f>
        <v>0.997848826041297</v>
      </c>
      <c r="D93" s="28" t="n">
        <f aca="false">S_Top2_Quarterly!P94</f>
        <v>0.600280275610828</v>
      </c>
      <c r="E93" s="28" t="n">
        <f aca="false">S_Top3_Annual!P94</f>
        <v>2.56301987433719</v>
      </c>
      <c r="F93" s="28" t="n">
        <f aca="false">S_Top3_SemiAnnual!P94</f>
        <v>1.73281733706754</v>
      </c>
      <c r="G93" s="28" t="n">
        <f aca="false">S_Top3_Quarterly!P94</f>
        <v>0.997850241084819</v>
      </c>
      <c r="H93" s="28" t="n">
        <f aca="false">S_Top5_Annual!P94</f>
        <v>1.81847217583756</v>
      </c>
      <c r="I93" s="28" t="n">
        <f aca="false">S_Top5_SemiAnnual!P94</f>
        <v>1.42060953819152</v>
      </c>
      <c r="J93" s="28" t="n">
        <f aca="false">S_Top5_Quarterly!P94</f>
        <v>1.16052729172052</v>
      </c>
      <c r="K93" s="28" t="n">
        <f aca="false">Benchmark_RF!F94</f>
        <v>1.13797790356986</v>
      </c>
    </row>
    <row r="94" customFormat="false" ht="15" hidden="false" customHeight="true" outlineLevel="0" collapsed="false">
      <c r="A94" s="13" t="n">
        <f aca="false">Benchmark_RF!B95</f>
        <v>44958</v>
      </c>
      <c r="B94" s="28" t="n">
        <f aca="false">S_Top2_Annual!P95</f>
        <v>2.90987556323072</v>
      </c>
      <c r="C94" s="28" t="n">
        <f aca="false">S_Top2_SemiAnnual!P95</f>
        <v>0.977279236705818</v>
      </c>
      <c r="D94" s="28" t="n">
        <f aca="false">S_Top2_Quarterly!P95</f>
        <v>0.58790613793259</v>
      </c>
      <c r="E94" s="28" t="n">
        <f aca="false">S_Top3_Annual!P95</f>
        <v>2.66972512431968</v>
      </c>
      <c r="F94" s="28" t="n">
        <f aca="false">S_Top3_SemiAnnual!P95</f>
        <v>1.71131571819551</v>
      </c>
      <c r="G94" s="28" t="n">
        <f aca="false">S_Top3_Quarterly!P95</f>
        <v>0.985468442313418</v>
      </c>
      <c r="H94" s="28" t="n">
        <f aca="false">S_Top5_Annual!P95</f>
        <v>1.81979510448449</v>
      </c>
      <c r="I94" s="28" t="n">
        <f aca="false">S_Top5_SemiAnnual!P95</f>
        <v>1.42527905946438</v>
      </c>
      <c r="J94" s="28" t="n">
        <f aca="false">S_Top5_Quarterly!P95</f>
        <v>1.16434192672805</v>
      </c>
      <c r="K94" s="28" t="n">
        <f aca="false">Benchmark_RF!F95</f>
        <v>1.13342605462778</v>
      </c>
    </row>
    <row r="95" customFormat="false" ht="15" hidden="false" customHeight="true" outlineLevel="0" collapsed="false">
      <c r="A95" s="13" t="n">
        <f aca="false">Benchmark_RF!B96</f>
        <v>44986</v>
      </c>
      <c r="B95" s="28" t="n">
        <f aca="false">S_Top2_Annual!P96</f>
        <v>2.6920090620489</v>
      </c>
      <c r="C95" s="28" t="n">
        <f aca="false">S_Top2_SemiAnnual!P96</f>
        <v>1.00509551002718</v>
      </c>
      <c r="D95" s="28" t="n">
        <f aca="false">S_Top2_Quarterly!P96</f>
        <v>0.604639694940474</v>
      </c>
      <c r="E95" s="28" t="n">
        <f aca="false">S_Top3_Annual!P96</f>
        <v>2.53599910619313</v>
      </c>
      <c r="F95" s="28" t="n">
        <f aca="false">S_Top3_SemiAnnual!P96</f>
        <v>1.73206240953198</v>
      </c>
      <c r="G95" s="28" t="n">
        <f aca="false">S_Top3_Quarterly!P96</f>
        <v>0.997415512849337</v>
      </c>
      <c r="H95" s="28" t="n">
        <f aca="false">S_Top5_Annual!P96</f>
        <v>1.78934245626378</v>
      </c>
      <c r="I95" s="28" t="n">
        <f aca="false">S_Top5_SemiAnnual!P96</f>
        <v>1.43217285255191</v>
      </c>
      <c r="J95" s="28" t="n">
        <f aca="false">S_Top5_Quarterly!P96</f>
        <v>1.16997361848182</v>
      </c>
      <c r="K95" s="28" t="n">
        <f aca="false">Benchmark_RF!F96</f>
        <v>1.11916980587284</v>
      </c>
    </row>
    <row r="96" customFormat="false" ht="15" hidden="false" customHeight="true" outlineLevel="0" collapsed="false">
      <c r="A96" s="13" t="n">
        <f aca="false">Benchmark_RF!B97</f>
        <v>45017</v>
      </c>
      <c r="B96" s="28" t="n">
        <f aca="false">S_Top2_Annual!P97</f>
        <v>2.91866556075859</v>
      </c>
      <c r="C96" s="28" t="n">
        <f aca="false">S_Top2_SemiAnnual!P97</f>
        <v>1.05188206068215</v>
      </c>
      <c r="D96" s="28" t="n">
        <f aca="false">S_Top2_Quarterly!P97</f>
        <v>0.632785284521878</v>
      </c>
      <c r="E96" s="28" t="n">
        <f aca="false">S_Top3_Annual!P97</f>
        <v>2.7176290912622</v>
      </c>
      <c r="F96" s="28" t="n">
        <f aca="false">S_Top3_SemiAnnual!P97</f>
        <v>1.78152238527801</v>
      </c>
      <c r="G96" s="28" t="n">
        <f aca="false">S_Top3_Quarterly!P97</f>
        <v>1.02589725046038</v>
      </c>
      <c r="H96" s="28" t="n">
        <f aca="false">S_Top5_Annual!P97</f>
        <v>1.89684728892743</v>
      </c>
      <c r="I96" s="28" t="n">
        <f aca="false">S_Top5_SemiAnnual!P97</f>
        <v>1.46665857095467</v>
      </c>
      <c r="J96" s="28" t="n">
        <f aca="false">S_Top5_Quarterly!P97</f>
        <v>1.19814576311766</v>
      </c>
      <c r="K96" s="28" t="n">
        <f aca="false">Benchmark_RF!F97</f>
        <v>1.16337665549759</v>
      </c>
    </row>
    <row r="97" customFormat="false" ht="15" hidden="false" customHeight="true" outlineLevel="0" collapsed="false">
      <c r="A97" s="13" t="n">
        <f aca="false">Benchmark_RF!B98</f>
        <v>45047</v>
      </c>
      <c r="B97" s="28" t="n">
        <f aca="false">S_Top2_Annual!P98</f>
        <v>3.20053091604357</v>
      </c>
      <c r="C97" s="28" t="n">
        <f aca="false">S_Top2_SemiAnnual!P98</f>
        <v>0.980709839162023</v>
      </c>
      <c r="D97" s="28" t="n">
        <f aca="false">S_Top2_Quarterly!P98</f>
        <v>0.584049329504961</v>
      </c>
      <c r="E97" s="28" t="n">
        <f aca="false">S_Top3_Annual!P98</f>
        <v>2.79672704654661</v>
      </c>
      <c r="F97" s="28" t="n">
        <f aca="false">S_Top3_SemiAnnual!P98</f>
        <v>1.86958329999807</v>
      </c>
      <c r="G97" s="28" t="n">
        <f aca="false">S_Top3_Quarterly!P98</f>
        <v>0.961972537078988</v>
      </c>
      <c r="H97" s="28" t="n">
        <f aca="false">S_Top5_Annual!P98</f>
        <v>1.8695807722112</v>
      </c>
      <c r="I97" s="28" t="n">
        <f aca="false">S_Top5_SemiAnnual!P98</f>
        <v>1.50573502770009</v>
      </c>
      <c r="J97" s="28" t="n">
        <f aca="false">S_Top5_Quarterly!P98</f>
        <v>1.22057749453801</v>
      </c>
      <c r="K97" s="28" t="n">
        <f aca="false">Benchmark_RF!F98</f>
        <v>1.15657700064239</v>
      </c>
    </row>
    <row r="98" customFormat="false" ht="15" hidden="false" customHeight="true" outlineLevel="0" collapsed="false">
      <c r="A98" s="13" t="n">
        <f aca="false">Benchmark_RF!B99</f>
        <v>45078</v>
      </c>
      <c r="B98" s="28" t="n">
        <f aca="false">S_Top2_Annual!P99</f>
        <v>3.28796548711799</v>
      </c>
      <c r="C98" s="28" t="n">
        <f aca="false">S_Top2_SemiAnnual!P99</f>
        <v>0.954779817912534</v>
      </c>
      <c r="D98" s="28" t="n">
        <f aca="false">S_Top2_Quarterly!P99</f>
        <v>0.566901969117463</v>
      </c>
      <c r="E98" s="28" t="n">
        <f aca="false">S_Top3_Annual!P99</f>
        <v>2.81826744796036</v>
      </c>
      <c r="F98" s="28" t="n">
        <f aca="false">S_Top3_SemiAnnual!P99</f>
        <v>1.84327128720007</v>
      </c>
      <c r="G98" s="28" t="n">
        <f aca="false">S_Top3_Quarterly!P99</f>
        <v>0.936298306516247</v>
      </c>
      <c r="H98" s="28" t="n">
        <f aca="false">S_Top5_Annual!P99</f>
        <v>1.88538045981227</v>
      </c>
      <c r="I98" s="28" t="n">
        <f aca="false">S_Top5_SemiAnnual!P99</f>
        <v>1.47432685079631</v>
      </c>
      <c r="J98" s="28" t="n">
        <f aca="false">S_Top5_Quarterly!P99</f>
        <v>1.19213765752224</v>
      </c>
      <c r="K98" s="28" t="n">
        <f aca="false">Benchmark_RF!F99</f>
        <v>1.15979063005715</v>
      </c>
    </row>
    <row r="99" customFormat="false" ht="15" hidden="false" customHeight="true" outlineLevel="0" collapsed="false">
      <c r="A99" s="13" t="n">
        <f aca="false">Benchmark_RF!B100</f>
        <v>45108</v>
      </c>
      <c r="B99" s="28" t="n">
        <f aca="false">S_Top2_Annual!P100</f>
        <v>4.14794869555791</v>
      </c>
      <c r="C99" s="28" t="n">
        <f aca="false">S_Top2_SemiAnnual!P100</f>
        <v>1.24070127255995</v>
      </c>
      <c r="D99" s="28" t="n">
        <f aca="false">S_Top2_Quarterly!P100</f>
        <v>0.725671901272343</v>
      </c>
      <c r="E99" s="28" t="n">
        <f aca="false">S_Top3_Annual!P100</f>
        <v>3.81326254217776</v>
      </c>
      <c r="F99" s="28" t="n">
        <f aca="false">S_Top3_SemiAnnual!P100</f>
        <v>2.2913825615873</v>
      </c>
      <c r="G99" s="28" t="n">
        <f aca="false">S_Top3_Quarterly!P100</f>
        <v>1.13073994988632</v>
      </c>
      <c r="H99" s="28" t="n">
        <f aca="false">S_Top5_Annual!P100</f>
        <v>2.3932368614191</v>
      </c>
      <c r="I99" s="28" t="n">
        <f aca="false">S_Top5_SemiAnnual!P100</f>
        <v>1.77730149131922</v>
      </c>
      <c r="J99" s="28" t="n">
        <f aca="false">S_Top5_Quarterly!P100</f>
        <v>1.3722065507067</v>
      </c>
      <c r="K99" s="28" t="n">
        <f aca="false">Benchmark_RF!F100</f>
        <v>1.34394368230562</v>
      </c>
    </row>
    <row r="100" customFormat="false" ht="15" hidden="false" customHeight="true" outlineLevel="0" collapsed="false">
      <c r="A100" s="13" t="n">
        <f aca="false">Benchmark_RF!B101</f>
        <v>45139</v>
      </c>
      <c r="B100" s="28" t="n">
        <f aca="false">S_Top2_Annual!P101</f>
        <v>3.5305243366612</v>
      </c>
      <c r="C100" s="28" t="n">
        <f aca="false">S_Top2_SemiAnnual!P101</f>
        <v>1.07309735676761</v>
      </c>
      <c r="D100" s="28" t="n">
        <f aca="false">S_Top2_Quarterly!P101</f>
        <v>0.638155748807256</v>
      </c>
      <c r="E100" s="28" t="n">
        <f aca="false">S_Top3_Annual!P101</f>
        <v>3.35743384843046</v>
      </c>
      <c r="F100" s="28" t="n">
        <f aca="false">S_Top3_SemiAnnual!P101</f>
        <v>2.01303629820428</v>
      </c>
      <c r="G100" s="28" t="n">
        <f aca="false">S_Top3_Quarterly!P101</f>
        <v>1.03072272953574</v>
      </c>
      <c r="H100" s="28" t="n">
        <f aca="false">S_Top5_Annual!P101</f>
        <v>2.1712587125063</v>
      </c>
      <c r="I100" s="28" t="n">
        <f aca="false">S_Top5_SemiAnnual!P101</f>
        <v>1.6046456005764</v>
      </c>
      <c r="J100" s="28" t="n">
        <f aca="false">S_Top5_Quarterly!P101</f>
        <v>1.26068228240617</v>
      </c>
      <c r="K100" s="28" t="n">
        <f aca="false">Benchmark_RF!F101</f>
        <v>1.25910733511054</v>
      </c>
    </row>
    <row r="101" customFormat="false" ht="15" hidden="false" customHeight="true" outlineLevel="0" collapsed="false">
      <c r="A101" s="13" t="n">
        <f aca="false">Benchmark_RF!B102</f>
        <v>45170</v>
      </c>
      <c r="B101" s="28" t="n">
        <f aca="false">S_Top2_Annual!P102</f>
        <v>3.49654046875397</v>
      </c>
      <c r="C101" s="28" t="n">
        <f aca="false">S_Top2_SemiAnnual!P102</f>
        <v>1.06276801320657</v>
      </c>
      <c r="D101" s="28" t="n">
        <f aca="false">S_Top2_Quarterly!P102</f>
        <v>0.632013034976762</v>
      </c>
      <c r="E101" s="28" t="n">
        <f aca="false">S_Top3_Annual!P102</f>
        <v>3.36687671433589</v>
      </c>
      <c r="F101" s="28" t="n">
        <f aca="false">S_Top3_SemiAnnual!P102</f>
        <v>2.01869801268172</v>
      </c>
      <c r="G101" s="28" t="n">
        <f aca="false">S_Top3_Quarterly!P102</f>
        <v>1.03362166275679</v>
      </c>
      <c r="H101" s="28" t="n">
        <f aca="false">S_Top5_Annual!P102</f>
        <v>2.1583942642534</v>
      </c>
      <c r="I101" s="28" t="n">
        <f aca="false">S_Top5_SemiAnnual!P102</f>
        <v>1.59513826726142</v>
      </c>
      <c r="J101" s="28" t="n">
        <f aca="false">S_Top5_Quarterly!P102</f>
        <v>1.25321289062345</v>
      </c>
      <c r="K101" s="28" t="n">
        <f aca="false">Benchmark_RF!F102</f>
        <v>1.29352612871529</v>
      </c>
    </row>
    <row r="102" customFormat="false" ht="15" hidden="false" customHeight="true" outlineLevel="0" collapsed="false">
      <c r="A102" s="13" t="n">
        <f aca="false">Benchmark_RF!B103</f>
        <v>45200</v>
      </c>
      <c r="B102" s="28" t="n">
        <f aca="false">S_Top2_Annual!P103</f>
        <v>4.00482644596563</v>
      </c>
      <c r="C102" s="28" t="n">
        <f aca="false">S_Top2_SemiAnnual!P103</f>
        <v>1.21726074193924</v>
      </c>
      <c r="D102" s="28" t="n">
        <f aca="false">S_Top2_Quarterly!P103</f>
        <v>0.723887665333364</v>
      </c>
      <c r="E102" s="28" t="n">
        <f aca="false">S_Top3_Annual!P103</f>
        <v>3.73968792241272</v>
      </c>
      <c r="F102" s="28" t="n">
        <f aca="false">S_Top3_SemiAnnual!P103</f>
        <v>2.24222661461885</v>
      </c>
      <c r="G102" s="28" t="n">
        <f aca="false">S_Top3_Quarterly!P103</f>
        <v>1.14807365297846</v>
      </c>
      <c r="H102" s="28" t="n">
        <f aca="false">S_Top5_Annual!P103</f>
        <v>2.36644468648035</v>
      </c>
      <c r="I102" s="28" t="n">
        <f aca="false">S_Top5_SemiAnnual!P103</f>
        <v>1.74889571348448</v>
      </c>
      <c r="J102" s="28" t="n">
        <f aca="false">S_Top5_Quarterly!P103</f>
        <v>1.37401170636931</v>
      </c>
      <c r="K102" s="28" t="n">
        <f aca="false">Benchmark_RF!F103</f>
        <v>1.45422774409147</v>
      </c>
    </row>
    <row r="103" customFormat="false" ht="15" hidden="false" customHeight="true" outlineLevel="0" collapsed="false">
      <c r="A103" s="13" t="n">
        <f aca="false">Benchmark_RF!B104</f>
        <v>45231</v>
      </c>
      <c r="B103" s="28" t="n">
        <f aca="false">S_Top2_Annual!P104</f>
        <v>4.37259508168146</v>
      </c>
      <c r="C103" s="28" t="n">
        <f aca="false">S_Top2_SemiAnnual!P104</f>
        <v>1.32904344423946</v>
      </c>
      <c r="D103" s="28" t="n">
        <f aca="false">S_Top2_Quarterly!P104</f>
        <v>0.785296036244584</v>
      </c>
      <c r="E103" s="28" t="n">
        <f aca="false">S_Top3_Annual!P104</f>
        <v>4.07406566423053</v>
      </c>
      <c r="F103" s="28" t="n">
        <f aca="false">S_Top3_SemiAnnual!P104</f>
        <v>2.44271143784343</v>
      </c>
      <c r="G103" s="28" t="n">
        <f aca="false">S_Top3_Quarterly!P104</f>
        <v>1.24005024872949</v>
      </c>
      <c r="H103" s="28" t="n">
        <f aca="false">S_Top5_Annual!P104</f>
        <v>2.6104222616108</v>
      </c>
      <c r="I103" s="28" t="n">
        <f aca="false">S_Top5_SemiAnnual!P104</f>
        <v>1.92920473899</v>
      </c>
      <c r="J103" s="28" t="n">
        <f aca="false">S_Top5_Quarterly!P104</f>
        <v>1.50578143422097</v>
      </c>
      <c r="K103" s="28" t="n">
        <f aca="false">Benchmark_RF!F104</f>
        <v>1.69345819651767</v>
      </c>
    </row>
    <row r="104" customFormat="false" ht="15" hidden="false" customHeight="true" outlineLevel="0" collapsed="false">
      <c r="A104" s="13" t="n">
        <f aca="false">Benchmark_RF!B105</f>
        <v>45261</v>
      </c>
      <c r="B104" s="28" t="n">
        <f aca="false">S_Top2_Annual!P105</f>
        <v>4.45572118743883</v>
      </c>
      <c r="C104" s="28" t="n">
        <f aca="false">S_Top2_SemiAnnual!P105</f>
        <v>1.35430949422539</v>
      </c>
      <c r="D104" s="28" t="n">
        <f aca="false">S_Top2_Quarterly!P105</f>
        <v>0.80022506583463</v>
      </c>
      <c r="E104" s="28" t="n">
        <f aca="false">S_Top3_Annual!P105</f>
        <v>4.16432220622533</v>
      </c>
      <c r="F104" s="28" t="n">
        <f aca="false">S_Top3_SemiAnnual!P105</f>
        <v>2.49682708193002</v>
      </c>
      <c r="G104" s="28" t="n">
        <f aca="false">S_Top3_Quarterly!P105</f>
        <v>1.26752222796948</v>
      </c>
      <c r="H104" s="28" t="n">
        <f aca="false">S_Top5_Annual!P105</f>
        <v>2.8211986138567</v>
      </c>
      <c r="I104" s="28" t="n">
        <f aca="false">S_Top5_SemiAnnual!P105</f>
        <v>2.08497675472851</v>
      </c>
      <c r="J104" s="28" t="n">
        <f aca="false">S_Top5_Quarterly!P105</f>
        <v>1.62736449097472</v>
      </c>
      <c r="K104" s="28" t="n">
        <f aca="false">Benchmark_RF!F105</f>
        <v>1.74729670142736</v>
      </c>
    </row>
    <row r="105" customFormat="false" ht="15" hidden="false" customHeight="true" outlineLevel="0" collapsed="false">
      <c r="A105" s="13" t="n">
        <f aca="false">Benchmark_RF!B106</f>
        <v>45292</v>
      </c>
      <c r="B105" s="28" t="n">
        <f aca="false">S_Top2_Annual!P106</f>
        <v>4.5482625262083</v>
      </c>
      <c r="C105" s="28" t="n">
        <f aca="false">S_Top2_SemiAnnual!P106</f>
        <v>1.38243728957694</v>
      </c>
      <c r="D105" s="28" t="n">
        <f aca="false">S_Top2_Quarterly!P106</f>
        <v>0.816845023815392</v>
      </c>
      <c r="E105" s="28" t="n">
        <f aca="false">S_Top3_Annual!P106</f>
        <v>4.5057945619276</v>
      </c>
      <c r="F105" s="28" t="n">
        <f aca="false">S_Top3_SemiAnnual!P106</f>
        <v>2.70156566439929</v>
      </c>
      <c r="G105" s="28" t="n">
        <f aca="false">S_Top3_Quarterly!P106</f>
        <v>1.37145842206193</v>
      </c>
      <c r="H105" s="28" t="n">
        <f aca="false">S_Top5_Annual!P106</f>
        <v>3.05198718545975</v>
      </c>
      <c r="I105" s="28" t="n">
        <f aca="false">S_Top5_SemiAnnual!P106</f>
        <v>2.25553858780398</v>
      </c>
      <c r="J105" s="28" t="n">
        <f aca="false">S_Top5_Quarterly!P106</f>
        <v>1.76049128485052</v>
      </c>
      <c r="K105" s="28" t="n">
        <f aca="false">Benchmark_RF!F106</f>
        <v>1.73409468875415</v>
      </c>
    </row>
    <row r="106" customFormat="false" ht="15" hidden="false" customHeight="true" outlineLevel="0" collapsed="false">
      <c r="A106" s="13" t="n">
        <f aca="false">Benchmark_RF!B107</f>
        <v>45323</v>
      </c>
      <c r="B106" s="28" t="n">
        <f aca="false">S_Top2_Annual!P107</f>
        <v>4.92270957639058</v>
      </c>
      <c r="C106" s="28" t="n">
        <f aca="false">S_Top2_SemiAnnual!P107</f>
        <v>1.49702266811353</v>
      </c>
      <c r="D106" s="28" t="n">
        <f aca="false">S_Top2_Quarterly!P107</f>
        <v>0.882813573226275</v>
      </c>
      <c r="E106" s="28" t="n">
        <f aca="false">S_Top3_Annual!P107</f>
        <v>4.64497202344486</v>
      </c>
      <c r="F106" s="28" t="n">
        <f aca="false">S_Top3_SemiAnnual!P107</f>
        <v>3.44158739797958</v>
      </c>
      <c r="G106" s="28" t="n">
        <f aca="false">S_Top3_Quarterly!P107</f>
        <v>1.74393134287619</v>
      </c>
      <c r="H106" s="28" t="n">
        <f aca="false">S_Top5_Annual!P107</f>
        <v>3.26006939549414</v>
      </c>
      <c r="I106" s="28" t="n">
        <f aca="false">S_Top5_SemiAnnual!P107</f>
        <v>2.63357085893213</v>
      </c>
      <c r="J106" s="28" t="n">
        <f aca="false">S_Top5_Quarterly!P107</f>
        <v>2.0523316385716</v>
      </c>
      <c r="K106" s="28" t="n">
        <f aca="false">Benchmark_RF!F107</f>
        <v>1.8068207507683</v>
      </c>
    </row>
    <row r="107" customFormat="false" ht="15" hidden="false" customHeight="true" outlineLevel="0" collapsed="false">
      <c r="A107" s="13" t="n">
        <f aca="false">Benchmark_RF!B108</f>
        <v>45352</v>
      </c>
      <c r="B107" s="28" t="n">
        <f aca="false">S_Top2_Annual!P108</f>
        <v>5.11854601263728</v>
      </c>
      <c r="C107" s="28" t="n">
        <f aca="false">S_Top2_SemiAnnual!P108</f>
        <v>1.64923792694679</v>
      </c>
      <c r="D107" s="28" t="n">
        <f aca="false">S_Top2_Quarterly!P108</f>
        <v>0.972576874352159</v>
      </c>
      <c r="E107" s="28" t="n">
        <f aca="false">S_Top3_Annual!P108</f>
        <v>4.71935373720766</v>
      </c>
      <c r="F107" s="28" t="n">
        <f aca="false">S_Top3_SemiAnnual!P108</f>
        <v>3.76067940904108</v>
      </c>
      <c r="G107" s="28" t="n">
        <f aca="false">S_Top3_Quarterly!P108</f>
        <v>1.90562259025762</v>
      </c>
      <c r="H107" s="28" t="n">
        <f aca="false">S_Top5_Annual!P108</f>
        <v>3.34551909415081</v>
      </c>
      <c r="I107" s="28" t="n">
        <f aca="false">S_Top5_SemiAnnual!P108</f>
        <v>2.8314858132418</v>
      </c>
      <c r="J107" s="28" t="n">
        <f aca="false">S_Top5_Quarterly!P108</f>
        <v>2.2065660010527</v>
      </c>
      <c r="K107" s="28" t="n">
        <f aca="false">Benchmark_RF!F108</f>
        <v>1.87471349847461</v>
      </c>
    </row>
    <row r="108" customFormat="false" ht="15" hidden="false" customHeight="true" outlineLevel="0" collapsed="false">
      <c r="A108" s="13" t="n">
        <f aca="false">Benchmark_RF!B109</f>
        <v>45383</v>
      </c>
      <c r="B108" s="28" t="n">
        <f aca="false">S_Top2_Annual!P109</f>
        <v>5.58539420423869</v>
      </c>
      <c r="C108" s="28" t="n">
        <f aca="false">S_Top2_SemiAnnual!P109</f>
        <v>1.76928745106613</v>
      </c>
      <c r="D108" s="28" t="n">
        <f aca="false">S_Top2_Quarterly!P109</f>
        <v>1.04337162690287</v>
      </c>
      <c r="E108" s="28" t="n">
        <f aca="false">S_Top3_Annual!P109</f>
        <v>5.16381930489576</v>
      </c>
      <c r="F108" s="28" t="n">
        <f aca="false">S_Top3_SemiAnnual!P109</f>
        <v>4.95765372810492</v>
      </c>
      <c r="G108" s="28" t="n">
        <f aca="false">S_Top3_Quarterly!P109</f>
        <v>2.51215695659647</v>
      </c>
      <c r="H108" s="28" t="n">
        <f aca="false">S_Top5_Annual!P109</f>
        <v>3.63003200123086</v>
      </c>
      <c r="I108" s="28" t="n">
        <f aca="false">S_Top5_SemiAnnual!P109</f>
        <v>3.43478375180213</v>
      </c>
      <c r="J108" s="28" t="n">
        <f aca="false">S_Top5_Quarterly!P109</f>
        <v>2.67671376358317</v>
      </c>
      <c r="K108" s="28" t="n">
        <f aca="false">Benchmark_RF!F109</f>
        <v>1.98935439791033</v>
      </c>
    </row>
    <row r="109" customFormat="false" ht="15" hidden="false" customHeight="true" outlineLevel="0" collapsed="false">
      <c r="A109" s="13" t="n">
        <f aca="false">Benchmark_RF!B110</f>
        <v>45413</v>
      </c>
      <c r="B109" s="28" t="n">
        <f aca="false">S_Top2_Annual!P110</f>
        <v>5.48436343398155</v>
      </c>
      <c r="C109" s="28" t="n">
        <f aca="false">S_Top2_SemiAnnual!P110</f>
        <v>1.88557901205366</v>
      </c>
      <c r="D109" s="28" t="n">
        <f aca="false">S_Top2_Quarterly!P110</f>
        <v>1.0612446503739</v>
      </c>
      <c r="E109" s="28" t="n">
        <f aca="false">S_Top3_Annual!P110</f>
        <v>5.10412788422142</v>
      </c>
      <c r="F109" s="28" t="n">
        <f aca="false">S_Top3_SemiAnnual!P110</f>
        <v>5.37296193975735</v>
      </c>
      <c r="G109" s="28" t="n">
        <f aca="false">S_Top3_Quarterly!P110</f>
        <v>2.39159837999004</v>
      </c>
      <c r="H109" s="28" t="n">
        <f aca="false">S_Top5_Annual!P110</f>
        <v>3.63397069649275</v>
      </c>
      <c r="I109" s="28" t="n">
        <f aca="false">S_Top5_SemiAnnual!P110</f>
        <v>3.61446394674087</v>
      </c>
      <c r="J109" s="28" t="n">
        <f aca="false">S_Top5_Quarterly!P110</f>
        <v>2.62374123659906</v>
      </c>
      <c r="K109" s="28" t="n">
        <f aca="false">Benchmark_RF!F110</f>
        <v>2.12297854148341</v>
      </c>
    </row>
    <row r="110" customFormat="false" ht="15" hidden="false" customHeight="true" outlineLevel="0" collapsed="false">
      <c r="A110" s="13" t="n">
        <f aca="false">Benchmark_RF!B111</f>
        <v>45444</v>
      </c>
      <c r="B110" s="28" t="n">
        <f aca="false">S_Top2_Annual!P111</f>
        <v>6.15870467107402</v>
      </c>
      <c r="C110" s="28" t="n">
        <f aca="false">S_Top2_SemiAnnual!P111</f>
        <v>1.9969441818863</v>
      </c>
      <c r="D110" s="28" t="n">
        <f aca="false">S_Top2_Quarterly!P111</f>
        <v>1.12392337662582</v>
      </c>
      <c r="E110" s="28" t="n">
        <f aca="false">S_Top3_Annual!P111</f>
        <v>5.54097199855418</v>
      </c>
      <c r="F110" s="28" t="n">
        <f aca="false">S_Top3_SemiAnnual!P111</f>
        <v>5.69464720230137</v>
      </c>
      <c r="G110" s="28" t="n">
        <f aca="false">S_Top3_Quarterly!P111</f>
        <v>2.53478605959636</v>
      </c>
      <c r="H110" s="28" t="n">
        <f aca="false">S_Top5_Annual!P111</f>
        <v>3.82503509380429</v>
      </c>
      <c r="I110" s="28" t="n">
        <f aca="false">S_Top5_SemiAnnual!P111</f>
        <v>3.79184887483387</v>
      </c>
      <c r="J110" s="28" t="n">
        <f aca="false">S_Top5_Quarterly!P111</f>
        <v>2.72697575890676</v>
      </c>
      <c r="K110" s="28" t="n">
        <f aca="false">Benchmark_RF!F111</f>
        <v>2.19478522457915</v>
      </c>
    </row>
    <row r="111" customFormat="false" ht="15" hidden="false" customHeight="true" outlineLevel="0" collapsed="false">
      <c r="A111" s="13" t="n">
        <f aca="false">Benchmark_RF!B112</f>
        <v>45474</v>
      </c>
      <c r="B111" s="28" t="n">
        <f aca="false">S_Top2_Annual!P112</f>
        <v>6.50267390606858</v>
      </c>
      <c r="C111" s="28" t="n">
        <f aca="false">S_Top2_SemiAnnual!P112</f>
        <v>2.10361574784758</v>
      </c>
      <c r="D111" s="28" t="n">
        <f aca="false">S_Top2_Quarterly!P112</f>
        <v>1.18396044110296</v>
      </c>
      <c r="E111" s="28" t="n">
        <f aca="false">S_Top3_Annual!P112</f>
        <v>5.66405687595504</v>
      </c>
      <c r="F111" s="28" t="n">
        <f aca="false">S_Top3_SemiAnnual!P112</f>
        <v>6.41726373798829</v>
      </c>
      <c r="G111" s="28" t="n">
        <f aca="false">S_Top3_Quarterly!P112</f>
        <v>2.85643519009084</v>
      </c>
      <c r="H111" s="28" t="n">
        <f aca="false">S_Top5_Annual!P112</f>
        <v>3.86813800451157</v>
      </c>
      <c r="I111" s="28" t="n">
        <f aca="false">S_Top5_SemiAnnual!P112</f>
        <v>4.06681184423807</v>
      </c>
      <c r="J111" s="28" t="n">
        <f aca="false">S_Top5_Quarterly!P112</f>
        <v>2.89122256119782</v>
      </c>
      <c r="K111" s="28" t="n">
        <f aca="false">Benchmark_RF!F112</f>
        <v>2.17917396909813</v>
      </c>
    </row>
    <row r="112" customFormat="false" ht="15" hidden="false" customHeight="true" outlineLevel="0" collapsed="false">
      <c r="A112" s="13" t="n">
        <f aca="false">Benchmark_RF!B113</f>
        <v>45505</v>
      </c>
      <c r="B112" s="28" t="n">
        <f aca="false">S_Top2_Annual!P113</f>
        <v>5.74589885809376</v>
      </c>
      <c r="C112" s="28" t="n">
        <f aca="false">S_Top2_SemiAnnual!P113</f>
        <v>1.87331783676145</v>
      </c>
      <c r="D112" s="28" t="n">
        <f aca="false">S_Top2_Quarterly!P113</f>
        <v>1.12305973808761</v>
      </c>
      <c r="E112" s="28" t="n">
        <f aca="false">S_Top3_Annual!P113</f>
        <v>5.17381458336028</v>
      </c>
      <c r="F112" s="28" t="n">
        <f aca="false">S_Top3_SemiAnnual!P113</f>
        <v>5.00509563537223</v>
      </c>
      <c r="G112" s="28" t="n">
        <f aca="false">S_Top3_Quarterly!P113</f>
        <v>2.75844128803776</v>
      </c>
      <c r="H112" s="28" t="n">
        <f aca="false">S_Top5_Annual!P113</f>
        <v>3.42772441710257</v>
      </c>
      <c r="I112" s="28" t="n">
        <f aca="false">S_Top5_SemiAnnual!P113</f>
        <v>3.48985341075311</v>
      </c>
      <c r="J112" s="28" t="n">
        <f aca="false">S_Top5_Quarterly!P113</f>
        <v>2.79455236515191</v>
      </c>
      <c r="K112" s="28" t="n">
        <f aca="false">Benchmark_RF!F113</f>
        <v>2.19599558160929</v>
      </c>
    </row>
    <row r="113" customFormat="false" ht="15" hidden="false" customHeight="true" outlineLevel="0" collapsed="false">
      <c r="A113" s="13" t="n">
        <f aca="false">Benchmark_RF!B114</f>
        <v>45536</v>
      </c>
      <c r="B113" s="28" t="n">
        <f aca="false">S_Top2_Annual!P114</f>
        <v>6.58738616034973</v>
      </c>
      <c r="C113" s="28" t="n">
        <f aca="false">S_Top2_SemiAnnual!P114</f>
        <v>2.14766536908946</v>
      </c>
      <c r="D113" s="28" t="n">
        <f aca="false">S_Top2_Quarterly!P114</f>
        <v>1.28753191774396</v>
      </c>
      <c r="E113" s="28" t="n">
        <f aca="false">S_Top3_Annual!P114</f>
        <v>5.81840155952111</v>
      </c>
      <c r="F113" s="28" t="n">
        <f aca="false">S_Top3_SemiAnnual!P114</f>
        <v>5.62866252379076</v>
      </c>
      <c r="G113" s="28" t="n">
        <f aca="false">S_Top3_Quarterly!P114</f>
        <v>3.10210558062605</v>
      </c>
      <c r="H113" s="28" t="n">
        <f aca="false">S_Top5_Annual!P114</f>
        <v>3.7885605683061</v>
      </c>
      <c r="I113" s="28" t="n">
        <f aca="false">S_Top5_SemiAnnual!P114</f>
        <v>3.85722987390096</v>
      </c>
      <c r="J113" s="28" t="n">
        <f aca="false">S_Top5_Quarterly!P114</f>
        <v>3.08873456799963</v>
      </c>
      <c r="K113" s="28" t="n">
        <f aca="false">Benchmark_RF!F114</f>
        <v>2.26946699524811</v>
      </c>
    </row>
    <row r="114" customFormat="false" ht="15" hidden="false" customHeight="true" outlineLevel="0" collapsed="false">
      <c r="A114" s="13" t="n">
        <f aca="false">Benchmark_RF!B115</f>
        <v>45566</v>
      </c>
      <c r="B114" s="28" t="n">
        <f aca="false">S_Top2_Annual!P115</f>
        <v>7.45724438385614</v>
      </c>
      <c r="C114" s="28" t="n">
        <f aca="false">S_Top2_SemiAnnual!P115</f>
        <v>2.43126258612937</v>
      </c>
      <c r="D114" s="28" t="n">
        <f aca="false">S_Top2_Quarterly!P115</f>
        <v>1.45754931150445</v>
      </c>
      <c r="E114" s="28" t="n">
        <f aca="false">S_Top3_Annual!P115</f>
        <v>6.71869398632598</v>
      </c>
      <c r="F114" s="28" t="n">
        <f aca="false">S_Top3_SemiAnnual!P115</f>
        <v>6.49959626587959</v>
      </c>
      <c r="G114" s="28" t="n">
        <f aca="false">S_Top3_Quarterly!P115</f>
        <v>3.58210032365245</v>
      </c>
      <c r="H114" s="28" t="n">
        <f aca="false">S_Top5_Annual!P115</f>
        <v>4.1671315730205</v>
      </c>
      <c r="I114" s="28" t="n">
        <f aca="false">S_Top5_SemiAnnual!P115</f>
        <v>4.24266264248144</v>
      </c>
      <c r="J114" s="28" t="n">
        <f aca="false">S_Top5_Quarterly!P115</f>
        <v>3.39737562774294</v>
      </c>
      <c r="K114" s="28" t="n">
        <f aca="false">Benchmark_RF!F115</f>
        <v>2.48917141744392</v>
      </c>
    </row>
    <row r="115" customFormat="false" ht="15" hidden="false" customHeight="true" outlineLevel="0" collapsed="false">
      <c r="A115" s="13" t="n">
        <f aca="false">Benchmark_RF!B116</f>
        <v>45597</v>
      </c>
      <c r="B115" s="28" t="n">
        <f aca="false">S_Top2_Annual!P116</f>
        <v>8.60897644698989</v>
      </c>
      <c r="C115" s="28" t="n">
        <f aca="false">S_Top2_SemiAnnual!P116</f>
        <v>2.80675826928073</v>
      </c>
      <c r="D115" s="28" t="n">
        <f aca="false">S_Top2_Quarterly!P116</f>
        <v>1.62193582645858</v>
      </c>
      <c r="E115" s="28" t="n">
        <f aca="false">S_Top3_Annual!P116</f>
        <v>7.71128368520568</v>
      </c>
      <c r="F115" s="28" t="n">
        <f aca="false">S_Top3_SemiAnnual!P116</f>
        <v>7.45981745075855</v>
      </c>
      <c r="G115" s="28" t="n">
        <f aca="false">S_Top3_Quarterly!P116</f>
        <v>3.74290625995199</v>
      </c>
      <c r="H115" s="28" t="n">
        <f aca="false">S_Top5_Annual!P116</f>
        <v>4.54750380044006</v>
      </c>
      <c r="I115" s="28" t="n">
        <f aca="false">S_Top5_SemiAnnual!P116</f>
        <v>4.62992928171086</v>
      </c>
      <c r="J115" s="28" t="n">
        <f aca="false">S_Top5_Quarterly!P116</f>
        <v>3.54784266704102</v>
      </c>
      <c r="K115" s="28" t="n">
        <f aca="false">Benchmark_RF!F116</f>
        <v>2.83584245997373</v>
      </c>
    </row>
    <row r="116" customFormat="false" ht="15" hidden="false" customHeight="true" outlineLevel="0" collapsed="false">
      <c r="A116" s="13" t="n">
        <f aca="false">Benchmark_RF!B117</f>
        <v>45627</v>
      </c>
      <c r="B116" s="28" t="n">
        <f aca="false">S_Top2_Annual!P117</f>
        <v>9.49960970725431</v>
      </c>
      <c r="C116" s="28" t="n">
        <f aca="false">S_Top2_SemiAnnual!P117</f>
        <v>3.0971287080357</v>
      </c>
      <c r="D116" s="28" t="n">
        <f aca="false">S_Top2_Quarterly!P117</f>
        <v>1.78973161518601</v>
      </c>
      <c r="E116" s="28" t="n">
        <f aca="false">S_Top3_Annual!P117</f>
        <v>8.66453126802015</v>
      </c>
      <c r="F116" s="28" t="n">
        <f aca="false">S_Top3_SemiAnnual!P117</f>
        <v>8.38197947247427</v>
      </c>
      <c r="G116" s="28" t="n">
        <f aca="false">S_Top3_Quarterly!P117</f>
        <v>4.14251012189498</v>
      </c>
      <c r="H116" s="28" t="n">
        <f aca="false">S_Top5_Annual!P117</f>
        <v>4.96123255994635</v>
      </c>
      <c r="I116" s="28" t="n">
        <f aca="false">S_Top5_SemiAnnual!P117</f>
        <v>5.05115705465713</v>
      </c>
      <c r="J116" s="28" t="n">
        <f aca="false">S_Top5_Quarterly!P117</f>
        <v>4.21576713768221</v>
      </c>
      <c r="K116" s="28" t="n">
        <f aca="false">Benchmark_RF!F117</f>
        <v>3.22109692033244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2026-06-21T09:47:07Z</dcterms:created>
  <dc:creator>openpyxl</dc:creator>
  <dc:description/>
  <dc:language>en-US</dc:language>
  <cp:lastModifiedBy/>
  <dcterms:modified xsi:type="dcterms:W3CDTF">2026-06-21T10:04:34Z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